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<sst xmlns="http://schemas.openxmlformats.org/spreadsheetml/2006/main" count="11460" uniqueCount="3884">
  <si>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</si>
  <si>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</si>
  <si>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</si>
  <si>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</si>
  <si>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</si>
  <si>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</si>
  <si>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</si>
  <si>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</si>
  <si>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</si>
  <si>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</si>
  <si>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</si>
  <si>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</si>
  <si>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</si>
  <si>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</si>
  <si>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</si>
  <si>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</si>
  <si>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</si>
  <si>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</si>
  <si>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</si>
  <si>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</si>
  <si>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</si>
  <si>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</si>
  <si>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</si>
  <si>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</si>
  <si>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</si>
  <si>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</si>
  <si>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</si>
  <si>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</si>
  <si>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</si>
  <si>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</si>
  <si>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</si>
  <si>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</si>
  <si>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</si>
  <si>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</si>
  <si>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</si>
  <si>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</si>
  <si>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</si>
  <si>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</si>
  <si>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14828504</t>
  </si>
  <si>
    <t>c98ebd33-cac2-4aab-8bab-6b45e8bfbed9</t>
  </si>
  <si>
    <t>111111123</t>
  </si>
  <si>
    <t>Vodacom Life 20260603</t>
  </si>
  <si>
    <t>27766792170</t>
  </si>
  <si>
    <t>A</t>
  </si>
  <si>
    <t>Answering Machine</t>
  </si>
  <si>
    <t>2026-06-26 11:37:47</t>
  </si>
  <si>
    <t>Musiiwa Mary Mabirimisa</t>
  </si>
  <si>
    <t>2026-06-08 05:25:27</t>
  </si>
  <si>
    <t>14828124</t>
  </si>
  <si>
    <t>ad5efd52-c734-4b8d-9f17-6eb51eacd3fb</t>
  </si>
  <si>
    <t>27664322996</t>
  </si>
  <si>
    <t>CCB</t>
  </si>
  <si>
    <t>Call Dropped</t>
  </si>
  <si>
    <t>2026-06-25 14:42:17</t>
  </si>
  <si>
    <t>14828442</t>
  </si>
  <si>
    <t>18632b8d-b536-47b5-8bc2-18cd6f00e239</t>
  </si>
  <si>
    <t>DNQS</t>
  </si>
  <si>
    <t>Does Not Qualify</t>
  </si>
  <si>
    <t>2026-06-25 12:51:19</t>
  </si>
  <si>
    <t>27765613766</t>
  </si>
  <si>
    <t>14828311</t>
  </si>
  <si>
    <t>eff62591-c93c-4177-aa9a-1071272795e4</t>
  </si>
  <si>
    <t>2026-06-25 12:32:48</t>
  </si>
  <si>
    <t>27760867339</t>
  </si>
  <si>
    <t>14828262</t>
  </si>
  <si>
    <t>89032e70-1768-4bd0-813c-a8efb57640cf</t>
  </si>
  <si>
    <t>N</t>
  </si>
  <si>
    <t>No Answer</t>
  </si>
  <si>
    <t>2026-06-25 09:17:10</t>
  </si>
  <si>
    <t>27820448179</t>
  </si>
  <si>
    <t>14827781</t>
  </si>
  <si>
    <t>cdf34d13-c4e2-4d1e-92c5-0359e3ca27f3</t>
  </si>
  <si>
    <t>27726379764</t>
  </si>
  <si>
    <t>IABDN</t>
  </si>
  <si>
    <t>Inbound Abandon</t>
  </si>
  <si>
    <t>2026-06-24 16:16:58</t>
  </si>
  <si>
    <t>system</t>
  </si>
  <si>
    <t>14827590</t>
  </si>
  <si>
    <t>845da16b-28ff-44a6-a1a8-fa9110ad60b2</t>
  </si>
  <si>
    <t>2026-06-24 14:34:49</t>
  </si>
  <si>
    <t>Maureen Ntsoko</t>
  </si>
  <si>
    <t>27715476499</t>
  </si>
  <si>
    <t>14828156</t>
  </si>
  <si>
    <t>6010c971-6a0a-47eb-9a7b-8c4a8355d682</t>
  </si>
  <si>
    <t>CB</t>
  </si>
  <si>
    <t>Busy Tone</t>
  </si>
  <si>
    <t>2026-06-24 10:35:45</t>
  </si>
  <si>
    <t>27798486924</t>
  </si>
  <si>
    <t>14828196</t>
  </si>
  <si>
    <t>048c1fac-7f0f-4891-b1c2-cece9e1b360a</t>
  </si>
  <si>
    <t>2026-06-24 08:47:54</t>
  </si>
  <si>
    <t>27768963240</t>
  </si>
  <si>
    <t>14828161</t>
  </si>
  <si>
    <t>519a5d80-520e-4d20-9c8b-123fc3ee4e06</t>
  </si>
  <si>
    <t>27772939778</t>
  </si>
  <si>
    <t>2026-06-24 06:41:33</t>
  </si>
  <si>
    <t>14827670</t>
  </si>
  <si>
    <t>f11b3b84-d4f6-40c3-af01-12d0ca050361</t>
  </si>
  <si>
    <t>27792803613</t>
  </si>
  <si>
    <t>2026-06-24 06:35:14</t>
  </si>
  <si>
    <t>14827596</t>
  </si>
  <si>
    <t>16d97988-78c6-4893-ad9b-ab24d06075a4</t>
  </si>
  <si>
    <t>2026-06-19 12:28:08</t>
  </si>
  <si>
    <t>Khensane Mabasa</t>
  </si>
  <si>
    <t>27721176606</t>
  </si>
  <si>
    <t>14828235</t>
  </si>
  <si>
    <t>d1f5323a-84f2-4043-88b3-2dd33b6ec555</t>
  </si>
  <si>
    <t>27722575370</t>
  </si>
  <si>
    <t>CU</t>
  </si>
  <si>
    <t>Client Hung Up</t>
  </si>
  <si>
    <t>2026-06-19 10:10:46</t>
  </si>
  <si>
    <t>14828253</t>
  </si>
  <si>
    <t>4e15dfd4-9699-4563-8016-6be35ed24a2a</t>
  </si>
  <si>
    <t>2026-06-19 09:45:27</t>
  </si>
  <si>
    <t>27767763940</t>
  </si>
  <si>
    <t>14828147</t>
  </si>
  <si>
    <t>7a0be475-e936-4ac0-a21d-1287dd98f7af</t>
  </si>
  <si>
    <t>AC</t>
  </si>
  <si>
    <t>Already Contacted</t>
  </si>
  <si>
    <t>2026-06-19 07:47:34</t>
  </si>
  <si>
    <t>27768097817</t>
  </si>
  <si>
    <t>14828344</t>
  </si>
  <si>
    <t>c52866d2-654b-463b-95db-40d300b08610</t>
  </si>
  <si>
    <t>2026-06-19 07:33:41</t>
  </si>
  <si>
    <t>27722228317</t>
  </si>
  <si>
    <t>14828212</t>
  </si>
  <si>
    <t>ecfe4295-2479-4ce9-8c17-c2cf6acb58c2</t>
  </si>
  <si>
    <t>2026-06-18 07:53:05</t>
  </si>
  <si>
    <t>27674612571</t>
  </si>
  <si>
    <t>14828479</t>
  </si>
  <si>
    <t>62f5c396-0b0b-49c4-84f6-a67529dbce27</t>
  </si>
  <si>
    <t>27768752354</t>
  </si>
  <si>
    <t>2026-06-17 15:08:27</t>
  </si>
  <si>
    <t>14828003</t>
  </si>
  <si>
    <t>80cf1ebc-a3b5-4d9e-ac86-40d5001f3c16</t>
  </si>
  <si>
    <t>27825812643</t>
  </si>
  <si>
    <t>2026-06-17 14:52:44</t>
  </si>
  <si>
    <t>14828454</t>
  </si>
  <si>
    <t>5ec6e30a-54ad-40d1-88b6-ec9c251e51d6</t>
  </si>
  <si>
    <t>27660738189</t>
  </si>
  <si>
    <t>2026-06-17 13:23:59</t>
  </si>
  <si>
    <t>14828119</t>
  </si>
  <si>
    <t>bf6b21ac-b092-4064-ac36-c510c5b708b7</t>
  </si>
  <si>
    <t>2026-06-17 10:53:42</t>
  </si>
  <si>
    <t>27798477722</t>
  </si>
  <si>
    <t>14827569</t>
  </si>
  <si>
    <t>4b575512-1a1d-4540-9f7b-cb62cfc6f3ba</t>
  </si>
  <si>
    <t>27792437200</t>
  </si>
  <si>
    <t>DQQD</t>
  </si>
  <si>
    <t>DNQ Quote Declined</t>
  </si>
  <si>
    <t>2026-06-17 09:22:38</t>
  </si>
  <si>
    <t>14827878</t>
  </si>
  <si>
    <t>41def82a-d3d3-4336-9b95-00675d611bdf</t>
  </si>
  <si>
    <t>27760440000</t>
  </si>
  <si>
    <t>2026-06-17 08:03:49</t>
  </si>
  <si>
    <t>14827723</t>
  </si>
  <si>
    <t>1d7739d3-8518-40e5-bbc3-f101dbeaa786</t>
  </si>
  <si>
    <t>2026-06-17 07:10:21</t>
  </si>
  <si>
    <t>27711878675</t>
  </si>
  <si>
    <t>14827558</t>
  </si>
  <si>
    <t>bbc467ab-2f43-4c3c-9e1a-3a8416b3aa1b</t>
  </si>
  <si>
    <t>QAVET</t>
  </si>
  <si>
    <t>Sale Made</t>
  </si>
  <si>
    <t>2026-06-17 07:09:51</t>
  </si>
  <si>
    <t>27716258698</t>
  </si>
  <si>
    <t>14828218</t>
  </si>
  <si>
    <t>92ff0850-7d5a-40bd-a879-22d95b32da2f</t>
  </si>
  <si>
    <t>27711923928</t>
  </si>
  <si>
    <t>DROP</t>
  </si>
  <si>
    <t>Dropped</t>
  </si>
  <si>
    <t>2026-06-17 06:02:31</t>
  </si>
  <si>
    <t>14828488</t>
  </si>
  <si>
    <t>05715555-3b20-4e7e-9334-b0db9750e2ef</t>
  </si>
  <si>
    <t>27712861433</t>
  </si>
  <si>
    <t>14828357</t>
  </si>
  <si>
    <t>2edefb7a-378f-4f61-9624-07f8b9362d1b</t>
  </si>
  <si>
    <t>27761406482</t>
  </si>
  <si>
    <t>AFTHRS</t>
  </si>
  <si>
    <t>Inbound After Hours Drop</t>
  </si>
  <si>
    <t>2026-06-15 16:57:44</t>
  </si>
  <si>
    <t>14827875</t>
  </si>
  <si>
    <t>a6ff25f8-1cad-4cff-8b7a-c7e86b8cf855</t>
  </si>
  <si>
    <t>27823403672</t>
  </si>
  <si>
    <t>2026-06-15 14:27:33</t>
  </si>
  <si>
    <t>14828511</t>
  </si>
  <si>
    <t>760cb91f-403f-4fb0-8bf0-e432f02cef7c</t>
  </si>
  <si>
    <t>27763802950</t>
  </si>
  <si>
    <t>2026-06-15 12:08:43</t>
  </si>
  <si>
    <t>14827918</t>
  </si>
  <si>
    <t>96538359-9716-4944-95ab-c05dc92678b4</t>
  </si>
  <si>
    <t>AA</t>
  </si>
  <si>
    <t>Answering Machine Autodial</t>
  </si>
  <si>
    <t>2026-06-15 10:22:05</t>
  </si>
  <si>
    <t>27646271120</t>
  </si>
  <si>
    <t>14828036</t>
  </si>
  <si>
    <t>0051cb9f-db48-4fb5-af63-d9a523664611</t>
  </si>
  <si>
    <t>27799968911</t>
  </si>
  <si>
    <t>2026-06-15 09:58:35</t>
  </si>
  <si>
    <t>14827629</t>
  </si>
  <si>
    <t>21640b7c-8e82-4f1d-9e7c-78445d47b9eb</t>
  </si>
  <si>
    <t>27607618682</t>
  </si>
  <si>
    <t>2026-06-15 09:44:43</t>
  </si>
  <si>
    <t>bongiwe lushaba</t>
  </si>
  <si>
    <t>14828256</t>
  </si>
  <si>
    <t>7645425c-591d-4e01-aeac-3484f3ef5fe2</t>
  </si>
  <si>
    <t>27818063859</t>
  </si>
  <si>
    <t>2026-06-15 09:43:00</t>
  </si>
  <si>
    <t>14828314</t>
  </si>
  <si>
    <t>547f0a20-4631-4b53-93ee-654a5073b132</t>
  </si>
  <si>
    <t>27609542682</t>
  </si>
  <si>
    <t>2026-06-15 09:29:04</t>
  </si>
  <si>
    <t>14828277</t>
  </si>
  <si>
    <t>edba40e1-8f10-42f5-9d5e-db97c221ab03</t>
  </si>
  <si>
    <t>27724531707</t>
  </si>
  <si>
    <t>2026-06-15 09:27:00</t>
  </si>
  <si>
    <t>14827681</t>
  </si>
  <si>
    <t>03a13c19-87ed-48ef-99de-1e3e779d5272</t>
  </si>
  <si>
    <t>27729503424</t>
  </si>
  <si>
    <t>2026-06-15 09:11:13</t>
  </si>
  <si>
    <t>14828004</t>
  </si>
  <si>
    <t>db45303d-9025-434e-9aa9-0d48501c13c7</t>
  </si>
  <si>
    <t>2026-06-15 08:49:40</t>
  </si>
  <si>
    <t>27720949177</t>
  </si>
  <si>
    <t>14828064</t>
  </si>
  <si>
    <t>456b3d34-1d03-44e2-9b21-8c4945d5d9d4</t>
  </si>
  <si>
    <t>2026-06-15 08:49:16</t>
  </si>
  <si>
    <t>27723663474</t>
  </si>
  <si>
    <t>14828231</t>
  </si>
  <si>
    <t>217821e9-0c74-4719-8a54-36af55c6906f</t>
  </si>
  <si>
    <t>27716098356</t>
  </si>
  <si>
    <t>2026-06-15 08:49:15</t>
  </si>
  <si>
    <t>14800000</t>
  </si>
  <si>
    <t>46e2487d-f6ae-427d-aedd-15d17cdb0c70</t>
  </si>
  <si>
    <t>2026-06-15 08:49:09</t>
  </si>
  <si>
    <t>27664214639</t>
  </si>
  <si>
    <t>14828146</t>
  </si>
  <si>
    <t>be64666e-d938-4623-821a-6ae0ab93322b</t>
  </si>
  <si>
    <t>27765962069</t>
  </si>
  <si>
    <t>14828474</t>
  </si>
  <si>
    <t>a54c3589-557e-4c1e-9609-3985101d0ea6</t>
  </si>
  <si>
    <t>AE</t>
  </si>
  <si>
    <t>Auto Engaged</t>
  </si>
  <si>
    <t>2026-06-15 08:49:05</t>
  </si>
  <si>
    <t>27716608663</t>
  </si>
  <si>
    <t>14827943</t>
  </si>
  <si>
    <t>37f96eec-c069-4ab9-9307-5e2ac8b56db5</t>
  </si>
  <si>
    <t>2026-06-15 08:49:02</t>
  </si>
  <si>
    <t>27767598200</t>
  </si>
  <si>
    <t>14827929</t>
  </si>
  <si>
    <t>8e5ff671-f45f-42c9-b5b7-564b2d3ad541</t>
  </si>
  <si>
    <t>2026-06-15 08:48:59</t>
  </si>
  <si>
    <t>27716306514</t>
  </si>
  <si>
    <t>14828047</t>
  </si>
  <si>
    <t>177e19cb-4499-49ee-b9d1-da7c864603f0</t>
  </si>
  <si>
    <t>27768625120</t>
  </si>
  <si>
    <t>14827965</t>
  </si>
  <si>
    <t>c174dea8-d5c5-4432-bf8d-2512ab385de4</t>
  </si>
  <si>
    <t>27608534778</t>
  </si>
  <si>
    <t>14827999</t>
  </si>
  <si>
    <t>b72670ba-38e7-43ad-b181-9fcda0c117b5</t>
  </si>
  <si>
    <t>27716738101</t>
  </si>
  <si>
    <t>NA</t>
  </si>
  <si>
    <t>No Answer Autodial</t>
  </si>
  <si>
    <t>2026-06-15 08:48:10</t>
  </si>
  <si>
    <t>14828187</t>
  </si>
  <si>
    <t>cbac8f7b-c7ae-4c7e-8fdb-778680fff9d0</t>
  </si>
  <si>
    <t>27760983077</t>
  </si>
  <si>
    <t>2026-06-15 08:48:00</t>
  </si>
  <si>
    <t>14828174</t>
  </si>
  <si>
    <t>a4da98c7-e598-4719-aff0-7246db81eaaa</t>
  </si>
  <si>
    <t>27761412851</t>
  </si>
  <si>
    <t>2026-06-15 08:47:59</t>
  </si>
  <si>
    <t>14827960</t>
  </si>
  <si>
    <t>11f096d0-c9ea-4584-8ae5-2e5aa1b41c70</t>
  </si>
  <si>
    <t>2026-06-15 08:47:53</t>
  </si>
  <si>
    <t>27636029537</t>
  </si>
  <si>
    <t>14828049</t>
  </si>
  <si>
    <t>195ed68a-c622-4968-85c3-7269ad225652</t>
  </si>
  <si>
    <t>27663552419</t>
  </si>
  <si>
    <t>NI</t>
  </si>
  <si>
    <t>Not Interested</t>
  </si>
  <si>
    <t>2026-06-15 08:47:51</t>
  </si>
  <si>
    <t>14827947</t>
  </si>
  <si>
    <t>defd13a3-51b8-45d3-a96f-8fb3ba46df28</t>
  </si>
  <si>
    <t>2026-06-15 08:47:50</t>
  </si>
  <si>
    <t>27781407392</t>
  </si>
  <si>
    <t>14828054</t>
  </si>
  <si>
    <t>3fe83c5e-3b9b-4871-99e7-27da2dcc058a</t>
  </si>
  <si>
    <t>27660929737</t>
  </si>
  <si>
    <t>14827949</t>
  </si>
  <si>
    <t>808f12ec-d71f-44bb-9fe3-05939f06db2c</t>
  </si>
  <si>
    <t>27660120007</t>
  </si>
  <si>
    <t>14828166</t>
  </si>
  <si>
    <t>98815d56-bb47-4266-b35e-f446911fc0f8</t>
  </si>
  <si>
    <t>27648848116</t>
  </si>
  <si>
    <t>2026-06-15 08:47:13</t>
  </si>
  <si>
    <t>14828032</t>
  </si>
  <si>
    <t>6f5f8cdd-98f8-4c9c-b2ac-eb299fe11ef1</t>
  </si>
  <si>
    <t>2026-06-15 08:47:11</t>
  </si>
  <si>
    <t>27768497983</t>
  </si>
  <si>
    <t>14828037</t>
  </si>
  <si>
    <t>66a13fe2-ad8b-4093-ac8c-c16496e38e03</t>
  </si>
  <si>
    <t>27827512134</t>
  </si>
  <si>
    <t>14828255</t>
  </si>
  <si>
    <t>b5695f9a-5716-4156-8275-b75e119a0b75</t>
  </si>
  <si>
    <t>27763061283</t>
  </si>
  <si>
    <t>14828268</t>
  </si>
  <si>
    <t>0502e25e-4783-4dff-bb87-474b1ec13b5a</t>
  </si>
  <si>
    <t>27673070380</t>
  </si>
  <si>
    <t>14828085</t>
  </si>
  <si>
    <t>4301ec54-88e3-4fe9-8f8c-d7bf5fa38d1c</t>
  </si>
  <si>
    <t>27761920832</t>
  </si>
  <si>
    <t>2026-06-15 08:45:47</t>
  </si>
  <si>
    <t>36e522e3-2491-423d-9430-1099bcf292b9</t>
  </si>
  <si>
    <t>27765807169</t>
  </si>
  <si>
    <t>2026-06-15 08:45:12</t>
  </si>
  <si>
    <t>14828030</t>
  </si>
  <si>
    <t>3ce9138f-74b1-44b4-a2ea-89418b9cac1d</t>
  </si>
  <si>
    <t>ADC</t>
  </si>
  <si>
    <t>Auto Dial Disconnected</t>
  </si>
  <si>
    <t>2026-06-15 08:43:26</t>
  </si>
  <si>
    <t>27665201728</t>
  </si>
  <si>
    <t>14827931</t>
  </si>
  <si>
    <t>aa638169-e126-4862-81cf-6544b7dd2dae</t>
  </si>
  <si>
    <t>27796653226</t>
  </si>
  <si>
    <t>14827955</t>
  </si>
  <si>
    <t>e237e33d-2303-4908-a9bb-c9fdf9fb4b01</t>
  </si>
  <si>
    <t>2026-06-15 08:43:20</t>
  </si>
  <si>
    <t>27606019784</t>
  </si>
  <si>
    <t>14827917</t>
  </si>
  <si>
    <t>b0ae0a6a-d89d-4094-9e2f-50e5bab80cc8</t>
  </si>
  <si>
    <t>2026-06-15 08:43:19</t>
  </si>
  <si>
    <t>27661765452</t>
  </si>
  <si>
    <t>14828168</t>
  </si>
  <si>
    <t>592a03e7-45c1-408b-bfac-3d9ed580b2a9</t>
  </si>
  <si>
    <t>27766612878</t>
  </si>
  <si>
    <t>14827915</t>
  </si>
  <si>
    <t>237664a4-69fb-42c0-97bc-d5b251ec40b9</t>
  </si>
  <si>
    <t>2026-06-15 08:43:06</t>
  </si>
  <si>
    <t>27765264626</t>
  </si>
  <si>
    <t>14827933</t>
  </si>
  <si>
    <t>7b89e99f-da33-48cc-98ff-a9e73002599a</t>
  </si>
  <si>
    <t>27818585875</t>
  </si>
  <si>
    <t>2026-06-15 08:42:58</t>
  </si>
  <si>
    <t>14828080</t>
  </si>
  <si>
    <t>b5fbf85d-5dbd-4025-9304-906e0cbbb055</t>
  </si>
  <si>
    <t>2026-06-15 08:42:55</t>
  </si>
  <si>
    <t>27793932855</t>
  </si>
  <si>
    <t>14828052</t>
  </si>
  <si>
    <t>803a7bc6-4110-4d55-b266-23f4e171b8ad</t>
  </si>
  <si>
    <t>2026-06-15 08:42:31</t>
  </si>
  <si>
    <t>27828084699</t>
  </si>
  <si>
    <t>14828313</t>
  </si>
  <si>
    <t>6bd3f153-c191-4d49-80cb-c3f3acff0608</t>
  </si>
  <si>
    <t>2026-06-15 08:42:29</t>
  </si>
  <si>
    <t>27797017781</t>
  </si>
  <si>
    <t>14828273</t>
  </si>
  <si>
    <t>46849ab6-7e86-4098-9279-7d68edd13dc4</t>
  </si>
  <si>
    <t>2026-06-15 08:42:15</t>
  </si>
  <si>
    <t>27763015436</t>
  </si>
  <si>
    <t>14828289</t>
  </si>
  <si>
    <t>72c0e79a-f1b8-48d9-9ba1-5f076ce842d7</t>
  </si>
  <si>
    <t>2026-06-15 08:41:51</t>
  </si>
  <si>
    <t>27714708304</t>
  </si>
  <si>
    <t>14828023</t>
  </si>
  <si>
    <t>40c55370-c647-481e-962f-c30299ac0f25</t>
  </si>
  <si>
    <t>2026-06-15 08:41:29</t>
  </si>
  <si>
    <t>27720884639</t>
  </si>
  <si>
    <t>14828222</t>
  </si>
  <si>
    <t>3896d757-8d85-4eaf-8ad0-c1d007041687</t>
  </si>
  <si>
    <t>2026-06-15 08:41:26</t>
  </si>
  <si>
    <t>27764682093</t>
  </si>
  <si>
    <t>14827885</t>
  </si>
  <si>
    <t>dc355e67-9055-42bc-ad46-7f2c08865589</t>
  </si>
  <si>
    <t>2026-06-15 08:41:24</t>
  </si>
  <si>
    <t>27763864920</t>
  </si>
  <si>
    <t>14827884</t>
  </si>
  <si>
    <t>1aa2e88f-b6cc-41ea-80e2-6b86e4f702da</t>
  </si>
  <si>
    <t>2026-06-15 08:41:20</t>
  </si>
  <si>
    <t>27794632346</t>
  </si>
  <si>
    <t>14828367</t>
  </si>
  <si>
    <t>d60a7f56-3f71-4a26-894d-96938bb2a479</t>
  </si>
  <si>
    <t>2026-06-15 08:40:51</t>
  </si>
  <si>
    <t>27760182516</t>
  </si>
  <si>
    <t>e84493bd-a99d-4dbd-a851-48829e4111d9</t>
  </si>
  <si>
    <t>2026-06-15 08:40:48</t>
  </si>
  <si>
    <t>27762294938</t>
  </si>
  <si>
    <t>14828067</t>
  </si>
  <si>
    <t>94f2df2e-c212-4a6b-b374-9e01132ce147</t>
  </si>
  <si>
    <t>2026-06-15 08:40:47</t>
  </si>
  <si>
    <t>27767202308</t>
  </si>
  <si>
    <t>14828247</t>
  </si>
  <si>
    <t>9db5ac38-de4f-4a7b-b500-826b6a8dbaf5</t>
  </si>
  <si>
    <t>2026-06-15 08:40:44</t>
  </si>
  <si>
    <t>27820789710</t>
  </si>
  <si>
    <t>14828188</t>
  </si>
  <si>
    <t>73f7438c-af8d-41f1-a5a5-25caeccd72e6</t>
  </si>
  <si>
    <t>2026-06-15 08:40:37</t>
  </si>
  <si>
    <t>27773848774</t>
  </si>
  <si>
    <t>14828185</t>
  </si>
  <si>
    <t>e46b97df-27d5-42dd-9447-ee100de5573c</t>
  </si>
  <si>
    <t>2026-06-15 08:40:34</t>
  </si>
  <si>
    <t>27648536569</t>
  </si>
  <si>
    <t>14828390</t>
  </si>
  <si>
    <t>68fda16a-dd5c-4cfb-9f70-eb299782f4ae</t>
  </si>
  <si>
    <t>2026-06-15 08:40:32</t>
  </si>
  <si>
    <t>27726590713</t>
  </si>
  <si>
    <t>14827934</t>
  </si>
  <si>
    <t>30456318-5276-469e-9e30-60c671714666</t>
  </si>
  <si>
    <t>2026-06-15 08:40:28</t>
  </si>
  <si>
    <t>27827465401</t>
  </si>
  <si>
    <t>14828112</t>
  </si>
  <si>
    <t>40ad46da-b3a7-4462-b690-1868cb3c7e5f</t>
  </si>
  <si>
    <t>2026-06-15 08:40:04</t>
  </si>
  <si>
    <t>27761088453</t>
  </si>
  <si>
    <t>14827940</t>
  </si>
  <si>
    <t>fe3cb1f1-8195-455d-90be-d1db3ad0153c</t>
  </si>
  <si>
    <t>27660832850</t>
  </si>
  <si>
    <t>2026-06-15 08:39:58</t>
  </si>
  <si>
    <t>14828068</t>
  </si>
  <si>
    <t>710cdb51-6423-440d-bb2a-25d71bd1a563</t>
  </si>
  <si>
    <t>27722700058</t>
  </si>
  <si>
    <t>14828116</t>
  </si>
  <si>
    <t>f6ecd974-9467-443b-8810-9355229535da</t>
  </si>
  <si>
    <t>27761288139</t>
  </si>
  <si>
    <t>2026-06-15 08:39:08</t>
  </si>
  <si>
    <t>14828082</t>
  </si>
  <si>
    <t>68871471-f844-4245-84d6-336d96f398b9</t>
  </si>
  <si>
    <t>2026-06-15 08:39:03</t>
  </si>
  <si>
    <t>27763793008</t>
  </si>
  <si>
    <t>14827923</t>
  </si>
  <si>
    <t>1b99fd4f-3e20-4713-b1fd-e013994936ae</t>
  </si>
  <si>
    <t>2026-06-15 08:38:54</t>
  </si>
  <si>
    <t>27729380347</t>
  </si>
  <si>
    <t>14827948</t>
  </si>
  <si>
    <t>df868496-168c-4b22-89e9-4a12fcb52dd7</t>
  </si>
  <si>
    <t>27648647281</t>
  </si>
  <si>
    <t>14828303</t>
  </si>
  <si>
    <t>b9725f1a-f7f1-4e3d-96d6-8df4051fe60a</t>
  </si>
  <si>
    <t>2026-06-15 08:38:53</t>
  </si>
  <si>
    <t>27827353421</t>
  </si>
  <si>
    <t>14827942</t>
  </si>
  <si>
    <t>47b9d15c-1e86-453b-ab82-3d93a86f4446</t>
  </si>
  <si>
    <t>2026-06-15 08:38:18</t>
  </si>
  <si>
    <t>27722018167</t>
  </si>
  <si>
    <t>14827977</t>
  </si>
  <si>
    <t>14b1f789-bf65-4735-9a28-a6117c7ee802</t>
  </si>
  <si>
    <t>2026-06-15 08:38:12</t>
  </si>
  <si>
    <t>27730503608</t>
  </si>
  <si>
    <t>14827990</t>
  </si>
  <si>
    <t>943477f4-56c7-46cd-afb5-0a2a50e22bec</t>
  </si>
  <si>
    <t>2026-06-15 08:38:07</t>
  </si>
  <si>
    <t>27785431613</t>
  </si>
  <si>
    <t>14828223</t>
  </si>
  <si>
    <t>1554b1fe-db19-4ffe-9816-9b21d3ade457</t>
  </si>
  <si>
    <t>27728897113</t>
  </si>
  <si>
    <t>14828083</t>
  </si>
  <si>
    <t>c4dd593f-f98e-466c-a84c-0daafa9a7d9a</t>
  </si>
  <si>
    <t>2026-06-15 08:38:06</t>
  </si>
  <si>
    <t>27799473544</t>
  </si>
  <si>
    <t>14828006</t>
  </si>
  <si>
    <t>f4ff4f79-1b4e-4b6e-b0b4-adae60a9ef01</t>
  </si>
  <si>
    <t>2026-06-15 08:36:19</t>
  </si>
  <si>
    <t>27789766798</t>
  </si>
  <si>
    <t>14828091</t>
  </si>
  <si>
    <t>49d4b8f8-b66b-4626-bf61-894feca59204</t>
  </si>
  <si>
    <t>27620075896</t>
  </si>
  <si>
    <t>14828089</t>
  </si>
  <si>
    <t>2974e3a2-8a21-4857-ad27-7722f097b7ef</t>
  </si>
  <si>
    <t>2026-06-15 08:36:18</t>
  </si>
  <si>
    <t>27790727150</t>
  </si>
  <si>
    <t>14828348</t>
  </si>
  <si>
    <t>afc92106-d2cc-4c06-9514-2354b99f1c1f</t>
  </si>
  <si>
    <t>2026-06-15 08:35:06</t>
  </si>
  <si>
    <t>27661990231</t>
  </si>
  <si>
    <t>14828007</t>
  </si>
  <si>
    <t>b7039a7f-69ef-432d-b7e6-6a9ec3a97722</t>
  </si>
  <si>
    <t>2026-06-15 08:35:04</t>
  </si>
  <si>
    <t>27766980409</t>
  </si>
  <si>
    <t>14828154</t>
  </si>
  <si>
    <t>eab297de-d43f-43ca-a72d-4fb8bc56cad3</t>
  </si>
  <si>
    <t>2026-06-15 08:35:02</t>
  </si>
  <si>
    <t>27715299757</t>
  </si>
  <si>
    <t>14828378</t>
  </si>
  <si>
    <t>f94b4adc-70a4-4afd-a58e-e40118ff3849</t>
  </si>
  <si>
    <t>27671631628</t>
  </si>
  <si>
    <t>2026-06-15 08:34:52</t>
  </si>
  <si>
    <t>14828057</t>
  </si>
  <si>
    <t>65c6d13d-456f-40e1-993d-322fd8665415</t>
  </si>
  <si>
    <t>27760698542</t>
  </si>
  <si>
    <t>2026-06-15 08:34:50</t>
  </si>
  <si>
    <t>14827988</t>
  </si>
  <si>
    <t>6da2667f-2086-4175-b53a-df71f17e6220</t>
  </si>
  <si>
    <t>27767798182</t>
  </si>
  <si>
    <t>2026-06-15 08:34:49</t>
  </si>
  <si>
    <t>14828016</t>
  </si>
  <si>
    <t>388ecc66-5fc4-4a14-9a03-a563ee94d424</t>
  </si>
  <si>
    <t>27763664816</t>
  </si>
  <si>
    <t>14828063</t>
  </si>
  <si>
    <t>bf9a214b-3729-463b-8234-6d4c525c87b6</t>
  </si>
  <si>
    <t>27715651770</t>
  </si>
  <si>
    <t>14827958</t>
  </si>
  <si>
    <t>a0966b57-7bbe-43a9-b3c1-11471b6129a4</t>
  </si>
  <si>
    <t>27711845247</t>
  </si>
  <si>
    <t>2026-06-15 08:34:12</t>
  </si>
  <si>
    <t>14828017</t>
  </si>
  <si>
    <t>71da4135-26a2-4a9a-a0aa-a7806c5ee6b1</t>
  </si>
  <si>
    <t>2026-06-15 08:34:01</t>
  </si>
  <si>
    <t>27793956327</t>
  </si>
  <si>
    <t>14828034</t>
  </si>
  <si>
    <t>4949efe3-16ed-4786-8c21-cc35720442f0</t>
  </si>
  <si>
    <t>27795239778</t>
  </si>
  <si>
    <t>14827953</t>
  </si>
  <si>
    <t>360db586-fead-4e1a-9aba-58cbd4c39f14</t>
  </si>
  <si>
    <t>27674862443</t>
  </si>
  <si>
    <t>14828072</t>
  </si>
  <si>
    <t>4576a210-49c3-49f3-9832-19f7977e1000</t>
  </si>
  <si>
    <t>27826840047</t>
  </si>
  <si>
    <t>14828090</t>
  </si>
  <si>
    <t>7a0a0aa1-6e9f-48c4-9e56-e37a60a690c9</t>
  </si>
  <si>
    <t>2026-06-15 08:32:10</t>
  </si>
  <si>
    <t>27823901086</t>
  </si>
  <si>
    <t>14828018</t>
  </si>
  <si>
    <t>82866a0a-7bae-4b31-a6a4-1480e187ace9</t>
  </si>
  <si>
    <t>2026-06-15 08:32:09</t>
  </si>
  <si>
    <t>27798942132</t>
  </si>
  <si>
    <t>14828092</t>
  </si>
  <si>
    <t>7b4d8b3c-c7b6-47bf-b4e9-1aa7c214b008</t>
  </si>
  <si>
    <t>27721728470</t>
  </si>
  <si>
    <t>14828100</t>
  </si>
  <si>
    <t>4214f37f-cdc2-478f-8df9-28fd3be4d176</t>
  </si>
  <si>
    <t>27720551355</t>
  </si>
  <si>
    <t>14828027</t>
  </si>
  <si>
    <t>62156945-a40f-424f-9f33-5141b7a57a6d</t>
  </si>
  <si>
    <t>2026-06-15 08:26:30</t>
  </si>
  <si>
    <t>27794711227</t>
  </si>
  <si>
    <t>14828278</t>
  </si>
  <si>
    <t>0f36e350-50be-4096-b020-bb888e85c659</t>
  </si>
  <si>
    <t>2026-06-15 08:26:25</t>
  </si>
  <si>
    <t>27715151171</t>
  </si>
  <si>
    <t>14827961</t>
  </si>
  <si>
    <t>86d0e6af-a7fe-4523-828e-cf95602fd685</t>
  </si>
  <si>
    <t>2026-06-15 08:26:24</t>
  </si>
  <si>
    <t>27740210503</t>
  </si>
  <si>
    <t>14828237</t>
  </si>
  <si>
    <t>8c155d08-2b46-4a59-af0a-5a13f0fddcb7</t>
  </si>
  <si>
    <t>27767044200</t>
  </si>
  <si>
    <t>14827962</t>
  </si>
  <si>
    <t>e0c0a681-d5de-4342-bb6e-68e311dbc81d</t>
  </si>
  <si>
    <t>2026-06-15 08:26:23</t>
  </si>
  <si>
    <t>27647227445</t>
  </si>
  <si>
    <t>14828098</t>
  </si>
  <si>
    <t>28030770-0977-4d2a-afe0-f422a0e30ef7</t>
  </si>
  <si>
    <t>27769895283</t>
  </si>
  <si>
    <t>14827985</t>
  </si>
  <si>
    <t>8670bae1-f18c-46c3-8b55-33ab5b8c9b18</t>
  </si>
  <si>
    <t>2026-06-15 08:18:28</t>
  </si>
  <si>
    <t>27647601181</t>
  </si>
  <si>
    <t>14827987</t>
  </si>
  <si>
    <t>b7e2d4ea-8f49-4c82-8d4d-463500ba12ed</t>
  </si>
  <si>
    <t>27765692886</t>
  </si>
  <si>
    <t>14828111</t>
  </si>
  <si>
    <t>4cc7b832-a083-41c0-8798-4d534c74831b</t>
  </si>
  <si>
    <t>27729214050</t>
  </si>
  <si>
    <t>14828238</t>
  </si>
  <si>
    <t>d1914c65-a9d5-44b2-863b-e7ca5b864e96</t>
  </si>
  <si>
    <t>27768403054</t>
  </si>
  <si>
    <t>14828450</t>
  </si>
  <si>
    <t>64d6bb70-75b1-4e3a-86a2-779c24964a33</t>
  </si>
  <si>
    <t>27725490015</t>
  </si>
  <si>
    <t>2026-06-15 08:10:14</t>
  </si>
  <si>
    <t>14828307</t>
  </si>
  <si>
    <t>4e5f51db-409d-4a56-be4b-8501b05327a3</t>
  </si>
  <si>
    <t>27675374329</t>
  </si>
  <si>
    <t>2026-06-15 08:10:08</t>
  </si>
  <si>
    <t>14827992</t>
  </si>
  <si>
    <t>33aa5d81-03ae-43d2-9984-fc9b2bcbe60f</t>
  </si>
  <si>
    <t>27791902660</t>
  </si>
  <si>
    <t>2026-06-15 08:07:28</t>
  </si>
  <si>
    <t>14827994</t>
  </si>
  <si>
    <t>90baaa71-8fb7-4a89-9ba5-cb50a54923e0</t>
  </si>
  <si>
    <t>27822537511</t>
  </si>
  <si>
    <t>14828113</t>
  </si>
  <si>
    <t>264638c5-6f3c-4888-ae6d-1855748e3f80</t>
  </si>
  <si>
    <t>27763081335</t>
  </si>
  <si>
    <t>14828239</t>
  </si>
  <si>
    <t>44589d84-192a-4bfa-8088-12b1096066d8</t>
  </si>
  <si>
    <t>27791174053</t>
  </si>
  <si>
    <t>14828050</t>
  </si>
  <si>
    <t>6e74fb0d-cf94-4d63-bba7-699bb4966a2d</t>
  </si>
  <si>
    <t>AF</t>
  </si>
  <si>
    <t>Cannot Afford</t>
  </si>
  <si>
    <t>2026-06-15 08:02:51</t>
  </si>
  <si>
    <t>27796371747</t>
  </si>
  <si>
    <t>14828288</t>
  </si>
  <si>
    <t>f22a8285-a075-4b6e-95ec-6513c892a33f</t>
  </si>
  <si>
    <t>2026-06-15 08:02:47</t>
  </si>
  <si>
    <t>27823663017</t>
  </si>
  <si>
    <t>14828251</t>
  </si>
  <si>
    <t>e16fb76a-2f31-4e66-ab99-eddac8b0afe1</t>
  </si>
  <si>
    <t>27764120556</t>
  </si>
  <si>
    <t>e0081740-f7d8-4956-8193-5eb0937fe39f</t>
  </si>
  <si>
    <t>27716491517</t>
  </si>
  <si>
    <t>2026-06-15 08:01:57</t>
  </si>
  <si>
    <t>14828010</t>
  </si>
  <si>
    <t>decdb031-b367-429c-9493-8447c2dc6dd9</t>
  </si>
  <si>
    <t>2026-06-15 08:01:56</t>
  </si>
  <si>
    <t>27793213515</t>
  </si>
  <si>
    <t>14828013</t>
  </si>
  <si>
    <t>8627abb8-15e3-4cd2-ba1e-98263ea5198c</t>
  </si>
  <si>
    <t>27725990370</t>
  </si>
  <si>
    <t>14828130</t>
  </si>
  <si>
    <t>ffafd947-b3cd-45ab-a72c-dbf62d6e44cc</t>
  </si>
  <si>
    <t>2026-06-15 08:01:55</t>
  </si>
  <si>
    <t>27764359173</t>
  </si>
  <si>
    <t>14828249</t>
  </si>
  <si>
    <t>854f6df7-c786-4a09-bea2-8b1f350f9dfb</t>
  </si>
  <si>
    <t>2026-06-15 08:01:15</t>
  </si>
  <si>
    <t>27740264401</t>
  </si>
  <si>
    <t>14827975</t>
  </si>
  <si>
    <t>745ad1fa-c9df-4687-a7ba-d17f25bd7cf9</t>
  </si>
  <si>
    <t>2026-06-15 08:01:05</t>
  </si>
  <si>
    <t>27720363705</t>
  </si>
  <si>
    <t>14828102</t>
  </si>
  <si>
    <t>0c2f15c9-ec70-4a52-b395-ed4369d4a36c</t>
  </si>
  <si>
    <t>27764796684</t>
  </si>
  <si>
    <t>14828257</t>
  </si>
  <si>
    <t>4d7bea77-3e36-4c16-82b8-20b0ec090431</t>
  </si>
  <si>
    <t>27823561868</t>
  </si>
  <si>
    <t>14828406</t>
  </si>
  <si>
    <t>3551656b-dc5d-4b76-b4b1-4620c6bdde85</t>
  </si>
  <si>
    <t>27714543107</t>
  </si>
  <si>
    <t>14828244</t>
  </si>
  <si>
    <t>f2aca32f-585d-45b5-be22-44a3553b9f86</t>
  </si>
  <si>
    <t>27829343926</t>
  </si>
  <si>
    <t>2026-06-15 07:58:13</t>
  </si>
  <si>
    <t>14828081</t>
  </si>
  <si>
    <t>087bca17-a60b-4bfe-8da2-56de9ecaa6a6</t>
  </si>
  <si>
    <t>2026-06-15 07:58:12</t>
  </si>
  <si>
    <t>27764031759</t>
  </si>
  <si>
    <t>14828096</t>
  </si>
  <si>
    <t>0297950f-87f5-4ae0-b2df-fd8efb812b48</t>
  </si>
  <si>
    <t>27762539601</t>
  </si>
  <si>
    <t>14828295</t>
  </si>
  <si>
    <t>d0522f1f-a547-4ae8-9080-30dbf27fe4c2</t>
  </si>
  <si>
    <t>27637646773</t>
  </si>
  <si>
    <t>14828045</t>
  </si>
  <si>
    <t>222f1c39-bd91-464f-9d42-846dea9b10d5</t>
  </si>
  <si>
    <t>27761093931</t>
  </si>
  <si>
    <t>2026-06-15 07:57:03</t>
  </si>
  <si>
    <t>14828046</t>
  </si>
  <si>
    <t>387e0b92-409b-48db-ab13-4684ef906b9e</t>
  </si>
  <si>
    <t>27845661558</t>
  </si>
  <si>
    <t>14828263</t>
  </si>
  <si>
    <t>4822869c-bb44-4910-9dc7-bfd5555fb2f0</t>
  </si>
  <si>
    <t>27624779176</t>
  </si>
  <si>
    <t>14828175</t>
  </si>
  <si>
    <t>efa3df18-21d6-42dd-8e94-f0d667761ea9</t>
  </si>
  <si>
    <t>27794124456</t>
  </si>
  <si>
    <t>14827972</t>
  </si>
  <si>
    <t>c2711d79-50ff-4639-9e7a-48a0fdc0f057</t>
  </si>
  <si>
    <t>2026-06-15 07:55:44</t>
  </si>
  <si>
    <t>27729270352</t>
  </si>
  <si>
    <t>14828135</t>
  </si>
  <si>
    <t>e7c0decc-b756-4f82-a2dc-e6bdd03450aa</t>
  </si>
  <si>
    <t>27761621505</t>
  </si>
  <si>
    <t>14828258</t>
  </si>
  <si>
    <t>43170e05-09b5-47e1-b46a-57360e2e8deb</t>
  </si>
  <si>
    <t>27829230644</t>
  </si>
  <si>
    <t>e8317920-d312-43be-8f0c-3e06e478a281</t>
  </si>
  <si>
    <t>27606272844</t>
  </si>
  <si>
    <t>2026-06-15 07:54:58</t>
  </si>
  <si>
    <t>14828274</t>
  </si>
  <si>
    <t>08a0a65d-12b2-41a5-b6e1-1d71aa01a9c6</t>
  </si>
  <si>
    <t>2026-06-15 07:54:55</t>
  </si>
  <si>
    <t>27713440650</t>
  </si>
  <si>
    <t>14828129</t>
  </si>
  <si>
    <t>b903a450-268d-4bbc-9522-aec8c636fd1d</t>
  </si>
  <si>
    <t>2026-06-15 07:54:52</t>
  </si>
  <si>
    <t>27663982098</t>
  </si>
  <si>
    <t>14828304</t>
  </si>
  <si>
    <t>0575b97b-3435-49f5-a061-cbc45f49b3cf</t>
  </si>
  <si>
    <t>2026-06-15 07:54:48</t>
  </si>
  <si>
    <t>27716976957</t>
  </si>
  <si>
    <t>14828099</t>
  </si>
  <si>
    <t>cf88a9ea-8d4e-4437-82ba-511e781c1dfa</t>
  </si>
  <si>
    <t>2026-06-15 07:54:47</t>
  </si>
  <si>
    <t>27712906232</t>
  </si>
  <si>
    <t>14828070</t>
  </si>
  <si>
    <t>7546ba3a-1175-4a88-8ebb-bc73a3e345c7</t>
  </si>
  <si>
    <t>2026-06-15 07:54:42</t>
  </si>
  <si>
    <t>27715686376</t>
  </si>
  <si>
    <t>14828071</t>
  </si>
  <si>
    <t>05a8d933-0a13-477e-b0b6-daa817d32c18</t>
  </si>
  <si>
    <t>2026-06-15 07:54:41</t>
  </si>
  <si>
    <t>27673100973</t>
  </si>
  <si>
    <t>14828233</t>
  </si>
  <si>
    <t>b778cd47-2120-40e3-90b1-9d8884b13636</t>
  </si>
  <si>
    <t>27722936180</t>
  </si>
  <si>
    <t>14828056</t>
  </si>
  <si>
    <t>fae18bdd-c8c4-4f9b-a8de-41f10635f369</t>
  </si>
  <si>
    <t>CBACK</t>
  </si>
  <si>
    <t>Callback</t>
  </si>
  <si>
    <t>2026-06-15 07:49:14</t>
  </si>
  <si>
    <t>27716481855</t>
  </si>
  <si>
    <t>14828234</t>
  </si>
  <si>
    <t>dec253a4-7666-4a87-8a51-b4ef00a7ed48</t>
  </si>
  <si>
    <t>27663298937</t>
  </si>
  <si>
    <t>14828117</t>
  </si>
  <si>
    <t>76c00baa-90fe-4c0c-b051-33ec1313e5b0</t>
  </si>
  <si>
    <t>2026-06-15 07:48:19</t>
  </si>
  <si>
    <t>27764806937</t>
  </si>
  <si>
    <t>14828157</t>
  </si>
  <si>
    <t>923c2596-a3f8-4991-ba2b-bfb92f1300d7</t>
  </si>
  <si>
    <t>27825037547</t>
  </si>
  <si>
    <t>14828261</t>
  </si>
  <si>
    <t>5335656c-8200-4f3d-b2a6-35e61be74f93</t>
  </si>
  <si>
    <t>27799218337</t>
  </si>
  <si>
    <t>14828309</t>
  </si>
  <si>
    <t>feecd3d5-82c5-4a0b-8c41-7f58b8b92504</t>
  </si>
  <si>
    <t>2026-06-15 07:47:56</t>
  </si>
  <si>
    <t>27720328171</t>
  </si>
  <si>
    <t>14828087</t>
  </si>
  <si>
    <t>86973915-c928-4930-886e-0c8c7f5a2ee6</t>
  </si>
  <si>
    <t>2026-06-15 07:47:45</t>
  </si>
  <si>
    <t>27674566430</t>
  </si>
  <si>
    <t>14828088</t>
  </si>
  <si>
    <t>dd9e3363-bfaa-4135-b58d-e46b33e207e5</t>
  </si>
  <si>
    <t>27714110500</t>
  </si>
  <si>
    <t>14828287</t>
  </si>
  <si>
    <t>b166d9c6-bb28-4708-94b0-730b04ff8302</t>
  </si>
  <si>
    <t>27795765425</t>
  </si>
  <si>
    <t>14828243</t>
  </si>
  <si>
    <t>fae1710f-19e9-4d3a-937a-b9b696d0397d</t>
  </si>
  <si>
    <t>27798816115</t>
  </si>
  <si>
    <t>2026-06-15 07:47:44</t>
  </si>
  <si>
    <t>14828227</t>
  </si>
  <si>
    <t>b33acfff-f5d9-49fb-b231-3aa66ae29c73</t>
  </si>
  <si>
    <t>2026-06-15 07:46:31</t>
  </si>
  <si>
    <t>27636257663</t>
  </si>
  <si>
    <t>14828418</t>
  </si>
  <si>
    <t>4661e8c4-012f-4b13-a221-380248d3cb1a</t>
  </si>
  <si>
    <t>2026-06-15 07:46:28</t>
  </si>
  <si>
    <t>27648818333</t>
  </si>
  <si>
    <t>14828290</t>
  </si>
  <si>
    <t>e19e1bc4-1404-40ac-9b61-62eef11c60c3</t>
  </si>
  <si>
    <t>2026-06-15 07:46:24</t>
  </si>
  <si>
    <t>27716506313</t>
  </si>
  <si>
    <t>14828276</t>
  </si>
  <si>
    <t>636c6be6-efd8-454f-b3d2-6cdde3e0a117</t>
  </si>
  <si>
    <t>2026-06-15 07:46:13</t>
  </si>
  <si>
    <t>27712480824</t>
  </si>
  <si>
    <t>14828189</t>
  </si>
  <si>
    <t>daf426a2-5c03-4614-b499-8d92d94ab569</t>
  </si>
  <si>
    <t>27764686588</t>
  </si>
  <si>
    <t>2026-06-15 07:46:12</t>
  </si>
  <si>
    <t>14828162</t>
  </si>
  <si>
    <t>6182d156-ddeb-47db-bedd-453a55fc04c7</t>
  </si>
  <si>
    <t>2026-06-15 07:46:04</t>
  </si>
  <si>
    <t>27724144393</t>
  </si>
  <si>
    <t>14828327</t>
  </si>
  <si>
    <t>284b71c6-3bc3-41b0-bf08-d57bce6698ca</t>
  </si>
  <si>
    <t>2026-06-15 07:45:59</t>
  </si>
  <si>
    <t>27764290953</t>
  </si>
  <si>
    <t>14828291</t>
  </si>
  <si>
    <t>a7273232-0157-42fd-98e9-bb14cbe9fa29</t>
  </si>
  <si>
    <t>27769211674</t>
  </si>
  <si>
    <t>2026-06-15 07:45:51</t>
  </si>
  <si>
    <t>14828105</t>
  </si>
  <si>
    <t>570411e6-10b2-4a2a-b8ac-5372e8b9e18f</t>
  </si>
  <si>
    <t>27608238138</t>
  </si>
  <si>
    <t>14828108</t>
  </si>
  <si>
    <t>3eff9dfd-0332-46e4-9a91-98f0e04b5f05</t>
  </si>
  <si>
    <t>27648186790</t>
  </si>
  <si>
    <t>14828254</t>
  </si>
  <si>
    <t>6e35a76a-5fa9-4f9a-9bd3-bd2296ee34b7</t>
  </si>
  <si>
    <t>27720555629</t>
  </si>
  <si>
    <t>14828440</t>
  </si>
  <si>
    <t>ee7a25d4-6162-451c-8f5a-4af6c3790ca1</t>
  </si>
  <si>
    <t>27721883008</t>
  </si>
  <si>
    <t>2026-06-15 07:45:17</t>
  </si>
  <si>
    <t>14828280</t>
  </si>
  <si>
    <t>330be365-0e07-47ad-af7a-4ead3fe45938</t>
  </si>
  <si>
    <t>2026-06-15 07:42:27</t>
  </si>
  <si>
    <t>27763112454</t>
  </si>
  <si>
    <t>14828337</t>
  </si>
  <si>
    <t>2cc841f8-7da0-4b89-8ab1-810ed5d55ecf</t>
  </si>
  <si>
    <t>27798520130</t>
  </si>
  <si>
    <t>14828228</t>
  </si>
  <si>
    <t>44a8b4df-63bb-4578-a595-7a31a981d812</t>
  </si>
  <si>
    <t>27663650688</t>
  </si>
  <si>
    <t>14828177</t>
  </si>
  <si>
    <t>a1900706-3d47-4ea5-ac99-ce648e621212</t>
  </si>
  <si>
    <t>27793389647</t>
  </si>
  <si>
    <t>2026-06-15 07:42:26</t>
  </si>
  <si>
    <t>14828122</t>
  </si>
  <si>
    <t>178c5f21-bd2b-4ab2-b382-5b4d38116bc4</t>
  </si>
  <si>
    <t>27796362305</t>
  </si>
  <si>
    <t>2026-06-15 07:40:47</t>
  </si>
  <si>
    <t>14827974</t>
  </si>
  <si>
    <t>22657d10-bc95-4880-bc2b-b40df87fc818</t>
  </si>
  <si>
    <t>27674428214</t>
  </si>
  <si>
    <t>2026-06-15 07:40:00</t>
  </si>
  <si>
    <t>14828301</t>
  </si>
  <si>
    <t>e8d41ea7-1eb3-4e6c-b10d-99177688110b</t>
  </si>
  <si>
    <t>27793655960</t>
  </si>
  <si>
    <t>14828125</t>
  </si>
  <si>
    <t>754b70d7-8719-4fe0-b502-9941e85a0908</t>
  </si>
  <si>
    <t>27713975809</t>
  </si>
  <si>
    <t>00e53825-9ab4-4b6b-85c8-d4d9cde95c64</t>
  </si>
  <si>
    <t>2026-06-15 07:35:58</t>
  </si>
  <si>
    <t>27727992491</t>
  </si>
  <si>
    <t>14828271</t>
  </si>
  <si>
    <t>a03807d1-a211-4616-8f39-2b36094bfd30</t>
  </si>
  <si>
    <t>27637610697</t>
  </si>
  <si>
    <t>14828395</t>
  </si>
  <si>
    <t>1ab9e10a-76c3-450a-8ca3-e44559c6404f</t>
  </si>
  <si>
    <t>27636309216</t>
  </si>
  <si>
    <t>14828270</t>
  </si>
  <si>
    <t>b0024ea0-f92b-4a83-92be-996d9a4a5708</t>
  </si>
  <si>
    <t>2026-06-15 07:35:57</t>
  </si>
  <si>
    <t>27767547704</t>
  </si>
  <si>
    <t>14828350</t>
  </si>
  <si>
    <t>6e4b0938-432a-4565-81b0-792891ff608d</t>
  </si>
  <si>
    <t>27766052420</t>
  </si>
  <si>
    <t>2026-06-15 07:30:59</t>
  </si>
  <si>
    <t>14828151</t>
  </si>
  <si>
    <t>1ea08df0-1c42-4d89-a9ae-7332d977c6a5</t>
  </si>
  <si>
    <t>27725006495</t>
  </si>
  <si>
    <t>2026-06-15 07:28:48</t>
  </si>
  <si>
    <t>14828179</t>
  </si>
  <si>
    <t>f4e0ae48-247c-45be-93c0-08f35ce5f51c</t>
  </si>
  <si>
    <t>27725792846</t>
  </si>
  <si>
    <t>2026-06-15 07:28:11</t>
  </si>
  <si>
    <t>14828305</t>
  </si>
  <si>
    <t>2f96f3dc-56fb-4f21-b84e-973544581105</t>
  </si>
  <si>
    <t>2026-06-15 07:27:47</t>
  </si>
  <si>
    <t>27795479346</t>
  </si>
  <si>
    <t>14828153</t>
  </si>
  <si>
    <t>9c67c0a6-0ad7-4455-826d-5dbaddebdd0b</t>
  </si>
  <si>
    <t>27673983058</t>
  </si>
  <si>
    <t>14828383</t>
  </si>
  <si>
    <t>67f1b943-d3f5-4569-824b-5b59b895879c</t>
  </si>
  <si>
    <t>27724533476</t>
  </si>
  <si>
    <t>2026-06-15 07:27:46</t>
  </si>
  <si>
    <t>14828171</t>
  </si>
  <si>
    <t>238fef67-7700-4253-8239-879195ed45b6</t>
  </si>
  <si>
    <t>27837580642</t>
  </si>
  <si>
    <t>2026-06-15 07:27:34</t>
  </si>
  <si>
    <t>14828232</t>
  </si>
  <si>
    <t>39ba9652-933f-4a94-b1fb-f43a34b76eab</t>
  </si>
  <si>
    <t>27722087093</t>
  </si>
  <si>
    <t>2026-06-15 07:19:44</t>
  </si>
  <si>
    <t>14828294</t>
  </si>
  <si>
    <t>f00ed500-adad-4270-a6f0-921c72148883</t>
  </si>
  <si>
    <t>2026-06-15 07:19:25</t>
  </si>
  <si>
    <t>27825982164</t>
  </si>
  <si>
    <t>14828246</t>
  </si>
  <si>
    <t>f6fe80dd-3e4a-44f0-bdc9-6a976b9cbfa6</t>
  </si>
  <si>
    <t>27794476815</t>
  </si>
  <si>
    <t>14828355</t>
  </si>
  <si>
    <t>72661d2e-4d59-4d0d-82ca-2090b3086580</t>
  </si>
  <si>
    <t>2026-06-15 07:18:38</t>
  </si>
  <si>
    <t>27721465628</t>
  </si>
  <si>
    <t>14828310</t>
  </si>
  <si>
    <t>4b9630ad-2adb-4c6a-bc75-14d39c653af2</t>
  </si>
  <si>
    <t>2026-06-15 07:18:36</t>
  </si>
  <si>
    <t>27729916179</t>
  </si>
  <si>
    <t>14828172</t>
  </si>
  <si>
    <t>49b469c7-2958-4cf9-801d-261ce9329dbe</t>
  </si>
  <si>
    <t>27609355705</t>
  </si>
  <si>
    <t>2026-06-15 07:18:35</t>
  </si>
  <si>
    <t>14828236</t>
  </si>
  <si>
    <t>2489613c-6035-4950-a37e-73db346cc74e</t>
  </si>
  <si>
    <t>2026-06-15 07:17:31</t>
  </si>
  <si>
    <t>27724201670</t>
  </si>
  <si>
    <t>14828076</t>
  </si>
  <si>
    <t>ac2aa06a-3899-41fe-a011-35383b7a5a4a</t>
  </si>
  <si>
    <t>27792716193</t>
  </si>
  <si>
    <t>2026-06-15 07:17:29</t>
  </si>
  <si>
    <t>14828183</t>
  </si>
  <si>
    <t>bce76257-a713-4f5a-bc77-bb32f066360a</t>
  </si>
  <si>
    <t>2026-06-15 07:17:16</t>
  </si>
  <si>
    <t>27763476392</t>
  </si>
  <si>
    <t>14828325</t>
  </si>
  <si>
    <t>7b5e6bea-09d2-4c89-82dd-29cfd41d2afb</t>
  </si>
  <si>
    <t>27769391313</t>
  </si>
  <si>
    <t>14828364</t>
  </si>
  <si>
    <t>bc97be38-d0ed-4b12-9d01-cbbb9aba4bc1</t>
  </si>
  <si>
    <t>2026-06-15 07:17:15</t>
  </si>
  <si>
    <t>27825341443</t>
  </si>
  <si>
    <t>14828323</t>
  </si>
  <si>
    <t>a50911f1-0a5f-4002-9172-a4fc23daf8fe</t>
  </si>
  <si>
    <t>2026-06-15 07:15:30</t>
  </si>
  <si>
    <t>27822970583</t>
  </si>
  <si>
    <t>14827984</t>
  </si>
  <si>
    <t>37a7d174-fc6f-4d89-b413-feb5564e1807</t>
  </si>
  <si>
    <t>U</t>
  </si>
  <si>
    <t>Unemployed</t>
  </si>
  <si>
    <t>2026-06-15 07:15:10</t>
  </si>
  <si>
    <t>27799410784</t>
  </si>
  <si>
    <t>14828266</t>
  </si>
  <si>
    <t>1d207b53-ae6b-47e9-86e3-cd1debc12fdd</t>
  </si>
  <si>
    <t>2026-06-15 07:14:56</t>
  </si>
  <si>
    <t>27818829673</t>
  </si>
  <si>
    <t>14828439</t>
  </si>
  <si>
    <t>6d71709b-de7a-4b91-a07a-0abe461f6469</t>
  </si>
  <si>
    <t>2026-06-15 07:14:35</t>
  </si>
  <si>
    <t>27720414591</t>
  </si>
  <si>
    <t>14828345</t>
  </si>
  <si>
    <t>866285e7-fc4c-4e5e-b5f0-000fed529169</t>
  </si>
  <si>
    <t>2026-06-15 07:14:33</t>
  </si>
  <si>
    <t>27729487777</t>
  </si>
  <si>
    <t>14828260</t>
  </si>
  <si>
    <t>6a4b181d-bba2-4f26-a07d-4ce891f4ae68</t>
  </si>
  <si>
    <t>27795008794</t>
  </si>
  <si>
    <t>14828312</t>
  </si>
  <si>
    <t>8849c716-9461-42fd-a5fc-c45472e02904</t>
  </si>
  <si>
    <t>27766684009</t>
  </si>
  <si>
    <t>2026-06-15 07:14:23</t>
  </si>
  <si>
    <t>14828250</t>
  </si>
  <si>
    <t>44339de1-05dd-47ac-bdbe-7810722bee58</t>
  </si>
  <si>
    <t>2026-06-15 07:14:21</t>
  </si>
  <si>
    <t>27760405493</t>
  </si>
  <si>
    <t>14828346</t>
  </si>
  <si>
    <t>839cc5a0-880d-4e34-a128-7621f2732c3c</t>
  </si>
  <si>
    <t>27726240672</t>
  </si>
  <si>
    <t>2026-06-15 07:14:01</t>
  </si>
  <si>
    <t>14828229</t>
  </si>
  <si>
    <t>265ccf3a-f86d-468b-9e4b-fa5cad4af494</t>
  </si>
  <si>
    <t>27609352664</t>
  </si>
  <si>
    <t>14828230</t>
  </si>
  <si>
    <t>dd1907d5-5dff-4d91-a17c-bcaea6ca37eb</t>
  </si>
  <si>
    <t>27729672427</t>
  </si>
  <si>
    <t>14828369</t>
  </si>
  <si>
    <t>595a1cfe-461e-447f-b248-d7462b6fa9dc</t>
  </si>
  <si>
    <t>27673612865</t>
  </si>
  <si>
    <t>14827944</t>
  </si>
  <si>
    <t>6814c912-4e65-4f1a-91b4-3b1f91e52f05</t>
  </si>
  <si>
    <t>27670762521</t>
  </si>
  <si>
    <t>2026-06-15 07:13:00</t>
  </si>
  <si>
    <t>14828275</t>
  </si>
  <si>
    <t>bcc8c648-e979-4579-8949-a6cce0a2bdf3</t>
  </si>
  <si>
    <t>2026-06-15 07:12:52</t>
  </si>
  <si>
    <t>27711301379</t>
  </si>
  <si>
    <t>14828331</t>
  </si>
  <si>
    <t>4302da5c-add3-4a53-87ba-c1e8912ecd3b</t>
  </si>
  <si>
    <t>2026-06-15 07:12:49</t>
  </si>
  <si>
    <t>27766605565</t>
  </si>
  <si>
    <t>14828352</t>
  </si>
  <si>
    <t>9145d43f-3bc3-4c5c-aeb5-2141a4444523</t>
  </si>
  <si>
    <t>27791800043</t>
  </si>
  <si>
    <t>14828272</t>
  </si>
  <si>
    <t>8ef998fb-9b55-45a5-960c-afc4ed134a74</t>
  </si>
  <si>
    <t>27726572944</t>
  </si>
  <si>
    <t>14828444</t>
  </si>
  <si>
    <t>64035048-af86-4a9e-a382-282450f2bc44</t>
  </si>
  <si>
    <t>27791628458</t>
  </si>
  <si>
    <t>14828259</t>
  </si>
  <si>
    <t>d11af917-7eba-43db-9c18-a11f9a05c04f</t>
  </si>
  <si>
    <t>2026-06-15 07:12:07</t>
  </si>
  <si>
    <t>27792133984</t>
  </si>
  <si>
    <t>14828353</t>
  </si>
  <si>
    <t>aa462653-760a-46f2-8a39-9b1fe4657807</t>
  </si>
  <si>
    <t>2026-06-15 07:12:05</t>
  </si>
  <si>
    <t>27636303222</t>
  </si>
  <si>
    <t>14828240</t>
  </si>
  <si>
    <t>a8129589-342b-42a6-a2fc-55d1e35ba0c8</t>
  </si>
  <si>
    <t>27790571400</t>
  </si>
  <si>
    <t>14828242</t>
  </si>
  <si>
    <t>3184c1ec-b17b-4197-b170-2c44b9c6d0ed</t>
  </si>
  <si>
    <t>27712574935</t>
  </si>
  <si>
    <t>2026-06-15 07:12:04</t>
  </si>
  <si>
    <t>14828368</t>
  </si>
  <si>
    <t>c733daef-cbe6-48f9-a4f4-7d5f0abf8c21</t>
  </si>
  <si>
    <t>2026-06-15 07:11:10</t>
  </si>
  <si>
    <t>27818047877</t>
  </si>
  <si>
    <t>14828269</t>
  </si>
  <si>
    <t>e3f25cf5-d7bd-44ff-bdd4-3cc07a5060c8</t>
  </si>
  <si>
    <t>27673130438</t>
  </si>
  <si>
    <t>14828428</t>
  </si>
  <si>
    <t>d1a9bdd2-6f9e-483d-b18f-6c2e977484c1</t>
  </si>
  <si>
    <t>27729678306</t>
  </si>
  <si>
    <t>14828432</t>
  </si>
  <si>
    <t>22b6d5da-e818-4251-87b6-95b2d406b8f5</t>
  </si>
  <si>
    <t>27674981226</t>
  </si>
  <si>
    <t>14828021</t>
  </si>
  <si>
    <t>37620113-43ef-4245-8af4-b3033641dc85</t>
  </si>
  <si>
    <t>2026-06-15 07:10:08</t>
  </si>
  <si>
    <t>27720503978</t>
  </si>
  <si>
    <t>14828315</t>
  </si>
  <si>
    <t>0f4f125d-2334-4407-87f0-72ca1c6fae60</t>
  </si>
  <si>
    <t>2026-06-15 07:10:06</t>
  </si>
  <si>
    <t>27646114867</t>
  </si>
  <si>
    <t>14828396</t>
  </si>
  <si>
    <t>59ef3684-a87a-4710-93b6-d2a419b4f44d</t>
  </si>
  <si>
    <t>27713890712</t>
  </si>
  <si>
    <t>14828498</t>
  </si>
  <si>
    <t>ba901dfb-f509-4a2d-8482-95463dc3087a</t>
  </si>
  <si>
    <t>27723362453</t>
  </si>
  <si>
    <t>14828282</t>
  </si>
  <si>
    <t>15d815b0-e88d-45bc-ad3a-9fa8913a0a8d</t>
  </si>
  <si>
    <t>2026-06-15 07:10:05</t>
  </si>
  <si>
    <t>27675370537</t>
  </si>
  <si>
    <t>14828283</t>
  </si>
  <si>
    <t>2251d1c3-4b48-40d9-bbd1-d0edae1109d2</t>
  </si>
  <si>
    <t>27765795543</t>
  </si>
  <si>
    <t>14828284</t>
  </si>
  <si>
    <t>c65abee0-e839-4625-aaa0-fac3c0a344f8</t>
  </si>
  <si>
    <t>27664228526</t>
  </si>
  <si>
    <t>14828365</t>
  </si>
  <si>
    <t>185a019f-42db-47c8-9a5b-adb09b5f637d</t>
  </si>
  <si>
    <t>2026-06-15 07:10:01</t>
  </si>
  <si>
    <t>27636733652</t>
  </si>
  <si>
    <t>14828297</t>
  </si>
  <si>
    <t>028eb5bb-5c61-424c-9d21-5f49d1a61bb4</t>
  </si>
  <si>
    <t>27727268393</t>
  </si>
  <si>
    <t>2026-06-15 07:09:55</t>
  </si>
  <si>
    <t>1e4092c2-1eb9-48ca-9678-9c09ee2cbb78</t>
  </si>
  <si>
    <t>27720702583</t>
  </si>
  <si>
    <t>2026-06-15 07:09:50</t>
  </si>
  <si>
    <t>14828292</t>
  </si>
  <si>
    <t>97494ee6-2155-412b-8763-8888068d5141</t>
  </si>
  <si>
    <t>2026-06-15 07:09:49</t>
  </si>
  <si>
    <t>27793464318</t>
  </si>
  <si>
    <t>14828264</t>
  </si>
  <si>
    <t>34016bf3-e670-423a-99ea-856875117b1d</t>
  </si>
  <si>
    <t>27607868963</t>
  </si>
  <si>
    <t>14828496</t>
  </si>
  <si>
    <t>b77df79b-d516-4194-9d93-a742ed6d16af</t>
  </si>
  <si>
    <t>27795774678</t>
  </si>
  <si>
    <t>7987e607-53dc-4dcf-b93e-357cc2486e32</t>
  </si>
  <si>
    <t>2026-06-15 07:08:07</t>
  </si>
  <si>
    <t>27721050581</t>
  </si>
  <si>
    <t>14828328</t>
  </si>
  <si>
    <t>b72b2816-307a-483d-88b9-5ed2266f2af3</t>
  </si>
  <si>
    <t>2026-06-15 07:08:04</t>
  </si>
  <si>
    <t>27793890257</t>
  </si>
  <si>
    <t>14828363</t>
  </si>
  <si>
    <t>1f9e9833-7b52-47cb-a696-86d74e7ded9d</t>
  </si>
  <si>
    <t>27824474936</t>
  </si>
  <si>
    <t>14828370</t>
  </si>
  <si>
    <t>a5cfaf93-4a49-4986-ac47-4c2576734130</t>
  </si>
  <si>
    <t>27711256201</t>
  </si>
  <si>
    <t>14828393</t>
  </si>
  <si>
    <t>a76dbe12-429d-4958-8529-db1ef6b04b99</t>
  </si>
  <si>
    <t>27728028379</t>
  </si>
  <si>
    <t>2026-06-15 07:07:34</t>
  </si>
  <si>
    <t>e0918101-cfa6-47e0-8e7a-0765bcdaf489</t>
  </si>
  <si>
    <t>2026-06-15 07:07:31</t>
  </si>
  <si>
    <t>27823947904</t>
  </si>
  <si>
    <t>14828430</t>
  </si>
  <si>
    <t>a6cca23b-f57d-4fe9-bee8-cb7ae8bd24c0</t>
  </si>
  <si>
    <t>2026-06-15 07:07:28</t>
  </si>
  <si>
    <t>27824284030</t>
  </si>
  <si>
    <t>14827963</t>
  </si>
  <si>
    <t>0dee5e83-8ca0-4683-adb6-1446e6c7af71</t>
  </si>
  <si>
    <t>2026-06-15 07:07:25</t>
  </si>
  <si>
    <t>27729685310</t>
  </si>
  <si>
    <t>14828349</t>
  </si>
  <si>
    <t>f4707586-c909-4c23-9578-a373ace2a738</t>
  </si>
  <si>
    <t>27729213006</t>
  </si>
  <si>
    <t>14828464</t>
  </si>
  <si>
    <t>b500bc07-3116-44dc-ba2c-102e68ad9035</t>
  </si>
  <si>
    <t>27793841912</t>
  </si>
  <si>
    <t>14827710</t>
  </si>
  <si>
    <t>da001df8-c0ba-4762-bc04-17f4479d49a1</t>
  </si>
  <si>
    <t>27792475678</t>
  </si>
  <si>
    <t>14828380</t>
  </si>
  <si>
    <t>28d3ca55-39bd-4319-9497-9e6c5eefce2d</t>
  </si>
  <si>
    <t>27728911367</t>
  </si>
  <si>
    <t>2026-06-15 07:06:58</t>
  </si>
  <si>
    <t>14828306</t>
  </si>
  <si>
    <t>4e8ccb1b-f012-4315-bb13-4f84db22ad2d</t>
  </si>
  <si>
    <t>27824722131</t>
  </si>
  <si>
    <t>2026-06-15 07:06:39</t>
  </si>
  <si>
    <t>14827976</t>
  </si>
  <si>
    <t>1c0e2158-3bdf-4437-b7b0-d945b30927d0</t>
  </si>
  <si>
    <t>27726423723</t>
  </si>
  <si>
    <t>2026-06-15 07:06:28</t>
  </si>
  <si>
    <t>14828308</t>
  </si>
  <si>
    <t>af191df9-6d4d-45e0-8299-2dd40646aa95</t>
  </si>
  <si>
    <t>27714357790</t>
  </si>
  <si>
    <t>14828324</t>
  </si>
  <si>
    <t>6fed08c3-531d-436c-b2b3-ff0d4b358c57</t>
  </si>
  <si>
    <t>27726016136</t>
  </si>
  <si>
    <t>14828384</t>
  </si>
  <si>
    <t>2ad39156-be09-4869-bce4-e9093ea8643a</t>
  </si>
  <si>
    <t>27762390619</t>
  </si>
  <si>
    <t>14828285</t>
  </si>
  <si>
    <t>befbe358-f557-404e-b6f8-a4fafab1f261</t>
  </si>
  <si>
    <t>2026-06-15 07:05:54</t>
  </si>
  <si>
    <t>27767689836</t>
  </si>
  <si>
    <t>14828316</t>
  </si>
  <si>
    <t>6b1b6687-1f47-4afe-bc4d-f8b8e94133cc</t>
  </si>
  <si>
    <t>27660560254</t>
  </si>
  <si>
    <t>14828522</t>
  </si>
  <si>
    <t>26038f33-ddfb-48cd-b608-14f9f4d52a00</t>
  </si>
  <si>
    <t>27827006971</t>
  </si>
  <si>
    <t>14828286</t>
  </si>
  <si>
    <t>e9fd4fe5-f63d-4cdc-97a8-bfeee656e613</t>
  </si>
  <si>
    <t>2026-06-15 07:05:10</t>
  </si>
  <si>
    <t>27794796825</t>
  </si>
  <si>
    <t>14828319</t>
  </si>
  <si>
    <t>4048a675-17b2-4f3d-a96e-aa1ec8fcb10d</t>
  </si>
  <si>
    <t>2026-06-15 07:05:04</t>
  </si>
  <si>
    <t>27713058360</t>
  </si>
  <si>
    <t>14828320</t>
  </si>
  <si>
    <t>34abd712-69d0-4f0f-af8c-bc1d366d8e10</t>
  </si>
  <si>
    <t>27723908355</t>
  </si>
  <si>
    <t>2026-06-15 07:05:01</t>
  </si>
  <si>
    <t>14828322</t>
  </si>
  <si>
    <t>c0d62a59-a23b-468d-8a59-9d4db6c89dea</t>
  </si>
  <si>
    <t>27712550226</t>
  </si>
  <si>
    <t>14828340</t>
  </si>
  <si>
    <t>4f6bc344-134e-4647-a558-6724882ba928</t>
  </si>
  <si>
    <t>27606969113</t>
  </si>
  <si>
    <t>14828394</t>
  </si>
  <si>
    <t>f6e12474-477b-40b6-a997-eb5931741e55</t>
  </si>
  <si>
    <t>27798966614</t>
  </si>
  <si>
    <t>14828462</t>
  </si>
  <si>
    <t>df768179-04b7-4cbb-8b92-aea414df593e</t>
  </si>
  <si>
    <t>27765004064</t>
  </si>
  <si>
    <t>2026-06-15 07:04:31</t>
  </si>
  <si>
    <t>14828298</t>
  </si>
  <si>
    <t>f365eea7-9950-4235-a630-219647da165e</t>
  </si>
  <si>
    <t>27765628908</t>
  </si>
  <si>
    <t>2026-06-15 07:04:05</t>
  </si>
  <si>
    <t>08e4606e-39fb-4673-9df5-7b23da587925</t>
  </si>
  <si>
    <t>2026-06-15 07:03:18</t>
  </si>
  <si>
    <t>27609377108</t>
  </si>
  <si>
    <t>14828360</t>
  </si>
  <si>
    <t>42d703e2-13b3-4c23-848c-85004324103c</t>
  </si>
  <si>
    <t>27797723822</t>
  </si>
  <si>
    <t>2026-06-15 07:03:14</t>
  </si>
  <si>
    <t>14828457</t>
  </si>
  <si>
    <t>4eccad69-8943-480d-aac9-a56138babc05</t>
  </si>
  <si>
    <t>27761646140</t>
  </si>
  <si>
    <t>2026-06-15 07:02:56</t>
  </si>
  <si>
    <t>14828330</t>
  </si>
  <si>
    <t>236f7b2f-0bc7-4906-ae1e-6809d7a17653</t>
  </si>
  <si>
    <t>27724497159</t>
  </si>
  <si>
    <t>2026-06-15 07:02:18</t>
  </si>
  <si>
    <t>14828300</t>
  </si>
  <si>
    <t>cc00dbca-6ffe-43fc-a14e-0854ffa0f9ce</t>
  </si>
  <si>
    <t>2026-06-15 07:02:17</t>
  </si>
  <si>
    <t>27792436478</t>
  </si>
  <si>
    <t>14828366</t>
  </si>
  <si>
    <t>bfef1f30-f51d-4748-989b-7c0620acac27</t>
  </si>
  <si>
    <t>2026-06-15 07:02:14</t>
  </si>
  <si>
    <t>27716147220</t>
  </si>
  <si>
    <t>14828391</t>
  </si>
  <si>
    <t>16a1cbe8-27c1-4bad-85fd-65a523104f4f</t>
  </si>
  <si>
    <t>27727023785</t>
  </si>
  <si>
    <t>14828413</t>
  </si>
  <si>
    <t>e18f0c4c-49bf-4a5b-8d21-72e9ddded397</t>
  </si>
  <si>
    <t>27825596533</t>
  </si>
  <si>
    <t>14828359</t>
  </si>
  <si>
    <t>dc9c8120-7da6-4687-854b-091f08f4d72b</t>
  </si>
  <si>
    <t>27795592657</t>
  </si>
  <si>
    <t>2026-06-15 07:01:59</t>
  </si>
  <si>
    <t>14828441</t>
  </si>
  <si>
    <t>7b1f2de2-7aae-486c-8777-7c9a446311ed</t>
  </si>
  <si>
    <t>2026-06-15 07:00:49</t>
  </si>
  <si>
    <t>27721896730</t>
  </si>
  <si>
    <t>14828341</t>
  </si>
  <si>
    <t>cae521dc-5614-4159-b44a-4f223970538b</t>
  </si>
  <si>
    <t>2026-06-15 07:00:46</t>
  </si>
  <si>
    <t>27792162349</t>
  </si>
  <si>
    <t>14828342</t>
  </si>
  <si>
    <t>7805ca6c-d87d-4eab-b5a7-b5a10d95c3ff</t>
  </si>
  <si>
    <t>2026-06-15 07:00:40</t>
  </si>
  <si>
    <t>27636531643</t>
  </si>
  <si>
    <t>14828343</t>
  </si>
  <si>
    <t>4bbd7175-6840-4da8-b007-5cfe9f664c87</t>
  </si>
  <si>
    <t>2026-06-15 07:00:26</t>
  </si>
  <si>
    <t>27720736435</t>
  </si>
  <si>
    <t>14827646</t>
  </si>
  <si>
    <t>6fca127e-f65c-4740-a4d7-1f9d275e251a</t>
  </si>
  <si>
    <t>27767117320</t>
  </si>
  <si>
    <t>2026-06-15 06:59:53</t>
  </si>
  <si>
    <t>14828075</t>
  </si>
  <si>
    <t>e1fccd53-44cb-4c33-b649-1f35fd81f57f</t>
  </si>
  <si>
    <t>2026-06-15 06:59:49</t>
  </si>
  <si>
    <t>27764832393</t>
  </si>
  <si>
    <t>14828407</t>
  </si>
  <si>
    <t>21c14495-bb51-4304-92df-3fc4c2b37b0b</t>
  </si>
  <si>
    <t>27721017392</t>
  </si>
  <si>
    <t>14827637</t>
  </si>
  <si>
    <t>cdcdd09b-37d4-454a-ae47-b7cf639d4af5</t>
  </si>
  <si>
    <t>27647823121</t>
  </si>
  <si>
    <t>14828354</t>
  </si>
  <si>
    <t>8753f864-b562-4cd5-89c5-39d628469bc6</t>
  </si>
  <si>
    <t>2026-06-15 06:59:26</t>
  </si>
  <si>
    <t>27674317605</t>
  </si>
  <si>
    <t>14828317</t>
  </si>
  <si>
    <t>fb13e2f0-e576-4507-8661-350aae435452</t>
  </si>
  <si>
    <t>27661032768</t>
  </si>
  <si>
    <t>2026-06-15 06:59:11</t>
  </si>
  <si>
    <t>14828318</t>
  </si>
  <si>
    <t>850bb676-dd3b-468e-a17b-ff2255dd73d1</t>
  </si>
  <si>
    <t>27798087175</t>
  </si>
  <si>
    <t>14828425</t>
  </si>
  <si>
    <t>933345cd-3b93-4b05-ad38-2de228490fff</t>
  </si>
  <si>
    <t>2026-06-15 06:59:10</t>
  </si>
  <si>
    <t>27721574388</t>
  </si>
  <si>
    <t>14828351</t>
  </si>
  <si>
    <t>b4ba8076-2320-4b90-8dd2-5b07578a36c7</t>
  </si>
  <si>
    <t>2026-06-15 06:58:19</t>
  </si>
  <si>
    <t>27766037295</t>
  </si>
  <si>
    <t>14828381</t>
  </si>
  <si>
    <t>b06b437d-93df-4e9b-96c8-868293d0c56b</t>
  </si>
  <si>
    <t>27636673381</t>
  </si>
  <si>
    <t>14828335</t>
  </si>
  <si>
    <t>78a71d9a-ca4d-4921-9de8-2e4c3770b1f6</t>
  </si>
  <si>
    <t>2026-06-15 06:58:11</t>
  </si>
  <si>
    <t>27764155726</t>
  </si>
  <si>
    <t>14828387</t>
  </si>
  <si>
    <t>91faa7a2-eb53-4d72-a0bc-cef0c1088a5d</t>
  </si>
  <si>
    <t>27608315995</t>
  </si>
  <si>
    <t>14828397</t>
  </si>
  <si>
    <t>8318459c-2ccb-4ce2-802b-7d2df6ac94bc</t>
  </si>
  <si>
    <t>27797324508</t>
  </si>
  <si>
    <t>14828062</t>
  </si>
  <si>
    <t>3a3f27dc-f07e-4d12-894d-2c1186a39576</t>
  </si>
  <si>
    <t>2026-06-15 06:57:19</t>
  </si>
  <si>
    <t>27665408533</t>
  </si>
  <si>
    <t>14828533</t>
  </si>
  <si>
    <t>aa16172f-c20a-4c55-9bd1-44a9e9eb995e</t>
  </si>
  <si>
    <t>2026-06-15 06:57:16</t>
  </si>
  <si>
    <t>27768499141</t>
  </si>
  <si>
    <t>14828433</t>
  </si>
  <si>
    <t>b95a1793-e68a-4384-bb26-ade7841c4468</t>
  </si>
  <si>
    <t>2026-06-15 06:57:14</t>
  </si>
  <si>
    <t>27715229892</t>
  </si>
  <si>
    <t>14828361</t>
  </si>
  <si>
    <t>3cdb9b9a-3bcf-4d90-9b87-d7081eda1cb1</t>
  </si>
  <si>
    <t>27714580584</t>
  </si>
  <si>
    <t>2026-06-15 06:57:13</t>
  </si>
  <si>
    <t>14827584</t>
  </si>
  <si>
    <t>85bc5271-05d7-49f3-b04d-8a1a6d6ed3bd</t>
  </si>
  <si>
    <t>2026-06-15 06:56:31</t>
  </si>
  <si>
    <t>27798507928</t>
  </si>
  <si>
    <t>14828411</t>
  </si>
  <si>
    <t>1f3006ea-b13e-4a94-94bc-f638c3f68454</t>
  </si>
  <si>
    <t>2026-06-15 06:56:18</t>
  </si>
  <si>
    <t>27768982428</t>
  </si>
  <si>
    <t>14828356</t>
  </si>
  <si>
    <t>cd631eae-afa1-4adc-a5cd-d5f19c346560</t>
  </si>
  <si>
    <t>2026-06-15 06:56:13</t>
  </si>
  <si>
    <t>27790683326</t>
  </si>
  <si>
    <t>14827543</t>
  </si>
  <si>
    <t>1a454158-322a-4808-a130-bee976e8d44f</t>
  </si>
  <si>
    <t>2026-06-15 06:56:09</t>
  </si>
  <si>
    <t>27829647727</t>
  </si>
  <si>
    <t>14828463</t>
  </si>
  <si>
    <t>f54df726-343c-49af-a84a-4056458da912</t>
  </si>
  <si>
    <t>2026-06-15 06:55:49</t>
  </si>
  <si>
    <t>27780413981</t>
  </si>
  <si>
    <t>14828142</t>
  </si>
  <si>
    <t>982141e8-4ad8-48c6-a30f-4398d0389144</t>
  </si>
  <si>
    <t>2026-06-15 06:55:40</t>
  </si>
  <si>
    <t>27828764876</t>
  </si>
  <si>
    <t>14827760</t>
  </si>
  <si>
    <t>70f40d06-04ff-4fba-8a05-43fc7c69d620</t>
  </si>
  <si>
    <t>27793004908</t>
  </si>
  <si>
    <t>2026-06-15 06:55:39</t>
  </si>
  <si>
    <t>14828362</t>
  </si>
  <si>
    <t>311fae6b-25e2-452a-b22b-42fd6dcd71ee</t>
  </si>
  <si>
    <t>2026-06-15 06:55:21</t>
  </si>
  <si>
    <t>27790543789</t>
  </si>
  <si>
    <t>14827729</t>
  </si>
  <si>
    <t>524d9cb2-e985-4deb-b206-ea619a5ac7cc</t>
  </si>
  <si>
    <t>27728513560</t>
  </si>
  <si>
    <t>14827604</t>
  </si>
  <si>
    <t>8d600ddc-aeb3-49aa-b3c5-d530cad2e9b2</t>
  </si>
  <si>
    <t>27767011414</t>
  </si>
  <si>
    <t>2026-06-15 06:55:12</t>
  </si>
  <si>
    <t>14828509</t>
  </si>
  <si>
    <t>e37d4961-5811-4664-a0a5-440b2e1f44a9</t>
  </si>
  <si>
    <t>2026-06-15 06:54:55</t>
  </si>
  <si>
    <t>27664944337</t>
  </si>
  <si>
    <t>14828375</t>
  </si>
  <si>
    <t>9214a34a-7f8c-4f5b-a711-f6e65458d99f</t>
  </si>
  <si>
    <t>2026-06-15 06:54:54</t>
  </si>
  <si>
    <t>27782979006</t>
  </si>
  <si>
    <t>14828051</t>
  </si>
  <si>
    <t>90d30647-2291-4754-ba52-45ed87583633</t>
  </si>
  <si>
    <t>27799472039</t>
  </si>
  <si>
    <t>2026-06-15 06:54:51</t>
  </si>
  <si>
    <t>14828373</t>
  </si>
  <si>
    <t>c25bc7e9-bf56-4bc6-8a46-8be85e5116df</t>
  </si>
  <si>
    <t>2026-06-15 06:54:49</t>
  </si>
  <si>
    <t>27768269817</t>
  </si>
  <si>
    <t>14828412</t>
  </si>
  <si>
    <t>05e37be4-28de-4dd3-bd1f-368f51bff3fe</t>
  </si>
  <si>
    <t>27790628243</t>
  </si>
  <si>
    <t>14828040</t>
  </si>
  <si>
    <t>612d61c4-1352-48bc-88e1-11b1ea018b59</t>
  </si>
  <si>
    <t>2026-06-15 06:54:48</t>
  </si>
  <si>
    <t>27606636279</t>
  </si>
  <si>
    <t>14827727</t>
  </si>
  <si>
    <t>087fdbf9-f985-431e-963b-06620283c733</t>
  </si>
  <si>
    <t>27660614055</t>
  </si>
  <si>
    <t>14828467</t>
  </si>
  <si>
    <t>eee99e17-2e77-498d-ae8b-4c1719535ae9</t>
  </si>
  <si>
    <t>2026-06-15 06:54:43</t>
  </si>
  <si>
    <t>27792665613</t>
  </si>
  <si>
    <t>14828376</t>
  </si>
  <si>
    <t>ad2ea82d-9ea5-42fa-94aa-df0810bc80c4</t>
  </si>
  <si>
    <t>2026-06-15 06:54:40</t>
  </si>
  <si>
    <t>27721575957</t>
  </si>
  <si>
    <t>14828468</t>
  </si>
  <si>
    <t>de9df768-662d-4c55-984f-528fbd8e7d04</t>
  </si>
  <si>
    <t>27636417007</t>
  </si>
  <si>
    <t>14828392</t>
  </si>
  <si>
    <t>41898c7c-d804-447c-8e82-538994ed6ee6</t>
  </si>
  <si>
    <t>27764058934</t>
  </si>
  <si>
    <t>14828388</t>
  </si>
  <si>
    <t>0ae95226-d7a0-42f5-824f-d07981067e3d</t>
  </si>
  <si>
    <t>2026-06-15 06:54:10</t>
  </si>
  <si>
    <t>27827512992</t>
  </si>
  <si>
    <t>14828420</t>
  </si>
  <si>
    <t>ff5cd961-f80a-40a7-8204-cd875f3fec9b</t>
  </si>
  <si>
    <t>27791801999</t>
  </si>
  <si>
    <t>14828443</t>
  </si>
  <si>
    <t>152c7ad5-c08f-4abd-bb4e-b2af45810c8d</t>
  </si>
  <si>
    <t>27822543963</t>
  </si>
  <si>
    <t>14828386</t>
  </si>
  <si>
    <t>a07a4d53-8bed-4e3e-89d0-0b9039f84695</t>
  </si>
  <si>
    <t>27663943607</t>
  </si>
  <si>
    <t>DC</t>
  </si>
  <si>
    <t>Disconnected</t>
  </si>
  <si>
    <t>2026-06-15 06:53:46</t>
  </si>
  <si>
    <t>14828500</t>
  </si>
  <si>
    <t>7279cf60-5557-4747-9311-56157db83645</t>
  </si>
  <si>
    <t>27767199947</t>
  </si>
  <si>
    <t>2026-06-15 06:53:21</t>
  </si>
  <si>
    <t>14828358</t>
  </si>
  <si>
    <t>a14fa43e-c3d0-435d-9ae6-18b1d917a7b2</t>
  </si>
  <si>
    <t>2026-06-15 06:53:04</t>
  </si>
  <si>
    <t>27636069033</t>
  </si>
  <si>
    <t>14828427</t>
  </si>
  <si>
    <t>685f6143-b3c3-489d-8c88-89c02093acd3</t>
  </si>
  <si>
    <t>27724558499</t>
  </si>
  <si>
    <t>2026-06-15 06:52:59</t>
  </si>
  <si>
    <t>14828525</t>
  </si>
  <si>
    <t>da51d638-5d56-4bc8-b223-c912904e3770</t>
  </si>
  <si>
    <t>27762938775</t>
  </si>
  <si>
    <t>14828377</t>
  </si>
  <si>
    <t>c2565061-5895-40f9-ac0a-153a61e95360</t>
  </si>
  <si>
    <t>27675401135</t>
  </si>
  <si>
    <t>2026-06-15 06:52:20</t>
  </si>
  <si>
    <t>14828426</t>
  </si>
  <si>
    <t>280b5272-01fc-4e18-b541-c104b44ef5f7</t>
  </si>
  <si>
    <t>27731304729</t>
  </si>
  <si>
    <t>2026-06-15 06:52:18</t>
  </si>
  <si>
    <t>14828501</t>
  </si>
  <si>
    <t>1365a097-dae3-4f50-a8d8-37df99fff645</t>
  </si>
  <si>
    <t>27726138028</t>
  </si>
  <si>
    <t>2026-06-15 06:51:35</t>
  </si>
  <si>
    <t>14828165</t>
  </si>
  <si>
    <t>ddf222dc-c5d6-48a1-872c-23b6771e504a</t>
  </si>
  <si>
    <t>2026-06-15 06:51:34</t>
  </si>
  <si>
    <t>27660454030</t>
  </si>
  <si>
    <t>14828389</t>
  </si>
  <si>
    <t>e4a835bb-3600-48df-ae59-d41bba9929f2</t>
  </si>
  <si>
    <t>27725334449</t>
  </si>
  <si>
    <t>14827751</t>
  </si>
  <si>
    <t>00f93f83-f134-45c5-86f2-4e0a7dbc930e</t>
  </si>
  <si>
    <t>2026-06-15 06:51:01</t>
  </si>
  <si>
    <t>27711528777</t>
  </si>
  <si>
    <t>14828402</t>
  </si>
  <si>
    <t>5f762115-4c18-4fdc-8d73-4ebdb6b60566</t>
  </si>
  <si>
    <t>2026-06-15 06:50:51</t>
  </si>
  <si>
    <t>27660897203</t>
  </si>
  <si>
    <t>14828536</t>
  </si>
  <si>
    <t>48a09ab1-1158-43ce-92bb-19a674d07026</t>
  </si>
  <si>
    <t>27765301663</t>
  </si>
  <si>
    <t>6e6533c9-9510-4cbc-87cc-224a1e6bd6a2</t>
  </si>
  <si>
    <t>2026-06-15 06:50:49</t>
  </si>
  <si>
    <t>27812323679</t>
  </si>
  <si>
    <t>14828401</t>
  </si>
  <si>
    <t>f2f01a94-8488-46e3-991f-f7bd73dbb976</t>
  </si>
  <si>
    <t>2026-06-15 06:50:18</t>
  </si>
  <si>
    <t>27797768940</t>
  </si>
  <si>
    <t>14828497</t>
  </si>
  <si>
    <t>42c3f7ff-8d6a-40b3-883c-31fd77d729d2</t>
  </si>
  <si>
    <t>2026-06-15 06:50:15</t>
  </si>
  <si>
    <t>27713696147</t>
  </si>
  <si>
    <t>14828460</t>
  </si>
  <si>
    <t>a9246261-4b52-478d-be9d-a819fb2dcdab</t>
  </si>
  <si>
    <t>27762569918</t>
  </si>
  <si>
    <t>2026-06-15 06:49:51</t>
  </si>
  <si>
    <t>14828163</t>
  </si>
  <si>
    <t>ece74498-cf83-4079-bfbe-8120332f8dab</t>
  </si>
  <si>
    <t>2026-06-15 06:49:44</t>
  </si>
  <si>
    <t>27716365342</t>
  </si>
  <si>
    <t>14827731</t>
  </si>
  <si>
    <t>4825a43f-afe7-4a57-9ef8-5b5d68cc1b44</t>
  </si>
  <si>
    <t>27712402727</t>
  </si>
  <si>
    <t>14828403</t>
  </si>
  <si>
    <t>525c590f-36f7-4857-a81c-6e30ab68c68b</t>
  </si>
  <si>
    <t>2026-06-15 06:49:43</t>
  </si>
  <si>
    <t>27715653170</t>
  </si>
  <si>
    <t>14828514</t>
  </si>
  <si>
    <t>da9f5789-7bd0-4597-875e-e3470f3d052f</t>
  </si>
  <si>
    <t>27636325007</t>
  </si>
  <si>
    <t>14828424</t>
  </si>
  <si>
    <t>741fe58c-b97b-4fc7-9a92-fe51dabddf1d</t>
  </si>
  <si>
    <t>27791831991</t>
  </si>
  <si>
    <t>14828515</t>
  </si>
  <si>
    <t>8b3660b6-100f-4886-9c07-1c5d8679227f</t>
  </si>
  <si>
    <t>2026-06-15 06:49:33</t>
  </si>
  <si>
    <t>27799806203</t>
  </si>
  <si>
    <t>14828447</t>
  </si>
  <si>
    <t>0134946f-27aa-431c-bff6-9a0b4a80e80e</t>
  </si>
  <si>
    <t>27791459597</t>
  </si>
  <si>
    <t>2026-06-15 06:49:31</t>
  </si>
  <si>
    <t>14828476</t>
  </si>
  <si>
    <t>f2b04e33-ebef-4513-b56a-b98ef640a8ca</t>
  </si>
  <si>
    <t>2026-06-15 06:49:25</t>
  </si>
  <si>
    <t>27795731239</t>
  </si>
  <si>
    <t>14828385</t>
  </si>
  <si>
    <t>69c22c92-39c4-434e-b8fd-d6851ec52dbe</t>
  </si>
  <si>
    <t>2026-06-15 06:49:20</t>
  </si>
  <si>
    <t>27795018375</t>
  </si>
  <si>
    <t>73e93074-f0c9-43a2-a49f-1b90643efb3a</t>
  </si>
  <si>
    <t>27609229627</t>
  </si>
  <si>
    <t>14827583</t>
  </si>
  <si>
    <t>fb20ce86-ac15-41d8-ab97-278899bf47d5</t>
  </si>
  <si>
    <t>2026-06-15 06:49:10</t>
  </si>
  <si>
    <t>27729018744</t>
  </si>
  <si>
    <t>14828404</t>
  </si>
  <si>
    <t>8bd7af13-cd80-49d3-bbdc-ac9de4ed8f23</t>
  </si>
  <si>
    <t>2026-06-15 06:48:54</t>
  </si>
  <si>
    <t>27762592065</t>
  </si>
  <si>
    <t>14828453</t>
  </si>
  <si>
    <t>479f525b-991c-45dc-ba95-0acb8a102b2a</t>
  </si>
  <si>
    <t>27799983008</t>
  </si>
  <si>
    <t>14828451</t>
  </si>
  <si>
    <t>47b605dd-6867-4ca0-974b-f5d693274244</t>
  </si>
  <si>
    <t>2026-06-15 06:48:53</t>
  </si>
  <si>
    <t>27768564111</t>
  </si>
  <si>
    <t>14828421</t>
  </si>
  <si>
    <t>83122206-a20f-45fb-a6d0-e1549ee73fb1</t>
  </si>
  <si>
    <t>27793769717</t>
  </si>
  <si>
    <t>2026-06-15 06:48:16</t>
  </si>
  <si>
    <t>14827607</t>
  </si>
  <si>
    <t>2fad338d-f00c-4475-bf98-d9936496f9cb</t>
  </si>
  <si>
    <t>27715326697</t>
  </si>
  <si>
    <t>2026-06-15 06:47:52</t>
  </si>
  <si>
    <t>14827874</t>
  </si>
  <si>
    <t>e2f86efb-2a6b-4af9-b661-468ab618ffb5</t>
  </si>
  <si>
    <t>2026-06-15 06:47:50</t>
  </si>
  <si>
    <t>27660424440</t>
  </si>
  <si>
    <t>14827748</t>
  </si>
  <si>
    <t>56c241e4-c7b7-4dc9-8d0a-225a669820d4</t>
  </si>
  <si>
    <t>2026-06-15 06:47:14</t>
  </si>
  <si>
    <t>27818217319</t>
  </si>
  <si>
    <t>14828527</t>
  </si>
  <si>
    <t>a897374b-6187-49e7-927f-daa6191c0c58</t>
  </si>
  <si>
    <t>2026-06-15 06:47:13</t>
  </si>
  <si>
    <t>27767871968</t>
  </si>
  <si>
    <t>14828502</t>
  </si>
  <si>
    <t>17c137eb-3f36-4552-ac01-78d557f0a308</t>
  </si>
  <si>
    <t>2026-06-15 06:47:07</t>
  </si>
  <si>
    <t>27797328956</t>
  </si>
  <si>
    <t>14828436</t>
  </si>
  <si>
    <t>872c5c46-2e1a-4a9e-8777-00b045a11a45</t>
  </si>
  <si>
    <t>27825006204</t>
  </si>
  <si>
    <t>14828532</t>
  </si>
  <si>
    <t>e1d8ae39-f2f1-4ce2-9317-1239e8f920c7</t>
  </si>
  <si>
    <t>27763579015</t>
  </si>
  <si>
    <t>14828466</t>
  </si>
  <si>
    <t>068e0f72-679a-4de5-be3d-edf791765fcc</t>
  </si>
  <si>
    <t>27724256685</t>
  </si>
  <si>
    <t>14828398</t>
  </si>
  <si>
    <t>5dfbb548-4042-4221-888c-e6d72e89e76b</t>
  </si>
  <si>
    <t>2026-06-15 06:47:00</t>
  </si>
  <si>
    <t>27607446187</t>
  </si>
  <si>
    <t>14828431</t>
  </si>
  <si>
    <t>2f989af3-94f9-46b5-97f3-d642052bac8f</t>
  </si>
  <si>
    <t>27647445886</t>
  </si>
  <si>
    <t>14827867</t>
  </si>
  <si>
    <t>9272bc59-af8a-4a75-97e2-7dacc5466814</t>
  </si>
  <si>
    <t>2026-06-15 06:46:59</t>
  </si>
  <si>
    <t>27728236508</t>
  </si>
  <si>
    <t>14828399</t>
  </si>
  <si>
    <t>3fdb1e60-5361-4996-af50-72402d5179c7</t>
  </si>
  <si>
    <t>2026-06-15 06:46:58</t>
  </si>
  <si>
    <t>27822264923</t>
  </si>
  <si>
    <t>14828473</t>
  </si>
  <si>
    <t>da9cceb8-9b69-4cd5-9306-9706c66932b9</t>
  </si>
  <si>
    <t>2026-06-15 06:46:57</t>
  </si>
  <si>
    <t>27729377989</t>
  </si>
  <si>
    <t>14828422</t>
  </si>
  <si>
    <t>68f7f729-3bb4-4578-bf2a-1d5dc5d1cdd0</t>
  </si>
  <si>
    <t>27608439877</t>
  </si>
  <si>
    <t>14827589</t>
  </si>
  <si>
    <t>7cb97c3a-ac09-4dc9-ab2d-a4222443edeb</t>
  </si>
  <si>
    <t>27714180061</t>
  </si>
  <si>
    <t>14827625</t>
  </si>
  <si>
    <t>69fdda3b-6ff9-4dc5-b7c2-7b649ee1a6f5</t>
  </si>
  <si>
    <t>2026-06-15 06:45:38</t>
  </si>
  <si>
    <t>27661727646</t>
  </si>
  <si>
    <t>14828505</t>
  </si>
  <si>
    <t>99802ce0-7d16-4360-991f-e0e6634c42c1</t>
  </si>
  <si>
    <t>2026-06-15 06:45:34</t>
  </si>
  <si>
    <t>27794761491</t>
  </si>
  <si>
    <t>14827644</t>
  </si>
  <si>
    <t>851cd4f8-c28f-41ec-9a36-cdba8a6e8837</t>
  </si>
  <si>
    <t>27729339584</t>
  </si>
  <si>
    <t>2026-06-15 06:45:31</t>
  </si>
  <si>
    <t>14827566</t>
  </si>
  <si>
    <t>2f92f105-de5d-40dc-a90c-f5b27521e11c</t>
  </si>
  <si>
    <t>2026-06-15 06:45:29</t>
  </si>
  <si>
    <t>27729064269</t>
  </si>
  <si>
    <t>14827602</t>
  </si>
  <si>
    <t>aeeeab5a-56a4-4b93-89f8-d73d24ff907a</t>
  </si>
  <si>
    <t>27765110807</t>
  </si>
  <si>
    <t>14828458</t>
  </si>
  <si>
    <t>64a57003-d627-4bc4-8d1a-e2f7bee5afd2</t>
  </si>
  <si>
    <t>27790602100</t>
  </si>
  <si>
    <t>14827642</t>
  </si>
  <si>
    <t>df940fcc-ef80-41e6-b417-80023180bd14</t>
  </si>
  <si>
    <t>27820884912</t>
  </si>
  <si>
    <t>14827894</t>
  </si>
  <si>
    <t>f7d894df-d1ac-4b2a-aff2-e70602f0b3f3</t>
  </si>
  <si>
    <t>2026-06-15 06:45:27</t>
  </si>
  <si>
    <t>27826421465</t>
  </si>
  <si>
    <t>14828516</t>
  </si>
  <si>
    <t>bda5db06-47f3-4002-a46c-bd2d75672894</t>
  </si>
  <si>
    <t>2026-06-15 06:45:02</t>
  </si>
  <si>
    <t>27799918019</t>
  </si>
  <si>
    <t>14828521</t>
  </si>
  <si>
    <t>7550cdea-6056-4625-a1e6-388c030057fe</t>
  </si>
  <si>
    <t>2026-06-15 06:44:59</t>
  </si>
  <si>
    <t>27794389001</t>
  </si>
  <si>
    <t>14828475</t>
  </si>
  <si>
    <t>0a96dd22-8628-42f3-a39a-1dbef7719fcd</t>
  </si>
  <si>
    <t>27793939338</t>
  </si>
  <si>
    <t>2026-06-15 06:44:58</t>
  </si>
  <si>
    <t>14828538</t>
  </si>
  <si>
    <t>1381ea39-c96d-4750-94cb-2133f2dd9f09</t>
  </si>
  <si>
    <t>27736466481</t>
  </si>
  <si>
    <t>14827730</t>
  </si>
  <si>
    <t>4957580b-c57f-4e70-82f0-a2582d9ad4e0</t>
  </si>
  <si>
    <t>2026-06-15 06:44:41</t>
  </si>
  <si>
    <t>27797248056</t>
  </si>
  <si>
    <t>14828472</t>
  </si>
  <si>
    <t>3bf8a7d5-5613-477f-bc58-fc8ed2eabc52</t>
  </si>
  <si>
    <t>2026-06-15 06:44:36</t>
  </si>
  <si>
    <t>27723487440</t>
  </si>
  <si>
    <t>14828434</t>
  </si>
  <si>
    <t>f5d0616e-8f23-4e11-a03b-a665368fe85c</t>
  </si>
  <si>
    <t>27742887986</t>
  </si>
  <si>
    <t>14828435</t>
  </si>
  <si>
    <t>22ed0250-7fe2-4398-b965-bde669b162fa</t>
  </si>
  <si>
    <t>27824206348</t>
  </si>
  <si>
    <t>14827617</t>
  </si>
  <si>
    <t>4718d57b-a04c-4cfa-8496-d35cb26fbb75</t>
  </si>
  <si>
    <t>27792367292</t>
  </si>
  <si>
    <t>14827690</t>
  </si>
  <si>
    <t>29693207-3da0-42f7-a342-48d924ccea6f</t>
  </si>
  <si>
    <t>27647235225</t>
  </si>
  <si>
    <t>2026-06-15 06:43:59</t>
  </si>
  <si>
    <t>14827883</t>
  </si>
  <si>
    <t>2f004aed-d076-4faf-980d-4b0b20563666</t>
  </si>
  <si>
    <t>27826241395</t>
  </si>
  <si>
    <t>2026-06-15 06:43:51</t>
  </si>
  <si>
    <t>14828518</t>
  </si>
  <si>
    <t>b488f6b3-1bf1-4729-844e-7db80d090198</t>
  </si>
  <si>
    <t>2026-06-15 06:43:35</t>
  </si>
  <si>
    <t>27782087746</t>
  </si>
  <si>
    <t>14828459</t>
  </si>
  <si>
    <t>2a936687-99fb-4da0-be7c-97909c702a24</t>
  </si>
  <si>
    <t>2026-06-15 06:43:32</t>
  </si>
  <si>
    <t>27728639380</t>
  </si>
  <si>
    <t>14828517</t>
  </si>
  <si>
    <t>6290bc7e-9b8f-479d-926b-9c96e2acfd9d</t>
  </si>
  <si>
    <t>2026-06-15 06:43:26</t>
  </si>
  <si>
    <t>27673099381</t>
  </si>
  <si>
    <t>14828499</t>
  </si>
  <si>
    <t>4eed0dac-c539-4730-8c49-21a5235cb63d</t>
  </si>
  <si>
    <t>2026-06-15 06:43:14</t>
  </si>
  <si>
    <t>27724482041</t>
  </si>
  <si>
    <t>14827747</t>
  </si>
  <si>
    <t>fc7eb915-c6bf-4c5e-8df1-e6fa83fbdf58</t>
  </si>
  <si>
    <t>27793088338</t>
  </si>
  <si>
    <t>14827544</t>
  </si>
  <si>
    <t>493c8e1a-ddcf-4af1-a84d-519282a210f7</t>
  </si>
  <si>
    <t>2026-06-15 06:42:26</t>
  </si>
  <si>
    <t>27843899769</t>
  </si>
  <si>
    <t>14827764</t>
  </si>
  <si>
    <t>50e97e1e-d6d0-4c8d-88d5-8f72c563a246</t>
  </si>
  <si>
    <t>27606080431</t>
  </si>
  <si>
    <t>14827766</t>
  </si>
  <si>
    <t>f4b04597-4589-4edb-a3ab-b4d84cb8b1d9</t>
  </si>
  <si>
    <t>2026-06-15 06:41:49</t>
  </si>
  <si>
    <t>27714991107</t>
  </si>
  <si>
    <t>14828480</t>
  </si>
  <si>
    <t>ea6d5782-5f95-43e5-929f-e0fd02cae78d</t>
  </si>
  <si>
    <t>27797153063</t>
  </si>
  <si>
    <t>2026-06-15 06:41:46</t>
  </si>
  <si>
    <t>14827557</t>
  </si>
  <si>
    <t>9845b15f-642f-4829-b5be-55f521cbf258</t>
  </si>
  <si>
    <t>27723875270</t>
  </si>
  <si>
    <t>2026-06-15 06:41:42</t>
  </si>
  <si>
    <t>14827559</t>
  </si>
  <si>
    <t>d9b16906-980e-48a0-9ed5-4bce6c15f254</t>
  </si>
  <si>
    <t>2026-06-15 06:41:38</t>
  </si>
  <si>
    <t>27720321085</t>
  </si>
  <si>
    <t>14828482</t>
  </si>
  <si>
    <t>02dc4daf-c8fc-4679-8646-091c973b7920</t>
  </si>
  <si>
    <t>27765599513</t>
  </si>
  <si>
    <t>2026-06-15 06:41:37</t>
  </si>
  <si>
    <t>14828484</t>
  </si>
  <si>
    <t>f02635e2-680b-44a8-896a-cd1b7d94ae15</t>
  </si>
  <si>
    <t>27606926817</t>
  </si>
  <si>
    <t>14828485</t>
  </si>
  <si>
    <t>4c628b33-61c3-410b-b1d8-774809958bf6</t>
  </si>
  <si>
    <t>27760784633</t>
  </si>
  <si>
    <t>14828490</t>
  </si>
  <si>
    <t>c142a527-5284-4a5c-88c8-de26a9d8bb31</t>
  </si>
  <si>
    <t>27772807463</t>
  </si>
  <si>
    <t>14828491</t>
  </si>
  <si>
    <t>1323799e-55c7-4bcd-95bc-01de64c334a5</t>
  </si>
  <si>
    <t>27713782766</t>
  </si>
  <si>
    <t>14828492</t>
  </si>
  <si>
    <t>11ad55a7-c322-49b4-a044-b04c0ea78d48</t>
  </si>
  <si>
    <t>2026-06-15 06:41:36</t>
  </si>
  <si>
    <t>27607427552</t>
  </si>
  <si>
    <t>14828493</t>
  </si>
  <si>
    <t>c845c685-129e-4254-92b0-aa48b6258369</t>
  </si>
  <si>
    <t>2026-06-15 06:41:32</t>
  </si>
  <si>
    <t>27649873926</t>
  </si>
  <si>
    <t>14827627</t>
  </si>
  <si>
    <t>c86507e5-3e5d-4320-9db9-60134223c8a6</t>
  </si>
  <si>
    <t>27760582275</t>
  </si>
  <si>
    <t>14827632</t>
  </si>
  <si>
    <t>f0214568-b4c8-44c3-ab44-0c6f55689344</t>
  </si>
  <si>
    <t>27761174296</t>
  </si>
  <si>
    <t>14827865</t>
  </si>
  <si>
    <t>9b3c6eec-62c5-4e88-acdf-61e86ff0b494</t>
  </si>
  <si>
    <t>2026-06-15 06:41:31</t>
  </si>
  <si>
    <t>27762740480</t>
  </si>
  <si>
    <t>14827603</t>
  </si>
  <si>
    <t>248414d1-2e1c-4206-9f14-42981db9bbff</t>
  </si>
  <si>
    <t>27647908381</t>
  </si>
  <si>
    <t>2026-06-15 06:40:55</t>
  </si>
  <si>
    <t>14827560</t>
  </si>
  <si>
    <t>234e5f9e-1d83-42ae-81a9-99b05cfdd8af</t>
  </si>
  <si>
    <t>TDN</t>
  </si>
  <si>
    <t>Temporary Disconnected Number</t>
  </si>
  <si>
    <t>2026-06-15 06:40:05</t>
  </si>
  <si>
    <t>27637297086</t>
  </si>
  <si>
    <t>14828508</t>
  </si>
  <si>
    <t>edc933f9-2fc8-4703-a797-dd04ac7b1e1a</t>
  </si>
  <si>
    <t>27716334711</t>
  </si>
  <si>
    <t>2026-06-15 06:39:30</t>
  </si>
  <si>
    <t>14827565</t>
  </si>
  <si>
    <t>ede16842-f831-4f6f-9892-592afa7ecb69</t>
  </si>
  <si>
    <t>2026-06-15 06:39:26</t>
  </si>
  <si>
    <t>27713585349</t>
  </si>
  <si>
    <t>14828523</t>
  </si>
  <si>
    <t>4031ab94-f9f7-4036-8dc5-bee05952801b</t>
  </si>
  <si>
    <t>27837213663</t>
  </si>
  <si>
    <t>14827749</t>
  </si>
  <si>
    <t>0ef1c513-035a-4908-813f-af2285be591d</t>
  </si>
  <si>
    <t>27827387912</t>
  </si>
  <si>
    <t>14828503</t>
  </si>
  <si>
    <t>2cfa6784-39f0-43bd-8e31-14c4fdac0b56</t>
  </si>
  <si>
    <t>2026-06-15 06:39:08</t>
  </si>
  <si>
    <t>27648550415</t>
  </si>
  <si>
    <t>14828486</t>
  </si>
  <si>
    <t>28aad2f9-b4fe-447a-a264-647f9e093bdb</t>
  </si>
  <si>
    <t>2026-06-15 06:39:06</t>
  </si>
  <si>
    <t>27760901875</t>
  </si>
  <si>
    <t>14828520</t>
  </si>
  <si>
    <t>76dd9351-b6b4-444d-b7c7-1ad153ab1abd</t>
  </si>
  <si>
    <t>27790628185</t>
  </si>
  <si>
    <t>2026-06-15 06:39:00</t>
  </si>
  <si>
    <t>14828487</t>
  </si>
  <si>
    <t>4174af2d-b1ff-462b-a5c2-b0a71d46556b</t>
  </si>
  <si>
    <t>2026-06-15 06:38:45</t>
  </si>
  <si>
    <t>27832377967</t>
  </si>
  <si>
    <t>14827564</t>
  </si>
  <si>
    <t>67ef1417-c00c-4c80-93e7-aba403f35d6b</t>
  </si>
  <si>
    <t>2026-06-15 06:38:41</t>
  </si>
  <si>
    <t>27683198494</t>
  </si>
  <si>
    <t>14827892</t>
  </si>
  <si>
    <t>e175a6f1-0e00-40e3-9ab2-23c04a7c9bd1</t>
  </si>
  <si>
    <t>27818522802</t>
  </si>
  <si>
    <t>2026-06-15 06:38:40</t>
  </si>
  <si>
    <t>14827561</t>
  </si>
  <si>
    <t>4e83e50e-27a0-482f-aa5f-dbe59cc044a9</t>
  </si>
  <si>
    <t>2026-06-15 06:38:28</t>
  </si>
  <si>
    <t>27822863719</t>
  </si>
  <si>
    <t>14827567</t>
  </si>
  <si>
    <t>605b1822-1ac9-4d12-a010-c8dd756aee32</t>
  </si>
  <si>
    <t>27769317684</t>
  </si>
  <si>
    <t>2026-06-15 06:38:24</t>
  </si>
  <si>
    <t>14828506</t>
  </si>
  <si>
    <t>c9aee7d2-3123-45e7-94c0-95597e9d6651</t>
  </si>
  <si>
    <t>27826355593</t>
  </si>
  <si>
    <t>14828534</t>
  </si>
  <si>
    <t>9e6ccc4b-4667-48c8-9378-3044bf1fcaa2</t>
  </si>
  <si>
    <t>27793357576</t>
  </si>
  <si>
    <t>14828535</t>
  </si>
  <si>
    <t>710bc666-2f29-4b26-bf0a-7878fd8533e9</t>
  </si>
  <si>
    <t>27762348643</t>
  </si>
  <si>
    <t>14827891</t>
  </si>
  <si>
    <t>92115b75-5928-43cc-82f9-5e0230df945e</t>
  </si>
  <si>
    <t>2026-06-15 06:38:18</t>
  </si>
  <si>
    <t>27793263266</t>
  </si>
  <si>
    <t>14828529</t>
  </si>
  <si>
    <t>70aac71e-cfc9-446d-aedd-0797554998be</t>
  </si>
  <si>
    <t>27727817419</t>
  </si>
  <si>
    <t>14827889</t>
  </si>
  <si>
    <t>6d43cb09-c588-472a-9954-d197e3abae53</t>
  </si>
  <si>
    <t>27791325496</t>
  </si>
  <si>
    <t>2026-06-15 06:37:44</t>
  </si>
  <si>
    <t>14827585</t>
  </si>
  <si>
    <t>5110b977-f8f2-4570-a666-85d3f97f0273</t>
  </si>
  <si>
    <t>27827917195</t>
  </si>
  <si>
    <t>14827588</t>
  </si>
  <si>
    <t>aac8424e-f4ac-4f5b-ad0a-9100b664d93c</t>
  </si>
  <si>
    <t>27791691555</t>
  </si>
  <si>
    <t>14827608</t>
  </si>
  <si>
    <t>ca97e23b-3ed6-486f-86f3-10d4f40e9a6f</t>
  </si>
  <si>
    <t>27714966823</t>
  </si>
  <si>
    <t>14827545</t>
  </si>
  <si>
    <t>c66cda2b-9551-444c-afce-da8d8012f952</t>
  </si>
  <si>
    <t>27646049158</t>
  </si>
  <si>
    <t>14827754</t>
  </si>
  <si>
    <t>56db8f72-4c00-4c02-be6a-0d0d37cb1f33</t>
  </si>
  <si>
    <t>27828005910</t>
  </si>
  <si>
    <t>14828528</t>
  </si>
  <si>
    <t>dd7e6381-1069-4a46-bb74-752c2a2f380d</t>
  </si>
  <si>
    <t>2026-06-15 06:37:28</t>
  </si>
  <si>
    <t>27723731622</t>
  </si>
  <si>
    <t>14827970</t>
  </si>
  <si>
    <t>024b342a-6991-4252-aec0-d0a0ac80c654</t>
  </si>
  <si>
    <t>27796559776</t>
  </si>
  <si>
    <t>14828512</t>
  </si>
  <si>
    <t>46b898f9-81ac-4d9d-bcc7-7c9c5c231aaf</t>
  </si>
  <si>
    <t>27766901064</t>
  </si>
  <si>
    <t>2026-06-15 06:37:00</t>
  </si>
  <si>
    <t>14827587</t>
  </si>
  <si>
    <t>3b7cbb39-384c-4ed9-89db-bc9034d5ee3a</t>
  </si>
  <si>
    <t>2026-06-15 06:36:59</t>
  </si>
  <si>
    <t>27736263742</t>
  </si>
  <si>
    <t>14827761</t>
  </si>
  <si>
    <t>a5c579f0-9451-4697-aced-477070f64dcb</t>
  </si>
  <si>
    <t>27647093256</t>
  </si>
  <si>
    <t>14827844</t>
  </si>
  <si>
    <t>ad13d168-31db-4fc8-9bbc-80d556211d0a</t>
  </si>
  <si>
    <t>27763002084</t>
  </si>
  <si>
    <t>2026-06-15 06:36:50</t>
  </si>
  <si>
    <t>14827563</t>
  </si>
  <si>
    <t>3d8b7f45-002f-4890-a043-d6d791f425b0</t>
  </si>
  <si>
    <t>2026-06-15 06:35:52</t>
  </si>
  <si>
    <t>27649485598</t>
  </si>
  <si>
    <t>14827586</t>
  </si>
  <si>
    <t>74dacf11-d36d-46b8-86f1-6e8a96f0d266</t>
  </si>
  <si>
    <t>27829602680</t>
  </si>
  <si>
    <t>14827562</t>
  </si>
  <si>
    <t>2ba5ed0e-dcd4-49ed-92dd-30638ffddf38</t>
  </si>
  <si>
    <t>27647888943</t>
  </si>
  <si>
    <t>14828530</t>
  </si>
  <si>
    <t>5b2a1765-46b2-4813-9152-1caf0707e017</t>
  </si>
  <si>
    <t>2026-06-15 06:35:13</t>
  </si>
  <si>
    <t>27823860792</t>
  </si>
  <si>
    <t>14828531</t>
  </si>
  <si>
    <t>9efbbd4c-fbef-4486-a057-2f17398dc229</t>
  </si>
  <si>
    <t>27664878571</t>
  </si>
  <si>
    <t>14827591</t>
  </si>
  <si>
    <t>ce7c9ba6-e6f9-47cb-b52d-eb8af9fdc28d</t>
  </si>
  <si>
    <t>2026-06-15 06:35:12</t>
  </si>
  <si>
    <t>27721461421</t>
  </si>
  <si>
    <t>14828539</t>
  </si>
  <si>
    <t>f23c06e8-d4d7-41a5-891f-23811983a42e</t>
  </si>
  <si>
    <t>2026-06-15 06:34:58</t>
  </si>
  <si>
    <t>27729199069</t>
  </si>
  <si>
    <t>14828540</t>
  </si>
  <si>
    <t>46f833f0-a830-408a-b42c-d4c91cadd76c</t>
  </si>
  <si>
    <t>2026-06-15 06:34:55</t>
  </si>
  <si>
    <t>27792383904</t>
  </si>
  <si>
    <t>14827855</t>
  </si>
  <si>
    <t>97897adf-273e-4b29-a53e-9dc4c7868ceb</t>
  </si>
  <si>
    <t>2026-06-15 06:34:51</t>
  </si>
  <si>
    <t>27724127641</t>
  </si>
  <si>
    <t>14828541</t>
  </si>
  <si>
    <t>0117a73a-0d22-44c8-ad7f-9ea413846a67</t>
  </si>
  <si>
    <t>27828226640</t>
  </si>
  <si>
    <t>14827713</t>
  </si>
  <si>
    <t>29f6a4f5-c14f-488a-8257-c78365f497b8</t>
  </si>
  <si>
    <t>27773686547</t>
  </si>
  <si>
    <t>14827715</t>
  </si>
  <si>
    <t>38ac2d87-31df-4cfe-b3b9-01aebe3686e0</t>
  </si>
  <si>
    <t>27818821337</t>
  </si>
  <si>
    <t>14827721</t>
  </si>
  <si>
    <t>da40cccd-4f27-438e-9066-8f65efd66efe</t>
  </si>
  <si>
    <t>27722232105</t>
  </si>
  <si>
    <t>2026-06-15 06:34:36</t>
  </si>
  <si>
    <t>14827621</t>
  </si>
  <si>
    <t>5adfe456-ce2f-4329-910d-ff0dda05410a</t>
  </si>
  <si>
    <t>27723525377</t>
  </si>
  <si>
    <t>2026-06-15 06:34:22</t>
  </si>
  <si>
    <t>14827571</t>
  </si>
  <si>
    <t>7133ddd2-6402-4b9e-be94-90e581605229</t>
  </si>
  <si>
    <t>27647650040</t>
  </si>
  <si>
    <t>2026-06-15 06:31:48</t>
  </si>
  <si>
    <t>14827618</t>
  </si>
  <si>
    <t>43d0172b-eb15-4fb1-a24b-c910cb27c0ce</t>
  </si>
  <si>
    <t>2026-06-15 06:31:09</t>
  </si>
  <si>
    <t>27761999986</t>
  </si>
  <si>
    <t>14827547</t>
  </si>
  <si>
    <t>7edfff12-bcf9-4a5f-8175-4cc59b795008</t>
  </si>
  <si>
    <t>27765972923</t>
  </si>
  <si>
    <t>2026-06-15 06:31:07</t>
  </si>
  <si>
    <t>14827622</t>
  </si>
  <si>
    <t>20144d91-4118-4adb-8dc9-5855cb94eedd</t>
  </si>
  <si>
    <t>27714782870</t>
  </si>
  <si>
    <t>14827548</t>
  </si>
  <si>
    <t>082f06fc-35e6-4e81-af91-61319b329e85</t>
  </si>
  <si>
    <t>2026-06-15 06:30:53</t>
  </si>
  <si>
    <t>27663829061</t>
  </si>
  <si>
    <t>14827550</t>
  </si>
  <si>
    <t>6096ab8e-160a-49f8-af93-28f4597c1190</t>
  </si>
  <si>
    <t>27606983726</t>
  </si>
  <si>
    <t>14827717</t>
  </si>
  <si>
    <t>817ffef4-7a42-4650-bb0b-67a5138acc32</t>
  </si>
  <si>
    <t>27828429923</t>
  </si>
  <si>
    <t>2026-06-15 06:30:46</t>
  </si>
  <si>
    <t>14827552</t>
  </si>
  <si>
    <t>8789160e-befb-40f9-85a8-81354e018d10</t>
  </si>
  <si>
    <t>2026-06-15 06:30:36</t>
  </si>
  <si>
    <t>27792760234</t>
  </si>
  <si>
    <t>14827553</t>
  </si>
  <si>
    <t>45d3bbe8-d985-4877-a81f-c9ab5f33af5d</t>
  </si>
  <si>
    <t>27822903232</t>
  </si>
  <si>
    <t>14827554</t>
  </si>
  <si>
    <t>26e8b00a-47e1-4651-971b-2521fb4dc63e</t>
  </si>
  <si>
    <t>2026-06-15 06:30:29</t>
  </si>
  <si>
    <t>27798546616</t>
  </si>
  <si>
    <t>14827854</t>
  </si>
  <si>
    <t>a8a81079-0c47-4565-93b2-9f757fe9de84</t>
  </si>
  <si>
    <t>2026-06-15 06:30:23</t>
  </si>
  <si>
    <t>27766545238</t>
  </si>
  <si>
    <t>14827556</t>
  </si>
  <si>
    <t>b66069bb-4dc2-4f9c-a66b-84ca563c8bf8</t>
  </si>
  <si>
    <t>27713568540</t>
  </si>
  <si>
    <t>14827716</t>
  </si>
  <si>
    <t>94b5f5a8-242d-4e0d-9961-b945b279cce9</t>
  </si>
  <si>
    <t>27818181388</t>
  </si>
  <si>
    <t>14827568</t>
  </si>
  <si>
    <t>bddbaa56-7073-4196-aaf7-a90279aeb17c</t>
  </si>
  <si>
    <t>2026-06-15 06:29:33</t>
  </si>
  <si>
    <t>27791469115</t>
  </si>
  <si>
    <t>14827772</t>
  </si>
  <si>
    <t>d89433d3-b935-49ea-a5f5-fffd07a1bd0b</t>
  </si>
  <si>
    <t>27827575523</t>
  </si>
  <si>
    <t>14827737</t>
  </si>
  <si>
    <t>bdeb410e-b705-45f2-a79d-2c9fe9295f25</t>
  </si>
  <si>
    <t>27723204445</t>
  </si>
  <si>
    <t>14827774</t>
  </si>
  <si>
    <t>748c530d-26cf-48e1-b890-907313c2e85b</t>
  </si>
  <si>
    <t>27796574414</t>
  </si>
  <si>
    <t>2026-06-15 06:29:32</t>
  </si>
  <si>
    <t>14827784</t>
  </si>
  <si>
    <t>13c63d8e-15b7-4f6e-b088-9687340e0444</t>
  </si>
  <si>
    <t>2026-06-15 06:28:44</t>
  </si>
  <si>
    <t>27760756930</t>
  </si>
  <si>
    <t>14827647</t>
  </si>
  <si>
    <t>1e8dc3a0-9dfa-40a0-a603-7d36fc8603b6</t>
  </si>
  <si>
    <t>2026-06-15 06:28:41</t>
  </si>
  <si>
    <t>27716081059</t>
  </si>
  <si>
    <t>14827572</t>
  </si>
  <si>
    <t>1226312e-173e-49b6-a4a4-d0d8373fdc87</t>
  </si>
  <si>
    <t>2026-06-15 06:28:36</t>
  </si>
  <si>
    <t>27726450097</t>
  </si>
  <si>
    <t>14827664</t>
  </si>
  <si>
    <t>8fe60e9e-15ce-4edf-a0fe-e0f2eaa59997</t>
  </si>
  <si>
    <t>27661269993</t>
  </si>
  <si>
    <t>14827787</t>
  </si>
  <si>
    <t>f613b6e7-7333-4794-88d4-73353c2e481f</t>
  </si>
  <si>
    <t>27648362231</t>
  </si>
  <si>
    <t>14827696</t>
  </si>
  <si>
    <t>e0a14c46-b0b7-42bb-a4ac-398c67f28aa8</t>
  </si>
  <si>
    <t>2026-06-15 06:28:35</t>
  </si>
  <si>
    <t>27767660850</t>
  </si>
  <si>
    <t>14827573</t>
  </si>
  <si>
    <t>46390b34-91dd-48e8-9086-a171674e692a</t>
  </si>
  <si>
    <t>27728574048</t>
  </si>
  <si>
    <t>2026-06-15 06:28:17</t>
  </si>
  <si>
    <t>14827574</t>
  </si>
  <si>
    <t>b8cbcdaf-ffe2-4bca-9e0a-cb434ee76022</t>
  </si>
  <si>
    <t>2026-06-15 06:28:12</t>
  </si>
  <si>
    <t>27761072417</t>
  </si>
  <si>
    <t>14827575</t>
  </si>
  <si>
    <t>a895cd3b-919c-4ce7-bf05-bc05782e09e2</t>
  </si>
  <si>
    <t>27818044694</t>
  </si>
  <si>
    <t>14827576</t>
  </si>
  <si>
    <t>a9383ac2-7ddb-44d9-994a-1149e4b260de</t>
  </si>
  <si>
    <t>27606160495</t>
  </si>
  <si>
    <t>14827577</t>
  </si>
  <si>
    <t>352f6886-18f5-4a97-809d-a712a5b6d63f</t>
  </si>
  <si>
    <t>27726993478</t>
  </si>
  <si>
    <t>14827581</t>
  </si>
  <si>
    <t>aef20588-b255-4850-a168-9e978dc1f387</t>
  </si>
  <si>
    <t>2026-06-15 06:28:11</t>
  </si>
  <si>
    <t>27828562862</t>
  </si>
  <si>
    <t>14827743</t>
  </si>
  <si>
    <t>29b9358f-b07f-45aa-bda5-b741ab43e407</t>
  </si>
  <si>
    <t>2026-06-15 06:28:00</t>
  </si>
  <si>
    <t>27766855577</t>
  </si>
  <si>
    <t>14827833</t>
  </si>
  <si>
    <t>20ba4c72-ef11-4a93-9508-9b7693e7f543</t>
  </si>
  <si>
    <t>27768868609</t>
  </si>
  <si>
    <t>2026-06-15 06:27:53</t>
  </si>
  <si>
    <t>14827582</t>
  </si>
  <si>
    <t>945332b3-a202-4b57-bddc-8c017c45905e</t>
  </si>
  <si>
    <t>27826212371</t>
  </si>
  <si>
    <t>14827744</t>
  </si>
  <si>
    <t>72e0d896-85b6-4cb9-a54e-0055edb9a009</t>
  </si>
  <si>
    <t>27773871969</t>
  </si>
  <si>
    <t>14827609</t>
  </si>
  <si>
    <t>b3d7cd1f-ae86-4e31-84bb-b39f28b004ec</t>
  </si>
  <si>
    <t>2026-06-15 06:27:03</t>
  </si>
  <si>
    <t>27716274456</t>
  </si>
  <si>
    <t>14827580</t>
  </si>
  <si>
    <t>380b321d-c72d-48d5-8dc6-cea588a63c64</t>
  </si>
  <si>
    <t>2026-06-15 06:26:57</t>
  </si>
  <si>
    <t>27797165503</t>
  </si>
  <si>
    <t>14827610</t>
  </si>
  <si>
    <t>f33becc3-b01f-4142-9afe-9e79c91f6358</t>
  </si>
  <si>
    <t>27711143297</t>
  </si>
  <si>
    <t>14827648</t>
  </si>
  <si>
    <t>c9110e87-87be-430b-8864-419cba3e20df</t>
  </si>
  <si>
    <t>2026-06-15 06:26:56</t>
  </si>
  <si>
    <t>27716965316</t>
  </si>
  <si>
    <t>14827620</t>
  </si>
  <si>
    <t>b9607451-b8eb-4475-a810-7a2ec88ab850</t>
  </si>
  <si>
    <t>27792152159</t>
  </si>
  <si>
    <t>2026-06-15 06:25:26</t>
  </si>
  <si>
    <t>14827595</t>
  </si>
  <si>
    <t>4f0d4e63-486b-40e6-ba19-53c2f9c0e2ac</t>
  </si>
  <si>
    <t>2026-06-15 06:25:20</t>
  </si>
  <si>
    <t>27766102140</t>
  </si>
  <si>
    <t>14827663</t>
  </si>
  <si>
    <t>8923189a-966f-478b-bbf5-f7565422dd58</t>
  </si>
  <si>
    <t>27649739098</t>
  </si>
  <si>
    <t>14827652</t>
  </si>
  <si>
    <t>69bb8eab-4bf4-4633-aa7d-688a9cf5fdf5</t>
  </si>
  <si>
    <t>27608089394</t>
  </si>
  <si>
    <t>14827776</t>
  </si>
  <si>
    <t>b3f2c2c1-847a-41a5-9082-5e68c44d1cf1</t>
  </si>
  <si>
    <t>2026-06-15 06:23:57</t>
  </si>
  <si>
    <t>27609104157</t>
  </si>
  <si>
    <t>14827615</t>
  </si>
  <si>
    <t>136828c2-d3dd-4e73-bd0d-34a3d5646add</t>
  </si>
  <si>
    <t>2026-06-15 06:23:48</t>
  </si>
  <si>
    <t>27724258334</t>
  </si>
  <si>
    <t>14827656</t>
  </si>
  <si>
    <t>437b42a1-4099-4f6a-8d21-268b85aedec8</t>
  </si>
  <si>
    <t>2026-06-15 06:23:43</t>
  </si>
  <si>
    <t>27663347518</t>
  </si>
  <si>
    <t>14827578</t>
  </si>
  <si>
    <t>a4e3a0e6-bed4-49e0-bea3-04bc7904d796</t>
  </si>
  <si>
    <t>27724661542</t>
  </si>
  <si>
    <t>2026-06-15 06:23:41</t>
  </si>
  <si>
    <t>14827579</t>
  </si>
  <si>
    <t>976ca199-670c-4f68-95a3-15ab2c775dac</t>
  </si>
  <si>
    <t>2026-06-15 06:23:40</t>
  </si>
  <si>
    <t>27636731420</t>
  </si>
  <si>
    <t>14827848</t>
  </si>
  <si>
    <t>dd738745-8ce3-46da-be58-288b03071db6</t>
  </si>
  <si>
    <t>2026-06-15 06:23:36</t>
  </si>
  <si>
    <t>27791477275</t>
  </si>
  <si>
    <t>14827592</t>
  </si>
  <si>
    <t>4154f43a-7b5e-48f5-943c-c68d55ee0b53</t>
  </si>
  <si>
    <t>2026-06-15 06:23:31</t>
  </si>
  <si>
    <t>27724577029</t>
  </si>
  <si>
    <t>14827655</t>
  </si>
  <si>
    <t>da498f79-01ef-42ed-aca4-a9233bf9c625</t>
  </si>
  <si>
    <t>27825568963</t>
  </si>
  <si>
    <t>e801b81b-17f4-4b73-bf45-1b1337810bba</t>
  </si>
  <si>
    <t>27725000400</t>
  </si>
  <si>
    <t>2026-06-15 06:23:21</t>
  </si>
  <si>
    <t>14827598</t>
  </si>
  <si>
    <t>082efa6d-8136-4708-ba66-ffce0ea2e52a</t>
  </si>
  <si>
    <t>27793087167</t>
  </si>
  <si>
    <t>14827631</t>
  </si>
  <si>
    <t>df9f2470-3dce-40fd-9b36-f02db92b49d5</t>
  </si>
  <si>
    <t>27665400068</t>
  </si>
  <si>
    <t>14827665</t>
  </si>
  <si>
    <t>5241f462-8723-4675-9b39-155d53879319</t>
  </si>
  <si>
    <t>2026-06-15 06:23:20</t>
  </si>
  <si>
    <t>27713419280</t>
  </si>
  <si>
    <t>14827613</t>
  </si>
  <si>
    <t>62a6f3f7-b909-4fa8-bbb4-8ea4369ed55e</t>
  </si>
  <si>
    <t>27660889178</t>
  </si>
  <si>
    <t>2026-06-15 06:21:51</t>
  </si>
  <si>
    <t>14827635</t>
  </si>
  <si>
    <t>a52abe71-8a64-4013-ba38-c2e02bb2d12f</t>
  </si>
  <si>
    <t>2026-06-15 06:21:48</t>
  </si>
  <si>
    <t>27832555592</t>
  </si>
  <si>
    <t>14827876</t>
  </si>
  <si>
    <t>cb742b0f-6c73-4b8c-80ae-d3c95ac7f103</t>
  </si>
  <si>
    <t>2026-06-15 06:21:47</t>
  </si>
  <si>
    <t>27665674117</t>
  </si>
  <si>
    <t>14827636</t>
  </si>
  <si>
    <t>250ef4cb-dcb6-43f3-a131-f3948da9d51e</t>
  </si>
  <si>
    <t>27609457541</t>
  </si>
  <si>
    <t>14827606</t>
  </si>
  <si>
    <t>a180b9dd-cac8-4d3a-a280-9babe3aa6eb1</t>
  </si>
  <si>
    <t>2026-06-15 06:20:41</t>
  </si>
  <si>
    <t>27723662375</t>
  </si>
  <si>
    <t>14827667</t>
  </si>
  <si>
    <t>14fd7c7f-c919-4042-8680-81bb27d1f58d</t>
  </si>
  <si>
    <t>2026-06-15 06:20:29</t>
  </si>
  <si>
    <t>27724952900</t>
  </si>
  <si>
    <t>14827678</t>
  </si>
  <si>
    <t>b8696555-9011-4111-9c22-5e38ebe0380e</t>
  </si>
  <si>
    <t>27823903708</t>
  </si>
  <si>
    <t>2026-06-15 06:20:12</t>
  </si>
  <si>
    <t>14827633</t>
  </si>
  <si>
    <t>7807b9be-2197-425a-aa88-e6f126ef6de5</t>
  </si>
  <si>
    <t>2026-06-15 06:20:11</t>
  </si>
  <si>
    <t>27716451627</t>
  </si>
  <si>
    <t>14827778</t>
  </si>
  <si>
    <t>3f3b19bd-1828-49eb-aa14-92601c87241b</t>
  </si>
  <si>
    <t>27728004986</t>
  </si>
  <si>
    <t>14827640</t>
  </si>
  <si>
    <t>d6499c5a-4ea0-424e-95c5-537aef67c3d2</t>
  </si>
  <si>
    <t>27767331231</t>
  </si>
  <si>
    <t>2026-06-15 06:19:32</t>
  </si>
  <si>
    <t>14827673</t>
  </si>
  <si>
    <t>c64491a6-9274-490e-8a54-cd16f82e492a</t>
  </si>
  <si>
    <t>27760609936</t>
  </si>
  <si>
    <t>2026-06-15 06:19:19</t>
  </si>
  <si>
    <t>14827600</t>
  </si>
  <si>
    <t>e9ca2a97-fd71-409a-b5ac-bb523fbfe70d</t>
  </si>
  <si>
    <t>2026-06-15 06:19:13</t>
  </si>
  <si>
    <t>27609390288</t>
  </si>
  <si>
    <t>14827601</t>
  </si>
  <si>
    <t>851c58ab-f35c-4076-b737-2ce13ea76b1b</t>
  </si>
  <si>
    <t>2026-06-15 06:19:11</t>
  </si>
  <si>
    <t>27726139477</t>
  </si>
  <si>
    <t>14827847</t>
  </si>
  <si>
    <t>2cb079cd-b536-45ad-981b-d6c998db6998</t>
  </si>
  <si>
    <t>2026-06-15 06:19:06</t>
  </si>
  <si>
    <t>27761445729</t>
  </si>
  <si>
    <t>14827619</t>
  </si>
  <si>
    <t>64fe93bb-0a6d-4540-a112-9baaae68d27a</t>
  </si>
  <si>
    <t>2026-06-15 06:19:04</t>
  </si>
  <si>
    <t>27768097006</t>
  </si>
  <si>
    <t>14827668</t>
  </si>
  <si>
    <t>395edfe9-806f-4bc2-9b4f-8e96f9732ece</t>
  </si>
  <si>
    <t>2026-06-15 06:19:00</t>
  </si>
  <si>
    <t>27792366151</t>
  </si>
  <si>
    <t>14827650</t>
  </si>
  <si>
    <t>1159082c-17ae-420f-813b-6f3cbfc77303</t>
  </si>
  <si>
    <t>27649348736</t>
  </si>
  <si>
    <t>14827651</t>
  </si>
  <si>
    <t>ac449e58-8d99-44c7-9537-d6fdd2da95d5</t>
  </si>
  <si>
    <t>27820502109</t>
  </si>
  <si>
    <t>2026-06-15 06:18:49</t>
  </si>
  <si>
    <t>14827872</t>
  </si>
  <si>
    <t>78395fc2-40d8-4bb9-99bf-1ce4610f0aae</t>
  </si>
  <si>
    <t>2026-06-15 06:18:44</t>
  </si>
  <si>
    <t>27825996143</t>
  </si>
  <si>
    <t>14827697</t>
  </si>
  <si>
    <t>0b6bd6b4-938b-4115-b249-d84f4d93d0c5</t>
  </si>
  <si>
    <t>27793365192</t>
  </si>
  <si>
    <t>2026-06-15 06:18:40</t>
  </si>
  <si>
    <t>14827623</t>
  </si>
  <si>
    <t>67c3a629-3e3e-43ea-8557-f902ae51735e</t>
  </si>
  <si>
    <t>2026-06-15 06:17:57</t>
  </si>
  <si>
    <t>27711733392</t>
  </si>
  <si>
    <t>14827698</t>
  </si>
  <si>
    <t>d58daf78-51a2-4b9b-83d9-a812ba8d015d</t>
  </si>
  <si>
    <t>2026-06-15 06:17:21</t>
  </si>
  <si>
    <t>27649460883</t>
  </si>
  <si>
    <t>14827614</t>
  </si>
  <si>
    <t>64daa65f-dfe4-49bb-b2cf-405183508881</t>
  </si>
  <si>
    <t>2026-06-15 06:17:15</t>
  </si>
  <si>
    <t>27715415933</t>
  </si>
  <si>
    <t>14827628</t>
  </si>
  <si>
    <t>96f262d7-28e7-4e90-becd-dcd5815b17d5</t>
  </si>
  <si>
    <t>27760753229</t>
  </si>
  <si>
    <t>14827688</t>
  </si>
  <si>
    <t>f33abff1-32d0-4a79-8a23-00234b213f29</t>
  </si>
  <si>
    <t>27766899134</t>
  </si>
  <si>
    <t>14827657</t>
  </si>
  <si>
    <t>992ccf93-956b-4fd8-a61b-ec2e8c8b5601</t>
  </si>
  <si>
    <t>2026-06-15 06:17:14</t>
  </si>
  <si>
    <t>27717062194</t>
  </si>
  <si>
    <t>14827866</t>
  </si>
  <si>
    <t>a6f3ce07-ac48-4936-a79b-b4fd065d1632</t>
  </si>
  <si>
    <t>2026-06-15 06:17:11</t>
  </si>
  <si>
    <t>27768470506</t>
  </si>
  <si>
    <t>14827662</t>
  </si>
  <si>
    <t>6fa786b1-352e-4734-b64b-86aefb40895f</t>
  </si>
  <si>
    <t>27825048481</t>
  </si>
  <si>
    <t>14827630</t>
  </si>
  <si>
    <t>c7089d11-cc55-40d0-bd1b-01d777348f2a</t>
  </si>
  <si>
    <t>27797169382</t>
  </si>
  <si>
    <t>14827699</t>
  </si>
  <si>
    <t>8f8010f5-c6f9-4d25-a6a9-30dbb92bb1bd</t>
  </si>
  <si>
    <t>27796975795</t>
  </si>
  <si>
    <t>14827726</t>
  </si>
  <si>
    <t>ba19087d-ecef-4d0c-9fa1-b200798783ff</t>
  </si>
  <si>
    <t>27609394424</t>
  </si>
  <si>
    <t>2026-06-15 06:16:40</t>
  </si>
  <si>
    <t>14827765</t>
  </si>
  <si>
    <t>b03ad417-fb44-4049-b32c-c21cc817689d</t>
  </si>
  <si>
    <t>27713141310</t>
  </si>
  <si>
    <t>2026-06-15 06:15:06</t>
  </si>
  <si>
    <t>14827714</t>
  </si>
  <si>
    <t>fd312a7e-b5c5-4a2a-99b8-ea8e8c5503c2</t>
  </si>
  <si>
    <t>27794495557</t>
  </si>
  <si>
    <t>14827756</t>
  </si>
  <si>
    <t>89f522fc-8915-41ad-9472-13d7917c7387</t>
  </si>
  <si>
    <t>2026-06-15 06:14:59</t>
  </si>
  <si>
    <t>27820725887</t>
  </si>
  <si>
    <t>14827842</t>
  </si>
  <si>
    <t>a3869ef0-e248-4a32-a91f-96c8dd98f6a7</t>
  </si>
  <si>
    <t>2026-06-15 06:14:58</t>
  </si>
  <si>
    <t>27791986541</t>
  </si>
  <si>
    <t>14827777</t>
  </si>
  <si>
    <t>458ee09f-3289-4744-b4e4-f8faa4cc3392</t>
  </si>
  <si>
    <t>27715196565</t>
  </si>
  <si>
    <t>14827742</t>
  </si>
  <si>
    <t>da4aa218-ee71-4fa1-9abc-cb20937e3562</t>
  </si>
  <si>
    <t>27714061198</t>
  </si>
  <si>
    <t>14827753</t>
  </si>
  <si>
    <t>710fc17f-dee0-43e3-84bd-c48cb1b15c43</t>
  </si>
  <si>
    <t>27818538136</t>
  </si>
  <si>
    <t>14827837</t>
  </si>
  <si>
    <t>39ce9911-8866-4720-a0cb-2e4bd26bea98</t>
  </si>
  <si>
    <t>2026-06-15 06:14:33</t>
  </si>
  <si>
    <t>27637918938</t>
  </si>
  <si>
    <t>14827693</t>
  </si>
  <si>
    <t>a9abf355-6035-4063-a010-a2d7d5da85bb</t>
  </si>
  <si>
    <t>27792500266</t>
  </si>
  <si>
    <t>14827718</t>
  </si>
  <si>
    <t>959dd064-1de5-4d01-98cd-81427a2137c0</t>
  </si>
  <si>
    <t>27673335551</t>
  </si>
  <si>
    <t>14827660</t>
  </si>
  <si>
    <t>545b7391-da4e-44df-bca0-9f641f28bfae</t>
  </si>
  <si>
    <t>2026-06-15 06:14:28</t>
  </si>
  <si>
    <t>27826973538</t>
  </si>
  <si>
    <t>14827835</t>
  </si>
  <si>
    <t>6ae13c7b-f3a8-479d-9c5e-71ed3acb22f4</t>
  </si>
  <si>
    <t>2026-06-15 06:14:24</t>
  </si>
  <si>
    <t>27796655683</t>
  </si>
  <si>
    <t>14827675</t>
  </si>
  <si>
    <t>fec2ea54-cae9-4a62-8395-2902abbbb3a7</t>
  </si>
  <si>
    <t>27767738416</t>
  </si>
  <si>
    <t>14827782</t>
  </si>
  <si>
    <t>99500361-fc7a-4d1a-9b48-e2a6ad5f3d11</t>
  </si>
  <si>
    <t>27732933777</t>
  </si>
  <si>
    <t>14827725</t>
  </si>
  <si>
    <t>28d16484-f7c8-4c9d-bee6-bd0b9365cf30</t>
  </si>
  <si>
    <t>27768193056</t>
  </si>
  <si>
    <t>14827638</t>
  </si>
  <si>
    <t>533f4a1c-5313-4ace-bc9d-1a874b4b9c5d</t>
  </si>
  <si>
    <t>2026-06-15 06:14:23</t>
  </si>
  <si>
    <t>27712130315</t>
  </si>
  <si>
    <t>14827658</t>
  </si>
  <si>
    <t>f89a86ed-30ab-4f67-ac94-101de56a2c17</t>
  </si>
  <si>
    <t>2026-06-15 06:14:22</t>
  </si>
  <si>
    <t>27729212814</t>
  </si>
  <si>
    <t>14827700</t>
  </si>
  <si>
    <t>ebd459ff-42cd-4a9c-97c9-7ea1410bffe4</t>
  </si>
  <si>
    <t>27762817060</t>
  </si>
  <si>
    <t>2026-06-15 06:14:19</t>
  </si>
  <si>
    <t>14827708</t>
  </si>
  <si>
    <t>1b8f27c0-d143-4fc8-a8b8-39da6b254cba</t>
  </si>
  <si>
    <t>27608870794</t>
  </si>
  <si>
    <t>14827719</t>
  </si>
  <si>
    <t>891f04f6-6b81-4540-8a31-02677a7e2869</t>
  </si>
  <si>
    <t>27725147198</t>
  </si>
  <si>
    <t>14827849</t>
  </si>
  <si>
    <t>7b22ea2b-7290-4b8a-9753-30a26623da0f</t>
  </si>
  <si>
    <t>2026-06-15 06:13:52</t>
  </si>
  <si>
    <t>27767872609</t>
  </si>
  <si>
    <t>14827661</t>
  </si>
  <si>
    <t>ffaf6f93-00b9-43dd-94bd-4b9a366e5190</t>
  </si>
  <si>
    <t>27823507587</t>
  </si>
  <si>
    <t>2026-06-15 06:13:47</t>
  </si>
  <si>
    <t>14827728</t>
  </si>
  <si>
    <t>458545a2-0351-4d4b-b5cb-6b72e65b210f</t>
  </si>
  <si>
    <t>2026-06-15 06:13:46</t>
  </si>
  <si>
    <t>27798122285</t>
  </si>
  <si>
    <t>14827738</t>
  </si>
  <si>
    <t>aee63a4a-ac59-4633-8e7a-bc7d301782c7</t>
  </si>
  <si>
    <t>2026-06-15 06:13:35</t>
  </si>
  <si>
    <t>27723499629</t>
  </si>
  <si>
    <t>14827739</t>
  </si>
  <si>
    <t>993eed6f-7d5b-4763-9b0c-cecc78b671d1</t>
  </si>
  <si>
    <t>27728089557</t>
  </si>
  <si>
    <t>2026-06-15 06:12:34</t>
  </si>
  <si>
    <t>14827680</t>
  </si>
  <si>
    <t>88a33546-7778-42b1-95f6-ec3cd43fcde0</t>
  </si>
  <si>
    <t>2026-06-15 06:12:32</t>
  </si>
  <si>
    <t>27794822829</t>
  </si>
  <si>
    <t>14827682</t>
  </si>
  <si>
    <t>c53464bf-d38e-435b-987d-6421984a54fe</t>
  </si>
  <si>
    <t>2026-06-15 06:12:28</t>
  </si>
  <si>
    <t>27731886872</t>
  </si>
  <si>
    <t>14827683</t>
  </si>
  <si>
    <t>be2f2b6e-2fb8-43af-a58f-5a70a375f012</t>
  </si>
  <si>
    <t>27738311281</t>
  </si>
  <si>
    <t>14827684</t>
  </si>
  <si>
    <t>0d86e056-806e-498f-9f78-2b1658793493</t>
  </si>
  <si>
    <t>27765408212</t>
  </si>
  <si>
    <t>14827685</t>
  </si>
  <si>
    <t>b5a8e3ad-9f7f-4a70-9592-57ddb19ed1d4</t>
  </si>
  <si>
    <t>27769386140</t>
  </si>
  <si>
    <t>14827686</t>
  </si>
  <si>
    <t>811642cd-2f4c-4102-b756-19451c8d2da8</t>
  </si>
  <si>
    <t>2026-06-15 06:12:27</t>
  </si>
  <si>
    <t>27711489580</t>
  </si>
  <si>
    <t>14827757</t>
  </si>
  <si>
    <t>e86f9bf4-a61a-40ba-9dd8-8ef9e17b62f6</t>
  </si>
  <si>
    <t>2026-06-15 06:12:18</t>
  </si>
  <si>
    <t>27795755515</t>
  </si>
  <si>
    <t>14827687</t>
  </si>
  <si>
    <t>5c1d37c0-a6cb-40b3-92af-087c35c1f659</t>
  </si>
  <si>
    <t>27713423201</t>
  </si>
  <si>
    <t>14827832</t>
  </si>
  <si>
    <t>b8cc1bc0-ed74-4af8-802c-0c7d43a78a91</t>
  </si>
  <si>
    <t>2026-06-15 06:12:17</t>
  </si>
  <si>
    <t>27765647153</t>
  </si>
  <si>
    <t>14827758</t>
  </si>
  <si>
    <t>285d17b1-9997-49a7-84a7-cc16da4eddf4</t>
  </si>
  <si>
    <t>27796047401</t>
  </si>
  <si>
    <t>14827735</t>
  </si>
  <si>
    <t>2c78c6db-a1c8-4143-befb-ad25e74a306b</t>
  </si>
  <si>
    <t>2026-06-15 06:11:20</t>
  </si>
  <si>
    <t>27763904359</t>
  </si>
  <si>
    <t>14827783</t>
  </si>
  <si>
    <t>6be0710a-b40f-4048-92af-786002805b67</t>
  </si>
  <si>
    <t>2026-06-15 06:11:13</t>
  </si>
  <si>
    <t>27764522493</t>
  </si>
  <si>
    <t>14827711</t>
  </si>
  <si>
    <t>af7adf95-ffac-49fe-be1c-9b55a95798a1</t>
  </si>
  <si>
    <t>2026-06-15 06:11:00</t>
  </si>
  <si>
    <t>27609266119</t>
  </si>
  <si>
    <t>14827824</t>
  </si>
  <si>
    <t>cfa99f8a-401d-495e-8ea0-52335f391d6f</t>
  </si>
  <si>
    <t>2026-06-15 06:10:42</t>
  </si>
  <si>
    <t>27799988495</t>
  </si>
  <si>
    <t>14827734</t>
  </si>
  <si>
    <t>c138aea4-1627-4d46-b4c5-3451c38cbd2b</t>
  </si>
  <si>
    <t>2026-06-15 06:10:41</t>
  </si>
  <si>
    <t>27647029288</t>
  </si>
  <si>
    <t>14827671</t>
  </si>
  <si>
    <t>56d2d27b-9070-4982-989c-e197527ebf4c</t>
  </si>
  <si>
    <t>27798229320</t>
  </si>
  <si>
    <t>2026-06-15 06:10:40</t>
  </si>
  <si>
    <t>14827672</t>
  </si>
  <si>
    <t>9e2a60f2-2f8a-4b27-a727-e0d0c4cbb0da</t>
  </si>
  <si>
    <t>2026-06-15 06:10:05</t>
  </si>
  <si>
    <t>27726433764</t>
  </si>
  <si>
    <t>14827829</t>
  </si>
  <si>
    <t>984eb19b-5195-4878-a997-6150dc10f808</t>
  </si>
  <si>
    <t>27818351247</t>
  </si>
  <si>
    <t>2026-06-15 06:09:58</t>
  </si>
  <si>
    <t>14827732</t>
  </si>
  <si>
    <t>d6a0aed6-ed26-42e5-af8a-fde92cdfe7da</t>
  </si>
  <si>
    <t>2026-06-15 06:09:55</t>
  </si>
  <si>
    <t>27712350573</t>
  </si>
  <si>
    <t>14827843</t>
  </si>
  <si>
    <t>2c303a4d-9006-40b4-9890-756c4ffaee46</t>
  </si>
  <si>
    <t>27712372032</t>
  </si>
  <si>
    <t>2026-06-15 06:09:41</t>
  </si>
  <si>
    <t>14827694</t>
  </si>
  <si>
    <t>edfbfacb-dd28-4d42-9b2e-2e2590f55e02</t>
  </si>
  <si>
    <t>27793129612</t>
  </si>
  <si>
    <t>14827722</t>
  </si>
  <si>
    <t>508e3f11-c786-47e8-9a29-89eee7fee5bd</t>
  </si>
  <si>
    <t>27721857847</t>
  </si>
  <si>
    <t>14827763</t>
  </si>
  <si>
    <t>2d1ea51c-185f-4855-8000-250c3ec2a0a2</t>
  </si>
  <si>
    <t>27765753443</t>
  </si>
  <si>
    <t>2026-06-15 06:09:29</t>
  </si>
  <si>
    <t>14827786</t>
  </si>
  <si>
    <t>cf1ecaa3-899c-40c6-bb21-127c3cff36e5</t>
  </si>
  <si>
    <t>2026-06-15 06:08:52</t>
  </si>
  <si>
    <t>27796522256</t>
  </si>
  <si>
    <t>14827695</t>
  </si>
  <si>
    <t>d5aacc04-4dbd-47a0-ac51-0ae6439f82b6</t>
  </si>
  <si>
    <t>27795390398</t>
  </si>
  <si>
    <t>2026-06-15 06:08:48</t>
  </si>
  <si>
    <t>14827770</t>
  </si>
  <si>
    <t>3bd9a8bb-d1c1-4996-8257-6e6093104b4e</t>
  </si>
  <si>
    <t>2026-06-15 06:08:42</t>
  </si>
  <si>
    <t>27774699275</t>
  </si>
  <si>
    <t>14827779</t>
  </si>
  <si>
    <t>6ed3bb73-e9d6-4520-af8b-4ce78f8f3230</t>
  </si>
  <si>
    <t>27732437171</t>
  </si>
  <si>
    <t>14827762</t>
  </si>
  <si>
    <t>706aad34-e650-418d-8b6e-53c435062ba2</t>
  </si>
  <si>
    <t>2026-06-15 06:08:40</t>
  </si>
  <si>
    <t>27711690889</t>
  </si>
  <si>
    <t>14827740</t>
  </si>
  <si>
    <t>88d886e8-b94e-46f0-8e0e-4a2ab8124a19</t>
  </si>
  <si>
    <t>27729685474</t>
  </si>
  <si>
    <t>2026-06-15 06:08:37</t>
  </si>
  <si>
    <t>14827841</t>
  </si>
  <si>
    <t>4e22c797-6041-4b4d-8813-ac5f2adc0f77</t>
  </si>
  <si>
    <t>2026-06-15 06:08:36</t>
  </si>
  <si>
    <t>27761068453</t>
  </si>
  <si>
    <t>14827771</t>
  </si>
  <si>
    <t>69f7c4f3-3d0c-46f2-985d-9632dab6e80a</t>
  </si>
  <si>
    <t>27790473991</t>
  </si>
  <si>
    <t>14827780</t>
  </si>
  <si>
    <t>5191e40d-e206-4298-9538-e67030098cf1</t>
  </si>
  <si>
    <t>27760182001</t>
  </si>
  <si>
    <t>17e48344-53b4-4c43-bd05-b21707e9e67c</t>
  </si>
  <si>
    <t>27769097174</t>
  </si>
  <si>
    <t>2026-06-15 06:04:10</t>
  </si>
  <si>
    <t>14828202</t>
  </si>
  <si>
    <t>c3eee5d6-132d-4b5a-8810-e928360c3c5e</t>
  </si>
  <si>
    <t>27828976647</t>
  </si>
  <si>
    <t>2026-06-12 13:47:51</t>
  </si>
  <si>
    <t>14828180</t>
  </si>
  <si>
    <t>08ae3a03-93af-4853-84c4-4baf31a555cb</t>
  </si>
  <si>
    <t>27728943083</t>
  </si>
  <si>
    <t>2026-06-12 13:44:51</t>
  </si>
  <si>
    <t>14827860</t>
  </si>
  <si>
    <t>107f0c13-9d78-4bb6-b64d-869c9048c16c</t>
  </si>
  <si>
    <t>27723333840</t>
  </si>
  <si>
    <t>2026-06-12 13:18:46</t>
  </si>
  <si>
    <t>14828217</t>
  </si>
  <si>
    <t>cb960031-d2ad-4236-89e7-3d6a654c4557</t>
  </si>
  <si>
    <t>27826235557</t>
  </si>
  <si>
    <t>2026-06-12 13:01:06</t>
  </si>
  <si>
    <t>14828221</t>
  </si>
  <si>
    <t>334a3ea8-0553-4729-bade-f4e2720cfb04</t>
  </si>
  <si>
    <t>27762348452</t>
  </si>
  <si>
    <t>14828224</t>
  </si>
  <si>
    <t>684eb259-9e9f-4d27-afeb-228c17fe4335</t>
  </si>
  <si>
    <t>27728370212</t>
  </si>
  <si>
    <t>14828181</t>
  </si>
  <si>
    <t>2cc360db-acbb-4745-bfae-e009798bb909</t>
  </si>
  <si>
    <t>2026-06-12 12:58:41</t>
  </si>
  <si>
    <t>27728972725</t>
  </si>
  <si>
    <t>14828200</t>
  </si>
  <si>
    <t>2bae31e3-bd40-4aa9-a9a8-2f0014b37bc3</t>
  </si>
  <si>
    <t>27774276882</t>
  </si>
  <si>
    <t>14828220</t>
  </si>
  <si>
    <t>d2aa22ba-2575-4b66-a949-69ef53120d06</t>
  </si>
  <si>
    <t>2026-06-12 12:58:40</t>
  </si>
  <si>
    <t>27761779743</t>
  </si>
  <si>
    <t>14828184</t>
  </si>
  <si>
    <t>46213bef-f727-442c-ba48-3ee6847acb04</t>
  </si>
  <si>
    <t>2026-06-12 12:53:01</t>
  </si>
  <si>
    <t>27715012072</t>
  </si>
  <si>
    <t>14828198</t>
  </si>
  <si>
    <t>b3721adb-2dad-4f6a-a8be-5c37d0af7ed8</t>
  </si>
  <si>
    <t>27790917669</t>
  </si>
  <si>
    <t>14828199</t>
  </si>
  <si>
    <t>a5c47001-e86d-4195-ba4d-b52199b76af0</t>
  </si>
  <si>
    <t>27799315157</t>
  </si>
  <si>
    <t>14828201</t>
  </si>
  <si>
    <t>1dc103bf-e327-4a6b-88b7-4d0425b3c1f2</t>
  </si>
  <si>
    <t>27788408502</t>
  </si>
  <si>
    <t>14828510</t>
  </si>
  <si>
    <t>eae9d6d5-eae0-48c2-b351-553883b25b7d</t>
  </si>
  <si>
    <t>2026-06-12 12:50:38</t>
  </si>
  <si>
    <t>27726289308</t>
  </si>
  <si>
    <t>14827811</t>
  </si>
  <si>
    <t>4f86b927-f252-4017-a1e8-9f1e241a260e</t>
  </si>
  <si>
    <t>27795411920</t>
  </si>
  <si>
    <t>2026-06-12 12:50:36</t>
  </si>
  <si>
    <t>14828035</t>
  </si>
  <si>
    <t>30de73fe-7633-4077-8588-49ab927e7443</t>
  </si>
  <si>
    <t>27608307532</t>
  </si>
  <si>
    <t>14828065</t>
  </si>
  <si>
    <t>02067d46-37e6-4d09-a080-6153db418b1c</t>
  </si>
  <si>
    <t>2026-06-12 12:50:35</t>
  </si>
  <si>
    <t>27724526377</t>
  </si>
  <si>
    <t>14828066</t>
  </si>
  <si>
    <t>eceec53a-b51c-4206-bc6f-17a98a0e265c</t>
  </si>
  <si>
    <t>2026-06-12 12:49:40</t>
  </si>
  <si>
    <t>27828048343</t>
  </si>
  <si>
    <t>14828077</t>
  </si>
  <si>
    <t>76bc1291-8738-4ba9-8711-4a837e01f158</t>
  </si>
  <si>
    <t>2026-06-12 12:49:34</t>
  </si>
  <si>
    <t>27794572348</t>
  </si>
  <si>
    <t>14828095</t>
  </si>
  <si>
    <t>abae390a-3c24-4f90-a386-19a9c658f340</t>
  </si>
  <si>
    <t>27828353962</t>
  </si>
  <si>
    <t>14828136</t>
  </si>
  <si>
    <t>102df67c-2045-4b34-9c8f-040ac4419085</t>
  </si>
  <si>
    <t>27763745027</t>
  </si>
  <si>
    <t>14828494</t>
  </si>
  <si>
    <t>e0c95db5-8f87-420e-974f-f22136e57032</t>
  </si>
  <si>
    <t>2026-06-12 12:47:01</t>
  </si>
  <si>
    <t>27828451769</t>
  </si>
  <si>
    <t>14828495</t>
  </si>
  <si>
    <t>ac40105b-d7c0-4021-b100-974cc32953a6</t>
  </si>
  <si>
    <t>2026-06-12 12:47:00</t>
  </si>
  <si>
    <t>27729969053</t>
  </si>
  <si>
    <t>14827921</t>
  </si>
  <si>
    <t>7971ce45-2b17-4866-8b0f-e8904352b95f</t>
  </si>
  <si>
    <t>2026-06-12 12:46:59</t>
  </si>
  <si>
    <t>27646024521</t>
  </si>
  <si>
    <t>14827926</t>
  </si>
  <si>
    <t>fae9c5bb-f579-460f-92e4-7ff07c5dee00</t>
  </si>
  <si>
    <t>2026-06-12 12:46:46</t>
  </si>
  <si>
    <t>27606630069</t>
  </si>
  <si>
    <t>14828012</t>
  </si>
  <si>
    <t>daf41af2-5cd3-401c-8232-11d5c492ab05</t>
  </si>
  <si>
    <t>2026-06-12 12:46:42</t>
  </si>
  <si>
    <t>27711107627</t>
  </si>
  <si>
    <t>14828015</t>
  </si>
  <si>
    <t>137f5b37-888a-451a-9c71-56b1533c82eb</t>
  </si>
  <si>
    <t>2026-06-12 12:46:39</t>
  </si>
  <si>
    <t>27637075041</t>
  </si>
  <si>
    <t>14828019</t>
  </si>
  <si>
    <t>79fc49b1-59be-489d-9bdf-0f289de47b67</t>
  </si>
  <si>
    <t>2026-06-12 12:46:32</t>
  </si>
  <si>
    <t>27608013174</t>
  </si>
  <si>
    <t>14828020</t>
  </si>
  <si>
    <t>6ca3abfb-3788-48ce-914d-c6bac4f8a1df</t>
  </si>
  <si>
    <t>2026-06-12 12:46:29</t>
  </si>
  <si>
    <t>27714847850</t>
  </si>
  <si>
    <t>14828031</t>
  </si>
  <si>
    <t>9acf4ca7-8d9a-4924-887f-50e8c5b72f2f</t>
  </si>
  <si>
    <t>27673130329</t>
  </si>
  <si>
    <t>14828042</t>
  </si>
  <si>
    <t>7eae19d7-87b4-4efc-a7c6-89fe9ecf5d4c</t>
  </si>
  <si>
    <t>2026-06-12 12:46:28</t>
  </si>
  <si>
    <t>27729108276</t>
  </si>
  <si>
    <t>14827927</t>
  </si>
  <si>
    <t>29f7093f-af3a-45c9-afa3-6bdb111c765c</t>
  </si>
  <si>
    <t>2026-06-12 12:45:16</t>
  </si>
  <si>
    <t>27637535775</t>
  </si>
  <si>
    <t>14827928</t>
  </si>
  <si>
    <t>1062a83a-fea3-44ba-98e6-59978a47a33f</t>
  </si>
  <si>
    <t>2026-06-12 12:45:14</t>
  </si>
  <si>
    <t>27673260357</t>
  </si>
  <si>
    <t>14828009</t>
  </si>
  <si>
    <t>b11617cc-e123-44d7-a922-8bb073dc0470</t>
  </si>
  <si>
    <t>27790851534</t>
  </si>
  <si>
    <t>2026-06-12 12:45:10</t>
  </si>
  <si>
    <t>14828011</t>
  </si>
  <si>
    <t>b0c2a5c4-0de6-4dae-a51a-d21fe5d74fb6</t>
  </si>
  <si>
    <t>27646437586</t>
  </si>
  <si>
    <t>14827930</t>
  </si>
  <si>
    <t>0f6ecb62-5a73-4112-a6bb-9eaa9c2b8b42</t>
  </si>
  <si>
    <t>27795552548</t>
  </si>
  <si>
    <t>14828014</t>
  </si>
  <si>
    <t>00d7d0dc-7280-45fc-bd02-ffe7e88c971c</t>
  </si>
  <si>
    <t>27725754440</t>
  </si>
  <si>
    <t>2026-06-12 12:45:09</t>
  </si>
  <si>
    <t>14828203</t>
  </si>
  <si>
    <t>f9775fe7-052e-4a4b-937f-a79a8f936647</t>
  </si>
  <si>
    <t>2026-06-12 12:42:48</t>
  </si>
  <si>
    <t>27792960860</t>
  </si>
  <si>
    <t>14828204</t>
  </si>
  <si>
    <t>afc8acc6-dd23-4a18-8180-1e5a0cd2829b</t>
  </si>
  <si>
    <t>2026-06-12 12:42:40</t>
  </si>
  <si>
    <t>27673854873</t>
  </si>
  <si>
    <t>14828205</t>
  </si>
  <si>
    <t>4b1f8ae2-83fd-4ae9-9393-7ee38fd1feb6</t>
  </si>
  <si>
    <t>27772669426</t>
  </si>
  <si>
    <t>2026-06-12 12:42:39</t>
  </si>
  <si>
    <t>14828206</t>
  </si>
  <si>
    <t>a9e11ed7-c263-4afd-84e5-0bdb215880d9</t>
  </si>
  <si>
    <t>2026-06-12 12:42:37</t>
  </si>
  <si>
    <t>27724720902</t>
  </si>
  <si>
    <t>14828207</t>
  </si>
  <si>
    <t>3ebf1e10-fb7a-4e47-8c4e-7f7f0983df0a</t>
  </si>
  <si>
    <t>2026-06-12 12:42:36</t>
  </si>
  <si>
    <t>27663623814</t>
  </si>
  <si>
    <t>14828208</t>
  </si>
  <si>
    <t>6d39cc16-0270-47a5-9eb0-4f140945525e</t>
  </si>
  <si>
    <t>27774671435</t>
  </si>
  <si>
    <t>14828209</t>
  </si>
  <si>
    <t>3ec64af9-bb3a-4042-a5e2-d6cf5d90de55</t>
  </si>
  <si>
    <t>27767054741</t>
  </si>
  <si>
    <t>14828210</t>
  </si>
  <si>
    <t>08fa850c-48ab-458d-bd2e-632eb1f6377c</t>
  </si>
  <si>
    <t>2026-06-12 12:42:35</t>
  </si>
  <si>
    <t>27826522822</t>
  </si>
  <si>
    <t>14828211</t>
  </si>
  <si>
    <t>3c25c603-4e78-418a-8c94-6eef9fa8de03</t>
  </si>
  <si>
    <t>27607279511</t>
  </si>
  <si>
    <t>14827831</t>
  </si>
  <si>
    <t>35567aa4-ae58-4a78-9698-b167f9151845</t>
  </si>
  <si>
    <t>27723019847</t>
  </si>
  <si>
    <t>2026-06-12 12:42:05</t>
  </si>
  <si>
    <t>14828213</t>
  </si>
  <si>
    <t>abab9bf7-b872-4105-becd-006929352fad</t>
  </si>
  <si>
    <t>2026-06-12 12:42:02</t>
  </si>
  <si>
    <t>27763689636</t>
  </si>
  <si>
    <t>0839e688-18e5-4725-ad69-4f73ab989a1f</t>
  </si>
  <si>
    <t>27796225406</t>
  </si>
  <si>
    <t>14828215</t>
  </si>
  <si>
    <t>70103298-73ad-4a1b-a4a7-fbec1c8d33e4</t>
  </si>
  <si>
    <t>2026-06-12 12:42:00</t>
  </si>
  <si>
    <t>27606848406</t>
  </si>
  <si>
    <t>14828216</t>
  </si>
  <si>
    <t>f3c66338-fafc-414d-92eb-3fdfbf591954</t>
  </si>
  <si>
    <t>2026-06-12 12:41:58</t>
  </si>
  <si>
    <t>27790935024</t>
  </si>
  <si>
    <t>14827862</t>
  </si>
  <si>
    <t>6d89f677-a9f5-47a8-9b77-8cb726d62038</t>
  </si>
  <si>
    <t>2026-06-12 12:41:55</t>
  </si>
  <si>
    <t>27720772468</t>
  </si>
  <si>
    <t>14827868</t>
  </si>
  <si>
    <t>a3d74fb6-7cea-40a8-98b5-0d777bc39d2d</t>
  </si>
  <si>
    <t>27798741647</t>
  </si>
  <si>
    <t>14827869</t>
  </si>
  <si>
    <t>0d387d97-98bb-460b-8448-a25bc95492ce</t>
  </si>
  <si>
    <t>27763324112</t>
  </si>
  <si>
    <t>14827870</t>
  </si>
  <si>
    <t>4b1be302-0a5f-4ff7-8c6b-02ca721726ae</t>
  </si>
  <si>
    <t>27664099673</t>
  </si>
  <si>
    <t>14827871</t>
  </si>
  <si>
    <t>6c87671c-d9c1-4bba-b51b-294ab0cabb94</t>
  </si>
  <si>
    <t>27798470014</t>
  </si>
  <si>
    <t>14827880</t>
  </si>
  <si>
    <t>c2a06cf6-1c05-4a6c-9983-5dd0df3ad42b</t>
  </si>
  <si>
    <t>2026-06-12 12:41:50</t>
  </si>
  <si>
    <t>27765458398</t>
  </si>
  <si>
    <t>14827881</t>
  </si>
  <si>
    <t>94e6cf14-07ec-4ac1-a78e-1ac5e89dd450</t>
  </si>
  <si>
    <t>2026-06-12 12:41:48</t>
  </si>
  <si>
    <t>27722829491</t>
  </si>
  <si>
    <t>14827924</t>
  </si>
  <si>
    <t>c90f3324-2dec-4519-b21a-c70b00088754</t>
  </si>
  <si>
    <t>2026-06-12 12:41:47</t>
  </si>
  <si>
    <t>27818224915</t>
  </si>
  <si>
    <t>14828186</t>
  </si>
  <si>
    <t>390655a0-d6b5-459c-b6ca-717260246780</t>
  </si>
  <si>
    <t>27637512599</t>
  </si>
  <si>
    <t>2026-06-12 12:41:23</t>
  </si>
  <si>
    <t>14828193</t>
  </si>
  <si>
    <t>0f11e322-bac2-4407-b554-ad93d8fef6e9</t>
  </si>
  <si>
    <t>27734281813</t>
  </si>
  <si>
    <t>14827819</t>
  </si>
  <si>
    <t>a0315c27-8bb1-4269-ac12-1e759c9c6278</t>
  </si>
  <si>
    <t>27827415868</t>
  </si>
  <si>
    <t>2026-06-12 12:41:22</t>
  </si>
  <si>
    <t>14827863</t>
  </si>
  <si>
    <t>30c631ce-968c-4f79-ba35-153cf615bcd6</t>
  </si>
  <si>
    <t>27794172039</t>
  </si>
  <si>
    <t>14828197</t>
  </si>
  <si>
    <t>41a08877-29e0-4368-aaaf-9d03e3e765ab</t>
  </si>
  <si>
    <t>27769114799</t>
  </si>
  <si>
    <t>14827817</t>
  </si>
  <si>
    <t>485048ff-531a-4f91-9f2a-883e5f025c5a</t>
  </si>
  <si>
    <t>2026-06-12 12:41:21</t>
  </si>
  <si>
    <t>27728228929</t>
  </si>
  <si>
    <t>14827845</t>
  </si>
  <si>
    <t>62815a7f-d3cc-4d3e-9388-e18e93e399e6</t>
  </si>
  <si>
    <t>27665332794</t>
  </si>
  <si>
    <t>14827858</t>
  </si>
  <si>
    <t>fe0734fa-4e5a-47b8-b12e-0494a1baa803</t>
  </si>
  <si>
    <t>27711036389</t>
  </si>
  <si>
    <t>2026-06-12 12:40:03</t>
  </si>
  <si>
    <t>14827852</t>
  </si>
  <si>
    <t>21f79626-1418-4ac0-b137-36def84e932a</t>
  </si>
  <si>
    <t>2026-06-12 12:40:02</t>
  </si>
  <si>
    <t>27663237863</t>
  </si>
  <si>
    <t>e3785720-b54f-4bfa-9832-1a00e1b2d838</t>
  </si>
  <si>
    <t>27715521462</t>
  </si>
  <si>
    <t>14828141</t>
  </si>
  <si>
    <t>5bad6518-c5e1-4e86-a12d-704f6b837173</t>
  </si>
  <si>
    <t>27824724306</t>
  </si>
  <si>
    <t>2026-06-12 12:39:19</t>
  </si>
  <si>
    <t>14828107</t>
  </si>
  <si>
    <t>150d0124-330d-4d95-9761-d56e8b5dbd84</t>
  </si>
  <si>
    <t>27765672049</t>
  </si>
  <si>
    <t>2026-06-12 12:38:25</t>
  </si>
  <si>
    <t>14828137</t>
  </si>
  <si>
    <t>7c434e95-cd76-465e-9150-d870fbf7c4af</t>
  </si>
  <si>
    <t>27714338082</t>
  </si>
  <si>
    <t>14828138</t>
  </si>
  <si>
    <t>3163adae-dbb5-4173-a12b-8ccb17b1b2a1</t>
  </si>
  <si>
    <t>2026-06-12 12:38:23</t>
  </si>
  <si>
    <t>27729739710</t>
  </si>
  <si>
    <t>14828143</t>
  </si>
  <si>
    <t>c36a5b86-3f21-4ff2-b930-7d297d33d620</t>
  </si>
  <si>
    <t>2026-06-12 12:38:20</t>
  </si>
  <si>
    <t>27648225044</t>
  </si>
  <si>
    <t>14828144</t>
  </si>
  <si>
    <t>a8114bc7-fe1c-4bb0-99c3-b68fea697f08</t>
  </si>
  <si>
    <t>27722696967</t>
  </si>
  <si>
    <t>14828145</t>
  </si>
  <si>
    <t>b8e41ec3-254e-4820-b785-871d13b64352</t>
  </si>
  <si>
    <t>27608679067</t>
  </si>
  <si>
    <t>e978ea20-e167-4a5d-855e-2b36f7c01e95</t>
  </si>
  <si>
    <t>27767449093</t>
  </si>
  <si>
    <t>14828149</t>
  </si>
  <si>
    <t>9a8c2dbc-e2a9-4a14-9dec-ca27db1fb290</t>
  </si>
  <si>
    <t>27726438337</t>
  </si>
  <si>
    <t>2026-06-12 12:37:15</t>
  </si>
  <si>
    <t>14828465</t>
  </si>
  <si>
    <t>527a286d-176d-4992-9b31-198bfb7a6257</t>
  </si>
  <si>
    <t>2026-06-12 12:37:13</t>
  </si>
  <si>
    <t>27722059133</t>
  </si>
  <si>
    <t>14828155</t>
  </si>
  <si>
    <t>20a02496-fad6-4cd4-851a-d3414033c7dd</t>
  </si>
  <si>
    <t>2026-06-12 12:37:12</t>
  </si>
  <si>
    <t>27723967343</t>
  </si>
  <si>
    <t>14828158</t>
  </si>
  <si>
    <t>2f7f708a-b30e-4bae-b244-6913c2188246</t>
  </si>
  <si>
    <t>2026-06-12 12:37:10</t>
  </si>
  <si>
    <t>27827309612</t>
  </si>
  <si>
    <t>14828160</t>
  </si>
  <si>
    <t>33cabb6a-0137-4894-9796-f2cf34631a8f</t>
  </si>
  <si>
    <t>27714485649</t>
  </si>
  <si>
    <t>14828169</t>
  </si>
  <si>
    <t>77be0715-00ec-40d5-b867-b3ad1ea4e090</t>
  </si>
  <si>
    <t>2026-06-12 12:37:09</t>
  </si>
  <si>
    <t>27722601967</t>
  </si>
  <si>
    <t>14827828</t>
  </si>
  <si>
    <t>c27f916a-bb55-45b3-b35a-1230ab3063c5</t>
  </si>
  <si>
    <t>2026-06-12 12:37:08</t>
  </si>
  <si>
    <t>27724096089</t>
  </si>
  <si>
    <t>14828170</t>
  </si>
  <si>
    <t>ba77748e-f683-4a2c-a364-997698a82ea8</t>
  </si>
  <si>
    <t>27797420910</t>
  </si>
  <si>
    <t>14828176</t>
  </si>
  <si>
    <t>d8f2b844-af4b-4122-a202-0d70363e0707</t>
  </si>
  <si>
    <t>27769515576</t>
  </si>
  <si>
    <t>14827834</t>
  </si>
  <si>
    <t>3f9f9bee-d74a-4743-81ac-72e5bb4335f5</t>
  </si>
  <si>
    <t>2026-06-12 12:36:56</t>
  </si>
  <si>
    <t>27792651350</t>
  </si>
  <si>
    <t>14827836</t>
  </si>
  <si>
    <t>2d0ffde4-9ed1-4206-b1db-362a9a314602</t>
  </si>
  <si>
    <t>2026-06-12 12:36:55</t>
  </si>
  <si>
    <t>27793700719</t>
  </si>
  <si>
    <t>14827839</t>
  </si>
  <si>
    <t>76001104-cdaa-4d23-9901-203bf280417a</t>
  </si>
  <si>
    <t>2026-06-12 12:36:51</t>
  </si>
  <si>
    <t>27762466231</t>
  </si>
  <si>
    <t>05e38986-95ca-4934-8404-5cf892496b06</t>
  </si>
  <si>
    <t>27790802767</t>
  </si>
  <si>
    <t>2026-06-12 12:36:50</t>
  </si>
  <si>
    <t>14827851</t>
  </si>
  <si>
    <t>b5225564-ee43-4a50-bcef-fc50c4beb158</t>
  </si>
  <si>
    <t>27660556199</t>
  </si>
  <si>
    <t>14827857</t>
  </si>
  <si>
    <t>d514bedb-2d4a-42f8-8aee-0845f026f130</t>
  </si>
  <si>
    <t>2026-06-12 12:36:39</t>
  </si>
  <si>
    <t>27674814169</t>
  </si>
  <si>
    <t>14828452</t>
  </si>
  <si>
    <t>69ab6e3b-9e8d-4030-a6f2-27d57c62a9a4</t>
  </si>
  <si>
    <t>2026-06-12 12:36:29</t>
  </si>
  <si>
    <t>27673469776</t>
  </si>
  <si>
    <t>14828033</t>
  </si>
  <si>
    <t>a772845e-4761-456f-89c9-bf08c7ce1722</t>
  </si>
  <si>
    <t>2026-06-12 12:36:27</t>
  </si>
  <si>
    <t>27791615359</t>
  </si>
  <si>
    <t>14828043</t>
  </si>
  <si>
    <t>25d03c7a-a5a2-4885-b7a8-597340b7adbe</t>
  </si>
  <si>
    <t>2026-06-12 12:36:25</t>
  </si>
  <si>
    <t>27727114521</t>
  </si>
  <si>
    <t>14828048</t>
  </si>
  <si>
    <t>1f686aa1-0e40-427e-8c86-c00fc98f6b91</t>
  </si>
  <si>
    <t>2026-06-12 12:36:22</t>
  </si>
  <si>
    <t>27763388563</t>
  </si>
  <si>
    <t>14828059</t>
  </si>
  <si>
    <t>0ad54997-e190-4883-8973-7de1b659ca3b</t>
  </si>
  <si>
    <t>2026-06-12 12:36:10</t>
  </si>
  <si>
    <t>27673437015</t>
  </si>
  <si>
    <t>14828060</t>
  </si>
  <si>
    <t>85989f9b-5135-4e16-b7ef-cf097eba58b5</t>
  </si>
  <si>
    <t>2026-06-12 12:36:07</t>
  </si>
  <si>
    <t>27762311337</t>
  </si>
  <si>
    <t>14828078</t>
  </si>
  <si>
    <t>e31f9f7a-e554-4ecf-af1d-06df03b4fc34</t>
  </si>
  <si>
    <t>2026-06-12 12:36:06</t>
  </si>
  <si>
    <t>27795626454</t>
  </si>
  <si>
    <t>14828084</t>
  </si>
  <si>
    <t>7551bcec-ac76-4c93-a846-d0803ab47eaa</t>
  </si>
  <si>
    <t>2026-06-12 12:36:04</t>
  </si>
  <si>
    <t>27661185652</t>
  </si>
  <si>
    <t>14828097</t>
  </si>
  <si>
    <t>2e08c278-a85b-44f7-9173-dbfc560b4d45</t>
  </si>
  <si>
    <t>27723809558</t>
  </si>
  <si>
    <t>14828106</t>
  </si>
  <si>
    <t>2d57b34d-59c5-40df-920b-f31e1f13b974</t>
  </si>
  <si>
    <t>27721427252</t>
  </si>
  <si>
    <t>2026-06-12 12:36:02</t>
  </si>
  <si>
    <t>14828110</t>
  </si>
  <si>
    <t>580a2a01-2500-4ea2-a194-422fd63a5501</t>
  </si>
  <si>
    <t>2026-06-12 12:36:01</t>
  </si>
  <si>
    <t>27611516699</t>
  </si>
  <si>
    <t>14828114</t>
  </si>
  <si>
    <t>a384be38-c06f-4b29-b2f2-744e90d831fc</t>
  </si>
  <si>
    <t>27829400143</t>
  </si>
  <si>
    <t>14828115</t>
  </si>
  <si>
    <t>24ce77ee-bfcd-4175-aafe-91b5870226c2</t>
  </si>
  <si>
    <t>27608411472</t>
  </si>
  <si>
    <t>14828118</t>
  </si>
  <si>
    <t>a98b7d53-637a-4bbe-907b-c19027d8c3fa</t>
  </si>
  <si>
    <t>2026-06-12 12:35:25</t>
  </si>
  <si>
    <t>27636271163</t>
  </si>
  <si>
    <t>14828120</t>
  </si>
  <si>
    <t>d7dfc04f-4fdd-4653-9401-3b942bd515a6</t>
  </si>
  <si>
    <t>2026-06-12 12:35:02</t>
  </si>
  <si>
    <t>27661387379</t>
  </si>
  <si>
    <t>14828121</t>
  </si>
  <si>
    <t>e55b28d7-0855-4bae-8082-dc7958cf9572</t>
  </si>
  <si>
    <t>27723543999</t>
  </si>
  <si>
    <t>14828126</t>
  </si>
  <si>
    <t>7b162f2c-d293-4e0f-9412-4fb15ef17c98</t>
  </si>
  <si>
    <t>2026-06-12 12:34:53</t>
  </si>
  <si>
    <t>27721570948</t>
  </si>
  <si>
    <t>14828127</t>
  </si>
  <si>
    <t>de5963af-b59b-4759-8466-aa4c26cbbd15</t>
  </si>
  <si>
    <t>27716439185</t>
  </si>
  <si>
    <t>14827820</t>
  </si>
  <si>
    <t>15687ce4-d4f2-4729-8826-f56d4c8b621b</t>
  </si>
  <si>
    <t>2026-06-12 12:34:33</t>
  </si>
  <si>
    <t>27768061505</t>
  </si>
  <si>
    <t>14827822</t>
  </si>
  <si>
    <t>f0e39323-442c-4071-91dd-cd97b2b47b65</t>
  </si>
  <si>
    <t>2026-06-12 12:34:23</t>
  </si>
  <si>
    <t>27631267225</t>
  </si>
  <si>
    <t>14827823</t>
  </si>
  <si>
    <t>3b6dfa3f-66c8-4f73-b07f-d88ebafec1d7</t>
  </si>
  <si>
    <t>27827007395</t>
  </si>
  <si>
    <t>2026-06-12 12:34:21</t>
  </si>
  <si>
    <t>14827825</t>
  </si>
  <si>
    <t>a3ddd528-d1c4-4545-8bb4-414983381045</t>
  </si>
  <si>
    <t>2026-06-12 12:34:09</t>
  </si>
  <si>
    <t>27824424564</t>
  </si>
  <si>
    <t>14827826</t>
  </si>
  <si>
    <t>1ccbbe2b-bebd-4e8b-b07f-23590fb6a3c5</t>
  </si>
  <si>
    <t>2026-06-12 12:34:07</t>
  </si>
  <si>
    <t>27825824173</t>
  </si>
  <si>
    <t>14827827</t>
  </si>
  <si>
    <t>aeacbb42-d2cb-4df0-b800-4c60d02f733c</t>
  </si>
  <si>
    <t>2026-06-12 12:33:56</t>
  </si>
  <si>
    <t>27766434919</t>
  </si>
  <si>
    <t>14827830</t>
  </si>
  <si>
    <t>6c7cd7ca-a936-4626-96d0-1a251fcf372a</t>
  </si>
  <si>
    <t>27674895916</t>
  </si>
  <si>
    <t>14827932</t>
  </si>
  <si>
    <t>10c8384d-fda5-4ab2-bfd2-0cbd58a3ed6d</t>
  </si>
  <si>
    <t>2026-06-12 12:33:24</t>
  </si>
  <si>
    <t>27822515022</t>
  </si>
  <si>
    <t>14827935</t>
  </si>
  <si>
    <t>eaa06216-9e93-41e3-b041-9e7c384edc38</t>
  </si>
  <si>
    <t>2026-06-12 12:33:21</t>
  </si>
  <si>
    <t>27762687966</t>
  </si>
  <si>
    <t>14827939</t>
  </si>
  <si>
    <t>6e60a776-6a19-4c41-8124-0d9d2905c4cf</t>
  </si>
  <si>
    <t>27769358650</t>
  </si>
  <si>
    <t>14827946</t>
  </si>
  <si>
    <t>6ebc2e22-0578-4943-9b79-62a35876460c</t>
  </si>
  <si>
    <t>2026-06-12 12:33:18</t>
  </si>
  <si>
    <t>27766701015</t>
  </si>
  <si>
    <t>14827952</t>
  </si>
  <si>
    <t>63a57390-c6dc-4a6e-a468-e1d72ebf515d</t>
  </si>
  <si>
    <t>27826316149</t>
  </si>
  <si>
    <t>14827966</t>
  </si>
  <si>
    <t>efc1391c-fe8d-44fd-9fa2-c801fc8cece4</t>
  </si>
  <si>
    <t>27638420163</t>
  </si>
  <si>
    <t>2026-06-12 12:33:03</t>
  </si>
  <si>
    <t>14827973</t>
  </si>
  <si>
    <t>42bf059d-3e07-40b1-a941-989ce178f7e1</t>
  </si>
  <si>
    <t>2026-06-12 12:32:59</t>
  </si>
  <si>
    <t>27762915780</t>
  </si>
  <si>
    <t>14827978</t>
  </si>
  <si>
    <t>66cb02b6-b87e-48a1-8e1e-a93478c14d65</t>
  </si>
  <si>
    <t>27606957593</t>
  </si>
  <si>
    <t>2026-06-12 12:32:57</t>
  </si>
  <si>
    <t>14827979</t>
  </si>
  <si>
    <t>04bc2069-e3b6-42c2-bff1-98a0631ea2f7</t>
  </si>
  <si>
    <t>2026-06-12 12:32:55</t>
  </si>
  <si>
    <t>27648646382</t>
  </si>
  <si>
    <t>14827986</t>
  </si>
  <si>
    <t>623a92b8-0c4b-4aaa-9b7c-a56745986d00</t>
  </si>
  <si>
    <t>2026-06-12 12:32:51</t>
  </si>
  <si>
    <t>27674482692</t>
  </si>
  <si>
    <t>14827980</t>
  </si>
  <si>
    <t>264aa763-3358-48a4-9657-8d4978bf432a</t>
  </si>
  <si>
    <t>27762610204</t>
  </si>
  <si>
    <t>14827981</t>
  </si>
  <si>
    <t>8673d123-8c3b-448d-9420-6a31f4e5cc8e</t>
  </si>
  <si>
    <t>27727477914</t>
  </si>
  <si>
    <t>14827982</t>
  </si>
  <si>
    <t>2234f7b5-0c23-4d00-ac09-ca6ba367d92e</t>
  </si>
  <si>
    <t>27766807675</t>
  </si>
  <si>
    <t>14827991</t>
  </si>
  <si>
    <t>8c6c04bb-6104-4d15-99b7-e5a5da7ff414</t>
  </si>
  <si>
    <t>2026-06-12 12:32:36</t>
  </si>
  <si>
    <t>27769339625</t>
  </si>
  <si>
    <t>14827993</t>
  </si>
  <si>
    <t>3db0d05a-37c9-4120-869f-9057aa0cc8af</t>
  </si>
  <si>
    <t>27796991757</t>
  </si>
  <si>
    <t>14827995</t>
  </si>
  <si>
    <t>cdfad9c9-df4a-43a8-a997-c9cc34e643de</t>
  </si>
  <si>
    <t>27792667920</t>
  </si>
  <si>
    <t>14828000</t>
  </si>
  <si>
    <t>7c9c788e-d9ff-4608-b5eb-ff220e32cb26</t>
  </si>
  <si>
    <t>2026-06-12 12:32:14</t>
  </si>
  <si>
    <t>27720398687</t>
  </si>
  <si>
    <t>14828002</t>
  </si>
  <si>
    <t>97083654-bb73-466b-9cff-e7660ae5dbf7</t>
  </si>
  <si>
    <t>27760870947</t>
  </si>
  <si>
    <t>14828438</t>
  </si>
  <si>
    <t>bea1bb3d-09f9-4a8e-9cba-4a6c0bfc0c9c</t>
  </si>
  <si>
    <t>27713749777</t>
  </si>
  <si>
    <t>14828005</t>
  </si>
  <si>
    <t>d1b4a4fe-772a-4219-97fc-dff431dbee28</t>
  </si>
  <si>
    <t>2026-06-12 12:32:11</t>
  </si>
  <si>
    <t>27722651554</t>
  </si>
  <si>
    <t>14828008</t>
  </si>
  <si>
    <t>3b202bac-6d51-4765-a3cc-5a1a18ddc473</t>
  </si>
  <si>
    <t>27769314484</t>
  </si>
  <si>
    <t>2026-06-12 12:32:10</t>
  </si>
  <si>
    <t>14827810</t>
  </si>
  <si>
    <t>13229d69-58dd-4016-a49e-7c4f9891aeb3</t>
  </si>
  <si>
    <t>2026-06-12 12:32:08</t>
  </si>
  <si>
    <t>27793693377</t>
  </si>
  <si>
    <t>14827813</t>
  </si>
  <si>
    <t>2edcaa57-0a8d-4cd2-bc70-43f67f727298</t>
  </si>
  <si>
    <t>27791865237</t>
  </si>
  <si>
    <t>2026-06-12 12:32:07</t>
  </si>
  <si>
    <t>14827814</t>
  </si>
  <si>
    <t>4f67f5c1-a8de-43e2-952e-6484f76d1c98</t>
  </si>
  <si>
    <t>27713577700</t>
  </si>
  <si>
    <t>14827815</t>
  </si>
  <si>
    <t>04a1be39-f887-4110-9222-c04cf7b9dd82</t>
  </si>
  <si>
    <t>27714255001</t>
  </si>
  <si>
    <t>14827816</t>
  </si>
  <si>
    <t>b6833710-f930-4c9a-ba3b-695ddb43c40f</t>
  </si>
  <si>
    <t>2026-06-12 12:31:54</t>
  </si>
  <si>
    <t>27661766574</t>
  </si>
  <si>
    <t>14827818</t>
  </si>
  <si>
    <t>6daa060f-5027-4494-bbbd-0a9860084970</t>
  </si>
  <si>
    <t>2026-06-12 12:31:53</t>
  </si>
  <si>
    <t>27720953547</t>
  </si>
  <si>
    <t>14828437</t>
  </si>
  <si>
    <t>16f4510c-391e-4f4e-8f38-17ad00bb689a</t>
  </si>
  <si>
    <t>27673243816</t>
  </si>
  <si>
    <t>14827840</t>
  </si>
  <si>
    <t>b083f5cd-fc96-44a1-8e6b-25fd724d3589</t>
  </si>
  <si>
    <t>27722125497</t>
  </si>
  <si>
    <t>2026-06-12 12:31:27</t>
  </si>
  <si>
    <t>14827846</t>
  </si>
  <si>
    <t>42cdd73a-f03f-4b0a-94db-4efa7e32701c</t>
  </si>
  <si>
    <t>2026-06-12 12:31:22</t>
  </si>
  <si>
    <t>27725546836</t>
  </si>
  <si>
    <t>14827853</t>
  </si>
  <si>
    <t>ab260b25-ca01-471a-af78-02b26597b0fd</t>
  </si>
  <si>
    <t>27768289568</t>
  </si>
  <si>
    <t>14827856</t>
  </si>
  <si>
    <t>55bb9075-f577-4cb1-a286-d6734bf74e70</t>
  </si>
  <si>
    <t>27763203820</t>
  </si>
  <si>
    <t>14827873</t>
  </si>
  <si>
    <t>f40c6c83-e98b-44e3-a23f-f735630f1186</t>
  </si>
  <si>
    <t>2026-06-12 12:31:12</t>
  </si>
  <si>
    <t>27647349511</t>
  </si>
  <si>
    <t>14827887</t>
  </si>
  <si>
    <t>ab989372-f3d9-43ba-b985-25e5e6737114</t>
  </si>
  <si>
    <t>2026-06-12 12:31:11</t>
  </si>
  <si>
    <t>27827668005</t>
  </si>
  <si>
    <t>14827888</t>
  </si>
  <si>
    <t>7bdf91fb-443d-4241-807a-ab1250c68fb1</t>
  </si>
  <si>
    <t>27790549009</t>
  </si>
  <si>
    <t>14827896</t>
  </si>
  <si>
    <t>93fd4ca1-d728-4247-9fa2-7ef4b0232ebf</t>
  </si>
  <si>
    <t>2026-06-12 12:31:08</t>
  </si>
  <si>
    <t>27792072370</t>
  </si>
  <si>
    <t>14827897</t>
  </si>
  <si>
    <t>06e81afe-318a-4fa7-891c-bcf8440f25b7</t>
  </si>
  <si>
    <t>2026-06-12 12:31:06</t>
  </si>
  <si>
    <t>27768130906</t>
  </si>
  <si>
    <t>14827899</t>
  </si>
  <si>
    <t>a4b14e47-a645-4501-bd49-9c28d8971663</t>
  </si>
  <si>
    <t>27721365531</t>
  </si>
  <si>
    <t>14827900</t>
  </si>
  <si>
    <t>a83db43f-40a4-46f4-8565-95ac5c8efba0</t>
  </si>
  <si>
    <t>27637446754</t>
  </si>
  <si>
    <t>14827901</t>
  </si>
  <si>
    <t>9ff3a45f-7a96-4e5e-b695-1845b6cede30</t>
  </si>
  <si>
    <t>2026-06-12 12:30:48</t>
  </si>
  <si>
    <t>27721485329</t>
  </si>
  <si>
    <t>14827903</t>
  </si>
  <si>
    <t>cad75843-59d9-4cca-9b3a-70998d5413a5</t>
  </si>
  <si>
    <t>27767180967</t>
  </si>
  <si>
    <t>2026-06-12 12:30:45</t>
  </si>
  <si>
    <t>14827904</t>
  </si>
  <si>
    <t>b53db679-644c-4603-adf6-be8626061036</t>
  </si>
  <si>
    <t>27839831955</t>
  </si>
  <si>
    <t>14827905</t>
  </si>
  <si>
    <t>78d3c446-fa14-47e0-888c-de7a54d59d3a</t>
  </si>
  <si>
    <t>27725616955</t>
  </si>
  <si>
    <t>14827907</t>
  </si>
  <si>
    <t>35226a12-7e5c-45e7-904b-57091de4f5f9</t>
  </si>
  <si>
    <t>27762624271</t>
  </si>
  <si>
    <t>14828094</t>
  </si>
  <si>
    <t>3c542df5-5e9b-45af-8549-c3160be5e077</t>
  </si>
  <si>
    <t>2026-06-12 12:30:27</t>
  </si>
  <si>
    <t>27826631319</t>
  </si>
  <si>
    <t>14827908</t>
  </si>
  <si>
    <t>7cce4958-e0bd-4ee6-b64c-d0734530ec75</t>
  </si>
  <si>
    <t>27769348054</t>
  </si>
  <si>
    <t>2026-06-12 12:29:13</t>
  </si>
  <si>
    <t>14827909</t>
  </si>
  <si>
    <t>4d55130e-9a63-41ab-a59e-a638d64cfcc6</t>
  </si>
  <si>
    <t>27765286028</t>
  </si>
  <si>
    <t>2026-06-12 12:29:12</t>
  </si>
  <si>
    <t>14827910</t>
  </si>
  <si>
    <t>334d18a8-7e4e-419f-8b87-f5828b302764</t>
  </si>
  <si>
    <t>27765412407</t>
  </si>
  <si>
    <t>14827911</t>
  </si>
  <si>
    <t>5402df97-3848-472f-a173-03b8c04182d7</t>
  </si>
  <si>
    <t>2026-06-12 12:29:06</t>
  </si>
  <si>
    <t>27722222900</t>
  </si>
  <si>
    <t>14827920</t>
  </si>
  <si>
    <t>053654d6-961d-4529-b912-94ff368b557a</t>
  </si>
  <si>
    <t>2026-06-12 12:28:55</t>
  </si>
  <si>
    <t>27784315542</t>
  </si>
  <si>
    <t>14827794</t>
  </si>
  <si>
    <t>5a37793d-3f50-492d-b836-47e4a3fc7181</t>
  </si>
  <si>
    <t>27828133629</t>
  </si>
  <si>
    <t>2026-06-12 12:28:52</t>
  </si>
  <si>
    <t>14827802</t>
  </si>
  <si>
    <t>9eb2cd02-d447-43bc-8ba4-7ff8865907e5</t>
  </si>
  <si>
    <t>2026-06-12 12:28:49</t>
  </si>
  <si>
    <t>27828916430</t>
  </si>
  <si>
    <t>14827806</t>
  </si>
  <si>
    <t>ba5e7edc-d809-4569-8c7a-24b3c9e23bba</t>
  </si>
  <si>
    <t>2026-06-12 12:28:44</t>
  </si>
  <si>
    <t>27729262903</t>
  </si>
  <si>
    <t>14827807</t>
  </si>
  <si>
    <t>feb0fac6-2969-48b9-85e1-c74d16ee49da</t>
  </si>
  <si>
    <t>2026-06-12 12:28:41</t>
  </si>
  <si>
    <t>27793110400</t>
  </si>
  <si>
    <t>14827808</t>
  </si>
  <si>
    <t>f9aecabd-6139-4d2b-916a-e99d67972356</t>
  </si>
  <si>
    <t>27829727383</t>
  </si>
  <si>
    <t>14827809</t>
  </si>
  <si>
    <t>bc2f4e5b-eb80-4e26-b5f0-60bbc2710af6</t>
  </si>
  <si>
    <t>27768500943</t>
  </si>
  <si>
    <t>2026-06-12 12:28:40</t>
  </si>
  <si>
    <t>14827812</t>
  </si>
  <si>
    <t>2bbd9bc2-bd49-4f2c-bc51-725da6c59cd0</t>
  </si>
  <si>
    <t>27728516094</t>
  </si>
  <si>
    <t>14827796</t>
  </si>
  <si>
    <t>08c08c0a-691b-4a03-b4a4-76e7a5efd6ab</t>
  </si>
  <si>
    <t>27715387040</t>
  </si>
  <si>
    <t>2026-06-12 12:27:15</t>
  </si>
  <si>
    <t>14827797</t>
  </si>
  <si>
    <t>4e9a04a8-646f-4162-acfb-8ac65337903c</t>
  </si>
  <si>
    <t>27765953873</t>
  </si>
  <si>
    <t>14827798</t>
  </si>
  <si>
    <t>520dff5d-481c-4a22-bd21-aaf80775e2a5</t>
  </si>
  <si>
    <t>2026-06-12 12:27:14</t>
  </si>
  <si>
    <t>27825263548</t>
  </si>
  <si>
    <t>14827800</t>
  </si>
  <si>
    <t>e7a0e2ca-6df9-42b1-bdbc-c148888e0db0</t>
  </si>
  <si>
    <t>27792839621</t>
  </si>
  <si>
    <t>2026-06-12 12:26:33</t>
  </si>
  <si>
    <t>14827801</t>
  </si>
  <si>
    <t>ad6e95a5-84e1-4071-8510-5aa2af52dd1b</t>
  </si>
  <si>
    <t>2026-06-12 12:26:32</t>
  </si>
  <si>
    <t>27844566050</t>
  </si>
  <si>
    <t>14827804</t>
  </si>
  <si>
    <t>fe27da30-5a6e-46b4-a03f-928330e00582</t>
  </si>
  <si>
    <t>27825492217</t>
  </si>
  <si>
    <t>14827746</t>
  </si>
  <si>
    <t>c8535e95-db5b-4cec-a185-221e99257937</t>
  </si>
  <si>
    <t>27762872349</t>
  </si>
  <si>
    <t>2026-06-12 12:26:29</t>
  </si>
  <si>
    <t>14827769</t>
  </si>
  <si>
    <t>607a9c58-4d51-4e06-b00f-242c5da46ec9</t>
  </si>
  <si>
    <t>27769097456</t>
  </si>
  <si>
    <t>2026-06-12 12:26:28</t>
  </si>
  <si>
    <t>14827785</t>
  </si>
  <si>
    <t>2f58a123-94a6-4a26-bdc1-fa81ba486ad6</t>
  </si>
  <si>
    <t>27764711343</t>
  </si>
  <si>
    <t>14827703</t>
  </si>
  <si>
    <t>284260fb-a4b0-4630-a7b7-75b4de970540</t>
  </si>
  <si>
    <t>27796817118</t>
  </si>
  <si>
    <t>2026-06-12 12:26:26</t>
  </si>
  <si>
    <t>14827733</t>
  </si>
  <si>
    <t>43645468-9c8d-41b4-804c-2169dd8b0866</t>
  </si>
  <si>
    <t>2026-06-12 12:26:25</t>
  </si>
  <si>
    <t>27608731180</t>
  </si>
  <si>
    <t>14827789</t>
  </si>
  <si>
    <t>de074bfb-463f-4946-a2dc-f3e16d0d7fd8</t>
  </si>
  <si>
    <t>2026-06-12 12:26:22</t>
  </si>
  <si>
    <t>27765135708</t>
  </si>
  <si>
    <t>14827791</t>
  </si>
  <si>
    <t>3ba2ae97-9773-4306-84ed-0e207d45ba62</t>
  </si>
  <si>
    <t>27790873685</t>
  </si>
  <si>
    <t>2026-06-12 12:26:20</t>
  </si>
  <si>
    <t>14827795</t>
  </si>
  <si>
    <t>3084d01c-84b8-4221-a937-fad14933e973</t>
  </si>
  <si>
    <t>27661048173</t>
  </si>
  <si>
    <t>14827736</t>
  </si>
  <si>
    <t>48922092-62ad-4ed8-8c05-7bd2f8ae27d4</t>
  </si>
  <si>
    <t>27637155467</t>
  </si>
  <si>
    <t>2026-06-12 12:26:09</t>
  </si>
  <si>
    <t>14827702</t>
  </si>
  <si>
    <t>e08a371c-69e0-4467-9631-afeca7885422</t>
  </si>
  <si>
    <t>27827062508</t>
  </si>
  <si>
    <t>2026-06-12 12:26:08</t>
  </si>
  <si>
    <t>14827705</t>
  </si>
  <si>
    <t>fb0049f4-9934-4889-adf0-d1bf302aa992</t>
  </si>
  <si>
    <t>27764743572</t>
  </si>
  <si>
    <t>2026-06-12 12:25:03</t>
  </si>
  <si>
    <t>14827701</t>
  </si>
  <si>
    <t>0861da6e-828a-444b-ac56-696ccd317091</t>
  </si>
  <si>
    <t>2026-06-12 12:24:56</t>
  </si>
  <si>
    <t>27818822172</t>
  </si>
  <si>
    <t>14828178</t>
  </si>
  <si>
    <t>00c9ba57-4260-46c8-90c9-e638b9b4916b</t>
  </si>
  <si>
    <t>27824803798</t>
  </si>
  <si>
    <t>2026-06-12 12:23:01</t>
  </si>
  <si>
    <t>14828041</t>
  </si>
  <si>
    <t>b9a9b6a3-bc70-4a39-a35c-f9961163a1f7</t>
  </si>
  <si>
    <t>2026-06-12 10:03:59</t>
  </si>
  <si>
    <t>27715474340</t>
  </si>
  <si>
    <t>14827956</t>
  </si>
  <si>
    <t>ecf7fe62-bfbd-49c5-b1f2-e1b464a03bde</t>
  </si>
  <si>
    <t>AGE</t>
  </si>
  <si>
    <t>Under Age</t>
  </si>
  <si>
    <t>2026-06-12 09:38:53</t>
  </si>
  <si>
    <t>27711636813</t>
  </si>
  <si>
    <t>14828128</t>
  </si>
  <si>
    <t>23cf6619-8d3a-4c58-80fb-018b4e142aae</t>
  </si>
  <si>
    <t>SELECTED</t>
  </si>
  <si>
    <t>Selected</t>
  </si>
  <si>
    <t>2026-06-12 09:37:57</t>
  </si>
  <si>
    <t>27608561500</t>
  </si>
  <si>
    <t>14828133</t>
  </si>
  <si>
    <t>34c0fd9d-ba47-442b-884f-059c7c62460e</t>
  </si>
  <si>
    <t>27760616492</t>
  </si>
  <si>
    <t>2026-06-12 09:35:55</t>
  </si>
  <si>
    <t>14828039</t>
  </si>
  <si>
    <t>10aaa864-5719-45da-81dd-dc52229d0256</t>
  </si>
  <si>
    <t>NIUP</t>
  </si>
  <si>
    <t>Not Interested Upfront</t>
  </si>
  <si>
    <t>2026-06-12 09:31:30</t>
  </si>
  <si>
    <t>27824728684</t>
  </si>
  <si>
    <t>14828101</t>
  </si>
  <si>
    <t>116a0bf7-c61b-438a-ac7c-697a1d79a0fc</t>
  </si>
  <si>
    <t>27761810737</t>
  </si>
  <si>
    <t>2026-06-12 09:25:48</t>
  </si>
  <si>
    <t>14828103</t>
  </si>
  <si>
    <t>037a961b-c91d-4135-8077-a9b2839aed4f</t>
  </si>
  <si>
    <t>27711648790</t>
  </si>
  <si>
    <t>2026-06-12 09:23:36</t>
  </si>
  <si>
    <t>14828226</t>
  </si>
  <si>
    <t>74747364-88f8-4d84-b356-e36e907c349f</t>
  </si>
  <si>
    <t>27766840075</t>
  </si>
  <si>
    <t>2026-06-12 09:22:11</t>
  </si>
  <si>
    <t>14827922</t>
  </si>
  <si>
    <t>80809633-cee6-4673-83b6-7617bc0af307</t>
  </si>
  <si>
    <t>27784847077</t>
  </si>
  <si>
    <t>2026-06-12 09:20:19</t>
  </si>
  <si>
    <t>14827996</t>
  </si>
  <si>
    <t>7a436121-04f6-4445-8a85-d03622a183aa</t>
  </si>
  <si>
    <t>WN</t>
  </si>
  <si>
    <t>Wrong Number</t>
  </si>
  <si>
    <t>2026-06-12 09:08:14</t>
  </si>
  <si>
    <t>27823907425</t>
  </si>
  <si>
    <t>14828334</t>
  </si>
  <si>
    <t>86fdf91f-4580-4bc8-b2ee-34464b2070a6</t>
  </si>
  <si>
    <t>27734199272</t>
  </si>
  <si>
    <t>2026-06-12 08:54:12</t>
  </si>
  <si>
    <t>14828409</t>
  </si>
  <si>
    <t>392eb77a-d37d-479c-8e3f-11d1db6d5c1a</t>
  </si>
  <si>
    <t>27724378167</t>
  </si>
  <si>
    <t>2026-06-12 08:53:33</t>
  </si>
  <si>
    <t>14828408</t>
  </si>
  <si>
    <t>0c39044f-2a12-48b3-8525-e6aa2c95d3ac</t>
  </si>
  <si>
    <t>27713346010</t>
  </si>
  <si>
    <t>2026-06-12 08:52:02</t>
  </si>
  <si>
    <t>14828329</t>
  </si>
  <si>
    <t>eceb96fd-73a1-4ce1-b900-8da56895786b</t>
  </si>
  <si>
    <t>2026-06-12 08:48:05</t>
  </si>
  <si>
    <t>27724365354</t>
  </si>
  <si>
    <t>14828445</t>
  </si>
  <si>
    <t>fafabb26-aa67-4300-99f2-ee9b190f88f5</t>
  </si>
  <si>
    <t>27790689157</t>
  </si>
  <si>
    <t>2026-06-12 08:44:15</t>
  </si>
  <si>
    <t>14828429</t>
  </si>
  <si>
    <t>c219e4cf-9337-42cb-b1aa-b15e93604441</t>
  </si>
  <si>
    <t>27768068297</t>
  </si>
  <si>
    <t>2026-06-12 08:42:39</t>
  </si>
  <si>
    <t>14827555</t>
  </si>
  <si>
    <t>934bd80b-baa7-4b79-9c89-706476fdec32</t>
  </si>
  <si>
    <t>2026-06-12 08:23:07</t>
  </si>
  <si>
    <t>27728412709</t>
  </si>
  <si>
    <t>14827570</t>
  </si>
  <si>
    <t>e040da91-8361-443a-bb96-83946ec32853</t>
  </si>
  <si>
    <t>27608918585</t>
  </si>
  <si>
    <t>2026-06-12 08:17:04</t>
  </si>
  <si>
    <t>14827599</t>
  </si>
  <si>
    <t>463b865f-84de-4c3b-9138-0bcfbb2b339b</t>
  </si>
  <si>
    <t>2026-06-12 08:12:54</t>
  </si>
  <si>
    <t>27769248619</t>
  </si>
  <si>
    <t>14828267</t>
  </si>
  <si>
    <t>b6cfc9bc-02e9-46df-a0a7-f43cc72e663c</t>
  </si>
  <si>
    <t>27646281596</t>
  </si>
  <si>
    <t>2026-06-12 08:12:01</t>
  </si>
  <si>
    <t>14827913</t>
  </si>
  <si>
    <t>8fbf420e-3c59-4556-bcc7-3a9f366389ee</t>
  </si>
  <si>
    <t>2026-06-12 08:07:33</t>
  </si>
  <si>
    <t>27726360245</t>
  </si>
  <si>
    <t>14828139</t>
  </si>
  <si>
    <t>9b9875c5-6796-4fa1-ba6a-683fa8bc8cb5</t>
  </si>
  <si>
    <t>27649732702</t>
  </si>
  <si>
    <t>2026-06-12 07:59:51</t>
  </si>
  <si>
    <t>14827745</t>
  </si>
  <si>
    <t>7c3b1aa5-eab2-4d11-9277-dd15601bd6d1</t>
  </si>
  <si>
    <t>OAL</t>
  </si>
  <si>
    <t>Over Age Limit</t>
  </si>
  <si>
    <t>2026-06-12 07:59:50</t>
  </si>
  <si>
    <t>27797047493</t>
  </si>
  <si>
    <t>14828507</t>
  </si>
  <si>
    <t>6bdc2333-f6b9-40fa-b323-58257961a847</t>
  </si>
  <si>
    <t>2026-06-12 07:57:38</t>
  </si>
  <si>
    <t>27769736097</t>
  </si>
  <si>
    <t>14827752</t>
  </si>
  <si>
    <t>85e01f81-be07-4730-9529-cb5d5af6c6cb</t>
  </si>
  <si>
    <t>DNCLIFE</t>
  </si>
  <si>
    <t>Do Not Call</t>
  </si>
  <si>
    <t>2026-06-12 07:54:56</t>
  </si>
  <si>
    <t>27724975276</t>
  </si>
  <si>
    <t>14827803</t>
  </si>
  <si>
    <t>3f8d272f-133d-483e-b986-6b877fa431ac</t>
  </si>
  <si>
    <t>27661653590</t>
  </si>
  <si>
    <t>2026-06-12 07:53:57</t>
  </si>
  <si>
    <t>14827793</t>
  </si>
  <si>
    <t>b13b2aff-2202-4614-83f9-bd9de87ebced</t>
  </si>
  <si>
    <t>27720135685</t>
  </si>
  <si>
    <t>2026-06-12 07:51:58</t>
  </si>
  <si>
    <t>14828371</t>
  </si>
  <si>
    <t>25bc4a7d-d139-400f-bdab-6e9b0b6bd7ef</t>
  </si>
  <si>
    <t>2026-06-12 07:48:25</t>
  </si>
  <si>
    <t>27792994014</t>
  </si>
  <si>
    <t>14827676</t>
  </si>
  <si>
    <t>a49423b9-60be-4aec-874a-244c3acdfc2d</t>
  </si>
  <si>
    <t>2026-06-12 07:45:14</t>
  </si>
  <si>
    <t>27715365781</t>
  </si>
  <si>
    <t>14828332</t>
  </si>
  <si>
    <t>8db6c4fa-b325-4316-a5fd-979c91a2440c</t>
  </si>
  <si>
    <t>2026-06-12 07:44:30</t>
  </si>
  <si>
    <t>27720268743</t>
  </si>
  <si>
    <t>14828321</t>
  </si>
  <si>
    <t>92862404-cd07-4916-a7a2-3cb4199bebbb</t>
  </si>
  <si>
    <t>27665144692</t>
  </si>
  <si>
    <t>2026-06-12 07:16:05</t>
  </si>
  <si>
    <t>14827906</t>
  </si>
  <si>
    <t>d535eda6-3cf7-432c-aeef-1d065783fbe4</t>
  </si>
  <si>
    <t>2026-06-12 07:16:04</t>
  </si>
  <si>
    <t>27763077929</t>
  </si>
  <si>
    <t>14828079</t>
  </si>
  <si>
    <t>7a0dafd8-36d7-42c6-9c8a-dbbb596ae784</t>
  </si>
  <si>
    <t>2026-06-11 13:50:50</t>
  </si>
  <si>
    <t>27791670908</t>
  </si>
  <si>
    <t>14827964</t>
  </si>
  <si>
    <t>1417a362-6835-418f-ae11-5ae9b833fff5</t>
  </si>
  <si>
    <t>2026-06-11 13:32:56</t>
  </si>
  <si>
    <t>27765841660</t>
  </si>
  <si>
    <t>14827957</t>
  </si>
  <si>
    <t>8424dd11-3169-4548-9cc7-1b5cb662683a</t>
  </si>
  <si>
    <t>27727619248</t>
  </si>
  <si>
    <t>2026-06-11 13:32:20</t>
  </si>
  <si>
    <t>14827959</t>
  </si>
  <si>
    <t>f12b6e03-78da-42e8-a55f-e57e7fdd68c4</t>
  </si>
  <si>
    <t>2026-06-11 13:30:56</t>
  </si>
  <si>
    <t>27715095693</t>
  </si>
  <si>
    <t>14827951</t>
  </si>
  <si>
    <t>8f0a7a87-bfee-446a-9f14-e764f014ed32</t>
  </si>
  <si>
    <t>DNQF</t>
  </si>
  <si>
    <t>Do Not Qualify Failed Medical Question</t>
  </si>
  <si>
    <t>2026-06-11 13:29:04</t>
  </si>
  <si>
    <t>27791739387</t>
  </si>
  <si>
    <t>14827950</t>
  </si>
  <si>
    <t>bbaa3986-abc5-4b83-9497-a2ed81a39ed5</t>
  </si>
  <si>
    <t>2026-06-11 13:29:00</t>
  </si>
  <si>
    <t>27609161084</t>
  </si>
  <si>
    <t>14827916</t>
  </si>
  <si>
    <t>4ef814f1-694b-475b-8323-02432731f813</t>
  </si>
  <si>
    <t>2026-06-11 13:26:17</t>
  </si>
  <si>
    <t>27792885870</t>
  </si>
  <si>
    <t>14827882</t>
  </si>
  <si>
    <t>88bd67b7-338f-4ead-baf7-679ba25ff797</t>
  </si>
  <si>
    <t>27735707684</t>
  </si>
  <si>
    <t>2026-06-11 13:25:08</t>
  </si>
  <si>
    <t>14827893</t>
  </si>
  <si>
    <t>4a7122c5-cd8e-435f-924c-c4ec6ed3e687</t>
  </si>
  <si>
    <t>2026-06-11 13:22:49</t>
  </si>
  <si>
    <t>27728197282</t>
  </si>
  <si>
    <t>14827861</t>
  </si>
  <si>
    <t>3730481e-de87-4129-a882-5a67c99ef422</t>
  </si>
  <si>
    <t>2026-06-11 13:21:32</t>
  </si>
  <si>
    <t>27725218280</t>
  </si>
  <si>
    <t>14828192</t>
  </si>
  <si>
    <t>9dcf285d-d248-403a-a83e-69978aa4af32</t>
  </si>
  <si>
    <t>2026-06-11 12:48:20</t>
  </si>
  <si>
    <t>27761771239</t>
  </si>
  <si>
    <t>14828194</t>
  </si>
  <si>
    <t>f91e5c5e-5959-4afe-a9b8-f6f0781c97b6</t>
  </si>
  <si>
    <t>27647384828</t>
  </si>
  <si>
    <t>2026-06-11 12:43:28</t>
  </si>
  <si>
    <t>14828173</t>
  </si>
  <si>
    <t>2ab566ed-04c4-46ad-a4a6-497b7eeab716</t>
  </si>
  <si>
    <t>2026-06-11 12:43:08</t>
  </si>
  <si>
    <t>27829672258</t>
  </si>
  <si>
    <t>14827792</t>
  </si>
  <si>
    <t>82e5def7-c19a-450f-9e49-9cefed0dc980</t>
  </si>
  <si>
    <t>2026-06-11 12:37:39</t>
  </si>
  <si>
    <t>27792461835</t>
  </si>
  <si>
    <t>14828471</t>
  </si>
  <si>
    <t>8fd52299-b876-46e8-8e57-aff0317b2b54</t>
  </si>
  <si>
    <t>2026-06-11 12:32:32</t>
  </si>
  <si>
    <t>27711890638</t>
  </si>
  <si>
    <t>14828245</t>
  </si>
  <si>
    <t>3b5fc329-90db-4cbd-875c-740f1eda4917</t>
  </si>
  <si>
    <t>2026-06-11 12:27:49</t>
  </si>
  <si>
    <t>27606000653</t>
  </si>
  <si>
    <t>14827790</t>
  </si>
  <si>
    <t>2c75a067-8e4e-41a8-97e7-fd298993c352</t>
  </si>
  <si>
    <t>27793732768</t>
  </si>
  <si>
    <t>2026-06-11 12:24:18</t>
  </si>
  <si>
    <t>14827864</t>
  </si>
  <si>
    <t>a9fc1d0d-a4db-44d9-b103-33f2fd17b96f</t>
  </si>
  <si>
    <t>2026-06-11 12:23:21</t>
  </si>
  <si>
    <t>27797309446</t>
  </si>
  <si>
    <t>14827659</t>
  </si>
  <si>
    <t>fc17a0b1-bf98-4be8-8891-e90ec6ec2af7</t>
  </si>
  <si>
    <t>27761004042</t>
  </si>
  <si>
    <t>2026-06-11 12:20:32</t>
  </si>
  <si>
    <t>14827677</t>
  </si>
  <si>
    <t>91410dcf-b1d0-4a3d-8a0f-31735f14d5b9</t>
  </si>
  <si>
    <t>2026-06-11 12:18:30</t>
  </si>
  <si>
    <t>27725544337</t>
  </si>
  <si>
    <t>14827641</t>
  </si>
  <si>
    <t>83f7d7ce-119f-4faf-86cd-ac81e20b3908</t>
  </si>
  <si>
    <t>2026-06-11 12:13:41</t>
  </si>
  <si>
    <t>27766279069</t>
  </si>
  <si>
    <t>14827597</t>
  </si>
  <si>
    <t>1c51d465-810d-4024-84a7-557b5ae6c4aa</t>
  </si>
  <si>
    <t>27768878667</t>
  </si>
  <si>
    <t>2026-06-11 12:11:37</t>
  </si>
  <si>
    <t>14827645</t>
  </si>
  <si>
    <t>987a3348-7eec-49ef-9232-ce68ea198715</t>
  </si>
  <si>
    <t>2026-06-11 12:08:39</t>
  </si>
  <si>
    <t>27727278933</t>
  </si>
  <si>
    <t>14827616</t>
  </si>
  <si>
    <t>1ed00f57-e0ad-439a-9318-454e9cbcf63c</t>
  </si>
  <si>
    <t>27727501303</t>
  </si>
  <si>
    <t>2026-06-11 12:02:33</t>
  </si>
  <si>
    <t>14827775</t>
  </si>
  <si>
    <t>208ee183-18f0-467a-ac92-f77de9cd4aaf</t>
  </si>
  <si>
    <t>27720310994</t>
  </si>
  <si>
    <t>2026-06-11 12:00:51</t>
  </si>
  <si>
    <t>14827679</t>
  </si>
  <si>
    <t>02afc3b8-3be5-4821-844b-4a4fe4a79883</t>
  </si>
  <si>
    <t>2026-06-11 11:59:49</t>
  </si>
  <si>
    <t>27674754271</t>
  </si>
  <si>
    <t>14827643</t>
  </si>
  <si>
    <t>309c0c8f-ddc8-4b6f-a81f-f9b2fdd291af</t>
  </si>
  <si>
    <t>2026-06-11 11:51:30</t>
  </si>
  <si>
    <t>27827636375</t>
  </si>
  <si>
    <t>14828448</t>
  </si>
  <si>
    <t>210ea4bf-3128-4a9b-b296-e4ffc235782d</t>
  </si>
  <si>
    <t>2026-06-11 10:56:58</t>
  </si>
  <si>
    <t>27610767828</t>
  </si>
  <si>
    <t>14828410</t>
  </si>
  <si>
    <t>0e79fd03-7487-4a05-bb0b-be02c7a1b791</t>
  </si>
  <si>
    <t>2026-06-11 10:41:56</t>
  </si>
  <si>
    <t>27637171063</t>
  </si>
  <si>
    <t>14828400</t>
  </si>
  <si>
    <t>d62b82e3-86e6-4166-8aea-357b04ca034e</t>
  </si>
  <si>
    <t>2026-06-11 10:39:19</t>
  </si>
  <si>
    <t>27795882689</t>
  </si>
  <si>
    <t>14828347</t>
  </si>
  <si>
    <t>c5d91bce-27c2-47ae-b515-21eb92918f75</t>
  </si>
  <si>
    <t>27836784967</t>
  </si>
  <si>
    <t>2026-06-11 10:29:53</t>
  </si>
  <si>
    <t>14828333</t>
  </si>
  <si>
    <t>365a3673-3178-4702-b77e-f64b8b482ad2</t>
  </si>
  <si>
    <t>2026-06-11 10:22:11</t>
  </si>
  <si>
    <t>27728183830</t>
  </si>
  <si>
    <t>14828293</t>
  </si>
  <si>
    <t>e206c56e-db2a-42c3-9e59-2b69d7cea857</t>
  </si>
  <si>
    <t>27824092613</t>
  </si>
  <si>
    <t>2026-06-11 10:11:49</t>
  </si>
  <si>
    <t>14828296</t>
  </si>
  <si>
    <t>aa012321-0dab-4753-9106-045ff86585b6</t>
  </si>
  <si>
    <t>2026-06-11 10:11:43</t>
  </si>
  <si>
    <t>27762329503</t>
  </si>
  <si>
    <t>14827755</t>
  </si>
  <si>
    <t>113204a0-a409-4ea7-838c-6730a49d1e85</t>
  </si>
  <si>
    <t>2026-06-11 09:06:09</t>
  </si>
  <si>
    <t>27834971397</t>
  </si>
  <si>
    <t>14828134</t>
  </si>
  <si>
    <t>0d73f0cf-0be0-4c69-9c78-f759f4282ea3</t>
  </si>
  <si>
    <t>2026-06-10 14:59:35</t>
  </si>
  <si>
    <t>27712158218</t>
  </si>
  <si>
    <t>14828159</t>
  </si>
  <si>
    <t>feab250e-287f-4427-8ede-77da799c7ae6</t>
  </si>
  <si>
    <t>27712102874</t>
  </si>
  <si>
    <t>2026-06-10 13:32:47</t>
  </si>
  <si>
    <t>14828123</t>
  </si>
  <si>
    <t>ed24013c-76ef-4610-9a38-13f6564e5286</t>
  </si>
  <si>
    <t>2026-06-10 13:30:20</t>
  </si>
  <si>
    <t>27823127511</t>
  </si>
  <si>
    <t>14828140</t>
  </si>
  <si>
    <t>899c97cc-d018-4510-bc48-505018524b61</t>
  </si>
  <si>
    <t>2026-06-10 13:25:21</t>
  </si>
  <si>
    <t>27798372668</t>
  </si>
  <si>
    <t>14828109</t>
  </si>
  <si>
    <t>8b48beec-249f-48f4-828c-dac1f9ca52de</t>
  </si>
  <si>
    <t>2026-06-10 12:54:49</t>
  </si>
  <si>
    <t>27761029760</t>
  </si>
  <si>
    <t>14828001</t>
  </si>
  <si>
    <t>21d3e6aa-89b9-4b73-852c-a0d88cda0839</t>
  </si>
  <si>
    <t>27637927188</t>
  </si>
  <si>
    <t>2026-06-10 12:42:51</t>
  </si>
  <si>
    <t>14827968</t>
  </si>
  <si>
    <t>2da3de70-70b1-496c-ae92-269f04384416</t>
  </si>
  <si>
    <t>2026-06-10 12:32:42</t>
  </si>
  <si>
    <t>27714571198</t>
  </si>
  <si>
    <t>14827937</t>
  </si>
  <si>
    <t>f9acf6a2-b89c-46f6-bcc8-9bed3c4dae0d</t>
  </si>
  <si>
    <t>2026-06-10 12:31:22</t>
  </si>
  <si>
    <t>27764434949</t>
  </si>
  <si>
    <t>14827898</t>
  </si>
  <si>
    <t>aca90b50-cbd9-432c-8851-e8b27210b834</t>
  </si>
  <si>
    <t>27797293408</t>
  </si>
  <si>
    <t>2026-06-10 12:26:55</t>
  </si>
  <si>
    <t>14827919</t>
  </si>
  <si>
    <t>27f0bad2-c520-4ce1-8065-d87a554e1095</t>
  </si>
  <si>
    <t>27661012228</t>
  </si>
  <si>
    <t>2026-06-10 12:26:05</t>
  </si>
  <si>
    <t>14827902</t>
  </si>
  <si>
    <t>e63b5308-9235-4f8b-a20b-d2d75aec64f7</t>
  </si>
  <si>
    <t>2026-06-10 12:23:28</t>
  </si>
  <si>
    <t>27727045429</t>
  </si>
  <si>
    <t>14827890</t>
  </si>
  <si>
    <t>2ad8b239-93a4-4311-9afe-20bfb64691df</t>
  </si>
  <si>
    <t>2026-06-10 12:22:15</t>
  </si>
  <si>
    <t>27790428521</t>
  </si>
  <si>
    <t>14828219</t>
  </si>
  <si>
    <t>8c9434b4-f4be-46d2-9b54-c8f25f5bc98a</t>
  </si>
  <si>
    <t>2026-06-10 12:01:00</t>
  </si>
  <si>
    <t>27761738001</t>
  </si>
  <si>
    <t>14828241</t>
  </si>
  <si>
    <t>66b73ab6-9f73-42f6-a9e6-85f790885795</t>
  </si>
  <si>
    <t>2026-06-10 11:59:32</t>
  </si>
  <si>
    <t>27661349627</t>
  </si>
  <si>
    <t>14828299</t>
  </si>
  <si>
    <t>d096c0dd-bc03-4bed-bc49-9f3e9a9774cc</t>
  </si>
  <si>
    <t>27791443349</t>
  </si>
  <si>
    <t>2026-06-10 11:40:04</t>
  </si>
  <si>
    <t>14828225</t>
  </si>
  <si>
    <t>9d2fb977-32cf-46d3-891e-08859e8474bf</t>
  </si>
  <si>
    <t>2026-06-10 11:33:48</t>
  </si>
  <si>
    <t>27729668719</t>
  </si>
  <si>
    <t>14828279</t>
  </si>
  <si>
    <t>fb4d4239-20df-456b-b36e-17437808ee2f</t>
  </si>
  <si>
    <t>2026-06-10 11:27:02</t>
  </si>
  <si>
    <t>27729529306</t>
  </si>
  <si>
    <t>14827768</t>
  </si>
  <si>
    <t>8c57989e-2531-4471-8f05-60a0c19dcb2d</t>
  </si>
  <si>
    <t>27727998396</t>
  </si>
  <si>
    <t>2026-06-10 10:49:17</t>
  </si>
  <si>
    <t>14828405</t>
  </si>
  <si>
    <t>8f8d9a40-7008-441d-9fbc-81e157e92b93</t>
  </si>
  <si>
    <t>2026-06-10 10:48:47</t>
  </si>
  <si>
    <t>27797604351</t>
  </si>
  <si>
    <t>14828419</t>
  </si>
  <si>
    <t>bfe8b48f-585a-4a4a-a9b5-5ce69c8b9f6d</t>
  </si>
  <si>
    <t>2026-06-10 10:47:42</t>
  </si>
  <si>
    <t>27765640116</t>
  </si>
  <si>
    <t>14828326</t>
  </si>
  <si>
    <t>5f3bd255-1b58-43b8-962d-5011ad39d5ee</t>
  </si>
  <si>
    <t>27664910380</t>
  </si>
  <si>
    <t>2026-06-10 10:41:56</t>
  </si>
  <si>
    <t>14828423</t>
  </si>
  <si>
    <t>a03320e2-5983-4d72-8626-726b56ff495e</t>
  </si>
  <si>
    <t>2026-06-10 10:34:51</t>
  </si>
  <si>
    <t>27760120129</t>
  </si>
  <si>
    <t>14827788</t>
  </si>
  <si>
    <t>69769920-cb31-4a15-969c-a409c7caf00c</t>
  </si>
  <si>
    <t>27711678625</t>
  </si>
  <si>
    <t>2026-06-10 10:19:33</t>
  </si>
  <si>
    <t>14827593</t>
  </si>
  <si>
    <t>b91b91b8-7f9d-4a9e-91a6-eb3c4f050391</t>
  </si>
  <si>
    <t>2026-06-10 10:07:59</t>
  </si>
  <si>
    <t>27607823772</t>
  </si>
  <si>
    <t>14827654</t>
  </si>
  <si>
    <t>c7698b95-6923-4ae8-9f7a-b124a7d4c0b8</t>
  </si>
  <si>
    <t>27660020811</t>
  </si>
  <si>
    <t>2026-06-10 10:06:37</t>
  </si>
  <si>
    <t>14827594</t>
  </si>
  <si>
    <t>275148fa-4882-4bc4-a9d1-67b29bedd0f3</t>
  </si>
  <si>
    <t>2026-06-10 10:06:29</t>
  </si>
  <si>
    <t>27649455916</t>
  </si>
  <si>
    <t>14827707</t>
  </si>
  <si>
    <t>cbf3dee4-b633-4147-8a5b-770dd3b64f02</t>
  </si>
  <si>
    <t>27824951536</t>
  </si>
  <si>
    <t>2026-06-10 10:00:34</t>
  </si>
  <si>
    <t>14827709</t>
  </si>
  <si>
    <t>a3bedae5-c319-4f98-bd60-5b91c3322b7f</t>
  </si>
  <si>
    <t>2026-06-10 09:59:27</t>
  </si>
  <si>
    <t>27790502217</t>
  </si>
  <si>
    <t>14828302</t>
  </si>
  <si>
    <t>39ba258d-d5b7-4271-af93-08bd968802f6</t>
  </si>
  <si>
    <t>27827148570</t>
  </si>
  <si>
    <t>2026-06-10 09:54:57</t>
  </si>
  <si>
    <t>14827692</t>
  </si>
  <si>
    <t>45409102-564c-4226-afbf-681b096f4a59</t>
  </si>
  <si>
    <t>2026-06-10 09:51:47</t>
  </si>
  <si>
    <t>27774142480</t>
  </si>
  <si>
    <t>14827626</t>
  </si>
  <si>
    <t>8f6c528d-f3d4-4d44-8026-55ef763a3c37</t>
  </si>
  <si>
    <t>2026-06-10 09:47:39</t>
  </si>
  <si>
    <t>27711004074</t>
  </si>
  <si>
    <t>14828513</t>
  </si>
  <si>
    <t>d5285e73-f577-4ddc-9b0f-ca970c8f1edf</t>
  </si>
  <si>
    <t>27793763062</t>
  </si>
  <si>
    <t>2026-06-10 09:39:21</t>
  </si>
  <si>
    <t>14828477</t>
  </si>
  <si>
    <t>a45e20ba-365a-438d-9171-839cf9005bdb</t>
  </si>
  <si>
    <t>2026-06-10 09:33:00</t>
  </si>
  <si>
    <t>27727033572</t>
  </si>
  <si>
    <t>14828456</t>
  </si>
  <si>
    <t>523bcf38-f44f-43e0-9ad5-0a1979adc922</t>
  </si>
  <si>
    <t>2026-06-10 09:30:08</t>
  </si>
  <si>
    <t>27761226735</t>
  </si>
  <si>
    <t>14828028</t>
  </si>
  <si>
    <t>606c22f7-dfd4-45af-bcc3-7db45a2a4d8f</t>
  </si>
  <si>
    <t>2026-06-09 12:15:11</t>
  </si>
  <si>
    <t>27829699062</t>
  </si>
  <si>
    <t>14827997</t>
  </si>
  <si>
    <t>87c41468-b633-4b97-9689-91229131b6e8</t>
  </si>
  <si>
    <t>27648724377</t>
  </si>
  <si>
    <t>2026-06-09 12:06:45</t>
  </si>
  <si>
    <t>14827998</t>
  </si>
  <si>
    <t>7ec3dbe5-8620-4828-843c-90464737a8f1</t>
  </si>
  <si>
    <t>2026-06-09 12:04:45</t>
  </si>
  <si>
    <t>27711334993</t>
  </si>
  <si>
    <t>14828029</t>
  </si>
  <si>
    <t>cf50a4ce-5aab-4d50-b78d-892af820adb7</t>
  </si>
  <si>
    <t>27636189484</t>
  </si>
  <si>
    <t>2026-06-09 11:59:10</t>
  </si>
  <si>
    <t>14827989</t>
  </si>
  <si>
    <t>d8cbf2bd-98d8-42da-99e0-ac3ec7843cae</t>
  </si>
  <si>
    <t>27768528053</t>
  </si>
  <si>
    <t>2026-06-09 11:57:35</t>
  </si>
  <si>
    <t>14827945</t>
  </si>
  <si>
    <t>4027f892-a938-4de3-921c-2900d56462cb</t>
  </si>
  <si>
    <t>27714142808</t>
  </si>
  <si>
    <t>2026-06-09 11:05:48</t>
  </si>
  <si>
    <t>14828058</t>
  </si>
  <si>
    <t>073b6c0d-c9e8-470a-bc87-523a00f86932</t>
  </si>
  <si>
    <t>2026-06-09 11:00:21</t>
  </si>
  <si>
    <t>27648464891</t>
  </si>
  <si>
    <t>14827925</t>
  </si>
  <si>
    <t>c30e28b4-6ab1-4aa9-b4f5-37c951720833</t>
  </si>
  <si>
    <t>2026-06-09 10:54:27</t>
  </si>
  <si>
    <t>27646735149</t>
  </si>
  <si>
    <t>14827912</t>
  </si>
  <si>
    <t>9e06afeb-ce95-449f-95b6-84fc4ce2b3d9</t>
  </si>
  <si>
    <t>27727050161</t>
  </si>
  <si>
    <t>2026-06-09 10:52:16</t>
  </si>
  <si>
    <t>14828104</t>
  </si>
  <si>
    <t>743ec2ac-84c2-4929-b4b5-905f6ce85a94</t>
  </si>
  <si>
    <t>2026-06-09 10:25:02</t>
  </si>
  <si>
    <t>27825827882</t>
  </si>
  <si>
    <t>14828195</t>
  </si>
  <si>
    <t>73fef119-fcd3-4024-aa27-db23c7de5ef7</t>
  </si>
  <si>
    <t>2026-06-09 10:22:03</t>
  </si>
  <si>
    <t>27760904980</t>
  </si>
  <si>
    <t>14828182</t>
  </si>
  <si>
    <t>dbe65f2c-34ad-47e6-b6ce-a966ccfeb51f</t>
  </si>
  <si>
    <t>2026-06-09 10:13:58</t>
  </si>
  <si>
    <t>27760915003</t>
  </si>
  <si>
    <t>14828167</t>
  </si>
  <si>
    <t>b3468372-e363-45f0-b203-8edba9777037</t>
  </si>
  <si>
    <t>27716286578</t>
  </si>
  <si>
    <t>2026-06-09 10:10:53</t>
  </si>
  <si>
    <t>14827821</t>
  </si>
  <si>
    <t>09387c4e-c4af-4cdb-8488-80e90c2661a4</t>
  </si>
  <si>
    <t>27661333834</t>
  </si>
  <si>
    <t>2026-06-09 10:06:43</t>
  </si>
  <si>
    <t>14827805</t>
  </si>
  <si>
    <t>bb215584-911f-4a6a-a307-9cc838a8500b</t>
  </si>
  <si>
    <t>2026-06-09 09:54:54</t>
  </si>
  <si>
    <t>27727241065</t>
  </si>
  <si>
    <t>14827799</t>
  </si>
  <si>
    <t>9a1e8908-dd09-4243-a807-0debb5723bad</t>
  </si>
  <si>
    <t>27715757032</t>
  </si>
  <si>
    <t>2026-06-09 09:53:34</t>
  </si>
  <si>
    <t>14828339</t>
  </si>
  <si>
    <t>8ded8a62-3580-4240-8c8e-12c62556f490</t>
  </si>
  <si>
    <t>2026-06-09 09:46:55</t>
  </si>
  <si>
    <t>27649183159</t>
  </si>
  <si>
    <t>14828379</t>
  </si>
  <si>
    <t>c8d6300a-fb3e-44d9-88d4-5471a7992dd4</t>
  </si>
  <si>
    <t>2026-06-09 09:23:22</t>
  </si>
  <si>
    <t>27721026765</t>
  </si>
  <si>
    <t>14828382</t>
  </si>
  <si>
    <t>af961faf-30a0-475d-9089-2bb24206662e</t>
  </si>
  <si>
    <t>2026-06-09 09:22:24</t>
  </si>
  <si>
    <t>27663552907</t>
  </si>
  <si>
    <t>14828415</t>
  </si>
  <si>
    <t>24886be3-6123-48ed-b801-ab479c0c57df</t>
  </si>
  <si>
    <t>27607456019</t>
  </si>
  <si>
    <t>2026-06-09 09:18:29</t>
  </si>
  <si>
    <t>14828446</t>
  </si>
  <si>
    <t>6803f5ab-0371-4592-a56b-3bad8b23dec8</t>
  </si>
  <si>
    <t>2026-06-09 09:14:30</t>
  </si>
  <si>
    <t>27660502673</t>
  </si>
  <si>
    <t>14827759</t>
  </si>
  <si>
    <t>8ef2d6d1-f611-4792-ad8c-a8d65dde40a4</t>
  </si>
  <si>
    <t>2026-06-09 09:04:48</t>
  </si>
  <si>
    <t>27679862646</t>
  </si>
  <si>
    <t>14827669</t>
  </si>
  <si>
    <t>97856804-eeab-4a50-89ed-47620e787c9d</t>
  </si>
  <si>
    <t>27763232859</t>
  </si>
  <si>
    <t>2026-06-09 08:59:11</t>
  </si>
  <si>
    <t>14828449</t>
  </si>
  <si>
    <t>06baaf5a-73f9-4a9f-a3ce-aad13bc5ae5f</t>
  </si>
  <si>
    <t>2026-06-09 08:52:47</t>
  </si>
  <si>
    <t>27766472912</t>
  </si>
  <si>
    <t>14827611</t>
  </si>
  <si>
    <t>d6754677-1146-431c-81f3-feda9ac3d21c</t>
  </si>
  <si>
    <t>2026-06-09 08:44:35</t>
  </si>
  <si>
    <t>27673366793</t>
  </si>
  <si>
    <t>14827605</t>
  </si>
  <si>
    <t>7ee54a09-129b-4284-af1e-dd6341d80411</t>
  </si>
  <si>
    <t>2026-06-09 08:42:48</t>
  </si>
  <si>
    <t>27767644778</t>
  </si>
  <si>
    <t>14828481</t>
  </si>
  <si>
    <t>5e67fbb0-c0d2-4882-9052-1bd5de65633a</t>
  </si>
  <si>
    <t>2026-06-09 08:40:13</t>
  </si>
  <si>
    <t>27822599940</t>
  </si>
  <si>
    <t>14827551</t>
  </si>
  <si>
    <t>8b2baad8-0cde-4cf3-b8fb-cc5ca3f9d6b0</t>
  </si>
  <si>
    <t>2026-06-09 08:40:06</t>
  </si>
  <si>
    <t>27660144108</t>
  </si>
  <si>
    <t>14828542</t>
  </si>
  <si>
    <t>3fc1e355-d7e6-458c-b1c3-55d6e55dc71e</t>
  </si>
  <si>
    <t>2026-06-09 08:32:07</t>
  </si>
  <si>
    <t>27661912011</t>
  </si>
  <si>
    <t>14828489</t>
  </si>
  <si>
    <t>d7c09546-0775-4b32-9a71-53b25347c1fb</t>
  </si>
  <si>
    <t>2026-06-09 08:04:13</t>
  </si>
  <si>
    <t>27766381438</t>
  </si>
  <si>
    <t>14828461</t>
  </si>
  <si>
    <t>705eded0-1600-4755-b2ac-c81a13b805bf</t>
  </si>
  <si>
    <t>2026-06-09 08:01:51</t>
  </si>
  <si>
    <t>27764433941</t>
  </si>
  <si>
    <t>14828469</t>
  </si>
  <si>
    <t>d8d052e7-c11c-4c60-8385-78c1828690d0</t>
  </si>
  <si>
    <t>2026-06-09 07:57:49</t>
  </si>
  <si>
    <t>27712516930</t>
  </si>
  <si>
    <t>14828470</t>
  </si>
  <si>
    <t>a3184885-a3b6-4d0f-853d-5cff4e565036</t>
  </si>
  <si>
    <t>27723962119</t>
  </si>
  <si>
    <t>14828537</t>
  </si>
  <si>
    <t>0058c011-060e-49f1-badb-6e61a04e258b</t>
  </si>
  <si>
    <t>2026-06-08 12:39:49</t>
  </si>
  <si>
    <t>27792306458</t>
  </si>
  <si>
    <t>14828524</t>
  </si>
  <si>
    <t>fb32e8ae-523c-42fa-a765-177586f3e99f</t>
  </si>
  <si>
    <t>2026-06-08 11:47:56</t>
  </si>
  <si>
    <t>27646642043</t>
  </si>
  <si>
    <t>14828526</t>
  </si>
  <si>
    <t>b0261717-ca53-4ec0-ab59-bdc00749ec6c</t>
  </si>
  <si>
    <t>27636574155</t>
  </si>
  <si>
    <t>14828519</t>
  </si>
  <si>
    <t>e9b59aa2-37bd-4c17-a821-78e9af61653d</t>
  </si>
  <si>
    <t>2026-06-08 11:46:55</t>
  </si>
  <si>
    <t>27791523200</t>
  </si>
  <si>
    <t>14828053</t>
  </si>
  <si>
    <t>33a09b01-2a9d-4ab4-bc8e-d8fe7027018f</t>
  </si>
  <si>
    <t>27648667778</t>
  </si>
  <si>
    <t>2026-06-08 11:44:42</t>
  </si>
  <si>
    <t>14828483</t>
  </si>
  <si>
    <t>8a27eda7-d507-4d46-8d8c-3efe7644b51b</t>
  </si>
  <si>
    <t>2026-06-08 11:42:59</t>
  </si>
  <si>
    <t>27793285718</t>
  </si>
  <si>
    <t>e936c716-3b96-4f17-b297-43be22365bfc</t>
  </si>
  <si>
    <t>2026-06-08 11:41:37</t>
  </si>
  <si>
    <t>27646606777</t>
  </si>
  <si>
    <t>14828417</t>
  </si>
  <si>
    <t>38e23f84-4a01-48b0-a8dc-744dcb82df3d</t>
  </si>
  <si>
    <t>2026-06-08 10:48:04</t>
  </si>
  <si>
    <t>27637122144</t>
  </si>
  <si>
    <t>14828374</t>
  </si>
  <si>
    <t>f2cb2399-dc7e-4974-a33e-d23dfd499b17</t>
  </si>
  <si>
    <t>2026-06-08 10:32:09</t>
  </si>
  <si>
    <t>27719294863</t>
  </si>
  <si>
    <t>14828372</t>
  </si>
  <si>
    <t>11c62e58-1a76-4ff4-946f-bd02bd298231</t>
  </si>
  <si>
    <t>2026-06-08 10:30:01</t>
  </si>
  <si>
    <t>Millicent Motsuku</t>
  </si>
  <si>
    <t>27764566870</t>
  </si>
  <si>
    <t>14828336</t>
  </si>
  <si>
    <t>3c86e66b-818f-4d56-8a35-1521a0f7a889</t>
  </si>
  <si>
    <t>2026-06-08 10:25:02</t>
  </si>
  <si>
    <t>27724988195</t>
  </si>
  <si>
    <t>14828338</t>
  </si>
  <si>
    <t>91a423d5-c3f1-4af6-8d0e-1f632dd923c9</t>
  </si>
  <si>
    <t>27824810275</t>
  </si>
  <si>
    <t>14828281</t>
  </si>
  <si>
    <t>270e0165-2d84-4217-8930-3f0a1fc63305</t>
  </si>
  <si>
    <t>2026-06-08 10:18:53</t>
  </si>
  <si>
    <t>27794790153</t>
  </si>
  <si>
    <t>14828248</t>
  </si>
  <si>
    <t>154c90e4-0308-4391-bb17-7922cf49c82b</t>
  </si>
  <si>
    <t>2026-06-08 10:16:18</t>
  </si>
  <si>
    <t>Thandile Nokubeni</t>
  </si>
  <si>
    <t>27823415037</t>
  </si>
  <si>
    <t>14828191</t>
  </si>
  <si>
    <t>7c569488-0a66-4efd-af7a-b35527cf9794</t>
  </si>
  <si>
    <t>2026-06-08 10:03:44</t>
  </si>
  <si>
    <t>27729620813</t>
  </si>
  <si>
    <t>14828150</t>
  </si>
  <si>
    <t>a3b667fb-e8db-4a65-bc4d-89cda804b23f</t>
  </si>
  <si>
    <t>27661809807</t>
  </si>
  <si>
    <t>2026-06-08 10:02:17</t>
  </si>
  <si>
    <t>14828152</t>
  </si>
  <si>
    <t>e2febec8-2bc3-4bf8-b885-6cfeffd7e738</t>
  </si>
  <si>
    <t>2026-06-08 09:58:38</t>
  </si>
  <si>
    <t>27824948769</t>
  </si>
  <si>
    <t>14828093</t>
  </si>
  <si>
    <t>06c5a9d0-955f-40c7-9e05-09b4e781e50e</t>
  </si>
  <si>
    <t>2026-06-08 09:44:44</t>
  </si>
  <si>
    <t>27791548192</t>
  </si>
  <si>
    <t>14828086</t>
  </si>
  <si>
    <t>4d0a8795-c93a-492d-82b4-1177f5175921</t>
  </si>
  <si>
    <t>2026-06-08 09:43:55</t>
  </si>
  <si>
    <t>27673802006</t>
  </si>
  <si>
    <t>14828074</t>
  </si>
  <si>
    <t>b2ba5900-b24a-402c-acc6-e657d7207c89</t>
  </si>
  <si>
    <t>2026-06-08 09:41:12</t>
  </si>
  <si>
    <t>27725551534</t>
  </si>
  <si>
    <t>14828069</t>
  </si>
  <si>
    <t>8bdf3ccd-55db-4f25-aa40-fd549515a124</t>
  </si>
  <si>
    <t>2026-06-08 09:38:17</t>
  </si>
  <si>
    <t>27723025322</t>
  </si>
  <si>
    <t>14828061</t>
  </si>
  <si>
    <t>0ca9740b-3271-4ddd-b13c-b2ba8d540173</t>
  </si>
  <si>
    <t>2026-06-08 09:37:06</t>
  </si>
  <si>
    <t>27606392856</t>
  </si>
  <si>
    <t>14828055</t>
  </si>
  <si>
    <t>095f0eee-39b8-4838-91df-44bf11069aa2</t>
  </si>
  <si>
    <t>2026-06-08 09:36:16</t>
  </si>
  <si>
    <t>27673224774</t>
  </si>
  <si>
    <t>14828044</t>
  </si>
  <si>
    <t>8918e4fc-e7f5-4881-9411-16d5978624dc</t>
  </si>
  <si>
    <t>2026-06-08 09:30:05</t>
  </si>
  <si>
    <t>27765547678</t>
  </si>
  <si>
    <t>14828038</t>
  </si>
  <si>
    <t>f6cc0d91-6848-47dc-9bc5-a66799f21a89</t>
  </si>
  <si>
    <t>2026-06-08 09:28:47</t>
  </si>
  <si>
    <t>27818553061</t>
  </si>
  <si>
    <t>14827967</t>
  </si>
  <si>
    <t>f9f081c6-815e-459d-9453-fc69724b4d79</t>
  </si>
  <si>
    <t>27791016717</t>
  </si>
  <si>
    <t>2026-06-08 09:23:09</t>
  </si>
  <si>
    <t>14827983</t>
  </si>
  <si>
    <t>b66222a6-35ff-4224-8d76-36d802f25660</t>
  </si>
  <si>
    <t>2026-06-08 09:18:24</t>
  </si>
  <si>
    <t>27794157825</t>
  </si>
  <si>
    <t>14827969</t>
  </si>
  <si>
    <t>dc329eb6-0dc6-46a1-abc8-4bf41510e336</t>
  </si>
  <si>
    <t>2026-06-08 09:14:19</t>
  </si>
  <si>
    <t>27717828273</t>
  </si>
  <si>
    <t>14827971</t>
  </si>
  <si>
    <t>98a3a40a-e8e0-43c0-86ff-7339f43f8b06</t>
  </si>
  <si>
    <t>27798231082</t>
  </si>
  <si>
    <t>14827954</t>
  </si>
  <si>
    <t>4ed2ce87-9298-4749-9be3-d8862259af0b</t>
  </si>
  <si>
    <t>2026-06-08 09:12:15</t>
  </si>
  <si>
    <t>27712282833</t>
  </si>
  <si>
    <t>14827936</t>
  </si>
  <si>
    <t>795c9d2e-2e49-4002-86ea-c1669d9c896f</t>
  </si>
  <si>
    <t>27713693855</t>
  </si>
  <si>
    <t>2026-06-08 09:08:36</t>
  </si>
  <si>
    <t>14827941</t>
  </si>
  <si>
    <t>4bd768a8-4ff5-46a4-a885-01f98fb22cdd</t>
  </si>
  <si>
    <t>2026-06-08 09:06:49</t>
  </si>
  <si>
    <t>27793563724</t>
  </si>
  <si>
    <t>14827938</t>
  </si>
  <si>
    <t>6f709348-e631-4fd1-a81d-3753d6e12e32</t>
  </si>
  <si>
    <t>2026-06-08 08:51:46</t>
  </si>
  <si>
    <t>27763180441</t>
  </si>
  <si>
    <t>e860ca9d-aa39-49b7-8b8b-6f920417229a</t>
  </si>
  <si>
    <t>2026-06-08 08:50:38</t>
  </si>
  <si>
    <t>27837761891</t>
  </si>
  <si>
    <t>14827546</t>
  </si>
  <si>
    <t>e2f329f5-fcc0-4776-b667-29fa847da9a3</t>
  </si>
  <si>
    <t>2026-06-08 08:42:17</t>
  </si>
  <si>
    <t>27711165804</t>
  </si>
  <si>
    <t>14827895</t>
  </si>
  <si>
    <t>de3881d4-4131-4910-9a6d-287fc1175fce</t>
  </si>
  <si>
    <t>2026-06-08 08:39:33</t>
  </si>
  <si>
    <t>27827153979</t>
  </si>
  <si>
    <t>14827549</t>
  </si>
  <si>
    <t>221f0e43-c920-4d8e-8cc2-e62837f1444b</t>
  </si>
  <si>
    <t>2026-06-08 08:37:43</t>
  </si>
  <si>
    <t>27713139887</t>
  </si>
  <si>
    <t>14827886</t>
  </si>
  <si>
    <t>8eea0f3d-14ae-4576-9d36-e73c496eaee2</t>
  </si>
  <si>
    <t>2026-06-08 08:36:32</t>
  </si>
  <si>
    <t>27768017214</t>
  </si>
  <si>
    <t>14827879</t>
  </si>
  <si>
    <t>78d87144-b671-4f93-95b8-919f6e825d55</t>
  </si>
  <si>
    <t>2026-06-08 08:33:01</t>
  </si>
  <si>
    <t>27764155593</t>
  </si>
  <si>
    <t>14827838</t>
  </si>
  <si>
    <t>7962322d-28e6-40ae-af6f-27d07bfdad67</t>
  </si>
  <si>
    <t>2026-06-08 07:59:42</t>
  </si>
  <si>
    <t>27729863569</t>
  </si>
  <si>
    <t>75e17813-ac10-4e3d-8bdf-402a4d3e21a1</t>
  </si>
  <si>
    <t>2026-06-08 06:56:29</t>
  </si>
  <si>
    <t>27792320760</t>
  </si>
  <si>
    <t>918e6207-73ce-447f-beae-93db9a18c02f</t>
  </si>
  <si>
    <t>2026-06-08 06:49:00</t>
  </si>
  <si>
    <t>27797913917</t>
  </si>
  <si>
    <t>14827649</t>
  </si>
  <si>
    <t>0768ebc5-edbb-4517-b1dd-4d4369bc0350</t>
  </si>
  <si>
    <t>2026-06-08 06:46:12</t>
  </si>
  <si>
    <t>27791016306</t>
  </si>
  <si>
    <t>14827653</t>
  </si>
  <si>
    <t>aec8496f-f0c0-4d5e-b559-ec0fe05d769e</t>
  </si>
  <si>
    <t>2026-06-08 06:43:00</t>
  </si>
  <si>
    <t>27665792100</t>
  </si>
  <si>
    <t>14827666</t>
  </si>
  <si>
    <t>5d4e0828-af36-4c8a-bfe9-175e5914914d</t>
  </si>
  <si>
    <t>2026-06-08 06:40:00</t>
  </si>
  <si>
    <t>27649536908</t>
  </si>
  <si>
    <t>14827674</t>
  </si>
  <si>
    <t>79cab50f-3b70-4a28-9569-b60320437369</t>
  </si>
  <si>
    <t>2026-06-08 06:36:25</t>
  </si>
  <si>
    <t>27765303398</t>
  </si>
  <si>
    <t>14827689</t>
  </si>
  <si>
    <t>3c34e9e1-b057-43f1-81cc-b6fcd09fff1f</t>
  </si>
  <si>
    <t>2026-06-08 06:33:10</t>
  </si>
  <si>
    <t>27762305061</t>
  </si>
  <si>
    <t>14827691</t>
  </si>
  <si>
    <t>263b41d1-ba93-4fcb-9293-cf1777451352</t>
  </si>
  <si>
    <t>2026-06-08 06:31:45</t>
  </si>
  <si>
    <t>27769252889</t>
  </si>
  <si>
    <t>14827704</t>
  </si>
  <si>
    <t>94232d8a-e70c-40ba-8178-4701b08df5f8</t>
  </si>
  <si>
    <t>2026-06-08 06:27:05</t>
  </si>
  <si>
    <t>27794452644</t>
  </si>
  <si>
    <t>14827706</t>
  </si>
  <si>
    <t>75abb6cc-10b7-46a1-94e7-3f25f9da283b</t>
  </si>
  <si>
    <t>2026-06-08 06:26:46</t>
  </si>
  <si>
    <t>27797567952</t>
  </si>
  <si>
    <t>14827712</t>
  </si>
  <si>
    <t>c5e741a7-0e5b-4d28-a458-8fdea6aab5d6</t>
  </si>
  <si>
    <t>2026-06-08 06:25:50</t>
  </si>
  <si>
    <t>27665308051</t>
  </si>
  <si>
    <t>14827720</t>
  </si>
  <si>
    <t>b50ecdd7-5e31-4959-86a2-a4d842acbf8c</t>
  </si>
  <si>
    <t>2026-06-08 06:23:49</t>
  </si>
  <si>
    <t>27829012978</t>
  </si>
  <si>
    <t>14827724</t>
  </si>
  <si>
    <t>c9837aec-2b33-4379-a205-54caf024360f</t>
  </si>
  <si>
    <t>2026-06-08 06:22:40</t>
  </si>
  <si>
    <t>27723889935</t>
  </si>
  <si>
    <t>14827741</t>
  </si>
  <si>
    <t>5d05747e-6900-4c33-a3c8-1a8857c2f850</t>
  </si>
  <si>
    <t>2026-06-08 06:19:07</t>
  </si>
  <si>
    <t>27712961497</t>
  </si>
  <si>
    <t>14827750</t>
  </si>
  <si>
    <t>a25fadbd-389a-4e9f-b44a-da66497b5bc3</t>
  </si>
  <si>
    <t>2026-06-08 06:17:07</t>
  </si>
  <si>
    <t>27820400040</t>
  </si>
  <si>
    <t>14827767</t>
  </si>
  <si>
    <t>a9e65fce-f81d-498e-8fd4-0fb0c1a4891e</t>
  </si>
  <si>
    <t>2026-06-08 06:13:40</t>
  </si>
  <si>
    <t>27715421998</t>
  </si>
  <si>
    <t>14827773</t>
  </si>
  <si>
    <t>dce5021d-65dc-4fa8-b415-bac682e2bfff</t>
  </si>
  <si>
    <t>2026-06-08 06:12:31</t>
  </si>
  <si>
    <t>27663307774</t>
  </si>
  <si>
    <t>14828024</t>
  </si>
  <si>
    <t>14083f9d-0706-46e0-9c35-806401da2720</t>
  </si>
  <si>
    <t>27721869685</t>
  </si>
  <si>
    <t>14828026</t>
  </si>
  <si>
    <t>8d47be50-57e1-46bb-a4b4-b2bdf4060544</t>
  </si>
  <si>
    <t>27767895984</t>
  </si>
  <si>
    <t>14827612</t>
  </si>
  <si>
    <t>9c99ae20-4a65-430b-a6ba-b4b235dbeb56</t>
  </si>
  <si>
    <t>27716583765</t>
  </si>
  <si>
    <t>Count</t>
  </si>
  <si>
    <t>Grand Total</t>
  </si>
  <si>
    <t>Campaign Analysis – Vodacom Life</t>
  </si>
  <si>
    <t>Total Leads</t>
  </si>
  <si>
    <t>Unworked Leads (New Leads)</t>
  </si>
  <si>
    <t>Successful Contacts</t>
  </si>
  <si>
    <t>True Contacts</t>
  </si>
  <si>
    <t>Conversion</t>
  </si>
  <si>
    <t>True Sales (post QA)</t>
  </si>
  <si>
    <t>Collections</t>
  </si>
  <si>
    <t>Number of missed 1st Collections</t>
  </si>
  <si>
    <t>NTU</t>
  </si>
  <si>
    <t>Cancellations/Lapse</t>
  </si>
  <si>
    <t>Unsuccessful Contacts</t>
  </si>
  <si>
    <t>Lead Count</t>
  </si>
  <si>
    <t>Interested in Deal?</t>
  </si>
  <si>
    <t>Disconnected Number Auto</t>
  </si>
  <si>
    <t>New</t>
  </si>
  <si>
    <t>TPS Registered Number</t>
  </si>
  <si>
    <t>Bad Line Quality</t>
  </si>
  <si>
    <t>Outbound Pre-Routing Drop</t>
  </si>
  <si>
    <t>Engaged</t>
  </si>
  <si>
    <t>CONGESTED</t>
  </si>
  <si>
    <t>Flow Inbound Abandon</t>
  </si>
  <si>
    <t>Multiple Calls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</si>
  <si>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</si>
  <si>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</si>
  <si>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</si>
  <si>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</si>
  <si>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</si>
  <si>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</si>
  <si>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</si>
  <si>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QA Rework</t>
  </si>
  <si>
    <t>Existing Client</t>
  </si>
  <si>
    <t>No Smartphones</t>
  </si>
  <si>
    <t>Client Deceased</t>
  </si>
  <si>
    <t>Right Party Not Available</t>
  </si>
  <si>
    <t>Client Overage Limit</t>
  </si>
  <si>
    <t>Language Barrier</t>
  </si>
  <si>
    <t>Non SA Citizen</t>
  </si>
  <si>
    <t>No Bank Account</t>
  </si>
  <si>
    <t>Client Underage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</si>
  <si>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</si>
  <si>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</si>
  <si>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</si>
  <si>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</si>
  <si>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</si>
  <si>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</si>
  <si>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</si>
  <si>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</si>
  <si>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</si>
  <si>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</si>
  <si>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</si>
  <si>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</si>
  <si>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</si>
  <si>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Cannot Afford Premium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</si>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</sst>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H2" t="s">
        <v>42</v>
      </c>
      <c r="J2" t="s">
        <v>43</v>
      </c>
      <c r="K2" t="s">
        <v>44</v>
      </c>
      <c r="L2">
        <v>8</v>
      </c>
      <c r="M2" t="s">
        <v>45</v>
      </c>
      <c r="N2" t="s">
        <v>46</v>
      </c>
      <c r="O2" t="s">
        <v>47</v>
      </c>
      <c r="P2" t="s">
        <v>47</v>
      </c>
      <c r="Y2" t="s">
        <v>42</v>
      </c>
    </row>
    <row r="3" spans="1:38">
      <c r="A3" t="s">
        <v>48</v>
      </c>
      <c r="B3" t="s">
        <v>49</v>
      </c>
      <c r="D3" t="s">
        <v>40</v>
      </c>
      <c r="E3" t="s">
        <v>41</v>
      </c>
      <c r="H3" t="s">
        <v>50</v>
      </c>
      <c r="J3" t="s">
        <v>51</v>
      </c>
      <c r="K3" t="s">
        <v>52</v>
      </c>
      <c r="L3">
        <v>7</v>
      </c>
      <c r="M3" t="s">
        <v>53</v>
      </c>
      <c r="N3" t="s">
        <v>46</v>
      </c>
      <c r="O3" t="s">
        <v>47</v>
      </c>
      <c r="P3" t="s">
        <v>47</v>
      </c>
      <c r="Y3" t="s">
        <v>50</v>
      </c>
    </row>
    <row r="4" spans="1:38">
      <c r="A4" t="s">
        <v>54</v>
      </c>
      <c r="B4" t="s">
        <v>55</v>
      </c>
      <c r="D4" t="s">
        <v>40</v>
      </c>
      <c r="E4" t="s">
        <v>41</v>
      </c>
      <c r="J4" t="s">
        <v>56</v>
      </c>
      <c r="K4" t="s">
        <v>57</v>
      </c>
      <c r="L4">
        <v>8</v>
      </c>
      <c r="M4" t="s">
        <v>58</v>
      </c>
      <c r="N4" t="s">
        <v>46</v>
      </c>
      <c r="O4" t="s">
        <v>47</v>
      </c>
      <c r="P4" t="s">
        <v>47</v>
      </c>
      <c r="Y4" t="s">
        <v>59</v>
      </c>
    </row>
    <row r="5" spans="1:38">
      <c r="A5" t="s">
        <v>60</v>
      </c>
      <c r="B5" t="s">
        <v>61</v>
      </c>
      <c r="D5" t="s">
        <v>40</v>
      </c>
      <c r="E5" t="s">
        <v>41</v>
      </c>
      <c r="J5" t="s">
        <v>51</v>
      </c>
      <c r="K5" t="s">
        <v>52</v>
      </c>
      <c r="L5">
        <v>9</v>
      </c>
      <c r="M5" t="s">
        <v>62</v>
      </c>
      <c r="N5" t="s">
        <v>46</v>
      </c>
      <c r="O5" t="s">
        <v>47</v>
      </c>
      <c r="P5" t="s">
        <v>47</v>
      </c>
      <c r="Y5" t="s">
        <v>63</v>
      </c>
    </row>
    <row r="6" spans="1:38">
      <c r="A6" t="s">
        <v>64</v>
      </c>
      <c r="B6" t="s">
        <v>65</v>
      </c>
      <c r="D6" t="s">
        <v>40</v>
      </c>
      <c r="E6" t="s">
        <v>41</v>
      </c>
      <c r="J6" t="s">
        <v>66</v>
      </c>
      <c r="K6" t="s">
        <v>67</v>
      </c>
      <c r="L6">
        <v>8</v>
      </c>
      <c r="M6" t="s">
        <v>68</v>
      </c>
      <c r="N6" t="s">
        <v>46</v>
      </c>
      <c r="O6" t="s">
        <v>47</v>
      </c>
      <c r="P6" t="s">
        <v>47</v>
      </c>
      <c r="Y6" t="s">
        <v>69</v>
      </c>
    </row>
    <row r="7" spans="1:38">
      <c r="A7" t="s">
        <v>70</v>
      </c>
      <c r="B7" t="s">
        <v>71</v>
      </c>
      <c r="D7" t="s">
        <v>40</v>
      </c>
      <c r="E7" t="s">
        <v>41</v>
      </c>
      <c r="H7" t="s">
        <v>72</v>
      </c>
      <c r="J7" t="s">
        <v>73</v>
      </c>
      <c r="K7" t="s">
        <v>74</v>
      </c>
      <c r="L7">
        <v>7</v>
      </c>
      <c r="M7" t="s">
        <v>75</v>
      </c>
      <c r="N7" t="s">
        <v>76</v>
      </c>
      <c r="O7" t="s">
        <v>47</v>
      </c>
      <c r="P7" t="s">
        <v>47</v>
      </c>
      <c r="Y7" t="s">
        <v>72</v>
      </c>
    </row>
    <row r="8" spans="1:38">
      <c r="A8" t="s">
        <v>77</v>
      </c>
      <c r="B8" t="s">
        <v>78</v>
      </c>
      <c r="D8" t="s">
        <v>40</v>
      </c>
      <c r="E8" t="s">
        <v>41</v>
      </c>
      <c r="J8" t="s">
        <v>43</v>
      </c>
      <c r="K8" t="s">
        <v>44</v>
      </c>
      <c r="L8">
        <v>13</v>
      </c>
      <c r="M8" t="s">
        <v>79</v>
      </c>
      <c r="N8" t="s">
        <v>80</v>
      </c>
      <c r="O8" t="s">
        <v>47</v>
      </c>
      <c r="P8" t="s">
        <v>47</v>
      </c>
      <c r="Y8" t="s">
        <v>81</v>
      </c>
    </row>
    <row r="9" spans="1:38">
      <c r="A9" t="s">
        <v>82</v>
      </c>
      <c r="B9" t="s">
        <v>83</v>
      </c>
      <c r="D9" t="s">
        <v>40</v>
      </c>
      <c r="E9" t="s">
        <v>41</v>
      </c>
      <c r="J9" t="s">
        <v>84</v>
      </c>
      <c r="K9" t="s">
        <v>85</v>
      </c>
      <c r="L9">
        <v>7</v>
      </c>
      <c r="M9" t="s">
        <v>86</v>
      </c>
      <c r="N9" t="s">
        <v>46</v>
      </c>
      <c r="O9" t="s">
        <v>47</v>
      </c>
      <c r="P9" t="s">
        <v>47</v>
      </c>
      <c r="Y9" t="s">
        <v>87</v>
      </c>
    </row>
    <row r="10" spans="1:38">
      <c r="A10" t="s">
        <v>88</v>
      </c>
      <c r="B10" t="s">
        <v>89</v>
      </c>
      <c r="D10" t="s">
        <v>40</v>
      </c>
      <c r="E10" t="s">
        <v>41</v>
      </c>
      <c r="J10" t="s">
        <v>43</v>
      </c>
      <c r="K10" t="s">
        <v>44</v>
      </c>
      <c r="L10">
        <v>7</v>
      </c>
      <c r="M10" t="s">
        <v>90</v>
      </c>
      <c r="N10" t="s">
        <v>46</v>
      </c>
      <c r="O10" t="s">
        <v>47</v>
      </c>
      <c r="P10" t="s">
        <v>47</v>
      </c>
      <c r="Y10" t="s">
        <v>91</v>
      </c>
    </row>
    <row r="11" spans="1:38">
      <c r="A11" t="s">
        <v>92</v>
      </c>
      <c r="B11" t="s">
        <v>93</v>
      </c>
      <c r="D11" t="s">
        <v>40</v>
      </c>
      <c r="E11" t="s">
        <v>41</v>
      </c>
      <c r="H11" t="s">
        <v>94</v>
      </c>
      <c r="J11" t="s">
        <v>66</v>
      </c>
      <c r="K11" t="s">
        <v>67</v>
      </c>
      <c r="L11">
        <v>7</v>
      </c>
      <c r="M11" t="s">
        <v>95</v>
      </c>
      <c r="N11" t="s">
        <v>46</v>
      </c>
      <c r="O11" t="s">
        <v>47</v>
      </c>
      <c r="P11" t="s">
        <v>47</v>
      </c>
      <c r="Y11" t="s">
        <v>94</v>
      </c>
    </row>
    <row r="12" spans="1:38">
      <c r="A12" t="s">
        <v>96</v>
      </c>
      <c r="B12" t="s">
        <v>97</v>
      </c>
      <c r="D12" t="s">
        <v>40</v>
      </c>
      <c r="E12" t="s">
        <v>41</v>
      </c>
      <c r="H12" t="s">
        <v>98</v>
      </c>
      <c r="J12" t="s">
        <v>66</v>
      </c>
      <c r="K12" t="s">
        <v>67</v>
      </c>
      <c r="L12">
        <v>9</v>
      </c>
      <c r="M12" t="s">
        <v>99</v>
      </c>
      <c r="N12" t="s">
        <v>46</v>
      </c>
      <c r="O12" t="s">
        <v>47</v>
      </c>
      <c r="P12" t="s">
        <v>47</v>
      </c>
      <c r="Y12" t="s">
        <v>98</v>
      </c>
    </row>
    <row r="13" spans="1:38">
      <c r="A13" t="s">
        <v>100</v>
      </c>
      <c r="B13" t="s">
        <v>101</v>
      </c>
      <c r="D13" t="s">
        <v>40</v>
      </c>
      <c r="E13" t="s">
        <v>41</v>
      </c>
      <c r="J13" t="s">
        <v>84</v>
      </c>
      <c r="K13" t="s">
        <v>85</v>
      </c>
      <c r="L13">
        <v>8</v>
      </c>
      <c r="M13" t="s">
        <v>102</v>
      </c>
      <c r="N13" t="s">
        <v>103</v>
      </c>
      <c r="O13" t="s">
        <v>47</v>
      </c>
      <c r="P13" t="s">
        <v>47</v>
      </c>
      <c r="Y13" t="s">
        <v>104</v>
      </c>
    </row>
    <row r="14" spans="1:38">
      <c r="A14" t="s">
        <v>105</v>
      </c>
      <c r="B14" t="s">
        <v>106</v>
      </c>
      <c r="D14" t="s">
        <v>40</v>
      </c>
      <c r="E14" t="s">
        <v>41</v>
      </c>
      <c r="H14" t="s">
        <v>107</v>
      </c>
      <c r="J14" t="s">
        <v>108</v>
      </c>
      <c r="K14" t="s">
        <v>109</v>
      </c>
      <c r="L14">
        <v>24</v>
      </c>
      <c r="M14" t="s">
        <v>110</v>
      </c>
      <c r="N14" t="s">
        <v>80</v>
      </c>
      <c r="O14" t="s">
        <v>47</v>
      </c>
      <c r="P14" t="s">
        <v>47</v>
      </c>
      <c r="Y14" t="s">
        <v>107</v>
      </c>
    </row>
    <row r="15" spans="1:38">
      <c r="A15" t="s">
        <v>111</v>
      </c>
      <c r="B15" t="s">
        <v>112</v>
      </c>
      <c r="D15" t="s">
        <v>40</v>
      </c>
      <c r="E15" t="s">
        <v>41</v>
      </c>
      <c r="J15" t="s">
        <v>56</v>
      </c>
      <c r="K15" t="s">
        <v>57</v>
      </c>
      <c r="L15">
        <v>4</v>
      </c>
      <c r="M15" t="s">
        <v>113</v>
      </c>
      <c r="N15" t="s">
        <v>80</v>
      </c>
      <c r="O15" t="s">
        <v>47</v>
      </c>
      <c r="P15" t="s">
        <v>47</v>
      </c>
      <c r="Y15" t="s">
        <v>114</v>
      </c>
    </row>
    <row r="16" spans="1:38">
      <c r="A16" t="s">
        <v>115</v>
      </c>
      <c r="B16" t="s">
        <v>116</v>
      </c>
      <c r="D16" t="s">
        <v>40</v>
      </c>
      <c r="E16" t="s">
        <v>41</v>
      </c>
      <c r="J16" t="s">
        <v>117</v>
      </c>
      <c r="K16" t="s">
        <v>118</v>
      </c>
      <c r="L16">
        <v>12</v>
      </c>
      <c r="M16" t="s">
        <v>119</v>
      </c>
      <c r="N16" t="s">
        <v>80</v>
      </c>
      <c r="O16" t="s">
        <v>47</v>
      </c>
      <c r="P16" t="s">
        <v>47</v>
      </c>
      <c r="Y16" t="s">
        <v>120</v>
      </c>
    </row>
    <row r="17" spans="1:25">
      <c r="A17" t="s">
        <v>121</v>
      </c>
      <c r="B17" t="s">
        <v>122</v>
      </c>
      <c r="D17" t="s">
        <v>40</v>
      </c>
      <c r="E17" t="s">
        <v>41</v>
      </c>
      <c r="J17" t="s">
        <v>84</v>
      </c>
      <c r="K17" t="s">
        <v>85</v>
      </c>
      <c r="L17">
        <v>8</v>
      </c>
      <c r="M17" t="s">
        <v>123</v>
      </c>
      <c r="N17" t="s">
        <v>80</v>
      </c>
      <c r="O17" t="s">
        <v>47</v>
      </c>
      <c r="P17" t="s">
        <v>47</v>
      </c>
      <c r="Y17" t="s">
        <v>124</v>
      </c>
    </row>
    <row r="18" spans="1:25">
      <c r="A18" t="s">
        <v>125</v>
      </c>
      <c r="B18" t="s">
        <v>126</v>
      </c>
      <c r="D18" t="s">
        <v>40</v>
      </c>
      <c r="E18" t="s">
        <v>41</v>
      </c>
      <c r="J18" t="s">
        <v>66</v>
      </c>
      <c r="K18" t="s">
        <v>67</v>
      </c>
      <c r="L18">
        <v>13</v>
      </c>
      <c r="M18" t="s">
        <v>127</v>
      </c>
      <c r="N18" t="s">
        <v>80</v>
      </c>
      <c r="O18" t="s">
        <v>47</v>
      </c>
      <c r="P18" t="s">
        <v>47</v>
      </c>
      <c r="Y18" t="s">
        <v>128</v>
      </c>
    </row>
    <row r="19" spans="1:25">
      <c r="A19" t="s">
        <v>129</v>
      </c>
      <c r="B19" t="s">
        <v>130</v>
      </c>
      <c r="D19" t="s">
        <v>40</v>
      </c>
      <c r="E19" t="s">
        <v>41</v>
      </c>
      <c r="H19" t="s">
        <v>131</v>
      </c>
      <c r="J19" t="s">
        <v>73</v>
      </c>
      <c r="K19" t="s">
        <v>74</v>
      </c>
      <c r="L19">
        <v>7</v>
      </c>
      <c r="M19" t="s">
        <v>132</v>
      </c>
      <c r="N19" t="s">
        <v>76</v>
      </c>
      <c r="O19" t="s">
        <v>47</v>
      </c>
      <c r="P19" t="s">
        <v>47</v>
      </c>
      <c r="Y19" t="s">
        <v>131</v>
      </c>
    </row>
    <row r="20" spans="1:25">
      <c r="A20" t="s">
        <v>133</v>
      </c>
      <c r="B20" t="s">
        <v>134</v>
      </c>
      <c r="D20" t="s">
        <v>40</v>
      </c>
      <c r="E20" t="s">
        <v>41</v>
      </c>
      <c r="H20" t="s">
        <v>135</v>
      </c>
      <c r="J20" t="s">
        <v>73</v>
      </c>
      <c r="K20" t="s">
        <v>74</v>
      </c>
      <c r="L20">
        <v>10</v>
      </c>
      <c r="M20" t="s">
        <v>136</v>
      </c>
      <c r="N20" t="s">
        <v>76</v>
      </c>
      <c r="O20" t="s">
        <v>47</v>
      </c>
      <c r="P20" t="s">
        <v>47</v>
      </c>
      <c r="Y20" t="s">
        <v>135</v>
      </c>
    </row>
    <row r="21" spans="1:25">
      <c r="A21" t="s">
        <v>137</v>
      </c>
      <c r="B21" t="s">
        <v>138</v>
      </c>
      <c r="D21" t="s">
        <v>40</v>
      </c>
      <c r="E21" t="s">
        <v>41</v>
      </c>
      <c r="H21" t="s">
        <v>139</v>
      </c>
      <c r="J21" t="s">
        <v>73</v>
      </c>
      <c r="K21" t="s">
        <v>74</v>
      </c>
      <c r="L21">
        <v>8</v>
      </c>
      <c r="M21" t="s">
        <v>140</v>
      </c>
      <c r="N21" t="s">
        <v>76</v>
      </c>
      <c r="O21" t="s">
        <v>47</v>
      </c>
      <c r="P21" t="s">
        <v>47</v>
      </c>
      <c r="Y21" t="s">
        <v>139</v>
      </c>
    </row>
    <row r="22" spans="1:25">
      <c r="A22" t="s">
        <v>141</v>
      </c>
      <c r="B22" t="s">
        <v>142</v>
      </c>
      <c r="D22" t="s">
        <v>40</v>
      </c>
      <c r="E22" t="s">
        <v>41</v>
      </c>
      <c r="J22" t="s">
        <v>117</v>
      </c>
      <c r="K22" t="s">
        <v>118</v>
      </c>
      <c r="L22">
        <v>9</v>
      </c>
      <c r="M22" t="s">
        <v>143</v>
      </c>
      <c r="N22" t="s">
        <v>80</v>
      </c>
      <c r="O22" t="s">
        <v>47</v>
      </c>
      <c r="P22" t="s">
        <v>47</v>
      </c>
      <c r="Y22" t="s">
        <v>144</v>
      </c>
    </row>
    <row r="23" spans="1:25">
      <c r="A23" t="s">
        <v>145</v>
      </c>
      <c r="B23" t="s">
        <v>146</v>
      </c>
      <c r="D23" t="s">
        <v>40</v>
      </c>
      <c r="E23" t="s">
        <v>41</v>
      </c>
      <c r="H23" t="s">
        <v>147</v>
      </c>
      <c r="J23" t="s">
        <v>148</v>
      </c>
      <c r="K23" t="s">
        <v>149</v>
      </c>
      <c r="L23">
        <v>7</v>
      </c>
      <c r="M23" t="s">
        <v>150</v>
      </c>
      <c r="N23" t="s">
        <v>103</v>
      </c>
      <c r="O23" t="s">
        <v>47</v>
      </c>
      <c r="P23" t="s">
        <v>47</v>
      </c>
      <c r="Y23" t="s">
        <v>147</v>
      </c>
    </row>
    <row r="24" spans="1:25">
      <c r="A24" t="s">
        <v>151</v>
      </c>
      <c r="B24" t="s">
        <v>152</v>
      </c>
      <c r="D24" t="s">
        <v>40</v>
      </c>
      <c r="E24" t="s">
        <v>41</v>
      </c>
      <c r="H24" t="s">
        <v>153</v>
      </c>
      <c r="J24" t="s">
        <v>73</v>
      </c>
      <c r="K24" t="s">
        <v>74</v>
      </c>
      <c r="L24">
        <v>7</v>
      </c>
      <c r="M24" t="s">
        <v>154</v>
      </c>
      <c r="N24" t="s">
        <v>76</v>
      </c>
      <c r="O24" t="s">
        <v>47</v>
      </c>
      <c r="P24" t="s">
        <v>47</v>
      </c>
      <c r="Y24" t="s">
        <v>153</v>
      </c>
    </row>
    <row r="25" spans="1:25">
      <c r="A25" t="s">
        <v>155</v>
      </c>
      <c r="B25" t="s">
        <v>156</v>
      </c>
      <c r="D25" t="s">
        <v>40</v>
      </c>
      <c r="E25" t="s">
        <v>41</v>
      </c>
      <c r="J25" t="s">
        <v>66</v>
      </c>
      <c r="K25" t="s">
        <v>67</v>
      </c>
      <c r="L25">
        <v>8</v>
      </c>
      <c r="M25" t="s">
        <v>157</v>
      </c>
      <c r="N25" t="s">
        <v>103</v>
      </c>
      <c r="O25" t="s">
        <v>47</v>
      </c>
      <c r="P25" t="s">
        <v>47</v>
      </c>
      <c r="Y25" t="s">
        <v>158</v>
      </c>
    </row>
    <row r="26" spans="1:25">
      <c r="A26" t="s">
        <v>159</v>
      </c>
      <c r="B26" t="s">
        <v>160</v>
      </c>
      <c r="D26" t="s">
        <v>40</v>
      </c>
      <c r="E26" t="s">
        <v>41</v>
      </c>
      <c r="J26" t="s">
        <v>161</v>
      </c>
      <c r="K26" t="s">
        <v>162</v>
      </c>
      <c r="L26">
        <v>8</v>
      </c>
      <c r="M26" t="s">
        <v>163</v>
      </c>
      <c r="N26" t="s">
        <v>80</v>
      </c>
      <c r="O26" t="s">
        <v>47</v>
      </c>
      <c r="P26" t="s">
        <v>47</v>
      </c>
      <c r="Y26" t="s">
        <v>164</v>
      </c>
    </row>
    <row r="27" spans="1:25">
      <c r="A27" t="s">
        <v>165</v>
      </c>
      <c r="B27" t="s">
        <v>166</v>
      </c>
      <c r="D27" t="s">
        <v>40</v>
      </c>
      <c r="E27" t="s">
        <v>41</v>
      </c>
      <c r="H27" t="s">
        <v>167</v>
      </c>
      <c r="J27" t="s">
        <v>168</v>
      </c>
      <c r="K27" t="s">
        <v>169</v>
      </c>
      <c r="L27">
        <v>7</v>
      </c>
      <c r="M27" t="s">
        <v>170</v>
      </c>
      <c r="N27" t="s">
        <v>76</v>
      </c>
      <c r="O27" t="s">
        <v>47</v>
      </c>
      <c r="P27" t="s">
        <v>47</v>
      </c>
      <c r="Y27" t="s">
        <v>167</v>
      </c>
    </row>
    <row r="28" spans="1:25">
      <c r="A28" t="s">
        <v>171</v>
      </c>
      <c r="B28" t="s">
        <v>172</v>
      </c>
      <c r="D28" t="s">
        <v>40</v>
      </c>
      <c r="E28" t="s">
        <v>41</v>
      </c>
      <c r="H28" t="s">
        <v>173</v>
      </c>
      <c r="J28" t="s">
        <v>168</v>
      </c>
      <c r="K28" t="s">
        <v>169</v>
      </c>
      <c r="L28">
        <v>7</v>
      </c>
      <c r="M28" t="s">
        <v>170</v>
      </c>
      <c r="N28" t="s">
        <v>76</v>
      </c>
      <c r="O28" t="s">
        <v>47</v>
      </c>
      <c r="P28" t="s">
        <v>47</v>
      </c>
      <c r="Y28" t="s">
        <v>173</v>
      </c>
    </row>
    <row r="29" spans="1:25">
      <c r="A29" t="s">
        <v>174</v>
      </c>
      <c r="B29" t="s">
        <v>175</v>
      </c>
      <c r="D29" t="s">
        <v>40</v>
      </c>
      <c r="E29" t="s">
        <v>41</v>
      </c>
      <c r="H29" t="s">
        <v>176</v>
      </c>
      <c r="J29" t="s">
        <v>177</v>
      </c>
      <c r="K29" t="s">
        <v>178</v>
      </c>
      <c r="L29">
        <v>7</v>
      </c>
      <c r="M29" t="s">
        <v>179</v>
      </c>
      <c r="N29" t="s">
        <v>76</v>
      </c>
      <c r="O29" t="s">
        <v>47</v>
      </c>
      <c r="P29" t="s">
        <v>47</v>
      </c>
      <c r="Y29" t="s">
        <v>176</v>
      </c>
    </row>
    <row r="30" spans="1:25">
      <c r="A30" t="s">
        <v>180</v>
      </c>
      <c r="B30" t="s">
        <v>181</v>
      </c>
      <c r="D30" t="s">
        <v>40</v>
      </c>
      <c r="E30" t="s">
        <v>41</v>
      </c>
      <c r="H30" t="s">
        <v>182</v>
      </c>
      <c r="J30" t="s">
        <v>108</v>
      </c>
      <c r="K30" t="s">
        <v>109</v>
      </c>
      <c r="L30">
        <v>7</v>
      </c>
      <c r="M30" t="s">
        <v>183</v>
      </c>
      <c r="N30" t="s">
        <v>80</v>
      </c>
      <c r="O30" t="s">
        <v>47</v>
      </c>
      <c r="P30" t="s">
        <v>47</v>
      </c>
      <c r="Y30" t="s">
        <v>182</v>
      </c>
    </row>
    <row r="31" spans="1:25">
      <c r="A31" t="s">
        <v>184</v>
      </c>
      <c r="B31" t="s">
        <v>185</v>
      </c>
      <c r="D31" t="s">
        <v>40</v>
      </c>
      <c r="E31" t="s">
        <v>41</v>
      </c>
      <c r="H31" t="s">
        <v>186</v>
      </c>
      <c r="J31" t="s">
        <v>73</v>
      </c>
      <c r="K31" t="s">
        <v>74</v>
      </c>
      <c r="L31">
        <v>7</v>
      </c>
      <c r="M31" t="s">
        <v>187</v>
      </c>
      <c r="N31" t="s">
        <v>76</v>
      </c>
      <c r="O31" t="s">
        <v>47</v>
      </c>
      <c r="P31" t="s">
        <v>47</v>
      </c>
      <c r="Y31" t="s">
        <v>186</v>
      </c>
    </row>
    <row r="32" spans="1:25">
      <c r="A32" t="s">
        <v>188</v>
      </c>
      <c r="B32" t="s">
        <v>189</v>
      </c>
      <c r="D32" t="s">
        <v>40</v>
      </c>
      <c r="E32" t="s">
        <v>41</v>
      </c>
      <c r="J32" t="s">
        <v>190</v>
      </c>
      <c r="K32" t="s">
        <v>191</v>
      </c>
      <c r="L32">
        <v>7</v>
      </c>
      <c r="M32" t="s">
        <v>192</v>
      </c>
      <c r="N32" t="s">
        <v>76</v>
      </c>
      <c r="O32" t="s">
        <v>47</v>
      </c>
      <c r="P32" t="s">
        <v>47</v>
      </c>
      <c r="Y32" t="s">
        <v>193</v>
      </c>
    </row>
    <row r="33" spans="1:25">
      <c r="A33" t="s">
        <v>194</v>
      </c>
      <c r="B33" t="s">
        <v>195</v>
      </c>
      <c r="D33" t="s">
        <v>40</v>
      </c>
      <c r="E33" t="s">
        <v>41</v>
      </c>
      <c r="H33" t="s">
        <v>196</v>
      </c>
      <c r="J33" t="s">
        <v>73</v>
      </c>
      <c r="K33" t="s">
        <v>74</v>
      </c>
      <c r="L33">
        <v>7</v>
      </c>
      <c r="M33" t="s">
        <v>197</v>
      </c>
      <c r="N33" t="s">
        <v>76</v>
      </c>
      <c r="O33" t="s">
        <v>47</v>
      </c>
      <c r="P33" t="s">
        <v>47</v>
      </c>
      <c r="Y33" t="s">
        <v>196</v>
      </c>
    </row>
    <row r="34" spans="1:25">
      <c r="A34" t="s">
        <v>198</v>
      </c>
      <c r="B34" t="s">
        <v>199</v>
      </c>
      <c r="D34" t="s">
        <v>40</v>
      </c>
      <c r="E34" t="s">
        <v>41</v>
      </c>
      <c r="H34" t="s">
        <v>200</v>
      </c>
      <c r="J34" t="s">
        <v>43</v>
      </c>
      <c r="K34" t="s">
        <v>44</v>
      </c>
      <c r="L34">
        <v>7</v>
      </c>
      <c r="M34" t="s">
        <v>201</v>
      </c>
      <c r="N34" t="s">
        <v>202</v>
      </c>
      <c r="O34" t="s">
        <v>47</v>
      </c>
      <c r="P34" t="s">
        <v>47</v>
      </c>
      <c r="Y34" t="s">
        <v>200</v>
      </c>
    </row>
    <row r="35" spans="1:25">
      <c r="A35" t="s">
        <v>203</v>
      </c>
      <c r="B35" t="s">
        <v>204</v>
      </c>
      <c r="D35" t="s">
        <v>40</v>
      </c>
      <c r="E35" t="s">
        <v>41</v>
      </c>
      <c r="H35" t="s">
        <v>205</v>
      </c>
      <c r="J35" t="s">
        <v>73</v>
      </c>
      <c r="K35" t="s">
        <v>74</v>
      </c>
      <c r="L35">
        <v>7</v>
      </c>
      <c r="M35" t="s">
        <v>206</v>
      </c>
      <c r="N35" t="s">
        <v>76</v>
      </c>
      <c r="O35" t="s">
        <v>47</v>
      </c>
      <c r="P35" t="s">
        <v>47</v>
      </c>
      <c r="Y35" t="s">
        <v>205</v>
      </c>
    </row>
    <row r="36" spans="1:25">
      <c r="A36" t="s">
        <v>207</v>
      </c>
      <c r="B36" t="s">
        <v>208</v>
      </c>
      <c r="D36" t="s">
        <v>40</v>
      </c>
      <c r="E36" t="s">
        <v>41</v>
      </c>
      <c r="H36" t="s">
        <v>209</v>
      </c>
      <c r="J36" t="s">
        <v>190</v>
      </c>
      <c r="K36" t="s">
        <v>191</v>
      </c>
      <c r="L36">
        <v>7</v>
      </c>
      <c r="M36" t="s">
        <v>210</v>
      </c>
      <c r="N36" t="s">
        <v>76</v>
      </c>
      <c r="O36" t="s">
        <v>47</v>
      </c>
      <c r="P36" t="s">
        <v>47</v>
      </c>
      <c r="Y36" t="s">
        <v>209</v>
      </c>
    </row>
    <row r="37" spans="1:25">
      <c r="A37" t="s">
        <v>211</v>
      </c>
      <c r="B37" t="s">
        <v>212</v>
      </c>
      <c r="D37" t="s">
        <v>40</v>
      </c>
      <c r="E37" t="s">
        <v>41</v>
      </c>
      <c r="H37" t="s">
        <v>213</v>
      </c>
      <c r="J37" t="s">
        <v>73</v>
      </c>
      <c r="K37" t="s">
        <v>74</v>
      </c>
      <c r="L37">
        <v>8</v>
      </c>
      <c r="M37" t="s">
        <v>214</v>
      </c>
      <c r="N37" t="s">
        <v>76</v>
      </c>
      <c r="O37" t="s">
        <v>47</v>
      </c>
      <c r="P37" t="s">
        <v>47</v>
      </c>
      <c r="Y37" t="s">
        <v>213</v>
      </c>
    </row>
    <row r="38" spans="1:25">
      <c r="A38" t="s">
        <v>215</v>
      </c>
      <c r="B38" t="s">
        <v>216</v>
      </c>
      <c r="D38" t="s">
        <v>40</v>
      </c>
      <c r="E38" t="s">
        <v>41</v>
      </c>
      <c r="H38" t="s">
        <v>217</v>
      </c>
      <c r="J38" t="s">
        <v>73</v>
      </c>
      <c r="K38" t="s">
        <v>74</v>
      </c>
      <c r="L38">
        <v>7</v>
      </c>
      <c r="M38" t="s">
        <v>218</v>
      </c>
      <c r="N38" t="s">
        <v>76</v>
      </c>
      <c r="O38" t="s">
        <v>47</v>
      </c>
      <c r="P38" t="s">
        <v>47</v>
      </c>
      <c r="Y38" t="s">
        <v>217</v>
      </c>
    </row>
    <row r="39" spans="1:25">
      <c r="A39" t="s">
        <v>219</v>
      </c>
      <c r="B39" t="s">
        <v>220</v>
      </c>
      <c r="D39" t="s">
        <v>40</v>
      </c>
      <c r="E39" t="s">
        <v>41</v>
      </c>
      <c r="J39" t="s">
        <v>168</v>
      </c>
      <c r="K39" t="s">
        <v>169</v>
      </c>
      <c r="L39">
        <v>7</v>
      </c>
      <c r="M39" t="s">
        <v>221</v>
      </c>
      <c r="N39" t="s">
        <v>76</v>
      </c>
      <c r="O39" t="s">
        <v>47</v>
      </c>
      <c r="P39" t="s">
        <v>47</v>
      </c>
      <c r="Y39" t="s">
        <v>222</v>
      </c>
    </row>
    <row r="40" spans="1:25">
      <c r="A40" t="s">
        <v>223</v>
      </c>
      <c r="B40" t="s">
        <v>224</v>
      </c>
      <c r="D40" t="s">
        <v>40</v>
      </c>
      <c r="E40" t="s">
        <v>41</v>
      </c>
      <c r="J40" t="s">
        <v>190</v>
      </c>
      <c r="K40" t="s">
        <v>191</v>
      </c>
      <c r="L40">
        <v>7</v>
      </c>
      <c r="M40" t="s">
        <v>225</v>
      </c>
      <c r="N40" t="s">
        <v>76</v>
      </c>
      <c r="O40" t="s">
        <v>47</v>
      </c>
      <c r="P40" t="s">
        <v>47</v>
      </c>
      <c r="Y40" t="s">
        <v>226</v>
      </c>
    </row>
    <row r="41" spans="1:25">
      <c r="A41" t="s">
        <v>227</v>
      </c>
      <c r="B41" t="s">
        <v>228</v>
      </c>
      <c r="D41" t="s">
        <v>40</v>
      </c>
      <c r="E41" t="s">
        <v>41</v>
      </c>
      <c r="H41" t="s">
        <v>229</v>
      </c>
      <c r="J41" t="s">
        <v>168</v>
      </c>
      <c r="K41" t="s">
        <v>169</v>
      </c>
      <c r="L41">
        <v>7</v>
      </c>
      <c r="M41" t="s">
        <v>230</v>
      </c>
      <c r="N41" t="s">
        <v>76</v>
      </c>
      <c r="O41" t="s">
        <v>47</v>
      </c>
      <c r="P41" t="s">
        <v>47</v>
      </c>
      <c r="Y41" t="s">
        <v>229</v>
      </c>
    </row>
    <row r="42" spans="1:25">
      <c r="A42" t="s">
        <v>231</v>
      </c>
      <c r="B42" t="s">
        <v>232</v>
      </c>
      <c r="D42" t="s">
        <v>40</v>
      </c>
      <c r="E42" t="s">
        <v>41</v>
      </c>
      <c r="J42" t="s">
        <v>190</v>
      </c>
      <c r="K42" t="s">
        <v>191</v>
      </c>
      <c r="L42">
        <v>7</v>
      </c>
      <c r="M42" t="s">
        <v>233</v>
      </c>
      <c r="N42" t="s">
        <v>76</v>
      </c>
      <c r="O42" t="s">
        <v>47</v>
      </c>
      <c r="P42" t="s">
        <v>47</v>
      </c>
      <c r="Y42" t="s">
        <v>234</v>
      </c>
    </row>
    <row r="43" spans="1:25">
      <c r="A43" t="s">
        <v>235</v>
      </c>
      <c r="B43" t="s">
        <v>236</v>
      </c>
      <c r="D43" t="s">
        <v>40</v>
      </c>
      <c r="E43" t="s">
        <v>41</v>
      </c>
      <c r="J43" t="s">
        <v>108</v>
      </c>
      <c r="K43" t="s">
        <v>109</v>
      </c>
      <c r="L43">
        <v>7</v>
      </c>
      <c r="M43" t="s">
        <v>233</v>
      </c>
      <c r="N43" t="s">
        <v>80</v>
      </c>
      <c r="O43" t="s">
        <v>47</v>
      </c>
      <c r="P43" t="s">
        <v>47</v>
      </c>
      <c r="Y43" t="s">
        <v>237</v>
      </c>
    </row>
    <row r="44" spans="1:25">
      <c r="A44" t="s">
        <v>238</v>
      </c>
      <c r="B44" t="s">
        <v>239</v>
      </c>
      <c r="D44" t="s">
        <v>40</v>
      </c>
      <c r="E44" t="s">
        <v>41</v>
      </c>
      <c r="J44" t="s">
        <v>240</v>
      </c>
      <c r="K44" t="s">
        <v>241</v>
      </c>
      <c r="L44">
        <v>7</v>
      </c>
      <c r="M44" t="s">
        <v>242</v>
      </c>
      <c r="N44" t="s">
        <v>76</v>
      </c>
      <c r="O44" t="s">
        <v>47</v>
      </c>
      <c r="P44" t="s">
        <v>47</v>
      </c>
      <c r="Y44" t="s">
        <v>243</v>
      </c>
    </row>
    <row r="45" spans="1:25">
      <c r="A45" t="s">
        <v>244</v>
      </c>
      <c r="B45" t="s">
        <v>245</v>
      </c>
      <c r="D45" t="s">
        <v>40</v>
      </c>
      <c r="E45" t="s">
        <v>41</v>
      </c>
      <c r="J45" t="s">
        <v>190</v>
      </c>
      <c r="K45" t="s">
        <v>191</v>
      </c>
      <c r="L45">
        <v>7</v>
      </c>
      <c r="M45" t="s">
        <v>246</v>
      </c>
      <c r="N45" t="s">
        <v>76</v>
      </c>
      <c r="O45" t="s">
        <v>47</v>
      </c>
      <c r="P45" t="s">
        <v>47</v>
      </c>
      <c r="Y45" t="s">
        <v>247</v>
      </c>
    </row>
    <row r="46" spans="1:25">
      <c r="A46" t="s">
        <v>248</v>
      </c>
      <c r="B46" t="s">
        <v>249</v>
      </c>
      <c r="D46" t="s">
        <v>40</v>
      </c>
      <c r="E46" t="s">
        <v>41</v>
      </c>
      <c r="J46" t="s">
        <v>108</v>
      </c>
      <c r="K46" t="s">
        <v>109</v>
      </c>
      <c r="L46">
        <v>7</v>
      </c>
      <c r="M46" t="s">
        <v>250</v>
      </c>
      <c r="N46" t="s">
        <v>202</v>
      </c>
      <c r="O46" t="s">
        <v>47</v>
      </c>
      <c r="P46" t="s">
        <v>47</v>
      </c>
      <c r="Y46" t="s">
        <v>251</v>
      </c>
    </row>
    <row r="47" spans="1:25">
      <c r="A47" t="s">
        <v>252</v>
      </c>
      <c r="B47" t="s">
        <v>253</v>
      </c>
      <c r="D47" t="s">
        <v>40</v>
      </c>
      <c r="E47" t="s">
        <v>41</v>
      </c>
      <c r="J47" t="s">
        <v>190</v>
      </c>
      <c r="K47" t="s">
        <v>191</v>
      </c>
      <c r="L47">
        <v>7</v>
      </c>
      <c r="M47" t="s">
        <v>250</v>
      </c>
      <c r="N47" t="s">
        <v>76</v>
      </c>
      <c r="O47" t="s">
        <v>47</v>
      </c>
      <c r="P47" t="s">
        <v>47</v>
      </c>
      <c r="Y47" t="s">
        <v>254</v>
      </c>
    </row>
    <row r="48" spans="1:25">
      <c r="A48" t="s">
        <v>255</v>
      </c>
      <c r="B48" t="s">
        <v>256</v>
      </c>
      <c r="D48" t="s">
        <v>40</v>
      </c>
      <c r="E48" t="s">
        <v>41</v>
      </c>
      <c r="J48" t="s">
        <v>240</v>
      </c>
      <c r="K48" t="s">
        <v>241</v>
      </c>
      <c r="L48">
        <v>7</v>
      </c>
      <c r="M48" t="s">
        <v>250</v>
      </c>
      <c r="N48" t="s">
        <v>76</v>
      </c>
      <c r="O48" t="s">
        <v>47</v>
      </c>
      <c r="P48" t="s">
        <v>47</v>
      </c>
      <c r="Y48" t="s">
        <v>257</v>
      </c>
    </row>
    <row r="49" spans="1:25">
      <c r="A49" t="s">
        <v>258</v>
      </c>
      <c r="B49" t="s">
        <v>259</v>
      </c>
      <c r="D49" t="s">
        <v>40</v>
      </c>
      <c r="E49" t="s">
        <v>41</v>
      </c>
      <c r="H49" t="s">
        <v>260</v>
      </c>
      <c r="J49" t="s">
        <v>261</v>
      </c>
      <c r="K49" t="s">
        <v>262</v>
      </c>
      <c r="L49">
        <v>7</v>
      </c>
      <c r="M49" t="s">
        <v>263</v>
      </c>
      <c r="N49" t="s">
        <v>76</v>
      </c>
      <c r="O49" t="s">
        <v>47</v>
      </c>
      <c r="P49" t="s">
        <v>47</v>
      </c>
      <c r="Y49" t="s">
        <v>260</v>
      </c>
    </row>
    <row r="50" spans="1:25">
      <c r="A50" t="s">
        <v>264</v>
      </c>
      <c r="B50" t="s">
        <v>265</v>
      </c>
      <c r="D50" t="s">
        <v>40</v>
      </c>
      <c r="E50" t="s">
        <v>41</v>
      </c>
      <c r="H50" t="s">
        <v>266</v>
      </c>
      <c r="J50" t="s">
        <v>168</v>
      </c>
      <c r="K50" t="s">
        <v>169</v>
      </c>
      <c r="L50">
        <v>7</v>
      </c>
      <c r="M50" t="s">
        <v>267</v>
      </c>
      <c r="N50" t="s">
        <v>76</v>
      </c>
      <c r="O50" t="s">
        <v>47</v>
      </c>
      <c r="P50" t="s">
        <v>47</v>
      </c>
      <c r="Y50" t="s">
        <v>266</v>
      </c>
    </row>
    <row r="51" spans="1:25">
      <c r="A51" t="s">
        <v>268</v>
      </c>
      <c r="B51" t="s">
        <v>269</v>
      </c>
      <c r="D51" t="s">
        <v>40</v>
      </c>
      <c r="E51" t="s">
        <v>41</v>
      </c>
      <c r="H51" t="s">
        <v>270</v>
      </c>
      <c r="J51" t="s">
        <v>168</v>
      </c>
      <c r="K51" t="s">
        <v>169</v>
      </c>
      <c r="L51">
        <v>7</v>
      </c>
      <c r="M51" t="s">
        <v>271</v>
      </c>
      <c r="N51" t="s">
        <v>76</v>
      </c>
      <c r="O51" t="s">
        <v>47</v>
      </c>
      <c r="P51" t="s">
        <v>47</v>
      </c>
      <c r="Y51" t="s">
        <v>270</v>
      </c>
    </row>
    <row r="52" spans="1:25">
      <c r="A52" t="s">
        <v>272</v>
      </c>
      <c r="B52" t="s">
        <v>273</v>
      </c>
      <c r="D52" t="s">
        <v>40</v>
      </c>
      <c r="E52" t="s">
        <v>41</v>
      </c>
      <c r="J52" t="s">
        <v>190</v>
      </c>
      <c r="K52" t="s">
        <v>191</v>
      </c>
      <c r="L52">
        <v>7</v>
      </c>
      <c r="M52" t="s">
        <v>274</v>
      </c>
      <c r="N52" t="s">
        <v>76</v>
      </c>
      <c r="O52" t="s">
        <v>47</v>
      </c>
      <c r="P52" t="s">
        <v>47</v>
      </c>
      <c r="Y52" t="s">
        <v>275</v>
      </c>
    </row>
    <row r="53" spans="1:25">
      <c r="A53" t="s">
        <v>276</v>
      </c>
      <c r="B53" t="s">
        <v>277</v>
      </c>
      <c r="D53" t="s">
        <v>40</v>
      </c>
      <c r="E53" t="s">
        <v>41</v>
      </c>
      <c r="H53" t="s">
        <v>278</v>
      </c>
      <c r="J53" t="s">
        <v>279</v>
      </c>
      <c r="K53" t="s">
        <v>280</v>
      </c>
      <c r="L53">
        <v>7</v>
      </c>
      <c r="M53" t="s">
        <v>281</v>
      </c>
      <c r="N53" t="s">
        <v>80</v>
      </c>
      <c r="O53" t="s">
        <v>47</v>
      </c>
      <c r="P53" t="s">
        <v>47</v>
      </c>
      <c r="Y53" t="s">
        <v>278</v>
      </c>
    </row>
    <row r="54" spans="1:25">
      <c r="A54" t="s">
        <v>282</v>
      </c>
      <c r="B54" t="s">
        <v>283</v>
      </c>
      <c r="D54" t="s">
        <v>40</v>
      </c>
      <c r="E54" t="s">
        <v>41</v>
      </c>
      <c r="J54" t="s">
        <v>190</v>
      </c>
      <c r="K54" t="s">
        <v>191</v>
      </c>
      <c r="L54">
        <v>7</v>
      </c>
      <c r="M54" t="s">
        <v>284</v>
      </c>
      <c r="N54" t="s">
        <v>76</v>
      </c>
      <c r="O54" t="s">
        <v>47</v>
      </c>
      <c r="P54" t="s">
        <v>47</v>
      </c>
      <c r="Y54" t="s">
        <v>285</v>
      </c>
    </row>
    <row r="55" spans="1:25">
      <c r="A55" t="s">
        <v>286</v>
      </c>
      <c r="B55" t="s">
        <v>287</v>
      </c>
      <c r="D55" t="s">
        <v>40</v>
      </c>
      <c r="E55" t="s">
        <v>41</v>
      </c>
      <c r="J55" t="s">
        <v>240</v>
      </c>
      <c r="K55" t="s">
        <v>241</v>
      </c>
      <c r="L55">
        <v>7</v>
      </c>
      <c r="M55" t="s">
        <v>284</v>
      </c>
      <c r="N55" t="s">
        <v>76</v>
      </c>
      <c r="O55" t="s">
        <v>47</v>
      </c>
      <c r="P55" t="s">
        <v>47</v>
      </c>
      <c r="Y55" t="s">
        <v>288</v>
      </c>
    </row>
    <row r="56" spans="1:25">
      <c r="A56" t="s">
        <v>289</v>
      </c>
      <c r="B56" t="s">
        <v>290</v>
      </c>
      <c r="D56" t="s">
        <v>40</v>
      </c>
      <c r="E56" t="s">
        <v>41</v>
      </c>
      <c r="J56" t="s">
        <v>190</v>
      </c>
      <c r="K56" t="s">
        <v>191</v>
      </c>
      <c r="L56">
        <v>7</v>
      </c>
      <c r="M56" t="s">
        <v>284</v>
      </c>
      <c r="N56" t="s">
        <v>76</v>
      </c>
      <c r="O56" t="s">
        <v>47</v>
      </c>
      <c r="P56" t="s">
        <v>47</v>
      </c>
      <c r="Y56" t="s">
        <v>291</v>
      </c>
    </row>
    <row r="57" spans="1:25">
      <c r="A57" t="s">
        <v>292</v>
      </c>
      <c r="B57" t="s">
        <v>293</v>
      </c>
      <c r="D57" t="s">
        <v>40</v>
      </c>
      <c r="E57" t="s">
        <v>41</v>
      </c>
      <c r="H57" t="s">
        <v>294</v>
      </c>
      <c r="J57" t="s">
        <v>66</v>
      </c>
      <c r="K57" t="s">
        <v>67</v>
      </c>
      <c r="L57">
        <v>8</v>
      </c>
      <c r="M57" t="s">
        <v>295</v>
      </c>
      <c r="N57" t="s">
        <v>80</v>
      </c>
      <c r="O57" t="s">
        <v>47</v>
      </c>
      <c r="P57" t="s">
        <v>47</v>
      </c>
      <c r="Y57" t="s">
        <v>294</v>
      </c>
    </row>
    <row r="58" spans="1:25">
      <c r="A58" t="s">
        <v>296</v>
      </c>
      <c r="B58" t="s">
        <v>297</v>
      </c>
      <c r="D58" t="s">
        <v>40</v>
      </c>
      <c r="E58" t="s">
        <v>41</v>
      </c>
      <c r="J58" t="s">
        <v>190</v>
      </c>
      <c r="K58" t="s">
        <v>191</v>
      </c>
      <c r="L58">
        <v>7</v>
      </c>
      <c r="M58" t="s">
        <v>298</v>
      </c>
      <c r="N58" t="s">
        <v>76</v>
      </c>
      <c r="O58" t="s">
        <v>47</v>
      </c>
      <c r="P58" t="s">
        <v>47</v>
      </c>
      <c r="Y58" t="s">
        <v>299</v>
      </c>
    </row>
    <row r="59" spans="1:25">
      <c r="A59" t="s">
        <v>300</v>
      </c>
      <c r="B59" t="s">
        <v>301</v>
      </c>
      <c r="D59" t="s">
        <v>40</v>
      </c>
      <c r="E59" t="s">
        <v>41</v>
      </c>
      <c r="H59" t="s">
        <v>302</v>
      </c>
      <c r="J59" t="s">
        <v>190</v>
      </c>
      <c r="K59" t="s">
        <v>191</v>
      </c>
      <c r="L59">
        <v>7</v>
      </c>
      <c r="M59" t="s">
        <v>298</v>
      </c>
      <c r="N59" t="s">
        <v>76</v>
      </c>
      <c r="O59" t="s">
        <v>47</v>
      </c>
      <c r="P59" t="s">
        <v>47</v>
      </c>
      <c r="Y59" t="s">
        <v>302</v>
      </c>
    </row>
    <row r="60" spans="1:25">
      <c r="A60" t="s">
        <v>303</v>
      </c>
      <c r="B60" t="s">
        <v>304</v>
      </c>
      <c r="D60" t="s">
        <v>40</v>
      </c>
      <c r="E60" t="s">
        <v>41</v>
      </c>
      <c r="J60" t="s">
        <v>190</v>
      </c>
      <c r="K60" t="s">
        <v>191</v>
      </c>
      <c r="L60">
        <v>7</v>
      </c>
      <c r="M60" t="s">
        <v>298</v>
      </c>
      <c r="N60" t="s">
        <v>76</v>
      </c>
      <c r="O60" t="s">
        <v>47</v>
      </c>
      <c r="P60" t="s">
        <v>47</v>
      </c>
      <c r="Y60" t="s">
        <v>305</v>
      </c>
    </row>
    <row r="61" spans="1:25">
      <c r="A61" t="s">
        <v>306</v>
      </c>
      <c r="B61" t="s">
        <v>307</v>
      </c>
      <c r="D61" t="s">
        <v>40</v>
      </c>
      <c r="E61" t="s">
        <v>41</v>
      </c>
      <c r="H61" t="s">
        <v>308</v>
      </c>
      <c r="J61" t="s">
        <v>168</v>
      </c>
      <c r="K61" t="s">
        <v>169</v>
      </c>
      <c r="L61">
        <v>7</v>
      </c>
      <c r="M61" t="s">
        <v>298</v>
      </c>
      <c r="N61" t="s">
        <v>76</v>
      </c>
      <c r="O61" t="s">
        <v>47</v>
      </c>
      <c r="P61" t="s">
        <v>47</v>
      </c>
      <c r="Y61" t="s">
        <v>308</v>
      </c>
    </row>
    <row r="62" spans="1:25">
      <c r="A62" t="s">
        <v>309</v>
      </c>
      <c r="B62" t="s">
        <v>310</v>
      </c>
      <c r="D62" t="s">
        <v>40</v>
      </c>
      <c r="E62" t="s">
        <v>41</v>
      </c>
      <c r="H62" t="s">
        <v>311</v>
      </c>
      <c r="J62" t="s">
        <v>73</v>
      </c>
      <c r="K62" t="s">
        <v>74</v>
      </c>
      <c r="L62">
        <v>7</v>
      </c>
      <c r="M62" t="s">
        <v>312</v>
      </c>
      <c r="N62" t="s">
        <v>76</v>
      </c>
      <c r="O62" t="s">
        <v>47</v>
      </c>
      <c r="P62" t="s">
        <v>47</v>
      </c>
      <c r="Y62" t="s">
        <v>311</v>
      </c>
    </row>
    <row r="63" spans="1:25">
      <c r="A63" t="s">
        <v>231</v>
      </c>
      <c r="B63" t="s">
        <v>313</v>
      </c>
      <c r="D63" t="s">
        <v>40</v>
      </c>
      <c r="E63" t="s">
        <v>41</v>
      </c>
      <c r="H63" t="s">
        <v>314</v>
      </c>
      <c r="J63" t="s">
        <v>73</v>
      </c>
      <c r="K63" t="s">
        <v>74</v>
      </c>
      <c r="L63">
        <v>7</v>
      </c>
      <c r="M63" t="s">
        <v>315</v>
      </c>
      <c r="N63" t="s">
        <v>76</v>
      </c>
      <c r="O63" t="s">
        <v>47</v>
      </c>
      <c r="P63" t="s">
        <v>47</v>
      </c>
      <c r="Y63" t="s">
        <v>314</v>
      </c>
    </row>
    <row r="64" spans="1:25">
      <c r="A64" t="s">
        <v>316</v>
      </c>
      <c r="B64" t="s">
        <v>317</v>
      </c>
      <c r="D64" t="s">
        <v>40</v>
      </c>
      <c r="E64" t="s">
        <v>41</v>
      </c>
      <c r="J64" t="s">
        <v>318</v>
      </c>
      <c r="K64" t="s">
        <v>319</v>
      </c>
      <c r="L64">
        <v>7</v>
      </c>
      <c r="M64" t="s">
        <v>320</v>
      </c>
      <c r="N64" t="s">
        <v>76</v>
      </c>
      <c r="O64" t="s">
        <v>47</v>
      </c>
      <c r="P64" t="s">
        <v>47</v>
      </c>
      <c r="Y64" t="s">
        <v>321</v>
      </c>
    </row>
    <row r="65" spans="1:25">
      <c r="A65" t="s">
        <v>322</v>
      </c>
      <c r="B65" t="s">
        <v>323</v>
      </c>
      <c r="D65" t="s">
        <v>40</v>
      </c>
      <c r="E65" t="s">
        <v>41</v>
      </c>
      <c r="J65" t="s">
        <v>168</v>
      </c>
      <c r="K65" t="s">
        <v>169</v>
      </c>
      <c r="L65">
        <v>7</v>
      </c>
      <c r="M65" t="s">
        <v>320</v>
      </c>
      <c r="N65" t="s">
        <v>76</v>
      </c>
      <c r="O65" t="s">
        <v>47</v>
      </c>
      <c r="P65" t="s">
        <v>47</v>
      </c>
      <c r="Y65" t="s">
        <v>324</v>
      </c>
    </row>
    <row r="66" spans="1:25">
      <c r="A66" t="s">
        <v>325</v>
      </c>
      <c r="B66" t="s">
        <v>326</v>
      </c>
      <c r="D66" t="s">
        <v>40</v>
      </c>
      <c r="E66" t="s">
        <v>41</v>
      </c>
      <c r="J66" t="s">
        <v>108</v>
      </c>
      <c r="K66" t="s">
        <v>109</v>
      </c>
      <c r="L66">
        <v>7</v>
      </c>
      <c r="M66" t="s">
        <v>327</v>
      </c>
      <c r="N66" t="s">
        <v>202</v>
      </c>
      <c r="O66" t="s">
        <v>47</v>
      </c>
      <c r="P66" t="s">
        <v>47</v>
      </c>
      <c r="Y66" t="s">
        <v>328</v>
      </c>
    </row>
    <row r="67" spans="1:25">
      <c r="A67" t="s">
        <v>329</v>
      </c>
      <c r="B67" t="s">
        <v>330</v>
      </c>
      <c r="D67" t="s">
        <v>40</v>
      </c>
      <c r="E67" t="s">
        <v>41</v>
      </c>
      <c r="J67" t="s">
        <v>190</v>
      </c>
      <c r="K67" t="s">
        <v>191</v>
      </c>
      <c r="L67">
        <v>7</v>
      </c>
      <c r="M67" t="s">
        <v>331</v>
      </c>
      <c r="N67" t="s">
        <v>76</v>
      </c>
      <c r="O67" t="s">
        <v>47</v>
      </c>
      <c r="P67" t="s">
        <v>47</v>
      </c>
      <c r="Y67" t="s">
        <v>332</v>
      </c>
    </row>
    <row r="68" spans="1:25">
      <c r="A68" t="s">
        <v>333</v>
      </c>
      <c r="B68" t="s">
        <v>334</v>
      </c>
      <c r="D68" t="s">
        <v>40</v>
      </c>
      <c r="E68" t="s">
        <v>41</v>
      </c>
      <c r="J68" t="s">
        <v>190</v>
      </c>
      <c r="K68" t="s">
        <v>191</v>
      </c>
      <c r="L68">
        <v>7</v>
      </c>
      <c r="M68" t="s">
        <v>331</v>
      </c>
      <c r="N68" t="s">
        <v>76</v>
      </c>
      <c r="O68" t="s">
        <v>47</v>
      </c>
      <c r="P68" t="s">
        <v>47</v>
      </c>
      <c r="Y68" t="s">
        <v>335</v>
      </c>
    </row>
    <row r="69" spans="1:25">
      <c r="A69" t="s">
        <v>336</v>
      </c>
      <c r="B69" t="s">
        <v>337</v>
      </c>
      <c r="D69" t="s">
        <v>40</v>
      </c>
      <c r="E69" t="s">
        <v>41</v>
      </c>
      <c r="J69" t="s">
        <v>168</v>
      </c>
      <c r="K69" t="s">
        <v>169</v>
      </c>
      <c r="L69">
        <v>7</v>
      </c>
      <c r="M69" t="s">
        <v>338</v>
      </c>
      <c r="N69" t="s">
        <v>76</v>
      </c>
      <c r="O69" t="s">
        <v>47</v>
      </c>
      <c r="P69" t="s">
        <v>47</v>
      </c>
      <c r="Y69" t="s">
        <v>339</v>
      </c>
    </row>
    <row r="70" spans="1:25">
      <c r="A70" t="s">
        <v>340</v>
      </c>
      <c r="B70" t="s">
        <v>341</v>
      </c>
      <c r="D70" t="s">
        <v>40</v>
      </c>
      <c r="E70" t="s">
        <v>41</v>
      </c>
      <c r="H70" t="s">
        <v>342</v>
      </c>
      <c r="J70" t="s">
        <v>261</v>
      </c>
      <c r="K70" t="s">
        <v>262</v>
      </c>
      <c r="L70">
        <v>7</v>
      </c>
      <c r="M70" t="s">
        <v>343</v>
      </c>
      <c r="N70" t="s">
        <v>76</v>
      </c>
      <c r="O70" t="s">
        <v>47</v>
      </c>
      <c r="P70" t="s">
        <v>47</v>
      </c>
      <c r="Y70" t="s">
        <v>342</v>
      </c>
    </row>
    <row r="71" spans="1:25">
      <c r="A71" t="s">
        <v>344</v>
      </c>
      <c r="B71" t="s">
        <v>345</v>
      </c>
      <c r="D71" t="s">
        <v>40</v>
      </c>
      <c r="E71" t="s">
        <v>41</v>
      </c>
      <c r="J71" t="s">
        <v>168</v>
      </c>
      <c r="K71" t="s">
        <v>169</v>
      </c>
      <c r="L71">
        <v>7</v>
      </c>
      <c r="M71" t="s">
        <v>346</v>
      </c>
      <c r="N71" t="s">
        <v>76</v>
      </c>
      <c r="O71" t="s">
        <v>47</v>
      </c>
      <c r="P71" t="s">
        <v>47</v>
      </c>
      <c r="Y71" t="s">
        <v>347</v>
      </c>
    </row>
    <row r="72" spans="1:25">
      <c r="A72" t="s">
        <v>348</v>
      </c>
      <c r="B72" t="s">
        <v>349</v>
      </c>
      <c r="D72" t="s">
        <v>40</v>
      </c>
      <c r="E72" t="s">
        <v>41</v>
      </c>
      <c r="J72" t="s">
        <v>43</v>
      </c>
      <c r="K72" t="s">
        <v>44</v>
      </c>
      <c r="L72">
        <v>7</v>
      </c>
      <c r="M72" t="s">
        <v>350</v>
      </c>
      <c r="N72" t="s">
        <v>202</v>
      </c>
      <c r="O72" t="s">
        <v>47</v>
      </c>
      <c r="P72" t="s">
        <v>47</v>
      </c>
      <c r="Y72" t="s">
        <v>351</v>
      </c>
    </row>
    <row r="73" spans="1:25">
      <c r="A73" t="s">
        <v>352</v>
      </c>
      <c r="B73" t="s">
        <v>353</v>
      </c>
      <c r="D73" t="s">
        <v>40</v>
      </c>
      <c r="E73" t="s">
        <v>41</v>
      </c>
      <c r="J73" t="s">
        <v>240</v>
      </c>
      <c r="K73" t="s">
        <v>241</v>
      </c>
      <c r="L73">
        <v>7</v>
      </c>
      <c r="M73" t="s">
        <v>354</v>
      </c>
      <c r="N73" t="s">
        <v>76</v>
      </c>
      <c r="O73" t="s">
        <v>47</v>
      </c>
      <c r="P73" t="s">
        <v>47</v>
      </c>
      <c r="Y73" t="s">
        <v>355</v>
      </c>
    </row>
    <row r="74" spans="1:25">
      <c r="A74" t="s">
        <v>356</v>
      </c>
      <c r="B74" t="s">
        <v>357</v>
      </c>
      <c r="D74" t="s">
        <v>40</v>
      </c>
      <c r="E74" t="s">
        <v>41</v>
      </c>
      <c r="J74" t="s">
        <v>240</v>
      </c>
      <c r="K74" t="s">
        <v>241</v>
      </c>
      <c r="L74">
        <v>7</v>
      </c>
      <c r="M74" t="s">
        <v>358</v>
      </c>
      <c r="N74" t="s">
        <v>76</v>
      </c>
      <c r="O74" t="s">
        <v>47</v>
      </c>
      <c r="P74" t="s">
        <v>47</v>
      </c>
      <c r="Y74" t="s">
        <v>359</v>
      </c>
    </row>
    <row r="75" spans="1:25">
      <c r="A75" t="s">
        <v>360</v>
      </c>
      <c r="B75" t="s">
        <v>361</v>
      </c>
      <c r="D75" t="s">
        <v>40</v>
      </c>
      <c r="E75" t="s">
        <v>41</v>
      </c>
      <c r="J75" t="s">
        <v>261</v>
      </c>
      <c r="K75" t="s">
        <v>262</v>
      </c>
      <c r="L75">
        <v>7</v>
      </c>
      <c r="M75" t="s">
        <v>362</v>
      </c>
      <c r="N75" t="s">
        <v>76</v>
      </c>
      <c r="O75" t="s">
        <v>47</v>
      </c>
      <c r="P75" t="s">
        <v>47</v>
      </c>
      <c r="Y75" t="s">
        <v>363</v>
      </c>
    </row>
    <row r="76" spans="1:25">
      <c r="A76" t="s">
        <v>364</v>
      </c>
      <c r="B76" t="s">
        <v>365</v>
      </c>
      <c r="D76" t="s">
        <v>40</v>
      </c>
      <c r="E76" t="s">
        <v>41</v>
      </c>
      <c r="J76" t="s">
        <v>261</v>
      </c>
      <c r="K76" t="s">
        <v>262</v>
      </c>
      <c r="L76">
        <v>7</v>
      </c>
      <c r="M76" t="s">
        <v>366</v>
      </c>
      <c r="N76" t="s">
        <v>76</v>
      </c>
      <c r="O76" t="s">
        <v>47</v>
      </c>
      <c r="P76" t="s">
        <v>47</v>
      </c>
      <c r="Y76" t="s">
        <v>367</v>
      </c>
    </row>
    <row r="77" spans="1:25">
      <c r="A77" t="s">
        <v>368</v>
      </c>
      <c r="B77" t="s">
        <v>369</v>
      </c>
      <c r="D77" t="s">
        <v>40</v>
      </c>
      <c r="E77" t="s">
        <v>41</v>
      </c>
      <c r="J77" t="s">
        <v>261</v>
      </c>
      <c r="K77" t="s">
        <v>262</v>
      </c>
      <c r="L77">
        <v>7</v>
      </c>
      <c r="M77" t="s">
        <v>370</v>
      </c>
      <c r="N77" t="s">
        <v>76</v>
      </c>
      <c r="O77" t="s">
        <v>47</v>
      </c>
      <c r="P77" t="s">
        <v>47</v>
      </c>
      <c r="Y77" t="s">
        <v>371</v>
      </c>
    </row>
    <row r="78" spans="1:25">
      <c r="A78" t="s">
        <v>372</v>
      </c>
      <c r="B78" t="s">
        <v>373</v>
      </c>
      <c r="D78" t="s">
        <v>40</v>
      </c>
      <c r="E78" t="s">
        <v>41</v>
      </c>
      <c r="J78" t="s">
        <v>190</v>
      </c>
      <c r="K78" t="s">
        <v>191</v>
      </c>
      <c r="L78">
        <v>7</v>
      </c>
      <c r="M78" t="s">
        <v>374</v>
      </c>
      <c r="N78" t="s">
        <v>76</v>
      </c>
      <c r="O78" t="s">
        <v>47</v>
      </c>
      <c r="P78" t="s">
        <v>47</v>
      </c>
      <c r="Y78" t="s">
        <v>375</v>
      </c>
    </row>
    <row r="79" spans="1:25">
      <c r="A79" t="s">
        <v>376</v>
      </c>
      <c r="B79" t="s">
        <v>377</v>
      </c>
      <c r="D79" t="s">
        <v>40</v>
      </c>
      <c r="E79" t="s">
        <v>41</v>
      </c>
      <c r="J79" t="s">
        <v>190</v>
      </c>
      <c r="K79" t="s">
        <v>191</v>
      </c>
      <c r="L79">
        <v>7</v>
      </c>
      <c r="M79" t="s">
        <v>378</v>
      </c>
      <c r="N79" t="s">
        <v>76</v>
      </c>
      <c r="O79" t="s">
        <v>47</v>
      </c>
      <c r="P79" t="s">
        <v>47</v>
      </c>
      <c r="Y79" t="s">
        <v>379</v>
      </c>
    </row>
    <row r="80" spans="1:25">
      <c r="A80" t="s">
        <v>380</v>
      </c>
      <c r="B80" t="s">
        <v>381</v>
      </c>
      <c r="D80" t="s">
        <v>40</v>
      </c>
      <c r="E80" t="s">
        <v>41</v>
      </c>
      <c r="J80" t="s">
        <v>190</v>
      </c>
      <c r="K80" t="s">
        <v>191</v>
      </c>
      <c r="L80">
        <v>7</v>
      </c>
      <c r="M80" t="s">
        <v>382</v>
      </c>
      <c r="N80" t="s">
        <v>76</v>
      </c>
      <c r="O80" t="s">
        <v>47</v>
      </c>
      <c r="P80" t="s">
        <v>47</v>
      </c>
      <c r="Y80" t="s">
        <v>383</v>
      </c>
    </row>
    <row r="81" spans="1:25">
      <c r="A81" t="s">
        <v>231</v>
      </c>
      <c r="B81" t="s">
        <v>384</v>
      </c>
      <c r="D81" t="s">
        <v>40</v>
      </c>
      <c r="E81" t="s">
        <v>41</v>
      </c>
      <c r="J81" t="s">
        <v>190</v>
      </c>
      <c r="K81" t="s">
        <v>191</v>
      </c>
      <c r="L81">
        <v>7</v>
      </c>
      <c r="M81" t="s">
        <v>385</v>
      </c>
      <c r="N81" t="s">
        <v>76</v>
      </c>
      <c r="O81" t="s">
        <v>47</v>
      </c>
      <c r="P81" t="s">
        <v>47</v>
      </c>
      <c r="Y81" t="s">
        <v>386</v>
      </c>
    </row>
    <row r="82" spans="1:25">
      <c r="A82" t="s">
        <v>387</v>
      </c>
      <c r="B82" t="s">
        <v>388</v>
      </c>
      <c r="D82" t="s">
        <v>40</v>
      </c>
      <c r="E82" t="s">
        <v>41</v>
      </c>
      <c r="J82" t="s">
        <v>261</v>
      </c>
      <c r="K82" t="s">
        <v>262</v>
      </c>
      <c r="L82">
        <v>7</v>
      </c>
      <c r="M82" t="s">
        <v>389</v>
      </c>
      <c r="N82" t="s">
        <v>76</v>
      </c>
      <c r="O82" t="s">
        <v>47</v>
      </c>
      <c r="P82" t="s">
        <v>47</v>
      </c>
      <c r="Y82" t="s">
        <v>390</v>
      </c>
    </row>
    <row r="83" spans="1:25">
      <c r="A83" t="s">
        <v>391</v>
      </c>
      <c r="B83" t="s">
        <v>392</v>
      </c>
      <c r="D83" t="s">
        <v>40</v>
      </c>
      <c r="E83" t="s">
        <v>41</v>
      </c>
      <c r="J83" t="s">
        <v>240</v>
      </c>
      <c r="K83" t="s">
        <v>241</v>
      </c>
      <c r="L83">
        <v>7</v>
      </c>
      <c r="M83" t="s">
        <v>393</v>
      </c>
      <c r="N83" t="s">
        <v>76</v>
      </c>
      <c r="O83" t="s">
        <v>47</v>
      </c>
      <c r="P83" t="s">
        <v>47</v>
      </c>
      <c r="Y83" t="s">
        <v>394</v>
      </c>
    </row>
    <row r="84" spans="1:25">
      <c r="A84" t="s">
        <v>395</v>
      </c>
      <c r="B84" t="s">
        <v>396</v>
      </c>
      <c r="D84" t="s">
        <v>40</v>
      </c>
      <c r="E84" t="s">
        <v>41</v>
      </c>
      <c r="J84" t="s">
        <v>190</v>
      </c>
      <c r="K84" t="s">
        <v>191</v>
      </c>
      <c r="L84">
        <v>7</v>
      </c>
      <c r="M84" t="s">
        <v>397</v>
      </c>
      <c r="N84" t="s">
        <v>76</v>
      </c>
      <c r="O84" t="s">
        <v>47</v>
      </c>
      <c r="P84" t="s">
        <v>47</v>
      </c>
      <c r="Y84" t="s">
        <v>398</v>
      </c>
    </row>
    <row r="85" spans="1:25">
      <c r="A85" t="s">
        <v>399</v>
      </c>
      <c r="B85" t="s">
        <v>400</v>
      </c>
      <c r="D85" t="s">
        <v>40</v>
      </c>
      <c r="E85" t="s">
        <v>41</v>
      </c>
      <c r="J85" t="s">
        <v>190</v>
      </c>
      <c r="K85" t="s">
        <v>191</v>
      </c>
      <c r="L85">
        <v>7</v>
      </c>
      <c r="M85" t="s">
        <v>401</v>
      </c>
      <c r="N85" t="s">
        <v>76</v>
      </c>
      <c r="O85" t="s">
        <v>47</v>
      </c>
      <c r="P85" t="s">
        <v>47</v>
      </c>
      <c r="Y85" t="s">
        <v>402</v>
      </c>
    </row>
    <row r="86" spans="1:25">
      <c r="A86" t="s">
        <v>403</v>
      </c>
      <c r="B86" t="s">
        <v>404</v>
      </c>
      <c r="D86" t="s">
        <v>40</v>
      </c>
      <c r="E86" t="s">
        <v>41</v>
      </c>
      <c r="J86" t="s">
        <v>240</v>
      </c>
      <c r="K86" t="s">
        <v>241</v>
      </c>
      <c r="L86">
        <v>7</v>
      </c>
      <c r="M86" t="s">
        <v>405</v>
      </c>
      <c r="N86" t="s">
        <v>76</v>
      </c>
      <c r="O86" t="s">
        <v>47</v>
      </c>
      <c r="P86" t="s">
        <v>47</v>
      </c>
      <c r="Y86" t="s">
        <v>406</v>
      </c>
    </row>
    <row r="87" spans="1:25">
      <c r="A87" t="s">
        <v>407</v>
      </c>
      <c r="B87" t="s">
        <v>408</v>
      </c>
      <c r="D87" t="s">
        <v>40</v>
      </c>
      <c r="E87" t="s">
        <v>41</v>
      </c>
      <c r="J87" t="s">
        <v>240</v>
      </c>
      <c r="K87" t="s">
        <v>241</v>
      </c>
      <c r="L87">
        <v>7</v>
      </c>
      <c r="M87" t="s">
        <v>409</v>
      </c>
      <c r="N87" t="s">
        <v>76</v>
      </c>
      <c r="O87" t="s">
        <v>47</v>
      </c>
      <c r="P87" t="s">
        <v>47</v>
      </c>
      <c r="Y87" t="s">
        <v>410</v>
      </c>
    </row>
    <row r="88" spans="1:25">
      <c r="A88" t="s">
        <v>411</v>
      </c>
      <c r="B88" t="s">
        <v>412</v>
      </c>
      <c r="D88" t="s">
        <v>40</v>
      </c>
      <c r="E88" t="s">
        <v>41</v>
      </c>
      <c r="J88" t="s">
        <v>190</v>
      </c>
      <c r="K88" t="s">
        <v>191</v>
      </c>
      <c r="L88">
        <v>7</v>
      </c>
      <c r="M88" t="s">
        <v>413</v>
      </c>
      <c r="N88" t="s">
        <v>76</v>
      </c>
      <c r="O88" t="s">
        <v>47</v>
      </c>
      <c r="P88" t="s">
        <v>47</v>
      </c>
      <c r="Y88" t="s">
        <v>414</v>
      </c>
    </row>
    <row r="89" spans="1:25">
      <c r="A89" t="s">
        <v>415</v>
      </c>
      <c r="B89" t="s">
        <v>416</v>
      </c>
      <c r="D89" t="s">
        <v>40</v>
      </c>
      <c r="E89" t="s">
        <v>41</v>
      </c>
      <c r="H89" t="s">
        <v>417</v>
      </c>
      <c r="J89" t="s">
        <v>261</v>
      </c>
      <c r="K89" t="s">
        <v>262</v>
      </c>
      <c r="L89">
        <v>7</v>
      </c>
      <c r="M89" t="s">
        <v>418</v>
      </c>
      <c r="N89" t="s">
        <v>76</v>
      </c>
      <c r="O89" t="s">
        <v>47</v>
      </c>
      <c r="P89" t="s">
        <v>47</v>
      </c>
      <c r="Y89" t="s">
        <v>417</v>
      </c>
    </row>
    <row r="90" spans="1:25">
      <c r="A90" t="s">
        <v>419</v>
      </c>
      <c r="B90" t="s">
        <v>420</v>
      </c>
      <c r="D90" t="s">
        <v>40</v>
      </c>
      <c r="E90" t="s">
        <v>41</v>
      </c>
      <c r="J90" t="s">
        <v>190</v>
      </c>
      <c r="K90" t="s">
        <v>191</v>
      </c>
      <c r="L90">
        <v>7</v>
      </c>
      <c r="M90" t="s">
        <v>418</v>
      </c>
      <c r="N90" t="s">
        <v>76</v>
      </c>
      <c r="O90" t="s">
        <v>47</v>
      </c>
      <c r="P90" t="s">
        <v>47</v>
      </c>
      <c r="Y90" t="s">
        <v>421</v>
      </c>
    </row>
    <row r="91" spans="1:25">
      <c r="A91" t="s">
        <v>422</v>
      </c>
      <c r="B91" t="s">
        <v>423</v>
      </c>
      <c r="D91" t="s">
        <v>40</v>
      </c>
      <c r="E91" t="s">
        <v>41</v>
      </c>
      <c r="H91" t="s">
        <v>424</v>
      </c>
      <c r="J91" t="s">
        <v>66</v>
      </c>
      <c r="K91" t="s">
        <v>67</v>
      </c>
      <c r="L91">
        <v>8</v>
      </c>
      <c r="M91" t="s">
        <v>425</v>
      </c>
      <c r="N91" t="s">
        <v>202</v>
      </c>
      <c r="O91" t="s">
        <v>47</v>
      </c>
      <c r="P91" t="s">
        <v>47</v>
      </c>
      <c r="Y91" t="s">
        <v>424</v>
      </c>
    </row>
    <row r="92" spans="1:25">
      <c r="A92" t="s">
        <v>426</v>
      </c>
      <c r="B92" t="s">
        <v>427</v>
      </c>
      <c r="D92" t="s">
        <v>40</v>
      </c>
      <c r="E92" t="s">
        <v>41</v>
      </c>
      <c r="J92" t="s">
        <v>261</v>
      </c>
      <c r="K92" t="s">
        <v>262</v>
      </c>
      <c r="L92">
        <v>7</v>
      </c>
      <c r="M92" t="s">
        <v>428</v>
      </c>
      <c r="N92" t="s">
        <v>76</v>
      </c>
      <c r="O92" t="s">
        <v>47</v>
      </c>
      <c r="P92" t="s">
        <v>47</v>
      </c>
      <c r="Y92" t="s">
        <v>429</v>
      </c>
    </row>
    <row r="93" spans="1:25">
      <c r="A93" t="s">
        <v>430</v>
      </c>
      <c r="B93" t="s">
        <v>431</v>
      </c>
      <c r="D93" t="s">
        <v>40</v>
      </c>
      <c r="E93" t="s">
        <v>41</v>
      </c>
      <c r="J93" t="s">
        <v>190</v>
      </c>
      <c r="K93" t="s">
        <v>191</v>
      </c>
      <c r="L93">
        <v>7</v>
      </c>
      <c r="M93" t="s">
        <v>432</v>
      </c>
      <c r="N93" t="s">
        <v>76</v>
      </c>
      <c r="O93" t="s">
        <v>47</v>
      </c>
      <c r="P93" t="s">
        <v>47</v>
      </c>
      <c r="Y93" t="s">
        <v>433</v>
      </c>
    </row>
    <row r="94" spans="1:25">
      <c r="A94" t="s">
        <v>434</v>
      </c>
      <c r="B94" t="s">
        <v>435</v>
      </c>
      <c r="D94" t="s">
        <v>40</v>
      </c>
      <c r="E94" t="s">
        <v>41</v>
      </c>
      <c r="J94" t="s">
        <v>168</v>
      </c>
      <c r="K94" t="s">
        <v>169</v>
      </c>
      <c r="L94">
        <v>7</v>
      </c>
      <c r="M94" t="s">
        <v>432</v>
      </c>
      <c r="N94" t="s">
        <v>76</v>
      </c>
      <c r="O94" t="s">
        <v>47</v>
      </c>
      <c r="P94" t="s">
        <v>47</v>
      </c>
      <c r="Y94" t="s">
        <v>436</v>
      </c>
    </row>
    <row r="95" spans="1:25">
      <c r="A95" t="s">
        <v>437</v>
      </c>
      <c r="B95" t="s">
        <v>438</v>
      </c>
      <c r="D95" t="s">
        <v>40</v>
      </c>
      <c r="E95" t="s">
        <v>41</v>
      </c>
      <c r="J95" t="s">
        <v>261</v>
      </c>
      <c r="K95" t="s">
        <v>262</v>
      </c>
      <c r="L95">
        <v>7</v>
      </c>
      <c r="M95" t="s">
        <v>439</v>
      </c>
      <c r="N95" t="s">
        <v>76</v>
      </c>
      <c r="O95" t="s">
        <v>47</v>
      </c>
      <c r="P95" t="s">
        <v>47</v>
      </c>
      <c r="Y95" t="s">
        <v>440</v>
      </c>
    </row>
    <row r="96" spans="1:25">
      <c r="A96" t="s">
        <v>441</v>
      </c>
      <c r="B96" t="s">
        <v>442</v>
      </c>
      <c r="D96" t="s">
        <v>40</v>
      </c>
      <c r="E96" t="s">
        <v>41</v>
      </c>
      <c r="J96" t="s">
        <v>190</v>
      </c>
      <c r="K96" t="s">
        <v>191</v>
      </c>
      <c r="L96">
        <v>7</v>
      </c>
      <c r="M96" t="s">
        <v>443</v>
      </c>
      <c r="N96" t="s">
        <v>76</v>
      </c>
      <c r="O96" t="s">
        <v>47</v>
      </c>
      <c r="P96" t="s">
        <v>47</v>
      </c>
      <c r="Y96" t="s">
        <v>444</v>
      </c>
    </row>
    <row r="97" spans="1:25">
      <c r="A97" t="s">
        <v>445</v>
      </c>
      <c r="B97" t="s">
        <v>446</v>
      </c>
      <c r="D97" t="s">
        <v>40</v>
      </c>
      <c r="E97" t="s">
        <v>41</v>
      </c>
      <c r="J97" t="s">
        <v>168</v>
      </c>
      <c r="K97" t="s">
        <v>169</v>
      </c>
      <c r="L97">
        <v>7</v>
      </c>
      <c r="M97" t="s">
        <v>447</v>
      </c>
      <c r="N97" t="s">
        <v>76</v>
      </c>
      <c r="O97" t="s">
        <v>47</v>
      </c>
      <c r="P97" t="s">
        <v>47</v>
      </c>
      <c r="Y97" t="s">
        <v>448</v>
      </c>
    </row>
    <row r="98" spans="1:25">
      <c r="A98" t="s">
        <v>449</v>
      </c>
      <c r="B98" t="s">
        <v>450</v>
      </c>
      <c r="D98" t="s">
        <v>40</v>
      </c>
      <c r="E98" t="s">
        <v>41</v>
      </c>
      <c r="J98" t="s">
        <v>261</v>
      </c>
      <c r="K98" t="s">
        <v>262</v>
      </c>
      <c r="L98">
        <v>7</v>
      </c>
      <c r="M98" t="s">
        <v>451</v>
      </c>
      <c r="N98" t="s">
        <v>76</v>
      </c>
      <c r="O98" t="s">
        <v>47</v>
      </c>
      <c r="P98" t="s">
        <v>47</v>
      </c>
      <c r="Y98" t="s">
        <v>452</v>
      </c>
    </row>
    <row r="99" spans="1:25">
      <c r="A99" t="s">
        <v>453</v>
      </c>
      <c r="B99" t="s">
        <v>454</v>
      </c>
      <c r="D99" t="s">
        <v>40</v>
      </c>
      <c r="E99" t="s">
        <v>41</v>
      </c>
      <c r="H99" t="s">
        <v>455</v>
      </c>
      <c r="J99" t="s">
        <v>190</v>
      </c>
      <c r="K99" t="s">
        <v>191</v>
      </c>
      <c r="L99">
        <v>7</v>
      </c>
      <c r="M99" t="s">
        <v>451</v>
      </c>
      <c r="N99" t="s">
        <v>76</v>
      </c>
      <c r="O99" t="s">
        <v>47</v>
      </c>
      <c r="P99" t="s">
        <v>47</v>
      </c>
      <c r="Y99" t="s">
        <v>455</v>
      </c>
    </row>
    <row r="100" spans="1:25">
      <c r="A100" t="s">
        <v>456</v>
      </c>
      <c r="B100" t="s">
        <v>457</v>
      </c>
      <c r="D100" t="s">
        <v>40</v>
      </c>
      <c r="E100" t="s">
        <v>41</v>
      </c>
      <c r="J100" t="s">
        <v>190</v>
      </c>
      <c r="K100" t="s">
        <v>191</v>
      </c>
      <c r="L100">
        <v>7</v>
      </c>
      <c r="M100" t="s">
        <v>458</v>
      </c>
      <c r="N100" t="s">
        <v>76</v>
      </c>
      <c r="O100" t="s">
        <v>47</v>
      </c>
      <c r="P100" t="s">
        <v>47</v>
      </c>
      <c r="Y100" t="s">
        <v>459</v>
      </c>
    </row>
    <row r="101" spans="1:25">
      <c r="A101" t="s">
        <v>460</v>
      </c>
      <c r="B101" t="s">
        <v>461</v>
      </c>
      <c r="D101" t="s">
        <v>40</v>
      </c>
      <c r="E101" t="s">
        <v>41</v>
      </c>
      <c r="J101" t="s">
        <v>240</v>
      </c>
      <c r="K101" t="s">
        <v>241</v>
      </c>
      <c r="L101">
        <v>7</v>
      </c>
      <c r="M101" t="s">
        <v>462</v>
      </c>
      <c r="N101" t="s">
        <v>76</v>
      </c>
      <c r="O101" t="s">
        <v>47</v>
      </c>
      <c r="P101" t="s">
        <v>47</v>
      </c>
      <c r="Y101" t="s">
        <v>463</v>
      </c>
    </row>
    <row r="102" spans="1:25">
      <c r="A102" t="s">
        <v>464</v>
      </c>
      <c r="B102" t="s">
        <v>465</v>
      </c>
      <c r="D102" t="s">
        <v>40</v>
      </c>
      <c r="E102" t="s">
        <v>41</v>
      </c>
      <c r="J102" t="s">
        <v>168</v>
      </c>
      <c r="K102" t="s">
        <v>169</v>
      </c>
      <c r="L102">
        <v>7</v>
      </c>
      <c r="M102" t="s">
        <v>462</v>
      </c>
      <c r="N102" t="s">
        <v>76</v>
      </c>
      <c r="O102" t="s">
        <v>47</v>
      </c>
      <c r="P102" t="s">
        <v>47</v>
      </c>
      <c r="Y102" t="s">
        <v>466</v>
      </c>
    </row>
    <row r="103" spans="1:25">
      <c r="A103" t="s">
        <v>467</v>
      </c>
      <c r="B103" t="s">
        <v>468</v>
      </c>
      <c r="D103" t="s">
        <v>40</v>
      </c>
      <c r="E103" t="s">
        <v>41</v>
      </c>
      <c r="J103" t="s">
        <v>318</v>
      </c>
      <c r="K103" t="s">
        <v>319</v>
      </c>
      <c r="L103">
        <v>7</v>
      </c>
      <c r="M103" t="s">
        <v>469</v>
      </c>
      <c r="N103" t="s">
        <v>76</v>
      </c>
      <c r="O103" t="s">
        <v>47</v>
      </c>
      <c r="P103" t="s">
        <v>47</v>
      </c>
      <c r="Y103" t="s">
        <v>470</v>
      </c>
    </row>
    <row r="104" spans="1:25">
      <c r="A104" t="s">
        <v>471</v>
      </c>
      <c r="B104" t="s">
        <v>472</v>
      </c>
      <c r="D104" t="s">
        <v>40</v>
      </c>
      <c r="E104" t="s">
        <v>41</v>
      </c>
      <c r="J104" t="s">
        <v>168</v>
      </c>
      <c r="K104" t="s">
        <v>169</v>
      </c>
      <c r="L104">
        <v>7</v>
      </c>
      <c r="M104" t="s">
        <v>473</v>
      </c>
      <c r="N104" t="s">
        <v>76</v>
      </c>
      <c r="O104" t="s">
        <v>47</v>
      </c>
      <c r="P104" t="s">
        <v>47</v>
      </c>
      <c r="Y104" t="s">
        <v>474</v>
      </c>
    </row>
    <row r="105" spans="1:25">
      <c r="A105" t="s">
        <v>475</v>
      </c>
      <c r="B105" t="s">
        <v>476</v>
      </c>
      <c r="D105" t="s">
        <v>40</v>
      </c>
      <c r="E105" t="s">
        <v>41</v>
      </c>
      <c r="J105" t="s">
        <v>168</v>
      </c>
      <c r="K105" t="s">
        <v>169</v>
      </c>
      <c r="L105">
        <v>7</v>
      </c>
      <c r="M105" t="s">
        <v>477</v>
      </c>
      <c r="N105" t="s">
        <v>76</v>
      </c>
      <c r="O105" t="s">
        <v>47</v>
      </c>
      <c r="P105" t="s">
        <v>47</v>
      </c>
      <c r="Y105" t="s">
        <v>478</v>
      </c>
    </row>
    <row r="106" spans="1:25">
      <c r="A106" t="s">
        <v>479</v>
      </c>
      <c r="B106" t="s">
        <v>480</v>
      </c>
      <c r="D106" t="s">
        <v>40</v>
      </c>
      <c r="E106" t="s">
        <v>41</v>
      </c>
      <c r="J106" t="s">
        <v>43</v>
      </c>
      <c r="K106" t="s">
        <v>44</v>
      </c>
      <c r="L106">
        <v>7</v>
      </c>
      <c r="M106" t="s">
        <v>481</v>
      </c>
      <c r="N106" t="s">
        <v>80</v>
      </c>
      <c r="O106" t="s">
        <v>47</v>
      </c>
      <c r="P106" t="s">
        <v>47</v>
      </c>
      <c r="Y106" t="s">
        <v>482</v>
      </c>
    </row>
    <row r="107" spans="1:25">
      <c r="A107" t="s">
        <v>483</v>
      </c>
      <c r="B107" t="s">
        <v>484</v>
      </c>
      <c r="D107" t="s">
        <v>40</v>
      </c>
      <c r="E107" t="s">
        <v>41</v>
      </c>
      <c r="H107" t="s">
        <v>485</v>
      </c>
      <c r="J107" t="s">
        <v>108</v>
      </c>
      <c r="K107" t="s">
        <v>109</v>
      </c>
      <c r="L107">
        <v>7</v>
      </c>
      <c r="M107" t="s">
        <v>486</v>
      </c>
      <c r="N107" t="s">
        <v>80</v>
      </c>
      <c r="O107" t="s">
        <v>47</v>
      </c>
      <c r="P107" t="s">
        <v>47</v>
      </c>
      <c r="Y107" t="s">
        <v>485</v>
      </c>
    </row>
    <row r="108" spans="1:25">
      <c r="A108" t="s">
        <v>487</v>
      </c>
      <c r="B108" t="s">
        <v>488</v>
      </c>
      <c r="D108" t="s">
        <v>40</v>
      </c>
      <c r="E108" t="s">
        <v>41</v>
      </c>
      <c r="H108" t="s">
        <v>489</v>
      </c>
      <c r="J108" t="s">
        <v>190</v>
      </c>
      <c r="K108" t="s">
        <v>191</v>
      </c>
      <c r="L108">
        <v>7</v>
      </c>
      <c r="M108" t="s">
        <v>490</v>
      </c>
      <c r="N108" t="s">
        <v>76</v>
      </c>
      <c r="O108" t="s">
        <v>47</v>
      </c>
      <c r="P108" t="s">
        <v>47</v>
      </c>
      <c r="Y108" t="s">
        <v>489</v>
      </c>
    </row>
    <row r="109" spans="1:25">
      <c r="A109" t="s">
        <v>491</v>
      </c>
      <c r="B109" t="s">
        <v>492</v>
      </c>
      <c r="D109" t="s">
        <v>40</v>
      </c>
      <c r="E109" t="s">
        <v>41</v>
      </c>
      <c r="H109" t="s">
        <v>493</v>
      </c>
      <c r="J109" t="s">
        <v>240</v>
      </c>
      <c r="K109" t="s">
        <v>241</v>
      </c>
      <c r="L109">
        <v>7</v>
      </c>
      <c r="M109" t="s">
        <v>494</v>
      </c>
      <c r="N109" t="s">
        <v>76</v>
      </c>
      <c r="O109" t="s">
        <v>47</v>
      </c>
      <c r="P109" t="s">
        <v>47</v>
      </c>
      <c r="Y109" t="s">
        <v>493</v>
      </c>
    </row>
    <row r="110" spans="1:25">
      <c r="A110" t="s">
        <v>495</v>
      </c>
      <c r="B110" t="s">
        <v>496</v>
      </c>
      <c r="D110" t="s">
        <v>40</v>
      </c>
      <c r="E110" t="s">
        <v>41</v>
      </c>
      <c r="J110" t="s">
        <v>190</v>
      </c>
      <c r="K110" t="s">
        <v>191</v>
      </c>
      <c r="L110">
        <v>7</v>
      </c>
      <c r="M110" t="s">
        <v>494</v>
      </c>
      <c r="N110" t="s">
        <v>76</v>
      </c>
      <c r="O110" t="s">
        <v>47</v>
      </c>
      <c r="P110" t="s">
        <v>47</v>
      </c>
      <c r="Y110" t="s">
        <v>497</v>
      </c>
    </row>
    <row r="111" spans="1:25">
      <c r="A111" t="s">
        <v>498</v>
      </c>
      <c r="B111" t="s">
        <v>499</v>
      </c>
      <c r="D111" t="s">
        <v>40</v>
      </c>
      <c r="E111" t="s">
        <v>41</v>
      </c>
      <c r="J111" t="s">
        <v>318</v>
      </c>
      <c r="K111" t="s">
        <v>319</v>
      </c>
      <c r="L111">
        <v>7</v>
      </c>
      <c r="M111" t="s">
        <v>494</v>
      </c>
      <c r="N111" t="s">
        <v>76</v>
      </c>
      <c r="O111" t="s">
        <v>47</v>
      </c>
      <c r="P111" t="s">
        <v>47</v>
      </c>
      <c r="Y111" t="s">
        <v>500</v>
      </c>
    </row>
    <row r="112" spans="1:25">
      <c r="A112" t="s">
        <v>501</v>
      </c>
      <c r="B112" t="s">
        <v>502</v>
      </c>
      <c r="D112" t="s">
        <v>40</v>
      </c>
      <c r="E112" t="s">
        <v>41</v>
      </c>
      <c r="H112" t="s">
        <v>503</v>
      </c>
      <c r="J112" t="s">
        <v>168</v>
      </c>
      <c r="K112" t="s">
        <v>169</v>
      </c>
      <c r="L112">
        <v>7</v>
      </c>
      <c r="M112" t="s">
        <v>504</v>
      </c>
      <c r="N112" t="s">
        <v>76</v>
      </c>
      <c r="O112" t="s">
        <v>47</v>
      </c>
      <c r="P112" t="s">
        <v>47</v>
      </c>
      <c r="Y112" t="s">
        <v>503</v>
      </c>
    </row>
    <row r="113" spans="1:25">
      <c r="A113" t="s">
        <v>505</v>
      </c>
      <c r="B113" t="s">
        <v>506</v>
      </c>
      <c r="D113" t="s">
        <v>40</v>
      </c>
      <c r="E113" t="s">
        <v>41</v>
      </c>
      <c r="J113" t="s">
        <v>190</v>
      </c>
      <c r="K113" t="s">
        <v>191</v>
      </c>
      <c r="L113">
        <v>7</v>
      </c>
      <c r="M113" t="s">
        <v>507</v>
      </c>
      <c r="N113" t="s">
        <v>76</v>
      </c>
      <c r="O113" t="s">
        <v>47</v>
      </c>
      <c r="P113" t="s">
        <v>47</v>
      </c>
      <c r="Y113" t="s">
        <v>508</v>
      </c>
    </row>
    <row r="114" spans="1:25">
      <c r="A114" t="s">
        <v>509</v>
      </c>
      <c r="B114" t="s">
        <v>510</v>
      </c>
      <c r="D114" t="s">
        <v>40</v>
      </c>
      <c r="E114" t="s">
        <v>41</v>
      </c>
      <c r="J114" t="s">
        <v>168</v>
      </c>
      <c r="K114" t="s">
        <v>169</v>
      </c>
      <c r="L114">
        <v>7</v>
      </c>
      <c r="M114" t="s">
        <v>507</v>
      </c>
      <c r="N114" t="s">
        <v>76</v>
      </c>
      <c r="O114" t="s">
        <v>47</v>
      </c>
      <c r="P114" t="s">
        <v>47</v>
      </c>
      <c r="Y114" t="s">
        <v>511</v>
      </c>
    </row>
    <row r="115" spans="1:25">
      <c r="A115" t="s">
        <v>512</v>
      </c>
      <c r="B115" t="s">
        <v>513</v>
      </c>
      <c r="D115" t="s">
        <v>40</v>
      </c>
      <c r="E115" t="s">
        <v>41</v>
      </c>
      <c r="J115" t="s">
        <v>190</v>
      </c>
      <c r="K115" t="s">
        <v>191</v>
      </c>
      <c r="L115">
        <v>7</v>
      </c>
      <c r="M115" t="s">
        <v>507</v>
      </c>
      <c r="N115" t="s">
        <v>76</v>
      </c>
      <c r="O115" t="s">
        <v>47</v>
      </c>
      <c r="P115" t="s">
        <v>47</v>
      </c>
      <c r="Y115" t="s">
        <v>514</v>
      </c>
    </row>
    <row r="116" spans="1:25">
      <c r="A116" t="s">
        <v>515</v>
      </c>
      <c r="B116" t="s">
        <v>516</v>
      </c>
      <c r="D116" t="s">
        <v>40</v>
      </c>
      <c r="E116" t="s">
        <v>41</v>
      </c>
      <c r="J116" t="s">
        <v>190</v>
      </c>
      <c r="K116" t="s">
        <v>191</v>
      </c>
      <c r="L116">
        <v>7</v>
      </c>
      <c r="M116" t="s">
        <v>507</v>
      </c>
      <c r="N116" t="s">
        <v>76</v>
      </c>
      <c r="O116" t="s">
        <v>47</v>
      </c>
      <c r="P116" t="s">
        <v>47</v>
      </c>
      <c r="Y116" t="s">
        <v>517</v>
      </c>
    </row>
    <row r="117" spans="1:25">
      <c r="A117" t="s">
        <v>518</v>
      </c>
      <c r="B117" t="s">
        <v>519</v>
      </c>
      <c r="D117" t="s">
        <v>40</v>
      </c>
      <c r="E117" t="s">
        <v>41</v>
      </c>
      <c r="J117" t="s">
        <v>168</v>
      </c>
      <c r="K117" t="s">
        <v>169</v>
      </c>
      <c r="L117">
        <v>7</v>
      </c>
      <c r="M117" t="s">
        <v>520</v>
      </c>
      <c r="N117" t="s">
        <v>76</v>
      </c>
      <c r="O117" t="s">
        <v>47</v>
      </c>
      <c r="P117" t="s">
        <v>47</v>
      </c>
      <c r="Y117" t="s">
        <v>521</v>
      </c>
    </row>
    <row r="118" spans="1:25">
      <c r="A118" t="s">
        <v>522</v>
      </c>
      <c r="B118" t="s">
        <v>523</v>
      </c>
      <c r="D118" t="s">
        <v>40</v>
      </c>
      <c r="E118" t="s">
        <v>41</v>
      </c>
      <c r="J118" t="s">
        <v>190</v>
      </c>
      <c r="K118" t="s">
        <v>191</v>
      </c>
      <c r="L118">
        <v>7</v>
      </c>
      <c r="M118" t="s">
        <v>524</v>
      </c>
      <c r="N118" t="s">
        <v>76</v>
      </c>
      <c r="O118" t="s">
        <v>47</v>
      </c>
      <c r="P118" t="s">
        <v>47</v>
      </c>
      <c r="Y118" t="s">
        <v>525</v>
      </c>
    </row>
    <row r="119" spans="1:25">
      <c r="A119" t="s">
        <v>526</v>
      </c>
      <c r="B119" t="s">
        <v>527</v>
      </c>
      <c r="D119" t="s">
        <v>40</v>
      </c>
      <c r="E119" t="s">
        <v>41</v>
      </c>
      <c r="J119" t="s">
        <v>190</v>
      </c>
      <c r="K119" t="s">
        <v>191</v>
      </c>
      <c r="L119">
        <v>7</v>
      </c>
      <c r="M119" t="s">
        <v>524</v>
      </c>
      <c r="N119" t="s">
        <v>76</v>
      </c>
      <c r="O119" t="s">
        <v>47</v>
      </c>
      <c r="P119" t="s">
        <v>47</v>
      </c>
      <c r="Y119" t="s">
        <v>528</v>
      </c>
    </row>
    <row r="120" spans="1:25">
      <c r="A120" t="s">
        <v>529</v>
      </c>
      <c r="B120" t="s">
        <v>530</v>
      </c>
      <c r="D120" t="s">
        <v>40</v>
      </c>
      <c r="E120" t="s">
        <v>41</v>
      </c>
      <c r="J120" t="s">
        <v>168</v>
      </c>
      <c r="K120" t="s">
        <v>169</v>
      </c>
      <c r="L120">
        <v>7</v>
      </c>
      <c r="M120" t="s">
        <v>524</v>
      </c>
      <c r="N120" t="s">
        <v>76</v>
      </c>
      <c r="O120" t="s">
        <v>47</v>
      </c>
      <c r="P120" t="s">
        <v>47</v>
      </c>
      <c r="Y120" t="s">
        <v>531</v>
      </c>
    </row>
    <row r="121" spans="1:25">
      <c r="A121" t="s">
        <v>532</v>
      </c>
      <c r="B121" t="s">
        <v>533</v>
      </c>
      <c r="D121" t="s">
        <v>40</v>
      </c>
      <c r="E121" t="s">
        <v>41</v>
      </c>
      <c r="J121" t="s">
        <v>190</v>
      </c>
      <c r="K121" t="s">
        <v>191</v>
      </c>
      <c r="L121">
        <v>7</v>
      </c>
      <c r="M121" t="s">
        <v>534</v>
      </c>
      <c r="N121" t="s">
        <v>76</v>
      </c>
      <c r="O121" t="s">
        <v>47</v>
      </c>
      <c r="P121" t="s">
        <v>47</v>
      </c>
      <c r="Y121" t="s">
        <v>535</v>
      </c>
    </row>
    <row r="122" spans="1:25">
      <c r="A122" t="s">
        <v>536</v>
      </c>
      <c r="B122" t="s">
        <v>537</v>
      </c>
      <c r="D122" t="s">
        <v>40</v>
      </c>
      <c r="E122" t="s">
        <v>41</v>
      </c>
      <c r="J122" t="s">
        <v>190</v>
      </c>
      <c r="K122" t="s">
        <v>191</v>
      </c>
      <c r="L122">
        <v>7</v>
      </c>
      <c r="M122" t="s">
        <v>538</v>
      </c>
      <c r="N122" t="s">
        <v>76</v>
      </c>
      <c r="O122" t="s">
        <v>47</v>
      </c>
      <c r="P122" t="s">
        <v>47</v>
      </c>
      <c r="Y122" t="s">
        <v>539</v>
      </c>
    </row>
    <row r="123" spans="1:25">
      <c r="A123" t="s">
        <v>540</v>
      </c>
      <c r="B123" t="s">
        <v>541</v>
      </c>
      <c r="D123" t="s">
        <v>40</v>
      </c>
      <c r="E123" t="s">
        <v>41</v>
      </c>
      <c r="J123" t="s">
        <v>190</v>
      </c>
      <c r="K123" t="s">
        <v>191</v>
      </c>
      <c r="L123">
        <v>7</v>
      </c>
      <c r="M123" t="s">
        <v>542</v>
      </c>
      <c r="N123" t="s">
        <v>76</v>
      </c>
      <c r="O123" t="s">
        <v>47</v>
      </c>
      <c r="P123" t="s">
        <v>47</v>
      </c>
      <c r="Y123" t="s">
        <v>543</v>
      </c>
    </row>
    <row r="124" spans="1:25">
      <c r="A124" t="s">
        <v>544</v>
      </c>
      <c r="B124" t="s">
        <v>545</v>
      </c>
      <c r="D124" t="s">
        <v>40</v>
      </c>
      <c r="E124" t="s">
        <v>41</v>
      </c>
      <c r="J124" t="s">
        <v>190</v>
      </c>
      <c r="K124" t="s">
        <v>191</v>
      </c>
      <c r="L124">
        <v>7</v>
      </c>
      <c r="M124" t="s">
        <v>542</v>
      </c>
      <c r="N124" t="s">
        <v>76</v>
      </c>
      <c r="O124" t="s">
        <v>47</v>
      </c>
      <c r="P124" t="s">
        <v>47</v>
      </c>
      <c r="Y124" t="s">
        <v>546</v>
      </c>
    </row>
    <row r="125" spans="1:25">
      <c r="A125" t="s">
        <v>547</v>
      </c>
      <c r="B125" t="s">
        <v>548</v>
      </c>
      <c r="D125" t="s">
        <v>40</v>
      </c>
      <c r="E125" t="s">
        <v>41</v>
      </c>
      <c r="J125" t="s">
        <v>117</v>
      </c>
      <c r="K125" t="s">
        <v>118</v>
      </c>
      <c r="L125">
        <v>7</v>
      </c>
      <c r="M125" t="s">
        <v>549</v>
      </c>
      <c r="N125" t="s">
        <v>80</v>
      </c>
      <c r="O125" t="s">
        <v>47</v>
      </c>
      <c r="P125" t="s">
        <v>47</v>
      </c>
      <c r="Y125" t="s">
        <v>550</v>
      </c>
    </row>
    <row r="126" spans="1:25">
      <c r="A126" t="s">
        <v>551</v>
      </c>
      <c r="B126" t="s">
        <v>552</v>
      </c>
      <c r="D126" t="s">
        <v>40</v>
      </c>
      <c r="E126" t="s">
        <v>41</v>
      </c>
      <c r="J126" t="s">
        <v>240</v>
      </c>
      <c r="K126" t="s">
        <v>241</v>
      </c>
      <c r="L126">
        <v>7</v>
      </c>
      <c r="M126" t="s">
        <v>549</v>
      </c>
      <c r="N126" t="s">
        <v>76</v>
      </c>
      <c r="O126" t="s">
        <v>47</v>
      </c>
      <c r="P126" t="s">
        <v>47</v>
      </c>
      <c r="Y126" t="s">
        <v>553</v>
      </c>
    </row>
    <row r="127" spans="1:25">
      <c r="A127" t="s">
        <v>554</v>
      </c>
      <c r="B127" t="s">
        <v>555</v>
      </c>
      <c r="D127" t="s">
        <v>40</v>
      </c>
      <c r="E127" t="s">
        <v>41</v>
      </c>
      <c r="J127" t="s">
        <v>190</v>
      </c>
      <c r="K127" t="s">
        <v>191</v>
      </c>
      <c r="L127">
        <v>7</v>
      </c>
      <c r="M127" t="s">
        <v>556</v>
      </c>
      <c r="N127" t="s">
        <v>76</v>
      </c>
      <c r="O127" t="s">
        <v>47</v>
      </c>
      <c r="P127" t="s">
        <v>47</v>
      </c>
      <c r="Y127" t="s">
        <v>557</v>
      </c>
    </row>
    <row r="128" spans="1:25">
      <c r="A128" t="s">
        <v>558</v>
      </c>
      <c r="B128" t="s">
        <v>559</v>
      </c>
      <c r="D128" t="s">
        <v>40</v>
      </c>
      <c r="E128" t="s">
        <v>41</v>
      </c>
      <c r="J128" t="s">
        <v>168</v>
      </c>
      <c r="K128" t="s">
        <v>169</v>
      </c>
      <c r="L128">
        <v>7</v>
      </c>
      <c r="M128" t="s">
        <v>556</v>
      </c>
      <c r="N128" t="s">
        <v>76</v>
      </c>
      <c r="O128" t="s">
        <v>47</v>
      </c>
      <c r="P128" t="s">
        <v>47</v>
      </c>
      <c r="Y128" t="s">
        <v>560</v>
      </c>
    </row>
    <row r="129" spans="1:25">
      <c r="A129" t="s">
        <v>561</v>
      </c>
      <c r="B129" t="s">
        <v>562</v>
      </c>
      <c r="D129" t="s">
        <v>40</v>
      </c>
      <c r="E129" t="s">
        <v>41</v>
      </c>
      <c r="J129" t="s">
        <v>168</v>
      </c>
      <c r="K129" t="s">
        <v>169</v>
      </c>
      <c r="L129">
        <v>7</v>
      </c>
      <c r="M129" t="s">
        <v>556</v>
      </c>
      <c r="N129" t="s">
        <v>76</v>
      </c>
      <c r="O129" t="s">
        <v>47</v>
      </c>
      <c r="P129" t="s">
        <v>47</v>
      </c>
      <c r="Y129" t="s">
        <v>563</v>
      </c>
    </row>
    <row r="130" spans="1:25">
      <c r="A130" t="s">
        <v>564</v>
      </c>
      <c r="B130" t="s">
        <v>565</v>
      </c>
      <c r="D130" t="s">
        <v>40</v>
      </c>
      <c r="E130" t="s">
        <v>41</v>
      </c>
      <c r="J130" t="s">
        <v>190</v>
      </c>
      <c r="K130" t="s">
        <v>191</v>
      </c>
      <c r="L130">
        <v>7</v>
      </c>
      <c r="M130" t="s">
        <v>556</v>
      </c>
      <c r="N130" t="s">
        <v>76</v>
      </c>
      <c r="O130" t="s">
        <v>47</v>
      </c>
      <c r="P130" t="s">
        <v>47</v>
      </c>
      <c r="Y130" t="s">
        <v>566</v>
      </c>
    </row>
    <row r="131" spans="1:25">
      <c r="A131" t="s">
        <v>567</v>
      </c>
      <c r="B131" t="s">
        <v>568</v>
      </c>
      <c r="D131" t="s">
        <v>40</v>
      </c>
      <c r="E131" t="s">
        <v>41</v>
      </c>
      <c r="H131" t="s">
        <v>569</v>
      </c>
      <c r="J131" t="s">
        <v>73</v>
      </c>
      <c r="K131" t="s">
        <v>74</v>
      </c>
      <c r="L131">
        <v>7</v>
      </c>
      <c r="M131" t="s">
        <v>570</v>
      </c>
      <c r="N131" t="s">
        <v>76</v>
      </c>
      <c r="O131" t="s">
        <v>47</v>
      </c>
      <c r="P131" t="s">
        <v>47</v>
      </c>
      <c r="Y131" t="s">
        <v>569</v>
      </c>
    </row>
    <row r="132" spans="1:25">
      <c r="A132" t="s">
        <v>571</v>
      </c>
      <c r="B132" t="s">
        <v>572</v>
      </c>
      <c r="D132" t="s">
        <v>40</v>
      </c>
      <c r="E132" t="s">
        <v>41</v>
      </c>
      <c r="H132" t="s">
        <v>573</v>
      </c>
      <c r="J132" t="s">
        <v>73</v>
      </c>
      <c r="K132" t="s">
        <v>74</v>
      </c>
      <c r="L132">
        <v>7</v>
      </c>
      <c r="M132" t="s">
        <v>574</v>
      </c>
      <c r="N132" t="s">
        <v>76</v>
      </c>
      <c r="O132" t="s">
        <v>47</v>
      </c>
      <c r="P132" t="s">
        <v>47</v>
      </c>
      <c r="Y132" t="s">
        <v>573</v>
      </c>
    </row>
    <row r="133" spans="1:25">
      <c r="A133" t="s">
        <v>575</v>
      </c>
      <c r="B133" t="s">
        <v>576</v>
      </c>
      <c r="D133" t="s">
        <v>40</v>
      </c>
      <c r="E133" t="s">
        <v>41</v>
      </c>
      <c r="H133" t="s">
        <v>577</v>
      </c>
      <c r="J133" t="s">
        <v>240</v>
      </c>
      <c r="K133" t="s">
        <v>241</v>
      </c>
      <c r="L133">
        <v>7</v>
      </c>
      <c r="M133" t="s">
        <v>578</v>
      </c>
      <c r="N133" t="s">
        <v>76</v>
      </c>
      <c r="O133" t="s">
        <v>47</v>
      </c>
      <c r="P133" t="s">
        <v>47</v>
      </c>
      <c r="Y133" t="s">
        <v>577</v>
      </c>
    </row>
    <row r="134" spans="1:25">
      <c r="A134" t="s">
        <v>579</v>
      </c>
      <c r="B134" t="s">
        <v>580</v>
      </c>
      <c r="D134" t="s">
        <v>40</v>
      </c>
      <c r="E134" t="s">
        <v>41</v>
      </c>
      <c r="J134" t="s">
        <v>240</v>
      </c>
      <c r="K134" t="s">
        <v>241</v>
      </c>
      <c r="L134">
        <v>7</v>
      </c>
      <c r="M134" t="s">
        <v>578</v>
      </c>
      <c r="N134" t="s">
        <v>76</v>
      </c>
      <c r="O134" t="s">
        <v>47</v>
      </c>
      <c r="P134" t="s">
        <v>47</v>
      </c>
      <c r="Y134" t="s">
        <v>581</v>
      </c>
    </row>
    <row r="135" spans="1:25">
      <c r="A135" t="s">
        <v>582</v>
      </c>
      <c r="B135" t="s">
        <v>583</v>
      </c>
      <c r="D135" t="s">
        <v>40</v>
      </c>
      <c r="E135" t="s">
        <v>41</v>
      </c>
      <c r="J135" t="s">
        <v>261</v>
      </c>
      <c r="K135" t="s">
        <v>262</v>
      </c>
      <c r="L135">
        <v>7</v>
      </c>
      <c r="M135" t="s">
        <v>578</v>
      </c>
      <c r="N135" t="s">
        <v>76</v>
      </c>
      <c r="O135" t="s">
        <v>47</v>
      </c>
      <c r="P135" t="s">
        <v>47</v>
      </c>
      <c r="Y135" t="s">
        <v>584</v>
      </c>
    </row>
    <row r="136" spans="1:25">
      <c r="A136" t="s">
        <v>585</v>
      </c>
      <c r="B136" t="s">
        <v>586</v>
      </c>
      <c r="D136" t="s">
        <v>40</v>
      </c>
      <c r="E136" t="s">
        <v>41</v>
      </c>
      <c r="J136" t="s">
        <v>190</v>
      </c>
      <c r="K136" t="s">
        <v>191</v>
      </c>
      <c r="L136">
        <v>7</v>
      </c>
      <c r="M136" t="s">
        <v>578</v>
      </c>
      <c r="N136" t="s">
        <v>76</v>
      </c>
      <c r="O136" t="s">
        <v>47</v>
      </c>
      <c r="P136" t="s">
        <v>47</v>
      </c>
      <c r="Y136" t="s">
        <v>587</v>
      </c>
    </row>
    <row r="137" spans="1:25">
      <c r="A137" t="s">
        <v>588</v>
      </c>
      <c r="B137" t="s">
        <v>589</v>
      </c>
      <c r="D137" t="s">
        <v>40</v>
      </c>
      <c r="E137" t="s">
        <v>41</v>
      </c>
      <c r="J137" t="s">
        <v>590</v>
      </c>
      <c r="K137" t="s">
        <v>591</v>
      </c>
      <c r="L137">
        <v>7</v>
      </c>
      <c r="M137" t="s">
        <v>592</v>
      </c>
      <c r="N137" t="s">
        <v>80</v>
      </c>
      <c r="O137" t="s">
        <v>47</v>
      </c>
      <c r="P137" t="s">
        <v>47</v>
      </c>
      <c r="Y137" t="s">
        <v>593</v>
      </c>
    </row>
    <row r="138" spans="1:25">
      <c r="A138" t="s">
        <v>594</v>
      </c>
      <c r="B138" t="s">
        <v>595</v>
      </c>
      <c r="D138" t="s">
        <v>40</v>
      </c>
      <c r="E138" t="s">
        <v>41</v>
      </c>
      <c r="J138" t="s">
        <v>240</v>
      </c>
      <c r="K138" t="s">
        <v>241</v>
      </c>
      <c r="L138">
        <v>7</v>
      </c>
      <c r="M138" t="s">
        <v>596</v>
      </c>
      <c r="N138" t="s">
        <v>76</v>
      </c>
      <c r="O138" t="s">
        <v>47</v>
      </c>
      <c r="P138" t="s">
        <v>47</v>
      </c>
      <c r="Y138" t="s">
        <v>597</v>
      </c>
    </row>
    <row r="139" spans="1:25">
      <c r="A139" t="s">
        <v>598</v>
      </c>
      <c r="B139" t="s">
        <v>599</v>
      </c>
      <c r="D139" t="s">
        <v>40</v>
      </c>
      <c r="E139" t="s">
        <v>41</v>
      </c>
      <c r="H139" t="s">
        <v>600</v>
      </c>
      <c r="J139" t="s">
        <v>190</v>
      </c>
      <c r="K139" t="s">
        <v>191</v>
      </c>
      <c r="L139">
        <v>7</v>
      </c>
      <c r="M139" t="s">
        <v>596</v>
      </c>
      <c r="N139" t="s">
        <v>76</v>
      </c>
      <c r="O139" t="s">
        <v>47</v>
      </c>
      <c r="P139" t="s">
        <v>47</v>
      </c>
      <c r="Y139" t="s">
        <v>600</v>
      </c>
    </row>
    <row r="140" spans="1:25">
      <c r="A140" t="s">
        <v>231</v>
      </c>
      <c r="B140" t="s">
        <v>601</v>
      </c>
      <c r="D140" t="s">
        <v>40</v>
      </c>
      <c r="E140" t="s">
        <v>41</v>
      </c>
      <c r="H140" t="s">
        <v>602</v>
      </c>
      <c r="J140" t="s">
        <v>51</v>
      </c>
      <c r="K140" t="s">
        <v>52</v>
      </c>
      <c r="L140">
        <v>7</v>
      </c>
      <c r="M140" t="s">
        <v>603</v>
      </c>
      <c r="N140" t="s">
        <v>80</v>
      </c>
      <c r="O140" t="s">
        <v>47</v>
      </c>
      <c r="P140" t="s">
        <v>47</v>
      </c>
      <c r="Y140" t="s">
        <v>602</v>
      </c>
    </row>
    <row r="141" spans="1:25">
      <c r="A141" t="s">
        <v>604</v>
      </c>
      <c r="B141" t="s">
        <v>605</v>
      </c>
      <c r="D141" t="s">
        <v>40</v>
      </c>
      <c r="E141" t="s">
        <v>41</v>
      </c>
      <c r="J141" t="s">
        <v>261</v>
      </c>
      <c r="K141" t="s">
        <v>262</v>
      </c>
      <c r="L141">
        <v>7</v>
      </c>
      <c r="M141" t="s">
        <v>606</v>
      </c>
      <c r="N141" t="s">
        <v>76</v>
      </c>
      <c r="O141" t="s">
        <v>47</v>
      </c>
      <c r="P141" t="s">
        <v>47</v>
      </c>
      <c r="Y141" t="s">
        <v>607</v>
      </c>
    </row>
    <row r="142" spans="1:25">
      <c r="A142" t="s">
        <v>608</v>
      </c>
      <c r="B142" t="s">
        <v>609</v>
      </c>
      <c r="D142" t="s">
        <v>40</v>
      </c>
      <c r="E142" t="s">
        <v>41</v>
      </c>
      <c r="J142" t="s">
        <v>261</v>
      </c>
      <c r="K142" t="s">
        <v>262</v>
      </c>
      <c r="L142">
        <v>7</v>
      </c>
      <c r="M142" t="s">
        <v>606</v>
      </c>
      <c r="N142" t="s">
        <v>76</v>
      </c>
      <c r="O142" t="s">
        <v>47</v>
      </c>
      <c r="P142" t="s">
        <v>47</v>
      </c>
      <c r="Y142" t="s">
        <v>610</v>
      </c>
    </row>
    <row r="143" spans="1:25">
      <c r="A143" t="s">
        <v>611</v>
      </c>
      <c r="B143" t="s">
        <v>612</v>
      </c>
      <c r="D143" t="s">
        <v>40</v>
      </c>
      <c r="E143" t="s">
        <v>41</v>
      </c>
      <c r="J143" t="s">
        <v>108</v>
      </c>
      <c r="K143" t="s">
        <v>109</v>
      </c>
      <c r="L143">
        <v>7</v>
      </c>
      <c r="M143" t="s">
        <v>613</v>
      </c>
      <c r="N143" t="s">
        <v>80</v>
      </c>
      <c r="O143" t="s">
        <v>47</v>
      </c>
      <c r="P143" t="s">
        <v>47</v>
      </c>
      <c r="Y143" t="s">
        <v>614</v>
      </c>
    </row>
    <row r="144" spans="1:25">
      <c r="A144" t="s">
        <v>615</v>
      </c>
      <c r="B144" t="s">
        <v>616</v>
      </c>
      <c r="D144" t="s">
        <v>40</v>
      </c>
      <c r="E144" t="s">
        <v>41</v>
      </c>
      <c r="J144" t="s">
        <v>240</v>
      </c>
      <c r="K144" t="s">
        <v>241</v>
      </c>
      <c r="L144">
        <v>7</v>
      </c>
      <c r="M144" t="s">
        <v>617</v>
      </c>
      <c r="N144" t="s">
        <v>76</v>
      </c>
      <c r="O144" t="s">
        <v>47</v>
      </c>
      <c r="P144" t="s">
        <v>47</v>
      </c>
      <c r="Y144" t="s">
        <v>618</v>
      </c>
    </row>
    <row r="145" spans="1:25">
      <c r="A145" t="s">
        <v>619</v>
      </c>
      <c r="B145" t="s">
        <v>620</v>
      </c>
      <c r="D145" t="s">
        <v>40</v>
      </c>
      <c r="E145" t="s">
        <v>41</v>
      </c>
      <c r="J145" t="s">
        <v>51</v>
      </c>
      <c r="K145" t="s">
        <v>52</v>
      </c>
      <c r="L145">
        <v>7</v>
      </c>
      <c r="M145" t="s">
        <v>621</v>
      </c>
      <c r="N145" t="s">
        <v>80</v>
      </c>
      <c r="O145" t="s">
        <v>47</v>
      </c>
      <c r="P145" t="s">
        <v>47</v>
      </c>
      <c r="Y145" t="s">
        <v>622</v>
      </c>
    </row>
    <row r="146" spans="1:25">
      <c r="A146" t="s">
        <v>623</v>
      </c>
      <c r="B146" t="s">
        <v>624</v>
      </c>
      <c r="D146" t="s">
        <v>40</v>
      </c>
      <c r="E146" t="s">
        <v>41</v>
      </c>
      <c r="J146" t="s">
        <v>190</v>
      </c>
      <c r="K146" t="s">
        <v>191</v>
      </c>
      <c r="L146">
        <v>7</v>
      </c>
      <c r="M146" t="s">
        <v>621</v>
      </c>
      <c r="N146" t="s">
        <v>76</v>
      </c>
      <c r="O146" t="s">
        <v>47</v>
      </c>
      <c r="P146" t="s">
        <v>47</v>
      </c>
      <c r="Y146" t="s">
        <v>625</v>
      </c>
    </row>
    <row r="147" spans="1:25">
      <c r="A147" t="s">
        <v>626</v>
      </c>
      <c r="B147" t="s">
        <v>627</v>
      </c>
      <c r="D147" t="s">
        <v>40</v>
      </c>
      <c r="E147" t="s">
        <v>41</v>
      </c>
      <c r="J147" t="s">
        <v>261</v>
      </c>
      <c r="K147" t="s">
        <v>262</v>
      </c>
      <c r="L147">
        <v>7</v>
      </c>
      <c r="M147" t="s">
        <v>621</v>
      </c>
      <c r="N147" t="s">
        <v>76</v>
      </c>
      <c r="O147" t="s">
        <v>47</v>
      </c>
      <c r="P147" t="s">
        <v>47</v>
      </c>
      <c r="Y147" t="s">
        <v>628</v>
      </c>
    </row>
    <row r="148" spans="1:25">
      <c r="A148" t="s">
        <v>629</v>
      </c>
      <c r="B148" t="s">
        <v>630</v>
      </c>
      <c r="D148" t="s">
        <v>40</v>
      </c>
      <c r="E148" t="s">
        <v>41</v>
      </c>
      <c r="J148" t="s">
        <v>190</v>
      </c>
      <c r="K148" t="s">
        <v>191</v>
      </c>
      <c r="L148">
        <v>7</v>
      </c>
      <c r="M148" t="s">
        <v>621</v>
      </c>
      <c r="N148" t="s">
        <v>76</v>
      </c>
      <c r="O148" t="s">
        <v>47</v>
      </c>
      <c r="P148" t="s">
        <v>47</v>
      </c>
      <c r="Y148" t="s">
        <v>631</v>
      </c>
    </row>
    <row r="149" spans="1:25">
      <c r="A149" t="s">
        <v>632</v>
      </c>
      <c r="B149" t="s">
        <v>633</v>
      </c>
      <c r="D149" t="s">
        <v>40</v>
      </c>
      <c r="E149" t="s">
        <v>41</v>
      </c>
      <c r="H149" t="s">
        <v>634</v>
      </c>
      <c r="J149" t="s">
        <v>190</v>
      </c>
      <c r="K149" t="s">
        <v>191</v>
      </c>
      <c r="L149">
        <v>7</v>
      </c>
      <c r="M149" t="s">
        <v>635</v>
      </c>
      <c r="N149" t="s">
        <v>76</v>
      </c>
      <c r="O149" t="s">
        <v>47</v>
      </c>
      <c r="P149" t="s">
        <v>47</v>
      </c>
      <c r="Y149" t="s">
        <v>634</v>
      </c>
    </row>
    <row r="150" spans="1:25">
      <c r="A150" t="s">
        <v>636</v>
      </c>
      <c r="B150" t="s">
        <v>637</v>
      </c>
      <c r="D150" t="s">
        <v>40</v>
      </c>
      <c r="E150" t="s">
        <v>41</v>
      </c>
      <c r="J150" t="s">
        <v>240</v>
      </c>
      <c r="K150" t="s">
        <v>241</v>
      </c>
      <c r="L150">
        <v>7</v>
      </c>
      <c r="M150" t="s">
        <v>638</v>
      </c>
      <c r="N150" t="s">
        <v>76</v>
      </c>
      <c r="O150" t="s">
        <v>47</v>
      </c>
      <c r="P150" t="s">
        <v>47</v>
      </c>
      <c r="Y150" t="s">
        <v>639</v>
      </c>
    </row>
    <row r="151" spans="1:25">
      <c r="A151" t="s">
        <v>640</v>
      </c>
      <c r="B151" t="s">
        <v>641</v>
      </c>
      <c r="D151" t="s">
        <v>40</v>
      </c>
      <c r="E151" t="s">
        <v>41</v>
      </c>
      <c r="J151" t="s">
        <v>261</v>
      </c>
      <c r="K151" t="s">
        <v>262</v>
      </c>
      <c r="L151">
        <v>7</v>
      </c>
      <c r="M151" t="s">
        <v>638</v>
      </c>
      <c r="N151" t="s">
        <v>76</v>
      </c>
      <c r="O151" t="s">
        <v>47</v>
      </c>
      <c r="P151" t="s">
        <v>47</v>
      </c>
      <c r="Y151" t="s">
        <v>642</v>
      </c>
    </row>
    <row r="152" spans="1:25">
      <c r="A152" t="s">
        <v>643</v>
      </c>
      <c r="B152" t="s">
        <v>644</v>
      </c>
      <c r="D152" t="s">
        <v>40</v>
      </c>
      <c r="E152" t="s">
        <v>41</v>
      </c>
      <c r="H152" t="s">
        <v>645</v>
      </c>
      <c r="J152" t="s">
        <v>168</v>
      </c>
      <c r="K152" t="s">
        <v>169</v>
      </c>
      <c r="L152">
        <v>7</v>
      </c>
      <c r="M152" t="s">
        <v>638</v>
      </c>
      <c r="N152" t="s">
        <v>76</v>
      </c>
      <c r="O152" t="s">
        <v>47</v>
      </c>
      <c r="P152" t="s">
        <v>47</v>
      </c>
      <c r="Y152" t="s">
        <v>645</v>
      </c>
    </row>
    <row r="153" spans="1:25">
      <c r="A153" t="s">
        <v>646</v>
      </c>
      <c r="B153" t="s">
        <v>647</v>
      </c>
      <c r="D153" t="s">
        <v>40</v>
      </c>
      <c r="E153" t="s">
        <v>41</v>
      </c>
      <c r="H153" t="s">
        <v>648</v>
      </c>
      <c r="J153" t="s">
        <v>168</v>
      </c>
      <c r="K153" t="s">
        <v>169</v>
      </c>
      <c r="L153">
        <v>7</v>
      </c>
      <c r="M153" t="s">
        <v>649</v>
      </c>
      <c r="N153" t="s">
        <v>76</v>
      </c>
      <c r="O153" t="s">
        <v>47</v>
      </c>
      <c r="P153" t="s">
        <v>47</v>
      </c>
      <c r="Y153" t="s">
        <v>648</v>
      </c>
    </row>
    <row r="154" spans="1:25">
      <c r="A154" t="s">
        <v>650</v>
      </c>
      <c r="B154" t="s">
        <v>651</v>
      </c>
      <c r="D154" t="s">
        <v>40</v>
      </c>
      <c r="E154" t="s">
        <v>41</v>
      </c>
      <c r="J154" t="s">
        <v>240</v>
      </c>
      <c r="K154" t="s">
        <v>241</v>
      </c>
      <c r="L154">
        <v>7</v>
      </c>
      <c r="M154" t="s">
        <v>649</v>
      </c>
      <c r="N154" t="s">
        <v>76</v>
      </c>
      <c r="O154" t="s">
        <v>47</v>
      </c>
      <c r="P154" t="s">
        <v>47</v>
      </c>
      <c r="Y154" t="s">
        <v>652</v>
      </c>
    </row>
    <row r="155" spans="1:25">
      <c r="A155" t="s">
        <v>653</v>
      </c>
      <c r="B155" t="s">
        <v>654</v>
      </c>
      <c r="D155" t="s">
        <v>40</v>
      </c>
      <c r="E155" t="s">
        <v>41</v>
      </c>
      <c r="H155" t="s">
        <v>655</v>
      </c>
      <c r="J155" t="s">
        <v>190</v>
      </c>
      <c r="K155" t="s">
        <v>191</v>
      </c>
      <c r="L155">
        <v>7</v>
      </c>
      <c r="M155" t="s">
        <v>649</v>
      </c>
      <c r="N155" t="s">
        <v>76</v>
      </c>
      <c r="O155" t="s">
        <v>47</v>
      </c>
      <c r="P155" t="s">
        <v>47</v>
      </c>
      <c r="Y155" t="s">
        <v>655</v>
      </c>
    </row>
    <row r="156" spans="1:25">
      <c r="A156" t="s">
        <v>656</v>
      </c>
      <c r="B156" t="s">
        <v>657</v>
      </c>
      <c r="D156" t="s">
        <v>40</v>
      </c>
      <c r="E156" t="s">
        <v>41</v>
      </c>
      <c r="J156" t="s">
        <v>190</v>
      </c>
      <c r="K156" t="s">
        <v>191</v>
      </c>
      <c r="L156">
        <v>7</v>
      </c>
      <c r="M156" t="s">
        <v>649</v>
      </c>
      <c r="N156" t="s">
        <v>76</v>
      </c>
      <c r="O156" t="s">
        <v>47</v>
      </c>
      <c r="P156" t="s">
        <v>47</v>
      </c>
      <c r="Y156" t="s">
        <v>658</v>
      </c>
    </row>
    <row r="157" spans="1:25">
      <c r="A157" t="s">
        <v>659</v>
      </c>
      <c r="B157" t="s">
        <v>660</v>
      </c>
      <c r="D157" t="s">
        <v>40</v>
      </c>
      <c r="E157" t="s">
        <v>41</v>
      </c>
      <c r="J157" t="s">
        <v>190</v>
      </c>
      <c r="K157" t="s">
        <v>191</v>
      </c>
      <c r="L157">
        <v>7</v>
      </c>
      <c r="M157" t="s">
        <v>661</v>
      </c>
      <c r="N157" t="s">
        <v>76</v>
      </c>
      <c r="O157" t="s">
        <v>47</v>
      </c>
      <c r="P157" t="s">
        <v>47</v>
      </c>
      <c r="Y157" t="s">
        <v>662</v>
      </c>
    </row>
    <row r="158" spans="1:25">
      <c r="A158" t="s">
        <v>663</v>
      </c>
      <c r="B158" t="s">
        <v>664</v>
      </c>
      <c r="D158" t="s">
        <v>40</v>
      </c>
      <c r="E158" t="s">
        <v>41</v>
      </c>
      <c r="H158" t="s">
        <v>665</v>
      </c>
      <c r="J158" t="s">
        <v>240</v>
      </c>
      <c r="K158" t="s">
        <v>241</v>
      </c>
      <c r="L158">
        <v>7</v>
      </c>
      <c r="M158" t="s">
        <v>661</v>
      </c>
      <c r="N158" t="s">
        <v>76</v>
      </c>
      <c r="O158" t="s">
        <v>47</v>
      </c>
      <c r="P158" t="s">
        <v>47</v>
      </c>
      <c r="Y158" t="s">
        <v>665</v>
      </c>
    </row>
    <row r="159" spans="1:25">
      <c r="A159" t="s">
        <v>666</v>
      </c>
      <c r="B159" t="s">
        <v>667</v>
      </c>
      <c r="D159" t="s">
        <v>40</v>
      </c>
      <c r="E159" t="s">
        <v>41</v>
      </c>
      <c r="J159" t="s">
        <v>168</v>
      </c>
      <c r="K159" t="s">
        <v>169</v>
      </c>
      <c r="L159">
        <v>7</v>
      </c>
      <c r="M159" t="s">
        <v>661</v>
      </c>
      <c r="N159" t="s">
        <v>76</v>
      </c>
      <c r="O159" t="s">
        <v>47</v>
      </c>
      <c r="P159" t="s">
        <v>47</v>
      </c>
      <c r="Y159" t="s">
        <v>668</v>
      </c>
    </row>
    <row r="160" spans="1:25">
      <c r="A160" t="s">
        <v>231</v>
      </c>
      <c r="B160" t="s">
        <v>669</v>
      </c>
      <c r="D160" t="s">
        <v>40</v>
      </c>
      <c r="E160" t="s">
        <v>41</v>
      </c>
      <c r="H160" t="s">
        <v>670</v>
      </c>
      <c r="J160" t="s">
        <v>168</v>
      </c>
      <c r="K160" t="s">
        <v>169</v>
      </c>
      <c r="L160">
        <v>7</v>
      </c>
      <c r="M160" t="s">
        <v>671</v>
      </c>
      <c r="N160" t="s">
        <v>76</v>
      </c>
      <c r="O160" t="s">
        <v>47</v>
      </c>
      <c r="P160" t="s">
        <v>47</v>
      </c>
      <c r="Y160" t="s">
        <v>670</v>
      </c>
    </row>
    <row r="161" spans="1:25">
      <c r="A161" t="s">
        <v>672</v>
      </c>
      <c r="B161" t="s">
        <v>673</v>
      </c>
      <c r="D161" t="s">
        <v>40</v>
      </c>
      <c r="E161" t="s">
        <v>41</v>
      </c>
      <c r="J161" t="s">
        <v>240</v>
      </c>
      <c r="K161" t="s">
        <v>241</v>
      </c>
      <c r="L161">
        <v>7</v>
      </c>
      <c r="M161" t="s">
        <v>674</v>
      </c>
      <c r="N161" t="s">
        <v>76</v>
      </c>
      <c r="O161" t="s">
        <v>47</v>
      </c>
      <c r="P161" t="s">
        <v>47</v>
      </c>
      <c r="Y161" t="s">
        <v>675</v>
      </c>
    </row>
    <row r="162" spans="1:25">
      <c r="A162" t="s">
        <v>676</v>
      </c>
      <c r="B162" t="s">
        <v>677</v>
      </c>
      <c r="D162" t="s">
        <v>40</v>
      </c>
      <c r="E162" t="s">
        <v>41</v>
      </c>
      <c r="J162" t="s">
        <v>190</v>
      </c>
      <c r="K162" t="s">
        <v>191</v>
      </c>
      <c r="L162">
        <v>7</v>
      </c>
      <c r="M162" t="s">
        <v>678</v>
      </c>
      <c r="N162" t="s">
        <v>76</v>
      </c>
      <c r="O162" t="s">
        <v>47</v>
      </c>
      <c r="P162" t="s">
        <v>47</v>
      </c>
      <c r="Y162" t="s">
        <v>679</v>
      </c>
    </row>
    <row r="163" spans="1:25">
      <c r="A163" t="s">
        <v>680</v>
      </c>
      <c r="B163" t="s">
        <v>681</v>
      </c>
      <c r="D163" t="s">
        <v>40</v>
      </c>
      <c r="E163" t="s">
        <v>41</v>
      </c>
      <c r="J163" t="s">
        <v>240</v>
      </c>
      <c r="K163" t="s">
        <v>241</v>
      </c>
      <c r="L163">
        <v>7</v>
      </c>
      <c r="M163" t="s">
        <v>682</v>
      </c>
      <c r="N163" t="s">
        <v>76</v>
      </c>
      <c r="O163" t="s">
        <v>47</v>
      </c>
      <c r="P163" t="s">
        <v>47</v>
      </c>
      <c r="Y163" t="s">
        <v>683</v>
      </c>
    </row>
    <row r="164" spans="1:25">
      <c r="A164" t="s">
        <v>684</v>
      </c>
      <c r="B164" t="s">
        <v>685</v>
      </c>
      <c r="D164" t="s">
        <v>40</v>
      </c>
      <c r="E164" t="s">
        <v>41</v>
      </c>
      <c r="J164" t="s">
        <v>190</v>
      </c>
      <c r="K164" t="s">
        <v>191</v>
      </c>
      <c r="L164">
        <v>7</v>
      </c>
      <c r="M164" t="s">
        <v>686</v>
      </c>
      <c r="N164" t="s">
        <v>76</v>
      </c>
      <c r="O164" t="s">
        <v>47</v>
      </c>
      <c r="P164" t="s">
        <v>47</v>
      </c>
      <c r="Y164" t="s">
        <v>687</v>
      </c>
    </row>
    <row r="165" spans="1:25">
      <c r="A165" t="s">
        <v>688</v>
      </c>
      <c r="B165" t="s">
        <v>689</v>
      </c>
      <c r="D165" t="s">
        <v>40</v>
      </c>
      <c r="E165" t="s">
        <v>41</v>
      </c>
      <c r="J165" t="s">
        <v>190</v>
      </c>
      <c r="K165" t="s">
        <v>191</v>
      </c>
      <c r="L165">
        <v>7</v>
      </c>
      <c r="M165" t="s">
        <v>690</v>
      </c>
      <c r="N165" t="s">
        <v>76</v>
      </c>
      <c r="O165" t="s">
        <v>47</v>
      </c>
      <c r="P165" t="s">
        <v>47</v>
      </c>
      <c r="Y165" t="s">
        <v>691</v>
      </c>
    </row>
    <row r="166" spans="1:25">
      <c r="A166" t="s">
        <v>692</v>
      </c>
      <c r="B166" t="s">
        <v>693</v>
      </c>
      <c r="D166" t="s">
        <v>40</v>
      </c>
      <c r="E166" t="s">
        <v>41</v>
      </c>
      <c r="J166" t="s">
        <v>190</v>
      </c>
      <c r="K166" t="s">
        <v>191</v>
      </c>
      <c r="L166">
        <v>7</v>
      </c>
      <c r="M166" t="s">
        <v>694</v>
      </c>
      <c r="N166" t="s">
        <v>76</v>
      </c>
      <c r="O166" t="s">
        <v>47</v>
      </c>
      <c r="P166" t="s">
        <v>47</v>
      </c>
      <c r="Y166" t="s">
        <v>695</v>
      </c>
    </row>
    <row r="167" spans="1:25">
      <c r="A167" t="s">
        <v>696</v>
      </c>
      <c r="B167" t="s">
        <v>697</v>
      </c>
      <c r="D167" t="s">
        <v>40</v>
      </c>
      <c r="E167" t="s">
        <v>41</v>
      </c>
      <c r="J167" t="s">
        <v>240</v>
      </c>
      <c r="K167" t="s">
        <v>241</v>
      </c>
      <c r="L167">
        <v>7</v>
      </c>
      <c r="M167" t="s">
        <v>694</v>
      </c>
      <c r="N167" t="s">
        <v>76</v>
      </c>
      <c r="O167" t="s">
        <v>47</v>
      </c>
      <c r="P167" t="s">
        <v>47</v>
      </c>
      <c r="Y167" t="s">
        <v>698</v>
      </c>
    </row>
    <row r="168" spans="1:25">
      <c r="A168" t="s">
        <v>699</v>
      </c>
      <c r="B168" t="s">
        <v>700</v>
      </c>
      <c r="D168" t="s">
        <v>40</v>
      </c>
      <c r="E168" t="s">
        <v>41</v>
      </c>
      <c r="J168" t="s">
        <v>701</v>
      </c>
      <c r="K168" t="s">
        <v>702</v>
      </c>
      <c r="L168">
        <v>7</v>
      </c>
      <c r="M168" t="s">
        <v>703</v>
      </c>
      <c r="N168" t="s">
        <v>80</v>
      </c>
      <c r="O168" t="s">
        <v>47</v>
      </c>
      <c r="P168" t="s">
        <v>47</v>
      </c>
      <c r="Y168" t="s">
        <v>704</v>
      </c>
    </row>
    <row r="169" spans="1:25">
      <c r="A169" t="s">
        <v>705</v>
      </c>
      <c r="B169" t="s">
        <v>706</v>
      </c>
      <c r="D169" t="s">
        <v>40</v>
      </c>
      <c r="E169" t="s">
        <v>41</v>
      </c>
      <c r="J169" t="s">
        <v>190</v>
      </c>
      <c r="K169" t="s">
        <v>191</v>
      </c>
      <c r="L169">
        <v>7</v>
      </c>
      <c r="M169" t="s">
        <v>703</v>
      </c>
      <c r="N169" t="s">
        <v>76</v>
      </c>
      <c r="O169" t="s">
        <v>47</v>
      </c>
      <c r="P169" t="s">
        <v>47</v>
      </c>
      <c r="Y169" t="s">
        <v>707</v>
      </c>
    </row>
    <row r="170" spans="1:25">
      <c r="A170" t="s">
        <v>708</v>
      </c>
      <c r="B170" t="s">
        <v>709</v>
      </c>
      <c r="D170" t="s">
        <v>40</v>
      </c>
      <c r="E170" t="s">
        <v>41</v>
      </c>
      <c r="J170" t="s">
        <v>261</v>
      </c>
      <c r="K170" t="s">
        <v>262</v>
      </c>
      <c r="L170">
        <v>7</v>
      </c>
      <c r="M170" t="s">
        <v>710</v>
      </c>
      <c r="N170" t="s">
        <v>76</v>
      </c>
      <c r="O170" t="s">
        <v>47</v>
      </c>
      <c r="P170" t="s">
        <v>47</v>
      </c>
      <c r="Y170" t="s">
        <v>711</v>
      </c>
    </row>
    <row r="171" spans="1:25">
      <c r="A171" t="s">
        <v>712</v>
      </c>
      <c r="B171" t="s">
        <v>713</v>
      </c>
      <c r="D171" t="s">
        <v>40</v>
      </c>
      <c r="E171" t="s">
        <v>41</v>
      </c>
      <c r="J171" t="s">
        <v>261</v>
      </c>
      <c r="K171" t="s">
        <v>262</v>
      </c>
      <c r="L171">
        <v>7</v>
      </c>
      <c r="M171" t="s">
        <v>710</v>
      </c>
      <c r="N171" t="s">
        <v>76</v>
      </c>
      <c r="O171" t="s">
        <v>47</v>
      </c>
      <c r="P171" t="s">
        <v>47</v>
      </c>
      <c r="Y171" t="s">
        <v>714</v>
      </c>
    </row>
    <row r="172" spans="1:25">
      <c r="A172" t="s">
        <v>715</v>
      </c>
      <c r="B172" t="s">
        <v>716</v>
      </c>
      <c r="D172" t="s">
        <v>40</v>
      </c>
      <c r="E172" t="s">
        <v>41</v>
      </c>
      <c r="H172" t="s">
        <v>717</v>
      </c>
      <c r="J172" t="s">
        <v>117</v>
      </c>
      <c r="K172" t="s">
        <v>118</v>
      </c>
      <c r="L172">
        <v>7</v>
      </c>
      <c r="M172" t="s">
        <v>710</v>
      </c>
      <c r="N172" t="s">
        <v>80</v>
      </c>
      <c r="O172" t="s">
        <v>47</v>
      </c>
      <c r="P172" t="s">
        <v>47</v>
      </c>
      <c r="Y172" t="s">
        <v>717</v>
      </c>
    </row>
    <row r="173" spans="1:25">
      <c r="A173" t="s">
        <v>718</v>
      </c>
      <c r="B173" t="s">
        <v>719</v>
      </c>
      <c r="D173" t="s">
        <v>40</v>
      </c>
      <c r="E173" t="s">
        <v>41</v>
      </c>
      <c r="J173" t="s">
        <v>190</v>
      </c>
      <c r="K173" t="s">
        <v>191</v>
      </c>
      <c r="L173">
        <v>7</v>
      </c>
      <c r="M173" t="s">
        <v>720</v>
      </c>
      <c r="N173" t="s">
        <v>76</v>
      </c>
      <c r="O173" t="s">
        <v>47</v>
      </c>
      <c r="P173" t="s">
        <v>47</v>
      </c>
      <c r="Y173" t="s">
        <v>721</v>
      </c>
    </row>
    <row r="174" spans="1:25">
      <c r="A174" t="s">
        <v>722</v>
      </c>
      <c r="B174" t="s">
        <v>723</v>
      </c>
      <c r="D174" t="s">
        <v>40</v>
      </c>
      <c r="E174" t="s">
        <v>41</v>
      </c>
      <c r="J174" t="s">
        <v>168</v>
      </c>
      <c r="K174" t="s">
        <v>169</v>
      </c>
      <c r="L174">
        <v>7</v>
      </c>
      <c r="M174" t="s">
        <v>724</v>
      </c>
      <c r="N174" t="s">
        <v>76</v>
      </c>
      <c r="O174" t="s">
        <v>47</v>
      </c>
      <c r="P174" t="s">
        <v>47</v>
      </c>
      <c r="Y174" t="s">
        <v>725</v>
      </c>
    </row>
    <row r="175" spans="1:25">
      <c r="A175" t="s">
        <v>726</v>
      </c>
      <c r="B175" t="s">
        <v>727</v>
      </c>
      <c r="D175" t="s">
        <v>40</v>
      </c>
      <c r="E175" t="s">
        <v>41</v>
      </c>
      <c r="J175" t="s">
        <v>261</v>
      </c>
      <c r="K175" t="s">
        <v>262</v>
      </c>
      <c r="L175">
        <v>7</v>
      </c>
      <c r="M175" t="s">
        <v>724</v>
      </c>
      <c r="N175" t="s">
        <v>76</v>
      </c>
      <c r="O175" t="s">
        <v>47</v>
      </c>
      <c r="P175" t="s">
        <v>47</v>
      </c>
      <c r="Y175" t="s">
        <v>728</v>
      </c>
    </row>
    <row r="176" spans="1:25">
      <c r="A176" t="s">
        <v>729</v>
      </c>
      <c r="B176" t="s">
        <v>730</v>
      </c>
      <c r="D176" t="s">
        <v>40</v>
      </c>
      <c r="E176" t="s">
        <v>41</v>
      </c>
      <c r="J176" t="s">
        <v>190</v>
      </c>
      <c r="K176" t="s">
        <v>191</v>
      </c>
      <c r="L176">
        <v>7</v>
      </c>
      <c r="M176" t="s">
        <v>724</v>
      </c>
      <c r="N176" t="s">
        <v>76</v>
      </c>
      <c r="O176" t="s">
        <v>47</v>
      </c>
      <c r="P176" t="s">
        <v>47</v>
      </c>
      <c r="Y176" t="s">
        <v>731</v>
      </c>
    </row>
    <row r="177" spans="1:25">
      <c r="A177" t="s">
        <v>732</v>
      </c>
      <c r="B177" t="s">
        <v>733</v>
      </c>
      <c r="D177" t="s">
        <v>40</v>
      </c>
      <c r="E177" t="s">
        <v>41</v>
      </c>
      <c r="H177" t="s">
        <v>734</v>
      </c>
      <c r="J177" t="s">
        <v>108</v>
      </c>
      <c r="K177" t="s">
        <v>109</v>
      </c>
      <c r="L177">
        <v>7</v>
      </c>
      <c r="M177" t="s">
        <v>735</v>
      </c>
      <c r="N177" t="s">
        <v>80</v>
      </c>
      <c r="O177" t="s">
        <v>47</v>
      </c>
      <c r="P177" t="s">
        <v>47</v>
      </c>
      <c r="Y177" t="s">
        <v>734</v>
      </c>
    </row>
    <row r="178" spans="1:25">
      <c r="A178" t="s">
        <v>736</v>
      </c>
      <c r="B178" t="s">
        <v>737</v>
      </c>
      <c r="D178" t="s">
        <v>40</v>
      </c>
      <c r="E178" t="s">
        <v>41</v>
      </c>
      <c r="J178" t="s">
        <v>318</v>
      </c>
      <c r="K178" t="s">
        <v>319</v>
      </c>
      <c r="L178">
        <v>7</v>
      </c>
      <c r="M178" t="s">
        <v>738</v>
      </c>
      <c r="N178" t="s">
        <v>76</v>
      </c>
      <c r="O178" t="s">
        <v>47</v>
      </c>
      <c r="P178" t="s">
        <v>47</v>
      </c>
      <c r="Y178" t="s">
        <v>739</v>
      </c>
    </row>
    <row r="179" spans="1:25">
      <c r="A179" t="s">
        <v>740</v>
      </c>
      <c r="B179" t="s">
        <v>741</v>
      </c>
      <c r="D179" t="s">
        <v>40</v>
      </c>
      <c r="E179" t="s">
        <v>41</v>
      </c>
      <c r="J179" t="s">
        <v>240</v>
      </c>
      <c r="K179" t="s">
        <v>241</v>
      </c>
      <c r="L179">
        <v>7</v>
      </c>
      <c r="M179" t="s">
        <v>742</v>
      </c>
      <c r="N179" t="s">
        <v>76</v>
      </c>
      <c r="O179" t="s">
        <v>47</v>
      </c>
      <c r="P179" t="s">
        <v>47</v>
      </c>
      <c r="Y179" t="s">
        <v>743</v>
      </c>
    </row>
    <row r="180" spans="1:25">
      <c r="A180" t="s">
        <v>744</v>
      </c>
      <c r="B180" t="s">
        <v>745</v>
      </c>
      <c r="D180" t="s">
        <v>40</v>
      </c>
      <c r="E180" t="s">
        <v>41</v>
      </c>
      <c r="J180" t="s">
        <v>240</v>
      </c>
      <c r="K180" t="s">
        <v>241</v>
      </c>
      <c r="L180">
        <v>7</v>
      </c>
      <c r="M180" t="s">
        <v>746</v>
      </c>
      <c r="N180" t="s">
        <v>76</v>
      </c>
      <c r="O180" t="s">
        <v>47</v>
      </c>
      <c r="P180" t="s">
        <v>47</v>
      </c>
      <c r="Y180" t="s">
        <v>747</v>
      </c>
    </row>
    <row r="181" spans="1:25">
      <c r="A181" t="s">
        <v>748</v>
      </c>
      <c r="B181" t="s">
        <v>749</v>
      </c>
      <c r="D181" t="s">
        <v>40</v>
      </c>
      <c r="E181" t="s">
        <v>41</v>
      </c>
      <c r="J181" t="s">
        <v>190</v>
      </c>
      <c r="K181" t="s">
        <v>191</v>
      </c>
      <c r="L181">
        <v>7</v>
      </c>
      <c r="M181" t="s">
        <v>750</v>
      </c>
      <c r="N181" t="s">
        <v>76</v>
      </c>
      <c r="O181" t="s">
        <v>47</v>
      </c>
      <c r="P181" t="s">
        <v>47</v>
      </c>
      <c r="Y181" t="s">
        <v>751</v>
      </c>
    </row>
    <row r="182" spans="1:25">
      <c r="A182" t="s">
        <v>752</v>
      </c>
      <c r="B182" t="s">
        <v>753</v>
      </c>
      <c r="D182" t="s">
        <v>40</v>
      </c>
      <c r="E182" t="s">
        <v>41</v>
      </c>
      <c r="H182" t="s">
        <v>754</v>
      </c>
      <c r="J182" t="s">
        <v>190</v>
      </c>
      <c r="K182" t="s">
        <v>191</v>
      </c>
      <c r="L182">
        <v>7</v>
      </c>
      <c r="M182" t="s">
        <v>755</v>
      </c>
      <c r="N182" t="s">
        <v>76</v>
      </c>
      <c r="O182" t="s">
        <v>47</v>
      </c>
      <c r="P182" t="s">
        <v>47</v>
      </c>
      <c r="Y182" t="s">
        <v>754</v>
      </c>
    </row>
    <row r="183" spans="1:25">
      <c r="A183" t="s">
        <v>756</v>
      </c>
      <c r="B183" t="s">
        <v>757</v>
      </c>
      <c r="D183" t="s">
        <v>40</v>
      </c>
      <c r="E183" t="s">
        <v>41</v>
      </c>
      <c r="J183" t="s">
        <v>190</v>
      </c>
      <c r="K183" t="s">
        <v>191</v>
      </c>
      <c r="L183">
        <v>7</v>
      </c>
      <c r="M183" t="s">
        <v>758</v>
      </c>
      <c r="N183" t="s">
        <v>76</v>
      </c>
      <c r="O183" t="s">
        <v>47</v>
      </c>
      <c r="P183" t="s">
        <v>47</v>
      </c>
      <c r="Y183" t="s">
        <v>759</v>
      </c>
    </row>
    <row r="184" spans="1:25">
      <c r="A184" t="s">
        <v>760</v>
      </c>
      <c r="B184" t="s">
        <v>761</v>
      </c>
      <c r="D184" t="s">
        <v>40</v>
      </c>
      <c r="E184" t="s">
        <v>41</v>
      </c>
      <c r="J184" t="s">
        <v>190</v>
      </c>
      <c r="K184" t="s">
        <v>191</v>
      </c>
      <c r="L184">
        <v>7</v>
      </c>
      <c r="M184" t="s">
        <v>762</v>
      </c>
      <c r="N184" t="s">
        <v>76</v>
      </c>
      <c r="O184" t="s">
        <v>47</v>
      </c>
      <c r="P184" t="s">
        <v>47</v>
      </c>
      <c r="Y184" t="s">
        <v>763</v>
      </c>
    </row>
    <row r="185" spans="1:25">
      <c r="A185" t="s">
        <v>764</v>
      </c>
      <c r="B185" t="s">
        <v>765</v>
      </c>
      <c r="D185" t="s">
        <v>40</v>
      </c>
      <c r="E185" t="s">
        <v>41</v>
      </c>
      <c r="H185" t="s">
        <v>766</v>
      </c>
      <c r="J185" t="s">
        <v>190</v>
      </c>
      <c r="K185" t="s">
        <v>191</v>
      </c>
      <c r="L185">
        <v>7</v>
      </c>
      <c r="M185" t="s">
        <v>767</v>
      </c>
      <c r="N185" t="s">
        <v>76</v>
      </c>
      <c r="O185" t="s">
        <v>47</v>
      </c>
      <c r="P185" t="s">
        <v>47</v>
      </c>
      <c r="Y185" t="s">
        <v>766</v>
      </c>
    </row>
    <row r="186" spans="1:25">
      <c r="A186" t="s">
        <v>768</v>
      </c>
      <c r="B186" t="s">
        <v>769</v>
      </c>
      <c r="D186" t="s">
        <v>40</v>
      </c>
      <c r="E186" t="s">
        <v>41</v>
      </c>
      <c r="J186" t="s">
        <v>190</v>
      </c>
      <c r="K186" t="s">
        <v>191</v>
      </c>
      <c r="L186">
        <v>7</v>
      </c>
      <c r="M186" t="s">
        <v>767</v>
      </c>
      <c r="N186" t="s">
        <v>76</v>
      </c>
      <c r="O186" t="s">
        <v>47</v>
      </c>
      <c r="P186" t="s">
        <v>47</v>
      </c>
      <c r="Y186" t="s">
        <v>770</v>
      </c>
    </row>
    <row r="187" spans="1:25">
      <c r="A187" t="s">
        <v>771</v>
      </c>
      <c r="B187" t="s">
        <v>772</v>
      </c>
      <c r="D187" t="s">
        <v>40</v>
      </c>
      <c r="E187" t="s">
        <v>41</v>
      </c>
      <c r="J187" t="s">
        <v>240</v>
      </c>
      <c r="K187" t="s">
        <v>241</v>
      </c>
      <c r="L187">
        <v>7</v>
      </c>
      <c r="M187" t="s">
        <v>767</v>
      </c>
      <c r="N187" t="s">
        <v>76</v>
      </c>
      <c r="O187" t="s">
        <v>47</v>
      </c>
      <c r="P187" t="s">
        <v>47</v>
      </c>
      <c r="Y187" t="s">
        <v>773</v>
      </c>
    </row>
    <row r="188" spans="1:25">
      <c r="A188" t="s">
        <v>774</v>
      </c>
      <c r="B188" t="s">
        <v>775</v>
      </c>
      <c r="D188" t="s">
        <v>40</v>
      </c>
      <c r="E188" t="s">
        <v>41</v>
      </c>
      <c r="J188" t="s">
        <v>190</v>
      </c>
      <c r="K188" t="s">
        <v>191</v>
      </c>
      <c r="L188">
        <v>7</v>
      </c>
      <c r="M188" t="s">
        <v>767</v>
      </c>
      <c r="N188" t="s">
        <v>76</v>
      </c>
      <c r="O188" t="s">
        <v>47</v>
      </c>
      <c r="P188" t="s">
        <v>47</v>
      </c>
      <c r="Y188" t="s">
        <v>776</v>
      </c>
    </row>
    <row r="189" spans="1:25">
      <c r="A189" t="s">
        <v>777</v>
      </c>
      <c r="B189" t="s">
        <v>778</v>
      </c>
      <c r="D189" t="s">
        <v>40</v>
      </c>
      <c r="E189" t="s">
        <v>41</v>
      </c>
      <c r="H189" t="s">
        <v>779</v>
      </c>
      <c r="J189" t="s">
        <v>108</v>
      </c>
      <c r="K189" t="s">
        <v>109</v>
      </c>
      <c r="L189">
        <v>8</v>
      </c>
      <c r="M189" t="s">
        <v>780</v>
      </c>
      <c r="N189" t="s">
        <v>80</v>
      </c>
      <c r="O189" t="s">
        <v>47</v>
      </c>
      <c r="P189" t="s">
        <v>47</v>
      </c>
      <c r="Y189" t="s">
        <v>779</v>
      </c>
    </row>
    <row r="190" spans="1:25">
      <c r="A190" t="s">
        <v>781</v>
      </c>
      <c r="B190" t="s">
        <v>782</v>
      </c>
      <c r="D190" t="s">
        <v>40</v>
      </c>
      <c r="E190" t="s">
        <v>41</v>
      </c>
      <c r="J190" t="s">
        <v>240</v>
      </c>
      <c r="K190" t="s">
        <v>241</v>
      </c>
      <c r="L190">
        <v>7</v>
      </c>
      <c r="M190" t="s">
        <v>783</v>
      </c>
      <c r="N190" t="s">
        <v>76</v>
      </c>
      <c r="O190" t="s">
        <v>47</v>
      </c>
      <c r="P190" t="s">
        <v>47</v>
      </c>
      <c r="Y190" t="s">
        <v>784</v>
      </c>
    </row>
    <row r="191" spans="1:25">
      <c r="A191" t="s">
        <v>785</v>
      </c>
      <c r="B191" t="s">
        <v>786</v>
      </c>
      <c r="D191" t="s">
        <v>40</v>
      </c>
      <c r="E191" t="s">
        <v>41</v>
      </c>
      <c r="J191" t="s">
        <v>261</v>
      </c>
      <c r="K191" t="s">
        <v>262</v>
      </c>
      <c r="L191">
        <v>7</v>
      </c>
      <c r="M191" t="s">
        <v>783</v>
      </c>
      <c r="N191" t="s">
        <v>76</v>
      </c>
      <c r="O191" t="s">
        <v>47</v>
      </c>
      <c r="P191" t="s">
        <v>47</v>
      </c>
      <c r="Y191" t="s">
        <v>787</v>
      </c>
    </row>
    <row r="192" spans="1:25">
      <c r="A192" t="s">
        <v>788</v>
      </c>
      <c r="B192" t="s">
        <v>789</v>
      </c>
      <c r="D192" t="s">
        <v>40</v>
      </c>
      <c r="E192" t="s">
        <v>41</v>
      </c>
      <c r="J192" t="s">
        <v>168</v>
      </c>
      <c r="K192" t="s">
        <v>169</v>
      </c>
      <c r="L192">
        <v>7</v>
      </c>
      <c r="M192" t="s">
        <v>783</v>
      </c>
      <c r="N192" t="s">
        <v>76</v>
      </c>
      <c r="O192" t="s">
        <v>47</v>
      </c>
      <c r="P192" t="s">
        <v>47</v>
      </c>
      <c r="Y192" t="s">
        <v>790</v>
      </c>
    </row>
    <row r="193" spans="1:25">
      <c r="A193" t="s">
        <v>791</v>
      </c>
      <c r="B193" t="s">
        <v>792</v>
      </c>
      <c r="D193" t="s">
        <v>40</v>
      </c>
      <c r="E193" t="s">
        <v>41</v>
      </c>
      <c r="H193" t="s">
        <v>793</v>
      </c>
      <c r="J193" t="s">
        <v>190</v>
      </c>
      <c r="K193" t="s">
        <v>191</v>
      </c>
      <c r="L193">
        <v>7</v>
      </c>
      <c r="M193" t="s">
        <v>794</v>
      </c>
      <c r="N193" t="s">
        <v>76</v>
      </c>
      <c r="O193" t="s">
        <v>47</v>
      </c>
      <c r="P193" t="s">
        <v>47</v>
      </c>
      <c r="Y193" t="s">
        <v>793</v>
      </c>
    </row>
    <row r="194" spans="1:25">
      <c r="A194" t="s">
        <v>795</v>
      </c>
      <c r="B194" t="s">
        <v>796</v>
      </c>
      <c r="D194" t="s">
        <v>40</v>
      </c>
      <c r="E194" t="s">
        <v>41</v>
      </c>
      <c r="H194" t="s">
        <v>797</v>
      </c>
      <c r="J194" t="s">
        <v>73</v>
      </c>
      <c r="K194" t="s">
        <v>74</v>
      </c>
      <c r="L194">
        <v>7</v>
      </c>
      <c r="M194" t="s">
        <v>798</v>
      </c>
      <c r="N194" t="s">
        <v>76</v>
      </c>
      <c r="O194" t="s">
        <v>47</v>
      </c>
      <c r="P194" t="s">
        <v>47</v>
      </c>
      <c r="Y194" t="s">
        <v>797</v>
      </c>
    </row>
    <row r="195" spans="1:25">
      <c r="A195" t="s">
        <v>799</v>
      </c>
      <c r="B195" t="s">
        <v>800</v>
      </c>
      <c r="D195" t="s">
        <v>40</v>
      </c>
      <c r="E195" t="s">
        <v>41</v>
      </c>
      <c r="H195" t="s">
        <v>801</v>
      </c>
      <c r="J195" t="s">
        <v>240</v>
      </c>
      <c r="K195" t="s">
        <v>241</v>
      </c>
      <c r="L195">
        <v>7</v>
      </c>
      <c r="M195" t="s">
        <v>802</v>
      </c>
      <c r="N195" t="s">
        <v>76</v>
      </c>
      <c r="O195" t="s">
        <v>47</v>
      </c>
      <c r="P195" t="s">
        <v>47</v>
      </c>
      <c r="Y195" t="s">
        <v>801</v>
      </c>
    </row>
    <row r="196" spans="1:25">
      <c r="A196" t="s">
        <v>803</v>
      </c>
      <c r="B196" t="s">
        <v>804</v>
      </c>
      <c r="D196" t="s">
        <v>40</v>
      </c>
      <c r="E196" t="s">
        <v>41</v>
      </c>
      <c r="J196" t="s">
        <v>190</v>
      </c>
      <c r="K196" t="s">
        <v>191</v>
      </c>
      <c r="L196">
        <v>7</v>
      </c>
      <c r="M196" t="s">
        <v>802</v>
      </c>
      <c r="N196" t="s">
        <v>76</v>
      </c>
      <c r="O196" t="s">
        <v>47</v>
      </c>
      <c r="P196" t="s">
        <v>47</v>
      </c>
      <c r="Y196" t="s">
        <v>805</v>
      </c>
    </row>
    <row r="197" spans="1:25">
      <c r="A197" t="s">
        <v>806</v>
      </c>
      <c r="B197" t="s">
        <v>807</v>
      </c>
      <c r="D197" t="s">
        <v>40</v>
      </c>
      <c r="E197" t="s">
        <v>41</v>
      </c>
      <c r="J197" t="s">
        <v>168</v>
      </c>
      <c r="K197" t="s">
        <v>169</v>
      </c>
      <c r="L197">
        <v>7</v>
      </c>
      <c r="M197" t="s">
        <v>802</v>
      </c>
      <c r="N197" t="s">
        <v>76</v>
      </c>
      <c r="O197" t="s">
        <v>47</v>
      </c>
      <c r="P197" t="s">
        <v>47</v>
      </c>
      <c r="Y197" t="s">
        <v>808</v>
      </c>
    </row>
    <row r="198" spans="1:25">
      <c r="A198" t="s">
        <v>231</v>
      </c>
      <c r="B198" t="s">
        <v>809</v>
      </c>
      <c r="D198" t="s">
        <v>40</v>
      </c>
      <c r="E198" t="s">
        <v>41</v>
      </c>
      <c r="J198" t="s">
        <v>168</v>
      </c>
      <c r="K198" t="s">
        <v>169</v>
      </c>
      <c r="L198">
        <v>7</v>
      </c>
      <c r="M198" t="s">
        <v>810</v>
      </c>
      <c r="N198" t="s">
        <v>76</v>
      </c>
      <c r="O198" t="s">
        <v>47</v>
      </c>
      <c r="P198" t="s">
        <v>47</v>
      </c>
      <c r="Y198" t="s">
        <v>811</v>
      </c>
    </row>
    <row r="199" spans="1:25">
      <c r="A199" t="s">
        <v>812</v>
      </c>
      <c r="B199" t="s">
        <v>813</v>
      </c>
      <c r="D199" t="s">
        <v>40</v>
      </c>
      <c r="E199" t="s">
        <v>41</v>
      </c>
      <c r="H199" t="s">
        <v>814</v>
      </c>
      <c r="J199" t="s">
        <v>190</v>
      </c>
      <c r="K199" t="s">
        <v>191</v>
      </c>
      <c r="L199">
        <v>7</v>
      </c>
      <c r="M199" t="s">
        <v>810</v>
      </c>
      <c r="N199" t="s">
        <v>76</v>
      </c>
      <c r="O199" t="s">
        <v>47</v>
      </c>
      <c r="P199" t="s">
        <v>47</v>
      </c>
      <c r="Y199" t="s">
        <v>814</v>
      </c>
    </row>
    <row r="200" spans="1:25">
      <c r="A200" t="s">
        <v>815</v>
      </c>
      <c r="B200" t="s">
        <v>816</v>
      </c>
      <c r="D200" t="s">
        <v>40</v>
      </c>
      <c r="E200" t="s">
        <v>41</v>
      </c>
      <c r="J200" t="s">
        <v>190</v>
      </c>
      <c r="K200" t="s">
        <v>191</v>
      </c>
      <c r="L200">
        <v>7</v>
      </c>
      <c r="M200" t="s">
        <v>810</v>
      </c>
      <c r="N200" t="s">
        <v>76</v>
      </c>
      <c r="O200" t="s">
        <v>47</v>
      </c>
      <c r="P200" t="s">
        <v>47</v>
      </c>
      <c r="Y200" t="s">
        <v>817</v>
      </c>
    </row>
    <row r="201" spans="1:25">
      <c r="A201" t="s">
        <v>818</v>
      </c>
      <c r="B201" t="s">
        <v>819</v>
      </c>
      <c r="D201" t="s">
        <v>40</v>
      </c>
      <c r="E201" t="s">
        <v>41</v>
      </c>
      <c r="J201" t="s">
        <v>240</v>
      </c>
      <c r="K201" t="s">
        <v>241</v>
      </c>
      <c r="L201">
        <v>7</v>
      </c>
      <c r="M201" t="s">
        <v>820</v>
      </c>
      <c r="N201" t="s">
        <v>76</v>
      </c>
      <c r="O201" t="s">
        <v>47</v>
      </c>
      <c r="P201" t="s">
        <v>47</v>
      </c>
      <c r="Y201" t="s">
        <v>821</v>
      </c>
    </row>
    <row r="202" spans="1:25">
      <c r="A202" t="s">
        <v>822</v>
      </c>
      <c r="B202" t="s">
        <v>823</v>
      </c>
      <c r="D202" t="s">
        <v>40</v>
      </c>
      <c r="E202" t="s">
        <v>41</v>
      </c>
      <c r="H202" t="s">
        <v>824</v>
      </c>
      <c r="J202" t="s">
        <v>73</v>
      </c>
      <c r="K202" t="s">
        <v>74</v>
      </c>
      <c r="L202">
        <v>7</v>
      </c>
      <c r="M202" t="s">
        <v>825</v>
      </c>
      <c r="N202" t="s">
        <v>76</v>
      </c>
      <c r="O202" t="s">
        <v>47</v>
      </c>
      <c r="P202" t="s">
        <v>47</v>
      </c>
      <c r="Y202" t="s">
        <v>824</v>
      </c>
    </row>
    <row r="203" spans="1:25">
      <c r="A203" t="s">
        <v>826</v>
      </c>
      <c r="B203" t="s">
        <v>827</v>
      </c>
      <c r="D203" t="s">
        <v>40</v>
      </c>
      <c r="E203" t="s">
        <v>41</v>
      </c>
      <c r="H203" t="s">
        <v>828</v>
      </c>
      <c r="J203" t="s">
        <v>73</v>
      </c>
      <c r="K203" t="s">
        <v>74</v>
      </c>
      <c r="L203">
        <v>7</v>
      </c>
      <c r="M203" t="s">
        <v>829</v>
      </c>
      <c r="N203" t="s">
        <v>76</v>
      </c>
      <c r="O203" t="s">
        <v>47</v>
      </c>
      <c r="P203" t="s">
        <v>47</v>
      </c>
      <c r="Y203" t="s">
        <v>828</v>
      </c>
    </row>
    <row r="204" spans="1:25">
      <c r="A204" t="s">
        <v>830</v>
      </c>
      <c r="B204" t="s">
        <v>831</v>
      </c>
      <c r="D204" t="s">
        <v>40</v>
      </c>
      <c r="E204" t="s">
        <v>41</v>
      </c>
      <c r="H204" t="s">
        <v>832</v>
      </c>
      <c r="J204" t="s">
        <v>73</v>
      </c>
      <c r="K204" t="s">
        <v>74</v>
      </c>
      <c r="L204">
        <v>7</v>
      </c>
      <c r="M204" t="s">
        <v>833</v>
      </c>
      <c r="N204" t="s">
        <v>76</v>
      </c>
      <c r="O204" t="s">
        <v>47</v>
      </c>
      <c r="P204" t="s">
        <v>47</v>
      </c>
      <c r="Y204" t="s">
        <v>832</v>
      </c>
    </row>
    <row r="205" spans="1:25">
      <c r="A205" t="s">
        <v>834</v>
      </c>
      <c r="B205" t="s">
        <v>835</v>
      </c>
      <c r="D205" t="s">
        <v>40</v>
      </c>
      <c r="E205" t="s">
        <v>41</v>
      </c>
      <c r="J205" t="s">
        <v>190</v>
      </c>
      <c r="K205" t="s">
        <v>191</v>
      </c>
      <c r="L205">
        <v>7</v>
      </c>
      <c r="M205" t="s">
        <v>836</v>
      </c>
      <c r="N205" t="s">
        <v>76</v>
      </c>
      <c r="O205" t="s">
        <v>47</v>
      </c>
      <c r="P205" t="s">
        <v>47</v>
      </c>
      <c r="Y205" t="s">
        <v>837</v>
      </c>
    </row>
    <row r="206" spans="1:25">
      <c r="A206" t="s">
        <v>838</v>
      </c>
      <c r="B206" t="s">
        <v>839</v>
      </c>
      <c r="D206" t="s">
        <v>40</v>
      </c>
      <c r="E206" t="s">
        <v>41</v>
      </c>
      <c r="J206" t="s">
        <v>240</v>
      </c>
      <c r="K206" t="s">
        <v>241</v>
      </c>
      <c r="L206">
        <v>7</v>
      </c>
      <c r="M206" t="s">
        <v>836</v>
      </c>
      <c r="N206" t="s">
        <v>76</v>
      </c>
      <c r="O206" t="s">
        <v>47</v>
      </c>
      <c r="P206" t="s">
        <v>47</v>
      </c>
      <c r="Y206" t="s">
        <v>840</v>
      </c>
    </row>
    <row r="207" spans="1:25">
      <c r="A207" t="s">
        <v>841</v>
      </c>
      <c r="B207" t="s">
        <v>842</v>
      </c>
      <c r="D207" t="s">
        <v>40</v>
      </c>
      <c r="E207" t="s">
        <v>41</v>
      </c>
      <c r="H207" t="s">
        <v>843</v>
      </c>
      <c r="J207" t="s">
        <v>161</v>
      </c>
      <c r="K207" t="s">
        <v>162</v>
      </c>
      <c r="L207">
        <v>8</v>
      </c>
      <c r="M207" t="s">
        <v>844</v>
      </c>
      <c r="N207" t="s">
        <v>80</v>
      </c>
      <c r="O207" t="s">
        <v>47</v>
      </c>
      <c r="P207" t="s">
        <v>47</v>
      </c>
      <c r="Y207" t="s">
        <v>843</v>
      </c>
    </row>
    <row r="208" spans="1:25">
      <c r="A208" t="s">
        <v>845</v>
      </c>
      <c r="B208" t="s">
        <v>846</v>
      </c>
      <c r="D208" t="s">
        <v>40</v>
      </c>
      <c r="E208" t="s">
        <v>41</v>
      </c>
      <c r="H208" t="s">
        <v>847</v>
      </c>
      <c r="J208" t="s">
        <v>51</v>
      </c>
      <c r="K208" t="s">
        <v>52</v>
      </c>
      <c r="L208">
        <v>7</v>
      </c>
      <c r="M208" t="s">
        <v>848</v>
      </c>
      <c r="N208" t="s">
        <v>80</v>
      </c>
      <c r="O208" t="s">
        <v>47</v>
      </c>
      <c r="P208" t="s">
        <v>47</v>
      </c>
      <c r="Y208" t="s">
        <v>847</v>
      </c>
    </row>
    <row r="209" spans="1:25">
      <c r="A209" t="s">
        <v>849</v>
      </c>
      <c r="B209" t="s">
        <v>850</v>
      </c>
      <c r="D209" t="s">
        <v>40</v>
      </c>
      <c r="E209" t="s">
        <v>41</v>
      </c>
      <c r="H209" t="s">
        <v>851</v>
      </c>
      <c r="J209" t="s">
        <v>73</v>
      </c>
      <c r="K209" t="s">
        <v>74</v>
      </c>
      <c r="L209">
        <v>7</v>
      </c>
      <c r="M209" t="s">
        <v>852</v>
      </c>
      <c r="N209" t="s">
        <v>76</v>
      </c>
      <c r="O209" t="s">
        <v>47</v>
      </c>
      <c r="P209" t="s">
        <v>47</v>
      </c>
      <c r="Y209" t="s">
        <v>851</v>
      </c>
    </row>
    <row r="210" spans="1:25">
      <c r="A210" t="s">
        <v>853</v>
      </c>
      <c r="B210" t="s">
        <v>854</v>
      </c>
      <c r="D210" t="s">
        <v>40</v>
      </c>
      <c r="E210" t="s">
        <v>41</v>
      </c>
      <c r="J210" t="s">
        <v>261</v>
      </c>
      <c r="K210" t="s">
        <v>262</v>
      </c>
      <c r="L210">
        <v>7</v>
      </c>
      <c r="M210" t="s">
        <v>855</v>
      </c>
      <c r="N210" t="s">
        <v>76</v>
      </c>
      <c r="O210" t="s">
        <v>47</v>
      </c>
      <c r="P210" t="s">
        <v>47</v>
      </c>
      <c r="Y210" t="s">
        <v>856</v>
      </c>
    </row>
    <row r="211" spans="1:25">
      <c r="A211" t="s">
        <v>857</v>
      </c>
      <c r="B211" t="s">
        <v>858</v>
      </c>
      <c r="D211" t="s">
        <v>40</v>
      </c>
      <c r="E211" t="s">
        <v>41</v>
      </c>
      <c r="J211" t="s">
        <v>261</v>
      </c>
      <c r="K211" t="s">
        <v>262</v>
      </c>
      <c r="L211">
        <v>7</v>
      </c>
      <c r="M211" t="s">
        <v>855</v>
      </c>
      <c r="N211" t="s">
        <v>76</v>
      </c>
      <c r="O211" t="s">
        <v>47</v>
      </c>
      <c r="P211" t="s">
        <v>47</v>
      </c>
      <c r="Y211" t="s">
        <v>859</v>
      </c>
    </row>
    <row r="212" spans="1:25">
      <c r="A212" t="s">
        <v>860</v>
      </c>
      <c r="B212" t="s">
        <v>861</v>
      </c>
      <c r="D212" t="s">
        <v>40</v>
      </c>
      <c r="E212" t="s">
        <v>41</v>
      </c>
      <c r="J212" t="s">
        <v>168</v>
      </c>
      <c r="K212" t="s">
        <v>169</v>
      </c>
      <c r="L212">
        <v>7</v>
      </c>
      <c r="M212" t="s">
        <v>862</v>
      </c>
      <c r="N212" t="s">
        <v>76</v>
      </c>
      <c r="O212" t="s">
        <v>47</v>
      </c>
      <c r="P212" t="s">
        <v>47</v>
      </c>
      <c r="Y212" t="s">
        <v>863</v>
      </c>
    </row>
    <row r="213" spans="1:25">
      <c r="A213" t="s">
        <v>864</v>
      </c>
      <c r="B213" t="s">
        <v>865</v>
      </c>
      <c r="D213" t="s">
        <v>40</v>
      </c>
      <c r="E213" t="s">
        <v>41</v>
      </c>
      <c r="J213" t="s">
        <v>190</v>
      </c>
      <c r="K213" t="s">
        <v>191</v>
      </c>
      <c r="L213">
        <v>7</v>
      </c>
      <c r="M213" t="s">
        <v>866</v>
      </c>
      <c r="N213" t="s">
        <v>76</v>
      </c>
      <c r="O213" t="s">
        <v>47</v>
      </c>
      <c r="P213" t="s">
        <v>47</v>
      </c>
      <c r="Y213" t="s">
        <v>867</v>
      </c>
    </row>
    <row r="214" spans="1:25">
      <c r="A214" t="s">
        <v>868</v>
      </c>
      <c r="B214" t="s">
        <v>869</v>
      </c>
      <c r="D214" t="s">
        <v>40</v>
      </c>
      <c r="E214" t="s">
        <v>41</v>
      </c>
      <c r="H214" t="s">
        <v>870</v>
      </c>
      <c r="J214" t="s">
        <v>240</v>
      </c>
      <c r="K214" t="s">
        <v>241</v>
      </c>
      <c r="L214">
        <v>7</v>
      </c>
      <c r="M214" t="s">
        <v>871</v>
      </c>
      <c r="N214" t="s">
        <v>76</v>
      </c>
      <c r="O214" t="s">
        <v>47</v>
      </c>
      <c r="P214" t="s">
        <v>47</v>
      </c>
      <c r="Y214" t="s">
        <v>870</v>
      </c>
    </row>
    <row r="215" spans="1:25">
      <c r="A215" t="s">
        <v>872</v>
      </c>
      <c r="B215" t="s">
        <v>873</v>
      </c>
      <c r="D215" t="s">
        <v>40</v>
      </c>
      <c r="E215" t="s">
        <v>41</v>
      </c>
      <c r="J215" t="s">
        <v>190</v>
      </c>
      <c r="K215" t="s">
        <v>191</v>
      </c>
      <c r="L215">
        <v>7</v>
      </c>
      <c r="M215" t="s">
        <v>874</v>
      </c>
      <c r="N215" t="s">
        <v>76</v>
      </c>
      <c r="O215" t="s">
        <v>47</v>
      </c>
      <c r="P215" t="s">
        <v>47</v>
      </c>
      <c r="Y215" t="s">
        <v>875</v>
      </c>
    </row>
    <row r="216" spans="1:25">
      <c r="A216" t="s">
        <v>876</v>
      </c>
      <c r="B216" t="s">
        <v>877</v>
      </c>
      <c r="D216" t="s">
        <v>40</v>
      </c>
      <c r="E216" t="s">
        <v>41</v>
      </c>
      <c r="H216" t="s">
        <v>878</v>
      </c>
      <c r="J216" t="s">
        <v>108</v>
      </c>
      <c r="K216" t="s">
        <v>109</v>
      </c>
      <c r="L216">
        <v>8</v>
      </c>
      <c r="M216" t="s">
        <v>879</v>
      </c>
      <c r="N216" t="s">
        <v>202</v>
      </c>
      <c r="O216" t="s">
        <v>47</v>
      </c>
      <c r="P216" t="s">
        <v>47</v>
      </c>
      <c r="Y216" t="s">
        <v>878</v>
      </c>
    </row>
    <row r="217" spans="1:25">
      <c r="A217" t="s">
        <v>880</v>
      </c>
      <c r="B217" t="s">
        <v>881</v>
      </c>
      <c r="D217" t="s">
        <v>40</v>
      </c>
      <c r="E217" t="s">
        <v>41</v>
      </c>
      <c r="J217" t="s">
        <v>190</v>
      </c>
      <c r="K217" t="s">
        <v>191</v>
      </c>
      <c r="L217">
        <v>7</v>
      </c>
      <c r="M217" t="s">
        <v>882</v>
      </c>
      <c r="N217" t="s">
        <v>76</v>
      </c>
      <c r="O217" t="s">
        <v>47</v>
      </c>
      <c r="P217" t="s">
        <v>47</v>
      </c>
      <c r="Y217" t="s">
        <v>883</v>
      </c>
    </row>
    <row r="218" spans="1:25">
      <c r="A218" t="s">
        <v>884</v>
      </c>
      <c r="B218" t="s">
        <v>885</v>
      </c>
      <c r="D218" t="s">
        <v>40</v>
      </c>
      <c r="E218" t="s">
        <v>41</v>
      </c>
      <c r="J218" t="s">
        <v>168</v>
      </c>
      <c r="K218" t="s">
        <v>169</v>
      </c>
      <c r="L218">
        <v>7</v>
      </c>
      <c r="M218" t="s">
        <v>882</v>
      </c>
      <c r="N218" t="s">
        <v>76</v>
      </c>
      <c r="O218" t="s">
        <v>47</v>
      </c>
      <c r="P218" t="s">
        <v>47</v>
      </c>
      <c r="Y218" t="s">
        <v>886</v>
      </c>
    </row>
    <row r="219" spans="1:25">
      <c r="A219" t="s">
        <v>887</v>
      </c>
      <c r="B219" t="s">
        <v>888</v>
      </c>
      <c r="D219" t="s">
        <v>40</v>
      </c>
      <c r="E219" t="s">
        <v>41</v>
      </c>
      <c r="J219" t="s">
        <v>261</v>
      </c>
      <c r="K219" t="s">
        <v>262</v>
      </c>
      <c r="L219">
        <v>7</v>
      </c>
      <c r="M219" t="s">
        <v>889</v>
      </c>
      <c r="N219" t="s">
        <v>76</v>
      </c>
      <c r="O219" t="s">
        <v>47</v>
      </c>
      <c r="P219" t="s">
        <v>47</v>
      </c>
      <c r="Y219" t="s">
        <v>890</v>
      </c>
    </row>
    <row r="220" spans="1:25">
      <c r="A220" t="s">
        <v>891</v>
      </c>
      <c r="B220" t="s">
        <v>892</v>
      </c>
      <c r="D220" t="s">
        <v>40</v>
      </c>
      <c r="E220" t="s">
        <v>41</v>
      </c>
      <c r="J220" t="s">
        <v>190</v>
      </c>
      <c r="K220" t="s">
        <v>191</v>
      </c>
      <c r="L220">
        <v>7</v>
      </c>
      <c r="M220" t="s">
        <v>893</v>
      </c>
      <c r="N220" t="s">
        <v>76</v>
      </c>
      <c r="O220" t="s">
        <v>47</v>
      </c>
      <c r="P220" t="s">
        <v>47</v>
      </c>
      <c r="Y220" t="s">
        <v>894</v>
      </c>
    </row>
    <row r="221" spans="1:25">
      <c r="A221" t="s">
        <v>895</v>
      </c>
      <c r="B221" t="s">
        <v>896</v>
      </c>
      <c r="D221" t="s">
        <v>40</v>
      </c>
      <c r="E221" t="s">
        <v>41</v>
      </c>
      <c r="J221" t="s">
        <v>897</v>
      </c>
      <c r="K221" t="s">
        <v>898</v>
      </c>
      <c r="L221">
        <v>7</v>
      </c>
      <c r="M221" t="s">
        <v>899</v>
      </c>
      <c r="N221" t="s">
        <v>202</v>
      </c>
      <c r="O221" t="s">
        <v>47</v>
      </c>
      <c r="P221" t="s">
        <v>47</v>
      </c>
      <c r="Y221" t="s">
        <v>900</v>
      </c>
    </row>
    <row r="222" spans="1:25">
      <c r="A222" t="s">
        <v>901</v>
      </c>
      <c r="B222" t="s">
        <v>902</v>
      </c>
      <c r="D222" t="s">
        <v>40</v>
      </c>
      <c r="E222" t="s">
        <v>41</v>
      </c>
      <c r="J222" t="s">
        <v>190</v>
      </c>
      <c r="K222" t="s">
        <v>191</v>
      </c>
      <c r="L222">
        <v>7</v>
      </c>
      <c r="M222" t="s">
        <v>903</v>
      </c>
      <c r="N222" t="s">
        <v>76</v>
      </c>
      <c r="O222" t="s">
        <v>47</v>
      </c>
      <c r="P222" t="s">
        <v>47</v>
      </c>
      <c r="Y222" t="s">
        <v>904</v>
      </c>
    </row>
    <row r="223" spans="1:25">
      <c r="A223" t="s">
        <v>905</v>
      </c>
      <c r="B223" t="s">
        <v>906</v>
      </c>
      <c r="D223" t="s">
        <v>40</v>
      </c>
      <c r="E223" t="s">
        <v>41</v>
      </c>
      <c r="J223" t="s">
        <v>261</v>
      </c>
      <c r="K223" t="s">
        <v>262</v>
      </c>
      <c r="L223">
        <v>7</v>
      </c>
      <c r="M223" t="s">
        <v>907</v>
      </c>
      <c r="N223" t="s">
        <v>76</v>
      </c>
      <c r="O223" t="s">
        <v>47</v>
      </c>
      <c r="P223" t="s">
        <v>47</v>
      </c>
      <c r="Y223" t="s">
        <v>908</v>
      </c>
    </row>
    <row r="224" spans="1:25">
      <c r="A224" t="s">
        <v>909</v>
      </c>
      <c r="B224" t="s">
        <v>910</v>
      </c>
      <c r="D224" t="s">
        <v>40</v>
      </c>
      <c r="E224" t="s">
        <v>41</v>
      </c>
      <c r="J224" t="s">
        <v>261</v>
      </c>
      <c r="K224" t="s">
        <v>262</v>
      </c>
      <c r="L224">
        <v>7</v>
      </c>
      <c r="M224" t="s">
        <v>911</v>
      </c>
      <c r="N224" t="s">
        <v>76</v>
      </c>
      <c r="O224" t="s">
        <v>47</v>
      </c>
      <c r="P224" t="s">
        <v>47</v>
      </c>
      <c r="Y224" t="s">
        <v>912</v>
      </c>
    </row>
    <row r="225" spans="1:25">
      <c r="A225" t="s">
        <v>913</v>
      </c>
      <c r="B225" t="s">
        <v>914</v>
      </c>
      <c r="D225" t="s">
        <v>40</v>
      </c>
      <c r="E225" t="s">
        <v>41</v>
      </c>
      <c r="J225" t="s">
        <v>240</v>
      </c>
      <c r="K225" t="s">
        <v>241</v>
      </c>
      <c r="L225">
        <v>7</v>
      </c>
      <c r="M225" t="s">
        <v>911</v>
      </c>
      <c r="N225" t="s">
        <v>76</v>
      </c>
      <c r="O225" t="s">
        <v>47</v>
      </c>
      <c r="P225" t="s">
        <v>47</v>
      </c>
      <c r="Y225" t="s">
        <v>915</v>
      </c>
    </row>
    <row r="226" spans="1:25">
      <c r="A226" t="s">
        <v>916</v>
      </c>
      <c r="B226" t="s">
        <v>917</v>
      </c>
      <c r="D226" t="s">
        <v>40</v>
      </c>
      <c r="E226" t="s">
        <v>41</v>
      </c>
      <c r="H226" t="s">
        <v>918</v>
      </c>
      <c r="J226" t="s">
        <v>190</v>
      </c>
      <c r="K226" t="s">
        <v>191</v>
      </c>
      <c r="L226">
        <v>7</v>
      </c>
      <c r="M226" t="s">
        <v>919</v>
      </c>
      <c r="N226" t="s">
        <v>76</v>
      </c>
      <c r="O226" t="s">
        <v>47</v>
      </c>
      <c r="P226" t="s">
        <v>47</v>
      </c>
      <c r="Y226" t="s">
        <v>918</v>
      </c>
    </row>
    <row r="227" spans="1:25">
      <c r="A227" t="s">
        <v>920</v>
      </c>
      <c r="B227" t="s">
        <v>921</v>
      </c>
      <c r="D227" t="s">
        <v>40</v>
      </c>
      <c r="E227" t="s">
        <v>41</v>
      </c>
      <c r="J227" t="s">
        <v>240</v>
      </c>
      <c r="K227" t="s">
        <v>241</v>
      </c>
      <c r="L227">
        <v>7</v>
      </c>
      <c r="M227" t="s">
        <v>922</v>
      </c>
      <c r="N227" t="s">
        <v>76</v>
      </c>
      <c r="O227" t="s">
        <v>47</v>
      </c>
      <c r="P227" t="s">
        <v>47</v>
      </c>
      <c r="Y227" t="s">
        <v>923</v>
      </c>
    </row>
    <row r="228" spans="1:25">
      <c r="A228" t="s">
        <v>924</v>
      </c>
      <c r="B228" t="s">
        <v>925</v>
      </c>
      <c r="D228" t="s">
        <v>40</v>
      </c>
      <c r="E228" t="s">
        <v>41</v>
      </c>
      <c r="H228" t="s">
        <v>926</v>
      </c>
      <c r="J228" t="s">
        <v>261</v>
      </c>
      <c r="K228" t="s">
        <v>262</v>
      </c>
      <c r="L228">
        <v>7</v>
      </c>
      <c r="M228" t="s">
        <v>927</v>
      </c>
      <c r="N228" t="s">
        <v>76</v>
      </c>
      <c r="O228" t="s">
        <v>47</v>
      </c>
      <c r="P228" t="s">
        <v>47</v>
      </c>
      <c r="Y228" t="s">
        <v>926</v>
      </c>
    </row>
    <row r="229" spans="1:25">
      <c r="A229" t="s">
        <v>928</v>
      </c>
      <c r="B229" t="s">
        <v>929</v>
      </c>
      <c r="D229" t="s">
        <v>40</v>
      </c>
      <c r="E229" t="s">
        <v>41</v>
      </c>
      <c r="J229" t="s">
        <v>190</v>
      </c>
      <c r="K229" t="s">
        <v>191</v>
      </c>
      <c r="L229">
        <v>7</v>
      </c>
      <c r="M229" t="s">
        <v>927</v>
      </c>
      <c r="N229" t="s">
        <v>76</v>
      </c>
      <c r="O229" t="s">
        <v>47</v>
      </c>
      <c r="P229" t="s">
        <v>47</v>
      </c>
      <c r="Y229" t="s">
        <v>930</v>
      </c>
    </row>
    <row r="230" spans="1:25">
      <c r="A230" t="s">
        <v>931</v>
      </c>
      <c r="B230" t="s">
        <v>932</v>
      </c>
      <c r="D230" t="s">
        <v>40</v>
      </c>
      <c r="E230" t="s">
        <v>41</v>
      </c>
      <c r="J230" t="s">
        <v>190</v>
      </c>
      <c r="K230" t="s">
        <v>191</v>
      </c>
      <c r="L230">
        <v>7</v>
      </c>
      <c r="M230" t="s">
        <v>927</v>
      </c>
      <c r="N230" t="s">
        <v>76</v>
      </c>
      <c r="O230" t="s">
        <v>47</v>
      </c>
      <c r="P230" t="s">
        <v>47</v>
      </c>
      <c r="Y230" t="s">
        <v>933</v>
      </c>
    </row>
    <row r="231" spans="1:25">
      <c r="A231" t="s">
        <v>934</v>
      </c>
      <c r="B231" t="s">
        <v>935</v>
      </c>
      <c r="D231" t="s">
        <v>40</v>
      </c>
      <c r="E231" t="s">
        <v>41</v>
      </c>
      <c r="J231" t="s">
        <v>190</v>
      </c>
      <c r="K231" t="s">
        <v>191</v>
      </c>
      <c r="L231">
        <v>7</v>
      </c>
      <c r="M231" t="s">
        <v>927</v>
      </c>
      <c r="N231" t="s">
        <v>76</v>
      </c>
      <c r="O231" t="s">
        <v>47</v>
      </c>
      <c r="P231" t="s">
        <v>47</v>
      </c>
      <c r="Y231" t="s">
        <v>936</v>
      </c>
    </row>
    <row r="232" spans="1:25">
      <c r="A232" t="s">
        <v>937</v>
      </c>
      <c r="B232" t="s">
        <v>938</v>
      </c>
      <c r="D232" t="s">
        <v>40</v>
      </c>
      <c r="E232" t="s">
        <v>41</v>
      </c>
      <c r="H232" t="s">
        <v>939</v>
      </c>
      <c r="J232" t="s">
        <v>168</v>
      </c>
      <c r="K232" t="s">
        <v>169</v>
      </c>
      <c r="L232">
        <v>7</v>
      </c>
      <c r="M232" t="s">
        <v>940</v>
      </c>
      <c r="N232" t="s">
        <v>76</v>
      </c>
      <c r="O232" t="s">
        <v>47</v>
      </c>
      <c r="P232" t="s">
        <v>47</v>
      </c>
      <c r="Y232" t="s">
        <v>939</v>
      </c>
    </row>
    <row r="233" spans="1:25">
      <c r="A233" t="s">
        <v>941</v>
      </c>
      <c r="B233" t="s">
        <v>942</v>
      </c>
      <c r="D233" t="s">
        <v>40</v>
      </c>
      <c r="E233" t="s">
        <v>41</v>
      </c>
      <c r="J233" t="s">
        <v>168</v>
      </c>
      <c r="K233" t="s">
        <v>169</v>
      </c>
      <c r="L233">
        <v>7</v>
      </c>
      <c r="M233" t="s">
        <v>943</v>
      </c>
      <c r="N233" t="s">
        <v>76</v>
      </c>
      <c r="O233" t="s">
        <v>47</v>
      </c>
      <c r="P233" t="s">
        <v>47</v>
      </c>
      <c r="Y233" t="s">
        <v>944</v>
      </c>
    </row>
    <row r="234" spans="1:25">
      <c r="A234" t="s">
        <v>945</v>
      </c>
      <c r="B234" t="s">
        <v>946</v>
      </c>
      <c r="D234" t="s">
        <v>40</v>
      </c>
      <c r="E234" t="s">
        <v>41</v>
      </c>
      <c r="J234" t="s">
        <v>240</v>
      </c>
      <c r="K234" t="s">
        <v>241</v>
      </c>
      <c r="L234">
        <v>7</v>
      </c>
      <c r="M234" t="s">
        <v>947</v>
      </c>
      <c r="N234" t="s">
        <v>76</v>
      </c>
      <c r="O234" t="s">
        <v>47</v>
      </c>
      <c r="P234" t="s">
        <v>47</v>
      </c>
      <c r="Y234" t="s">
        <v>948</v>
      </c>
    </row>
    <row r="235" spans="1:25">
      <c r="A235" t="s">
        <v>949</v>
      </c>
      <c r="B235" t="s">
        <v>950</v>
      </c>
      <c r="D235" t="s">
        <v>40</v>
      </c>
      <c r="E235" t="s">
        <v>41</v>
      </c>
      <c r="J235" t="s">
        <v>108</v>
      </c>
      <c r="K235" t="s">
        <v>109</v>
      </c>
      <c r="L235">
        <v>7</v>
      </c>
      <c r="M235" t="s">
        <v>947</v>
      </c>
      <c r="N235" t="s">
        <v>202</v>
      </c>
      <c r="O235" t="s">
        <v>47</v>
      </c>
      <c r="P235" t="s">
        <v>47</v>
      </c>
      <c r="Y235" t="s">
        <v>951</v>
      </c>
    </row>
    <row r="236" spans="1:25">
      <c r="A236" t="s">
        <v>952</v>
      </c>
      <c r="B236" t="s">
        <v>953</v>
      </c>
      <c r="D236" t="s">
        <v>40</v>
      </c>
      <c r="E236" t="s">
        <v>41</v>
      </c>
      <c r="J236" t="s">
        <v>190</v>
      </c>
      <c r="K236" t="s">
        <v>191</v>
      </c>
      <c r="L236">
        <v>7</v>
      </c>
      <c r="M236" t="s">
        <v>947</v>
      </c>
      <c r="N236" t="s">
        <v>76</v>
      </c>
      <c r="O236" t="s">
        <v>47</v>
      </c>
      <c r="P236" t="s">
        <v>47</v>
      </c>
      <c r="Y236" t="s">
        <v>954</v>
      </c>
    </row>
    <row r="237" spans="1:25">
      <c r="A237" t="s">
        <v>955</v>
      </c>
      <c r="B237" t="s">
        <v>956</v>
      </c>
      <c r="D237" t="s">
        <v>40</v>
      </c>
      <c r="E237" t="s">
        <v>41</v>
      </c>
      <c r="J237" t="s">
        <v>190</v>
      </c>
      <c r="K237" t="s">
        <v>191</v>
      </c>
      <c r="L237">
        <v>7</v>
      </c>
      <c r="M237" t="s">
        <v>947</v>
      </c>
      <c r="N237" t="s">
        <v>76</v>
      </c>
      <c r="O237" t="s">
        <v>47</v>
      </c>
      <c r="P237" t="s">
        <v>47</v>
      </c>
      <c r="Y237" t="s">
        <v>957</v>
      </c>
    </row>
    <row r="238" spans="1:25">
      <c r="A238" t="s">
        <v>958</v>
      </c>
      <c r="B238" t="s">
        <v>959</v>
      </c>
      <c r="D238" t="s">
        <v>40</v>
      </c>
      <c r="E238" t="s">
        <v>41</v>
      </c>
      <c r="J238" t="s">
        <v>168</v>
      </c>
      <c r="K238" t="s">
        <v>169</v>
      </c>
      <c r="L238">
        <v>7</v>
      </c>
      <c r="M238" t="s">
        <v>960</v>
      </c>
      <c r="N238" t="s">
        <v>76</v>
      </c>
      <c r="O238" t="s">
        <v>47</v>
      </c>
      <c r="P238" t="s">
        <v>47</v>
      </c>
      <c r="Y238" t="s">
        <v>961</v>
      </c>
    </row>
    <row r="239" spans="1:25">
      <c r="A239" t="s">
        <v>962</v>
      </c>
      <c r="B239" t="s">
        <v>963</v>
      </c>
      <c r="D239" t="s">
        <v>40</v>
      </c>
      <c r="E239" t="s">
        <v>41</v>
      </c>
      <c r="J239" t="s">
        <v>240</v>
      </c>
      <c r="K239" t="s">
        <v>241</v>
      </c>
      <c r="L239">
        <v>7</v>
      </c>
      <c r="M239" t="s">
        <v>964</v>
      </c>
      <c r="N239" t="s">
        <v>76</v>
      </c>
      <c r="O239" t="s">
        <v>47</v>
      </c>
      <c r="P239" t="s">
        <v>47</v>
      </c>
      <c r="Y239" t="s">
        <v>965</v>
      </c>
    </row>
    <row r="240" spans="1:25">
      <c r="A240" t="s">
        <v>966</v>
      </c>
      <c r="B240" t="s">
        <v>967</v>
      </c>
      <c r="D240" t="s">
        <v>40</v>
      </c>
      <c r="E240" t="s">
        <v>41</v>
      </c>
      <c r="J240" t="s">
        <v>190</v>
      </c>
      <c r="K240" t="s">
        <v>191</v>
      </c>
      <c r="L240">
        <v>7</v>
      </c>
      <c r="M240" t="s">
        <v>964</v>
      </c>
      <c r="N240" t="s">
        <v>76</v>
      </c>
      <c r="O240" t="s">
        <v>47</v>
      </c>
      <c r="P240" t="s">
        <v>47</v>
      </c>
      <c r="Y240" t="s">
        <v>968</v>
      </c>
    </row>
    <row r="241" spans="1:25">
      <c r="A241" t="s">
        <v>969</v>
      </c>
      <c r="B241" t="s">
        <v>970</v>
      </c>
      <c r="D241" t="s">
        <v>40</v>
      </c>
      <c r="E241" t="s">
        <v>41</v>
      </c>
      <c r="H241" t="s">
        <v>971</v>
      </c>
      <c r="J241" t="s">
        <v>168</v>
      </c>
      <c r="K241" t="s">
        <v>169</v>
      </c>
      <c r="L241">
        <v>7</v>
      </c>
      <c r="M241" t="s">
        <v>972</v>
      </c>
      <c r="N241" t="s">
        <v>76</v>
      </c>
      <c r="O241" t="s">
        <v>47</v>
      </c>
      <c r="P241" t="s">
        <v>47</v>
      </c>
      <c r="Y241" t="s">
        <v>971</v>
      </c>
    </row>
    <row r="242" spans="1:25">
      <c r="A242" t="s">
        <v>973</v>
      </c>
      <c r="B242" t="s">
        <v>974</v>
      </c>
      <c r="D242" t="s">
        <v>40</v>
      </c>
      <c r="E242" t="s">
        <v>41</v>
      </c>
      <c r="J242" t="s">
        <v>190</v>
      </c>
      <c r="K242" t="s">
        <v>191</v>
      </c>
      <c r="L242">
        <v>7</v>
      </c>
      <c r="M242" t="s">
        <v>975</v>
      </c>
      <c r="N242" t="s">
        <v>76</v>
      </c>
      <c r="O242" t="s">
        <v>47</v>
      </c>
      <c r="P242" t="s">
        <v>47</v>
      </c>
      <c r="Y242" t="s">
        <v>976</v>
      </c>
    </row>
    <row r="243" spans="1:25">
      <c r="A243" t="s">
        <v>977</v>
      </c>
      <c r="B243" t="s">
        <v>978</v>
      </c>
      <c r="D243" t="s">
        <v>40</v>
      </c>
      <c r="E243" t="s">
        <v>41</v>
      </c>
      <c r="J243" t="s">
        <v>117</v>
      </c>
      <c r="K243" t="s">
        <v>118</v>
      </c>
      <c r="L243">
        <v>7</v>
      </c>
      <c r="M243" t="s">
        <v>975</v>
      </c>
      <c r="N243" t="s">
        <v>80</v>
      </c>
      <c r="O243" t="s">
        <v>47</v>
      </c>
      <c r="P243" t="s">
        <v>47</v>
      </c>
      <c r="Y243" t="s">
        <v>979</v>
      </c>
    </row>
    <row r="244" spans="1:25">
      <c r="A244" t="s">
        <v>980</v>
      </c>
      <c r="B244" t="s">
        <v>981</v>
      </c>
      <c r="D244" t="s">
        <v>40</v>
      </c>
      <c r="E244" t="s">
        <v>41</v>
      </c>
      <c r="J244" t="s">
        <v>190</v>
      </c>
      <c r="K244" t="s">
        <v>191</v>
      </c>
      <c r="L244">
        <v>7</v>
      </c>
      <c r="M244" t="s">
        <v>975</v>
      </c>
      <c r="N244" t="s">
        <v>76</v>
      </c>
      <c r="O244" t="s">
        <v>47</v>
      </c>
      <c r="P244" t="s">
        <v>47</v>
      </c>
      <c r="Y244" t="s">
        <v>982</v>
      </c>
    </row>
    <row r="245" spans="1:25">
      <c r="A245" t="s">
        <v>983</v>
      </c>
      <c r="B245" t="s">
        <v>984</v>
      </c>
      <c r="D245" t="s">
        <v>40</v>
      </c>
      <c r="E245" t="s">
        <v>41</v>
      </c>
      <c r="J245" t="s">
        <v>168</v>
      </c>
      <c r="K245" t="s">
        <v>169</v>
      </c>
      <c r="L245">
        <v>7</v>
      </c>
      <c r="M245" t="s">
        <v>975</v>
      </c>
      <c r="N245" t="s">
        <v>76</v>
      </c>
      <c r="O245" t="s">
        <v>47</v>
      </c>
      <c r="P245" t="s">
        <v>47</v>
      </c>
      <c r="Y245" t="s">
        <v>985</v>
      </c>
    </row>
    <row r="246" spans="1:25">
      <c r="A246" t="s">
        <v>986</v>
      </c>
      <c r="B246" t="s">
        <v>987</v>
      </c>
      <c r="D246" t="s">
        <v>40</v>
      </c>
      <c r="E246" t="s">
        <v>41</v>
      </c>
      <c r="J246" t="s">
        <v>168</v>
      </c>
      <c r="K246" t="s">
        <v>169</v>
      </c>
      <c r="L246">
        <v>7</v>
      </c>
      <c r="M246" t="s">
        <v>988</v>
      </c>
      <c r="N246" t="s">
        <v>76</v>
      </c>
      <c r="O246" t="s">
        <v>47</v>
      </c>
      <c r="P246" t="s">
        <v>47</v>
      </c>
      <c r="Y246" t="s">
        <v>989</v>
      </c>
    </row>
    <row r="247" spans="1:25">
      <c r="A247" t="s">
        <v>990</v>
      </c>
      <c r="B247" t="s">
        <v>991</v>
      </c>
      <c r="D247" t="s">
        <v>40</v>
      </c>
      <c r="E247" t="s">
        <v>41</v>
      </c>
      <c r="J247" t="s">
        <v>168</v>
      </c>
      <c r="K247" t="s">
        <v>169</v>
      </c>
      <c r="L247">
        <v>7</v>
      </c>
      <c r="M247" t="s">
        <v>992</v>
      </c>
      <c r="N247" t="s">
        <v>76</v>
      </c>
      <c r="O247" t="s">
        <v>47</v>
      </c>
      <c r="P247" t="s">
        <v>47</v>
      </c>
      <c r="Y247" t="s">
        <v>993</v>
      </c>
    </row>
    <row r="248" spans="1:25">
      <c r="A248" t="s">
        <v>994</v>
      </c>
      <c r="B248" t="s">
        <v>995</v>
      </c>
      <c r="D248" t="s">
        <v>40</v>
      </c>
      <c r="E248" t="s">
        <v>41</v>
      </c>
      <c r="H248" t="s">
        <v>996</v>
      </c>
      <c r="J248" t="s">
        <v>168</v>
      </c>
      <c r="K248" t="s">
        <v>169</v>
      </c>
      <c r="L248">
        <v>7</v>
      </c>
      <c r="M248" t="s">
        <v>992</v>
      </c>
      <c r="N248" t="s">
        <v>76</v>
      </c>
      <c r="O248" t="s">
        <v>47</v>
      </c>
      <c r="P248" t="s">
        <v>47</v>
      </c>
      <c r="Y248" t="s">
        <v>996</v>
      </c>
    </row>
    <row r="249" spans="1:25">
      <c r="A249" t="s">
        <v>997</v>
      </c>
      <c r="B249" t="s">
        <v>998</v>
      </c>
      <c r="D249" t="s">
        <v>40</v>
      </c>
      <c r="E249" t="s">
        <v>41</v>
      </c>
      <c r="H249" t="s">
        <v>999</v>
      </c>
      <c r="J249" t="s">
        <v>190</v>
      </c>
      <c r="K249" t="s">
        <v>191</v>
      </c>
      <c r="L249">
        <v>7</v>
      </c>
      <c r="M249" t="s">
        <v>992</v>
      </c>
      <c r="N249" t="s">
        <v>76</v>
      </c>
      <c r="O249" t="s">
        <v>47</v>
      </c>
      <c r="P249" t="s">
        <v>47</v>
      </c>
      <c r="Y249" t="s">
        <v>999</v>
      </c>
    </row>
    <row r="250" spans="1:25">
      <c r="A250" t="s">
        <v>1000</v>
      </c>
      <c r="B250" t="s">
        <v>1001</v>
      </c>
      <c r="D250" t="s">
        <v>40</v>
      </c>
      <c r="E250" t="s">
        <v>41</v>
      </c>
      <c r="J250" t="s">
        <v>318</v>
      </c>
      <c r="K250" t="s">
        <v>319</v>
      </c>
      <c r="L250">
        <v>7</v>
      </c>
      <c r="M250" t="s">
        <v>1002</v>
      </c>
      <c r="N250" t="s">
        <v>76</v>
      </c>
      <c r="O250" t="s">
        <v>47</v>
      </c>
      <c r="P250" t="s">
        <v>47</v>
      </c>
      <c r="Y250" t="s">
        <v>1003</v>
      </c>
    </row>
    <row r="251" spans="1:25">
      <c r="A251" t="s">
        <v>1004</v>
      </c>
      <c r="B251" t="s">
        <v>1005</v>
      </c>
      <c r="D251" t="s">
        <v>40</v>
      </c>
      <c r="E251" t="s">
        <v>41</v>
      </c>
      <c r="J251" t="s">
        <v>190</v>
      </c>
      <c r="K251" t="s">
        <v>191</v>
      </c>
      <c r="L251">
        <v>7</v>
      </c>
      <c r="M251" t="s">
        <v>1002</v>
      </c>
      <c r="N251" t="s">
        <v>76</v>
      </c>
      <c r="O251" t="s">
        <v>47</v>
      </c>
      <c r="P251" t="s">
        <v>47</v>
      </c>
      <c r="Y251" t="s">
        <v>1006</v>
      </c>
    </row>
    <row r="252" spans="1:25">
      <c r="A252" t="s">
        <v>1007</v>
      </c>
      <c r="B252" t="s">
        <v>1008</v>
      </c>
      <c r="D252" t="s">
        <v>40</v>
      </c>
      <c r="E252" t="s">
        <v>41</v>
      </c>
      <c r="J252" t="s">
        <v>240</v>
      </c>
      <c r="K252" t="s">
        <v>241</v>
      </c>
      <c r="L252">
        <v>7</v>
      </c>
      <c r="M252" t="s">
        <v>1002</v>
      </c>
      <c r="N252" t="s">
        <v>76</v>
      </c>
      <c r="O252" t="s">
        <v>47</v>
      </c>
      <c r="P252" t="s">
        <v>47</v>
      </c>
      <c r="Y252" t="s">
        <v>1009</v>
      </c>
    </row>
    <row r="253" spans="1:25">
      <c r="A253" t="s">
        <v>1010</v>
      </c>
      <c r="B253" t="s">
        <v>1011</v>
      </c>
      <c r="D253" t="s">
        <v>40</v>
      </c>
      <c r="E253" t="s">
        <v>41</v>
      </c>
      <c r="J253" t="s">
        <v>240</v>
      </c>
      <c r="K253" t="s">
        <v>241</v>
      </c>
      <c r="L253">
        <v>7</v>
      </c>
      <c r="M253" t="s">
        <v>1012</v>
      </c>
      <c r="N253" t="s">
        <v>76</v>
      </c>
      <c r="O253" t="s">
        <v>47</v>
      </c>
      <c r="P253" t="s">
        <v>47</v>
      </c>
      <c r="Y253" t="s">
        <v>1013</v>
      </c>
    </row>
    <row r="254" spans="1:25">
      <c r="A254" t="s">
        <v>1014</v>
      </c>
      <c r="B254" t="s">
        <v>1015</v>
      </c>
      <c r="D254" t="s">
        <v>40</v>
      </c>
      <c r="E254" t="s">
        <v>41</v>
      </c>
      <c r="H254" t="s">
        <v>1016</v>
      </c>
      <c r="J254" t="s">
        <v>168</v>
      </c>
      <c r="K254" t="s">
        <v>169</v>
      </c>
      <c r="L254">
        <v>7</v>
      </c>
      <c r="M254" t="s">
        <v>1017</v>
      </c>
      <c r="N254" t="s">
        <v>76</v>
      </c>
      <c r="O254" t="s">
        <v>47</v>
      </c>
      <c r="P254" t="s">
        <v>47</v>
      </c>
      <c r="Y254" t="s">
        <v>1016</v>
      </c>
    </row>
    <row r="255" spans="1:25">
      <c r="A255" t="s">
        <v>231</v>
      </c>
      <c r="B255" t="s">
        <v>1018</v>
      </c>
      <c r="D255" t="s">
        <v>40</v>
      </c>
      <c r="E255" t="s">
        <v>41</v>
      </c>
      <c r="H255" t="s">
        <v>1019</v>
      </c>
      <c r="J255" t="s">
        <v>190</v>
      </c>
      <c r="K255" t="s">
        <v>191</v>
      </c>
      <c r="L255">
        <v>7</v>
      </c>
      <c r="M255" t="s">
        <v>1020</v>
      </c>
      <c r="N255" t="s">
        <v>76</v>
      </c>
      <c r="O255" t="s">
        <v>47</v>
      </c>
      <c r="P255" t="s">
        <v>47</v>
      </c>
      <c r="Y255" t="s">
        <v>1019</v>
      </c>
    </row>
    <row r="256" spans="1:25">
      <c r="A256" t="s">
        <v>1021</v>
      </c>
      <c r="B256" t="s">
        <v>1022</v>
      </c>
      <c r="D256" t="s">
        <v>40</v>
      </c>
      <c r="E256" t="s">
        <v>41</v>
      </c>
      <c r="J256" t="s">
        <v>240</v>
      </c>
      <c r="K256" t="s">
        <v>241</v>
      </c>
      <c r="L256">
        <v>7</v>
      </c>
      <c r="M256" t="s">
        <v>1023</v>
      </c>
      <c r="N256" t="s">
        <v>76</v>
      </c>
      <c r="O256" t="s">
        <v>47</v>
      </c>
      <c r="P256" t="s">
        <v>47</v>
      </c>
      <c r="Y256" t="s">
        <v>1024</v>
      </c>
    </row>
    <row r="257" spans="1:25">
      <c r="A257" t="s">
        <v>1025</v>
      </c>
      <c r="B257" t="s">
        <v>1026</v>
      </c>
      <c r="D257" t="s">
        <v>40</v>
      </c>
      <c r="E257" t="s">
        <v>41</v>
      </c>
      <c r="J257" t="s">
        <v>190</v>
      </c>
      <c r="K257" t="s">
        <v>191</v>
      </c>
      <c r="L257">
        <v>7</v>
      </c>
      <c r="M257" t="s">
        <v>1023</v>
      </c>
      <c r="N257" t="s">
        <v>76</v>
      </c>
      <c r="O257" t="s">
        <v>47</v>
      </c>
      <c r="P257" t="s">
        <v>47</v>
      </c>
      <c r="Y257" t="s">
        <v>1027</v>
      </c>
    </row>
    <row r="258" spans="1:25">
      <c r="A258" t="s">
        <v>1028</v>
      </c>
      <c r="B258" t="s">
        <v>1029</v>
      </c>
      <c r="D258" t="s">
        <v>40</v>
      </c>
      <c r="E258" t="s">
        <v>41</v>
      </c>
      <c r="J258" t="s">
        <v>108</v>
      </c>
      <c r="K258" t="s">
        <v>109</v>
      </c>
      <c r="L258">
        <v>7</v>
      </c>
      <c r="M258" t="s">
        <v>1023</v>
      </c>
      <c r="N258" t="s">
        <v>202</v>
      </c>
      <c r="O258" t="s">
        <v>47</v>
      </c>
      <c r="P258" t="s">
        <v>47</v>
      </c>
      <c r="Y258" t="s">
        <v>1030</v>
      </c>
    </row>
    <row r="259" spans="1:25">
      <c r="A259" t="s">
        <v>231</v>
      </c>
      <c r="B259" t="s">
        <v>1031</v>
      </c>
      <c r="D259" t="s">
        <v>40</v>
      </c>
      <c r="E259" t="s">
        <v>41</v>
      </c>
      <c r="J259" t="s">
        <v>168</v>
      </c>
      <c r="K259" t="s">
        <v>169</v>
      </c>
      <c r="L259">
        <v>7</v>
      </c>
      <c r="M259" t="s">
        <v>1032</v>
      </c>
      <c r="N259" t="s">
        <v>76</v>
      </c>
      <c r="O259" t="s">
        <v>47</v>
      </c>
      <c r="P259" t="s">
        <v>47</v>
      </c>
      <c r="Y259" t="s">
        <v>1033</v>
      </c>
    </row>
    <row r="260" spans="1:25">
      <c r="A260" t="s">
        <v>1034</v>
      </c>
      <c r="B260" t="s">
        <v>1035</v>
      </c>
      <c r="D260" t="s">
        <v>40</v>
      </c>
      <c r="E260" t="s">
        <v>41</v>
      </c>
      <c r="J260" t="s">
        <v>190</v>
      </c>
      <c r="K260" t="s">
        <v>191</v>
      </c>
      <c r="L260">
        <v>7</v>
      </c>
      <c r="M260" t="s">
        <v>1036</v>
      </c>
      <c r="N260" t="s">
        <v>76</v>
      </c>
      <c r="O260" t="s">
        <v>47</v>
      </c>
      <c r="P260" t="s">
        <v>47</v>
      </c>
      <c r="Y260" t="s">
        <v>1037</v>
      </c>
    </row>
    <row r="261" spans="1:25">
      <c r="A261" t="s">
        <v>1038</v>
      </c>
      <c r="B261" t="s">
        <v>1039</v>
      </c>
      <c r="D261" t="s">
        <v>40</v>
      </c>
      <c r="E261" t="s">
        <v>41</v>
      </c>
      <c r="J261" t="s">
        <v>168</v>
      </c>
      <c r="K261" t="s">
        <v>169</v>
      </c>
      <c r="L261">
        <v>7</v>
      </c>
      <c r="M261" t="s">
        <v>1036</v>
      </c>
      <c r="N261" t="s">
        <v>76</v>
      </c>
      <c r="O261" t="s">
        <v>47</v>
      </c>
      <c r="P261" t="s">
        <v>47</v>
      </c>
      <c r="Y261" t="s">
        <v>1040</v>
      </c>
    </row>
    <row r="262" spans="1:25">
      <c r="A262" t="s">
        <v>1041</v>
      </c>
      <c r="B262" t="s">
        <v>1042</v>
      </c>
      <c r="D262" t="s">
        <v>40</v>
      </c>
      <c r="E262" t="s">
        <v>41</v>
      </c>
      <c r="H262" t="s">
        <v>1043</v>
      </c>
      <c r="J262" t="s">
        <v>261</v>
      </c>
      <c r="K262" t="s">
        <v>262</v>
      </c>
      <c r="L262">
        <v>7</v>
      </c>
      <c r="M262" t="s">
        <v>1036</v>
      </c>
      <c r="N262" t="s">
        <v>76</v>
      </c>
      <c r="O262" t="s">
        <v>47</v>
      </c>
      <c r="P262" t="s">
        <v>47</v>
      </c>
      <c r="Y262" t="s">
        <v>1043</v>
      </c>
    </row>
    <row r="263" spans="1:25">
      <c r="A263" t="s">
        <v>1044</v>
      </c>
      <c r="B263" t="s">
        <v>1045</v>
      </c>
      <c r="D263" t="s">
        <v>40</v>
      </c>
      <c r="E263" t="s">
        <v>41</v>
      </c>
      <c r="H263" t="s">
        <v>1046</v>
      </c>
      <c r="J263" t="s">
        <v>190</v>
      </c>
      <c r="K263" t="s">
        <v>191</v>
      </c>
      <c r="L263">
        <v>7</v>
      </c>
      <c r="M263" t="s">
        <v>1047</v>
      </c>
      <c r="N263" t="s">
        <v>76</v>
      </c>
      <c r="O263" t="s">
        <v>47</v>
      </c>
      <c r="P263" t="s">
        <v>47</v>
      </c>
      <c r="Y263" t="s">
        <v>1046</v>
      </c>
    </row>
    <row r="264" spans="1:25">
      <c r="A264" t="s">
        <v>231</v>
      </c>
      <c r="B264" t="s">
        <v>1048</v>
      </c>
      <c r="D264" t="s">
        <v>40</v>
      </c>
      <c r="E264" t="s">
        <v>41</v>
      </c>
      <c r="J264" t="s">
        <v>240</v>
      </c>
      <c r="K264" t="s">
        <v>241</v>
      </c>
      <c r="L264">
        <v>7</v>
      </c>
      <c r="M264" t="s">
        <v>1049</v>
      </c>
      <c r="N264" t="s">
        <v>76</v>
      </c>
      <c r="O264" t="s">
        <v>47</v>
      </c>
      <c r="P264" t="s">
        <v>47</v>
      </c>
      <c r="Y264" t="s">
        <v>1050</v>
      </c>
    </row>
    <row r="265" spans="1:25">
      <c r="A265" t="s">
        <v>1051</v>
      </c>
      <c r="B265" t="s">
        <v>1052</v>
      </c>
      <c r="D265" t="s">
        <v>40</v>
      </c>
      <c r="E265" t="s">
        <v>41</v>
      </c>
      <c r="J265" t="s">
        <v>240</v>
      </c>
      <c r="K265" t="s">
        <v>241</v>
      </c>
      <c r="L265">
        <v>7</v>
      </c>
      <c r="M265" t="s">
        <v>1053</v>
      </c>
      <c r="N265" t="s">
        <v>76</v>
      </c>
      <c r="O265" t="s">
        <v>47</v>
      </c>
      <c r="P265" t="s">
        <v>47</v>
      </c>
      <c r="Y265" t="s">
        <v>1054</v>
      </c>
    </row>
    <row r="266" spans="1:25">
      <c r="A266" t="s">
        <v>1055</v>
      </c>
      <c r="B266" t="s">
        <v>1056</v>
      </c>
      <c r="D266" t="s">
        <v>40</v>
      </c>
      <c r="E266" t="s">
        <v>41</v>
      </c>
      <c r="J266" t="s">
        <v>190</v>
      </c>
      <c r="K266" t="s">
        <v>191</v>
      </c>
      <c r="L266">
        <v>7</v>
      </c>
      <c r="M266" t="s">
        <v>1057</v>
      </c>
      <c r="N266" t="s">
        <v>76</v>
      </c>
      <c r="O266" t="s">
        <v>47</v>
      </c>
      <c r="P266" t="s">
        <v>47</v>
      </c>
      <c r="Y266" t="s">
        <v>1058</v>
      </c>
    </row>
    <row r="267" spans="1:25">
      <c r="A267" t="s">
        <v>1059</v>
      </c>
      <c r="B267" t="s">
        <v>1060</v>
      </c>
      <c r="D267" t="s">
        <v>40</v>
      </c>
      <c r="E267" t="s">
        <v>41</v>
      </c>
      <c r="J267" t="s">
        <v>240</v>
      </c>
      <c r="K267" t="s">
        <v>241</v>
      </c>
      <c r="L267">
        <v>7</v>
      </c>
      <c r="M267" t="s">
        <v>1057</v>
      </c>
      <c r="N267" t="s">
        <v>76</v>
      </c>
      <c r="O267" t="s">
        <v>47</v>
      </c>
      <c r="P267" t="s">
        <v>47</v>
      </c>
      <c r="Y267" t="s">
        <v>1061</v>
      </c>
    </row>
    <row r="268" spans="1:25">
      <c r="A268" t="s">
        <v>1062</v>
      </c>
      <c r="B268" t="s">
        <v>1063</v>
      </c>
      <c r="D268" t="s">
        <v>40</v>
      </c>
      <c r="E268" t="s">
        <v>41</v>
      </c>
      <c r="J268" t="s">
        <v>240</v>
      </c>
      <c r="K268" t="s">
        <v>241</v>
      </c>
      <c r="L268">
        <v>7</v>
      </c>
      <c r="M268" t="s">
        <v>1057</v>
      </c>
      <c r="N268" t="s">
        <v>76</v>
      </c>
      <c r="O268" t="s">
        <v>47</v>
      </c>
      <c r="P268" t="s">
        <v>47</v>
      </c>
      <c r="Y268" t="s">
        <v>1064</v>
      </c>
    </row>
    <row r="269" spans="1:25">
      <c r="A269" t="s">
        <v>1065</v>
      </c>
      <c r="B269" t="s">
        <v>1066</v>
      </c>
      <c r="D269" t="s">
        <v>40</v>
      </c>
      <c r="E269" t="s">
        <v>41</v>
      </c>
      <c r="H269" t="s">
        <v>1067</v>
      </c>
      <c r="J269" t="s">
        <v>108</v>
      </c>
      <c r="K269" t="s">
        <v>109</v>
      </c>
      <c r="L269">
        <v>7</v>
      </c>
      <c r="M269" t="s">
        <v>1057</v>
      </c>
      <c r="N269" t="s">
        <v>80</v>
      </c>
      <c r="O269" t="s">
        <v>47</v>
      </c>
      <c r="P269" t="s">
        <v>47</v>
      </c>
      <c r="Y269" t="s">
        <v>1067</v>
      </c>
    </row>
    <row r="270" spans="1:25">
      <c r="A270" t="s">
        <v>1068</v>
      </c>
      <c r="B270" t="s">
        <v>1069</v>
      </c>
      <c r="D270" t="s">
        <v>40</v>
      </c>
      <c r="E270" t="s">
        <v>41</v>
      </c>
      <c r="H270" t="s">
        <v>1070</v>
      </c>
      <c r="J270" t="s">
        <v>73</v>
      </c>
      <c r="K270" t="s">
        <v>74</v>
      </c>
      <c r="L270">
        <v>7</v>
      </c>
      <c r="M270" t="s">
        <v>1071</v>
      </c>
      <c r="N270" t="s">
        <v>76</v>
      </c>
      <c r="O270" t="s">
        <v>47</v>
      </c>
      <c r="P270" t="s">
        <v>47</v>
      </c>
      <c r="Y270" t="s">
        <v>1070</v>
      </c>
    </row>
    <row r="271" spans="1:25">
      <c r="A271" t="s">
        <v>1072</v>
      </c>
      <c r="B271" t="s">
        <v>1073</v>
      </c>
      <c r="D271" t="s">
        <v>40</v>
      </c>
      <c r="E271" t="s">
        <v>41</v>
      </c>
      <c r="H271" t="s">
        <v>1074</v>
      </c>
      <c r="J271" t="s">
        <v>190</v>
      </c>
      <c r="K271" t="s">
        <v>191</v>
      </c>
      <c r="L271">
        <v>7</v>
      </c>
      <c r="M271" t="s">
        <v>1075</v>
      </c>
      <c r="N271" t="s">
        <v>76</v>
      </c>
      <c r="O271" t="s">
        <v>47</v>
      </c>
      <c r="P271" t="s">
        <v>47</v>
      </c>
      <c r="Y271" t="s">
        <v>1074</v>
      </c>
    </row>
    <row r="272" spans="1:25">
      <c r="A272" t="s">
        <v>1076</v>
      </c>
      <c r="B272" t="s">
        <v>1077</v>
      </c>
      <c r="D272" t="s">
        <v>40</v>
      </c>
      <c r="E272" t="s">
        <v>41</v>
      </c>
      <c r="H272" t="s">
        <v>1078</v>
      </c>
      <c r="J272" t="s">
        <v>190</v>
      </c>
      <c r="K272" t="s">
        <v>191</v>
      </c>
      <c r="L272">
        <v>7</v>
      </c>
      <c r="M272" t="s">
        <v>1079</v>
      </c>
      <c r="N272" t="s">
        <v>76</v>
      </c>
      <c r="O272" t="s">
        <v>47</v>
      </c>
      <c r="P272" t="s">
        <v>47</v>
      </c>
      <c r="Y272" t="s">
        <v>1078</v>
      </c>
    </row>
    <row r="273" spans="1:25">
      <c r="A273" t="s">
        <v>1080</v>
      </c>
      <c r="B273" t="s">
        <v>1081</v>
      </c>
      <c r="D273" t="s">
        <v>40</v>
      </c>
      <c r="E273" t="s">
        <v>41</v>
      </c>
      <c r="J273" t="s">
        <v>190</v>
      </c>
      <c r="K273" t="s">
        <v>191</v>
      </c>
      <c r="L273">
        <v>7</v>
      </c>
      <c r="M273" t="s">
        <v>1079</v>
      </c>
      <c r="N273" t="s">
        <v>76</v>
      </c>
      <c r="O273" t="s">
        <v>47</v>
      </c>
      <c r="P273" t="s">
        <v>47</v>
      </c>
      <c r="Y273" t="s">
        <v>1082</v>
      </c>
    </row>
    <row r="274" spans="1:25">
      <c r="A274" t="s">
        <v>1083</v>
      </c>
      <c r="B274" t="s">
        <v>1084</v>
      </c>
      <c r="D274" t="s">
        <v>40</v>
      </c>
      <c r="E274" t="s">
        <v>41</v>
      </c>
      <c r="J274" t="s">
        <v>240</v>
      </c>
      <c r="K274" t="s">
        <v>241</v>
      </c>
      <c r="L274">
        <v>7</v>
      </c>
      <c r="M274" t="s">
        <v>1079</v>
      </c>
      <c r="N274" t="s">
        <v>76</v>
      </c>
      <c r="O274" t="s">
        <v>47</v>
      </c>
      <c r="P274" t="s">
        <v>47</v>
      </c>
      <c r="Y274" t="s">
        <v>1085</v>
      </c>
    </row>
    <row r="275" spans="1:25">
      <c r="A275" t="s">
        <v>1086</v>
      </c>
      <c r="B275" t="s">
        <v>1087</v>
      </c>
      <c r="D275" t="s">
        <v>40</v>
      </c>
      <c r="E275" t="s">
        <v>41</v>
      </c>
      <c r="J275" t="s">
        <v>168</v>
      </c>
      <c r="K275" t="s">
        <v>169</v>
      </c>
      <c r="L275">
        <v>7</v>
      </c>
      <c r="M275" t="s">
        <v>1079</v>
      </c>
      <c r="N275" t="s">
        <v>76</v>
      </c>
      <c r="O275" t="s">
        <v>47</v>
      </c>
      <c r="P275" t="s">
        <v>47</v>
      </c>
      <c r="Y275" t="s">
        <v>1088</v>
      </c>
    </row>
    <row r="276" spans="1:25">
      <c r="A276" t="s">
        <v>1089</v>
      </c>
      <c r="B276" t="s">
        <v>1090</v>
      </c>
      <c r="D276" t="s">
        <v>40</v>
      </c>
      <c r="E276" t="s">
        <v>41</v>
      </c>
      <c r="J276" t="s">
        <v>240</v>
      </c>
      <c r="K276" t="s">
        <v>241</v>
      </c>
      <c r="L276">
        <v>7</v>
      </c>
      <c r="M276" t="s">
        <v>1091</v>
      </c>
      <c r="N276" t="s">
        <v>76</v>
      </c>
      <c r="O276" t="s">
        <v>47</v>
      </c>
      <c r="P276" t="s">
        <v>47</v>
      </c>
      <c r="Y276" t="s">
        <v>1092</v>
      </c>
    </row>
    <row r="277" spans="1:25">
      <c r="A277" t="s">
        <v>1093</v>
      </c>
      <c r="B277" t="s">
        <v>1094</v>
      </c>
      <c r="D277" t="s">
        <v>40</v>
      </c>
      <c r="E277" t="s">
        <v>41</v>
      </c>
      <c r="H277" t="s">
        <v>1095</v>
      </c>
      <c r="J277" t="s">
        <v>190</v>
      </c>
      <c r="K277" t="s">
        <v>191</v>
      </c>
      <c r="L277">
        <v>7</v>
      </c>
      <c r="M277" t="s">
        <v>1091</v>
      </c>
      <c r="N277" t="s">
        <v>76</v>
      </c>
      <c r="O277" t="s">
        <v>47</v>
      </c>
      <c r="P277" t="s">
        <v>47</v>
      </c>
      <c r="Y277" t="s">
        <v>1095</v>
      </c>
    </row>
    <row r="278" spans="1:25">
      <c r="A278" t="s">
        <v>1096</v>
      </c>
      <c r="B278" t="s">
        <v>1097</v>
      </c>
      <c r="D278" t="s">
        <v>40</v>
      </c>
      <c r="E278" t="s">
        <v>41</v>
      </c>
      <c r="J278" t="s">
        <v>168</v>
      </c>
      <c r="K278" t="s">
        <v>169</v>
      </c>
      <c r="L278">
        <v>7</v>
      </c>
      <c r="M278" t="s">
        <v>1091</v>
      </c>
      <c r="N278" t="s">
        <v>76</v>
      </c>
      <c r="O278" t="s">
        <v>47</v>
      </c>
      <c r="P278" t="s">
        <v>47</v>
      </c>
      <c r="Y278" t="s">
        <v>1098</v>
      </c>
    </row>
    <row r="279" spans="1:25">
      <c r="A279" t="s">
        <v>1099</v>
      </c>
      <c r="B279" t="s">
        <v>1100</v>
      </c>
      <c r="D279" t="s">
        <v>40</v>
      </c>
      <c r="E279" t="s">
        <v>41</v>
      </c>
      <c r="J279" t="s">
        <v>240</v>
      </c>
      <c r="K279" t="s">
        <v>241</v>
      </c>
      <c r="L279">
        <v>7</v>
      </c>
      <c r="M279" t="s">
        <v>1101</v>
      </c>
      <c r="N279" t="s">
        <v>76</v>
      </c>
      <c r="O279" t="s">
        <v>47</v>
      </c>
      <c r="P279" t="s">
        <v>47</v>
      </c>
      <c r="Y279" t="s">
        <v>1102</v>
      </c>
    </row>
    <row r="280" spans="1:25">
      <c r="A280" t="s">
        <v>1103</v>
      </c>
      <c r="B280" t="s">
        <v>1104</v>
      </c>
      <c r="D280" t="s">
        <v>40</v>
      </c>
      <c r="E280" t="s">
        <v>41</v>
      </c>
      <c r="J280" t="s">
        <v>190</v>
      </c>
      <c r="K280" t="s">
        <v>191</v>
      </c>
      <c r="L280">
        <v>7</v>
      </c>
      <c r="M280" t="s">
        <v>1105</v>
      </c>
      <c r="N280" t="s">
        <v>76</v>
      </c>
      <c r="O280" t="s">
        <v>47</v>
      </c>
      <c r="P280" t="s">
        <v>47</v>
      </c>
      <c r="Y280" t="s">
        <v>1106</v>
      </c>
    </row>
    <row r="281" spans="1:25">
      <c r="A281" t="s">
        <v>1107</v>
      </c>
      <c r="B281" t="s">
        <v>1108</v>
      </c>
      <c r="D281" t="s">
        <v>40</v>
      </c>
      <c r="E281" t="s">
        <v>41</v>
      </c>
      <c r="H281" t="s">
        <v>1109</v>
      </c>
      <c r="J281" t="s">
        <v>108</v>
      </c>
      <c r="K281" t="s">
        <v>109</v>
      </c>
      <c r="L281">
        <v>7</v>
      </c>
      <c r="M281" t="s">
        <v>1110</v>
      </c>
      <c r="N281" t="s">
        <v>80</v>
      </c>
      <c r="O281" t="s">
        <v>47</v>
      </c>
      <c r="P281" t="s">
        <v>47</v>
      </c>
      <c r="Y281" t="s">
        <v>1109</v>
      </c>
    </row>
    <row r="282" spans="1:25">
      <c r="A282" t="s">
        <v>1111</v>
      </c>
      <c r="B282" t="s">
        <v>1112</v>
      </c>
      <c r="D282" t="s">
        <v>40</v>
      </c>
      <c r="E282" t="s">
        <v>41</v>
      </c>
      <c r="J282" t="s">
        <v>240</v>
      </c>
      <c r="K282" t="s">
        <v>241</v>
      </c>
      <c r="L282">
        <v>7</v>
      </c>
      <c r="M282" t="s">
        <v>1110</v>
      </c>
      <c r="N282" t="s">
        <v>76</v>
      </c>
      <c r="O282" t="s">
        <v>47</v>
      </c>
      <c r="P282" t="s">
        <v>47</v>
      </c>
      <c r="Y282" t="s">
        <v>1113</v>
      </c>
    </row>
    <row r="283" spans="1:25">
      <c r="A283" t="s">
        <v>1114</v>
      </c>
      <c r="B283" t="s">
        <v>1115</v>
      </c>
      <c r="D283" t="s">
        <v>40</v>
      </c>
      <c r="E283" t="s">
        <v>41</v>
      </c>
      <c r="J283" t="s">
        <v>190</v>
      </c>
      <c r="K283" t="s">
        <v>191</v>
      </c>
      <c r="L283">
        <v>7</v>
      </c>
      <c r="M283" t="s">
        <v>1110</v>
      </c>
      <c r="N283" t="s">
        <v>76</v>
      </c>
      <c r="O283" t="s">
        <v>47</v>
      </c>
      <c r="P283" t="s">
        <v>47</v>
      </c>
      <c r="Y283" t="s">
        <v>1116</v>
      </c>
    </row>
    <row r="284" spans="1:25">
      <c r="A284" t="s">
        <v>1117</v>
      </c>
      <c r="B284" t="s">
        <v>1118</v>
      </c>
      <c r="D284" t="s">
        <v>40</v>
      </c>
      <c r="E284" t="s">
        <v>41</v>
      </c>
      <c r="J284" t="s">
        <v>240</v>
      </c>
      <c r="K284" t="s">
        <v>241</v>
      </c>
      <c r="L284">
        <v>7</v>
      </c>
      <c r="M284" t="s">
        <v>1110</v>
      </c>
      <c r="N284" t="s">
        <v>76</v>
      </c>
      <c r="O284" t="s">
        <v>47</v>
      </c>
      <c r="P284" t="s">
        <v>47</v>
      </c>
      <c r="Y284" t="s">
        <v>1119</v>
      </c>
    </row>
    <row r="285" spans="1:25">
      <c r="A285" t="s">
        <v>1120</v>
      </c>
      <c r="B285" t="s">
        <v>1121</v>
      </c>
      <c r="D285" t="s">
        <v>40</v>
      </c>
      <c r="E285" t="s">
        <v>41</v>
      </c>
      <c r="H285" t="s">
        <v>1122</v>
      </c>
      <c r="J285" t="s">
        <v>73</v>
      </c>
      <c r="K285" t="s">
        <v>74</v>
      </c>
      <c r="L285">
        <v>7</v>
      </c>
      <c r="M285" t="s">
        <v>1123</v>
      </c>
      <c r="N285" t="s">
        <v>76</v>
      </c>
      <c r="O285" t="s">
        <v>47</v>
      </c>
      <c r="P285" t="s">
        <v>47</v>
      </c>
      <c r="Y285" t="s">
        <v>1122</v>
      </c>
    </row>
    <row r="286" spans="1:25">
      <c r="A286" t="s">
        <v>1124</v>
      </c>
      <c r="B286" t="s">
        <v>1125</v>
      </c>
      <c r="D286" t="s">
        <v>40</v>
      </c>
      <c r="E286" t="s">
        <v>41</v>
      </c>
      <c r="H286" t="s">
        <v>1126</v>
      </c>
      <c r="J286" t="s">
        <v>73</v>
      </c>
      <c r="K286" t="s">
        <v>74</v>
      </c>
      <c r="L286">
        <v>7</v>
      </c>
      <c r="M286" t="s">
        <v>1127</v>
      </c>
      <c r="N286" t="s">
        <v>76</v>
      </c>
      <c r="O286" t="s">
        <v>47</v>
      </c>
      <c r="P286" t="s">
        <v>47</v>
      </c>
      <c r="Y286" t="s">
        <v>1126</v>
      </c>
    </row>
    <row r="287" spans="1:25">
      <c r="A287" t="s">
        <v>231</v>
      </c>
      <c r="B287" t="s">
        <v>1128</v>
      </c>
      <c r="D287" t="s">
        <v>40</v>
      </c>
      <c r="E287" t="s">
        <v>41</v>
      </c>
      <c r="J287" t="s">
        <v>190</v>
      </c>
      <c r="K287" t="s">
        <v>191</v>
      </c>
      <c r="L287">
        <v>7</v>
      </c>
      <c r="M287" t="s">
        <v>1129</v>
      </c>
      <c r="N287" t="s">
        <v>76</v>
      </c>
      <c r="O287" t="s">
        <v>47</v>
      </c>
      <c r="P287" t="s">
        <v>47</v>
      </c>
      <c r="Y287" t="s">
        <v>1130</v>
      </c>
    </row>
    <row r="288" spans="1:25">
      <c r="A288" t="s">
        <v>1131</v>
      </c>
      <c r="B288" t="s">
        <v>1132</v>
      </c>
      <c r="D288" t="s">
        <v>40</v>
      </c>
      <c r="E288" t="s">
        <v>41</v>
      </c>
      <c r="H288" t="s">
        <v>1133</v>
      </c>
      <c r="J288" t="s">
        <v>73</v>
      </c>
      <c r="K288" t="s">
        <v>74</v>
      </c>
      <c r="L288">
        <v>7</v>
      </c>
      <c r="M288" t="s">
        <v>1134</v>
      </c>
      <c r="N288" t="s">
        <v>76</v>
      </c>
      <c r="O288" t="s">
        <v>47</v>
      </c>
      <c r="P288" t="s">
        <v>47</v>
      </c>
      <c r="Y288" t="s">
        <v>1133</v>
      </c>
    </row>
    <row r="289" spans="1:25">
      <c r="A289" t="s">
        <v>1135</v>
      </c>
      <c r="B289" t="s">
        <v>1136</v>
      </c>
      <c r="D289" t="s">
        <v>40</v>
      </c>
      <c r="E289" t="s">
        <v>41</v>
      </c>
      <c r="H289" t="s">
        <v>1137</v>
      </c>
      <c r="J289" t="s">
        <v>73</v>
      </c>
      <c r="K289" t="s">
        <v>74</v>
      </c>
      <c r="L289">
        <v>7</v>
      </c>
      <c r="M289" t="s">
        <v>1138</v>
      </c>
      <c r="N289" t="s">
        <v>76</v>
      </c>
      <c r="O289" t="s">
        <v>47</v>
      </c>
      <c r="P289" t="s">
        <v>47</v>
      </c>
      <c r="Y289" t="s">
        <v>1137</v>
      </c>
    </row>
    <row r="290" spans="1:25">
      <c r="A290" t="s">
        <v>1139</v>
      </c>
      <c r="B290" t="s">
        <v>1140</v>
      </c>
      <c r="D290" t="s">
        <v>40</v>
      </c>
      <c r="E290" t="s">
        <v>41</v>
      </c>
      <c r="H290" t="s">
        <v>1141</v>
      </c>
      <c r="J290" t="s">
        <v>261</v>
      </c>
      <c r="K290" t="s">
        <v>262</v>
      </c>
      <c r="L290">
        <v>7</v>
      </c>
      <c r="M290" t="s">
        <v>1142</v>
      </c>
      <c r="N290" t="s">
        <v>76</v>
      </c>
      <c r="O290" t="s">
        <v>47</v>
      </c>
      <c r="P290" t="s">
        <v>47</v>
      </c>
      <c r="Y290" t="s">
        <v>1141</v>
      </c>
    </row>
    <row r="291" spans="1:25">
      <c r="A291" t="s">
        <v>1143</v>
      </c>
      <c r="B291" t="s">
        <v>1144</v>
      </c>
      <c r="D291" t="s">
        <v>40</v>
      </c>
      <c r="E291" t="s">
        <v>41</v>
      </c>
      <c r="J291" t="s">
        <v>261</v>
      </c>
      <c r="K291" t="s">
        <v>262</v>
      </c>
      <c r="L291">
        <v>7</v>
      </c>
      <c r="M291" t="s">
        <v>1145</v>
      </c>
      <c r="N291" t="s">
        <v>76</v>
      </c>
      <c r="O291" t="s">
        <v>47</v>
      </c>
      <c r="P291" t="s">
        <v>47</v>
      </c>
      <c r="Y291" t="s">
        <v>1146</v>
      </c>
    </row>
    <row r="292" spans="1:25">
      <c r="A292" t="s">
        <v>1147</v>
      </c>
      <c r="B292" t="s">
        <v>1148</v>
      </c>
      <c r="D292" t="s">
        <v>40</v>
      </c>
      <c r="E292" t="s">
        <v>41</v>
      </c>
      <c r="J292" t="s">
        <v>108</v>
      </c>
      <c r="K292" t="s">
        <v>109</v>
      </c>
      <c r="L292">
        <v>7</v>
      </c>
      <c r="M292" t="s">
        <v>1149</v>
      </c>
      <c r="N292" t="s">
        <v>80</v>
      </c>
      <c r="O292" t="s">
        <v>47</v>
      </c>
      <c r="P292" t="s">
        <v>47</v>
      </c>
      <c r="Y292" t="s">
        <v>1150</v>
      </c>
    </row>
    <row r="293" spans="1:25">
      <c r="A293" t="s">
        <v>1151</v>
      </c>
      <c r="B293" t="s">
        <v>1152</v>
      </c>
      <c r="D293" t="s">
        <v>40</v>
      </c>
      <c r="E293" t="s">
        <v>41</v>
      </c>
      <c r="J293" t="s">
        <v>240</v>
      </c>
      <c r="K293" t="s">
        <v>241</v>
      </c>
      <c r="L293">
        <v>7</v>
      </c>
      <c r="M293" t="s">
        <v>1149</v>
      </c>
      <c r="N293" t="s">
        <v>76</v>
      </c>
      <c r="O293" t="s">
        <v>47</v>
      </c>
      <c r="P293" t="s">
        <v>47</v>
      </c>
      <c r="Y293" t="s">
        <v>1153</v>
      </c>
    </row>
    <row r="294" spans="1:25">
      <c r="A294" t="s">
        <v>1154</v>
      </c>
      <c r="B294" t="s">
        <v>1155</v>
      </c>
      <c r="D294" t="s">
        <v>40</v>
      </c>
      <c r="E294" t="s">
        <v>41</v>
      </c>
      <c r="H294" t="s">
        <v>1156</v>
      </c>
      <c r="J294" t="s">
        <v>168</v>
      </c>
      <c r="K294" t="s">
        <v>169</v>
      </c>
      <c r="L294">
        <v>7</v>
      </c>
      <c r="M294" t="s">
        <v>1149</v>
      </c>
      <c r="N294" t="s">
        <v>76</v>
      </c>
      <c r="O294" t="s">
        <v>47</v>
      </c>
      <c r="P294" t="s">
        <v>47</v>
      </c>
      <c r="Y294" t="s">
        <v>1156</v>
      </c>
    </row>
    <row r="295" spans="1:25">
      <c r="A295" t="s">
        <v>1157</v>
      </c>
      <c r="B295" t="s">
        <v>1158</v>
      </c>
      <c r="D295" t="s">
        <v>40</v>
      </c>
      <c r="E295" t="s">
        <v>41</v>
      </c>
      <c r="H295" t="s">
        <v>1159</v>
      </c>
      <c r="J295" t="s">
        <v>73</v>
      </c>
      <c r="K295" t="s">
        <v>74</v>
      </c>
      <c r="L295">
        <v>7</v>
      </c>
      <c r="M295" t="s">
        <v>1160</v>
      </c>
      <c r="N295" t="s">
        <v>76</v>
      </c>
      <c r="O295" t="s">
        <v>47</v>
      </c>
      <c r="P295" t="s">
        <v>47</v>
      </c>
      <c r="Y295" t="s">
        <v>1159</v>
      </c>
    </row>
    <row r="296" spans="1:25">
      <c r="A296" t="s">
        <v>1161</v>
      </c>
      <c r="B296" t="s">
        <v>1162</v>
      </c>
      <c r="D296" t="s">
        <v>40</v>
      </c>
      <c r="E296" t="s">
        <v>41</v>
      </c>
      <c r="J296" t="s">
        <v>261</v>
      </c>
      <c r="K296" t="s">
        <v>262</v>
      </c>
      <c r="L296">
        <v>7</v>
      </c>
      <c r="M296" t="s">
        <v>1163</v>
      </c>
      <c r="N296" t="s">
        <v>76</v>
      </c>
      <c r="O296" t="s">
        <v>47</v>
      </c>
      <c r="P296" t="s">
        <v>47</v>
      </c>
      <c r="Y296" t="s">
        <v>1164</v>
      </c>
    </row>
    <row r="297" spans="1:25">
      <c r="A297" t="s">
        <v>1165</v>
      </c>
      <c r="B297" t="s">
        <v>1166</v>
      </c>
      <c r="D297" t="s">
        <v>40</v>
      </c>
      <c r="E297" t="s">
        <v>41</v>
      </c>
      <c r="J297" t="s">
        <v>240</v>
      </c>
      <c r="K297" t="s">
        <v>241</v>
      </c>
      <c r="L297">
        <v>7</v>
      </c>
      <c r="M297" t="s">
        <v>1167</v>
      </c>
      <c r="N297" t="s">
        <v>76</v>
      </c>
      <c r="O297" t="s">
        <v>47</v>
      </c>
      <c r="P297" t="s">
        <v>47</v>
      </c>
      <c r="Y297" t="s">
        <v>1168</v>
      </c>
    </row>
    <row r="298" spans="1:25">
      <c r="A298" t="s">
        <v>1169</v>
      </c>
      <c r="B298" t="s">
        <v>1170</v>
      </c>
      <c r="D298" t="s">
        <v>40</v>
      </c>
      <c r="E298" t="s">
        <v>41</v>
      </c>
      <c r="J298" t="s">
        <v>240</v>
      </c>
      <c r="K298" t="s">
        <v>241</v>
      </c>
      <c r="L298">
        <v>7</v>
      </c>
      <c r="M298" t="s">
        <v>1171</v>
      </c>
      <c r="N298" t="s">
        <v>76</v>
      </c>
      <c r="O298" t="s">
        <v>47</v>
      </c>
      <c r="P298" t="s">
        <v>47</v>
      </c>
      <c r="Y298" t="s">
        <v>1172</v>
      </c>
    </row>
    <row r="299" spans="1:25">
      <c r="A299" t="s">
        <v>1173</v>
      </c>
      <c r="B299" t="s">
        <v>1174</v>
      </c>
      <c r="D299" t="s">
        <v>40</v>
      </c>
      <c r="E299" t="s">
        <v>41</v>
      </c>
      <c r="J299" t="s">
        <v>279</v>
      </c>
      <c r="K299" t="s">
        <v>280</v>
      </c>
      <c r="L299">
        <v>7</v>
      </c>
      <c r="M299" t="s">
        <v>1175</v>
      </c>
      <c r="N299" t="s">
        <v>80</v>
      </c>
      <c r="O299" t="s">
        <v>47</v>
      </c>
      <c r="P299" t="s">
        <v>47</v>
      </c>
      <c r="Y299" t="s">
        <v>1176</v>
      </c>
    </row>
    <row r="300" spans="1:25">
      <c r="A300" t="s">
        <v>1177</v>
      </c>
      <c r="B300" t="s">
        <v>1178</v>
      </c>
      <c r="D300" t="s">
        <v>40</v>
      </c>
      <c r="E300" t="s">
        <v>41</v>
      </c>
      <c r="H300" t="s">
        <v>1179</v>
      </c>
      <c r="J300" t="s">
        <v>117</v>
      </c>
      <c r="K300" t="s">
        <v>118</v>
      </c>
      <c r="L300">
        <v>7</v>
      </c>
      <c r="M300" t="s">
        <v>1180</v>
      </c>
      <c r="N300" t="s">
        <v>80</v>
      </c>
      <c r="O300" t="s">
        <v>47</v>
      </c>
      <c r="P300" t="s">
        <v>47</v>
      </c>
      <c r="Y300" t="s">
        <v>1179</v>
      </c>
    </row>
    <row r="301" spans="1:25">
      <c r="A301" t="s">
        <v>1181</v>
      </c>
      <c r="B301" t="s">
        <v>1182</v>
      </c>
      <c r="D301" t="s">
        <v>40</v>
      </c>
      <c r="E301" t="s">
        <v>41</v>
      </c>
      <c r="J301" t="s">
        <v>261</v>
      </c>
      <c r="K301" t="s">
        <v>262</v>
      </c>
      <c r="L301">
        <v>7</v>
      </c>
      <c r="M301" t="s">
        <v>1183</v>
      </c>
      <c r="N301" t="s">
        <v>76</v>
      </c>
      <c r="O301" t="s">
        <v>47</v>
      </c>
      <c r="P301" t="s">
        <v>47</v>
      </c>
      <c r="Y301" t="s">
        <v>1184</v>
      </c>
    </row>
    <row r="302" spans="1:25">
      <c r="A302" t="s">
        <v>1185</v>
      </c>
      <c r="B302" t="s">
        <v>1186</v>
      </c>
      <c r="D302" t="s">
        <v>40</v>
      </c>
      <c r="E302" t="s">
        <v>41</v>
      </c>
      <c r="J302" t="s">
        <v>261</v>
      </c>
      <c r="K302" t="s">
        <v>262</v>
      </c>
      <c r="L302">
        <v>7</v>
      </c>
      <c r="M302" t="s">
        <v>1183</v>
      </c>
      <c r="N302" t="s">
        <v>76</v>
      </c>
      <c r="O302" t="s">
        <v>47</v>
      </c>
      <c r="P302" t="s">
        <v>47</v>
      </c>
      <c r="Y302" t="s">
        <v>1187</v>
      </c>
    </row>
    <row r="303" spans="1:25">
      <c r="A303" t="s">
        <v>1188</v>
      </c>
      <c r="B303" t="s">
        <v>1189</v>
      </c>
      <c r="D303" t="s">
        <v>40</v>
      </c>
      <c r="E303" t="s">
        <v>41</v>
      </c>
      <c r="J303" t="s">
        <v>168</v>
      </c>
      <c r="K303" t="s">
        <v>169</v>
      </c>
      <c r="L303">
        <v>7</v>
      </c>
      <c r="M303" t="s">
        <v>1183</v>
      </c>
      <c r="N303" t="s">
        <v>76</v>
      </c>
      <c r="O303" t="s">
        <v>47</v>
      </c>
      <c r="P303" t="s">
        <v>47</v>
      </c>
      <c r="Y303" t="s">
        <v>1190</v>
      </c>
    </row>
    <row r="304" spans="1:25">
      <c r="A304" t="s">
        <v>1191</v>
      </c>
      <c r="B304" t="s">
        <v>1192</v>
      </c>
      <c r="D304" t="s">
        <v>40</v>
      </c>
      <c r="E304" t="s">
        <v>41</v>
      </c>
      <c r="J304" t="s">
        <v>168</v>
      </c>
      <c r="K304" t="s">
        <v>169</v>
      </c>
      <c r="L304">
        <v>7</v>
      </c>
      <c r="M304" t="s">
        <v>1193</v>
      </c>
      <c r="N304" t="s">
        <v>76</v>
      </c>
      <c r="O304" t="s">
        <v>47</v>
      </c>
      <c r="P304" t="s">
        <v>47</v>
      </c>
      <c r="Y304" t="s">
        <v>1194</v>
      </c>
    </row>
    <row r="305" spans="1:25">
      <c r="A305" t="s">
        <v>1195</v>
      </c>
      <c r="B305" t="s">
        <v>1196</v>
      </c>
      <c r="D305" t="s">
        <v>40</v>
      </c>
      <c r="E305" t="s">
        <v>41</v>
      </c>
      <c r="H305" t="s">
        <v>1197</v>
      </c>
      <c r="J305" t="s">
        <v>261</v>
      </c>
      <c r="K305" t="s">
        <v>262</v>
      </c>
      <c r="L305">
        <v>7</v>
      </c>
      <c r="M305" t="s">
        <v>1198</v>
      </c>
      <c r="N305" t="s">
        <v>76</v>
      </c>
      <c r="O305" t="s">
        <v>47</v>
      </c>
      <c r="P305" t="s">
        <v>47</v>
      </c>
      <c r="Y305" t="s">
        <v>1197</v>
      </c>
    </row>
    <row r="306" spans="1:25">
      <c r="A306" t="s">
        <v>1199</v>
      </c>
      <c r="B306" t="s">
        <v>1200</v>
      </c>
      <c r="D306" t="s">
        <v>40</v>
      </c>
      <c r="E306" t="s">
        <v>41</v>
      </c>
      <c r="J306" t="s">
        <v>108</v>
      </c>
      <c r="K306" t="s">
        <v>109</v>
      </c>
      <c r="L306">
        <v>7</v>
      </c>
      <c r="M306" t="s">
        <v>1198</v>
      </c>
      <c r="N306" t="s">
        <v>80</v>
      </c>
      <c r="O306" t="s">
        <v>47</v>
      </c>
      <c r="P306" t="s">
        <v>47</v>
      </c>
      <c r="Y306" t="s">
        <v>1201</v>
      </c>
    </row>
    <row r="307" spans="1:25">
      <c r="A307" t="s">
        <v>1202</v>
      </c>
      <c r="B307" t="s">
        <v>1203</v>
      </c>
      <c r="D307" t="s">
        <v>40</v>
      </c>
      <c r="E307" t="s">
        <v>41</v>
      </c>
      <c r="J307" t="s">
        <v>240</v>
      </c>
      <c r="K307" t="s">
        <v>241</v>
      </c>
      <c r="L307">
        <v>7</v>
      </c>
      <c r="M307" t="s">
        <v>1204</v>
      </c>
      <c r="N307" t="s">
        <v>76</v>
      </c>
      <c r="O307" t="s">
        <v>47</v>
      </c>
      <c r="P307" t="s">
        <v>47</v>
      </c>
      <c r="Y307" t="s">
        <v>1205</v>
      </c>
    </row>
    <row r="308" spans="1:25">
      <c r="A308" t="s">
        <v>1206</v>
      </c>
      <c r="B308" t="s">
        <v>1207</v>
      </c>
      <c r="D308" t="s">
        <v>40</v>
      </c>
      <c r="E308" t="s">
        <v>41</v>
      </c>
      <c r="J308" t="s">
        <v>190</v>
      </c>
      <c r="K308" t="s">
        <v>191</v>
      </c>
      <c r="L308">
        <v>7</v>
      </c>
      <c r="M308" t="s">
        <v>1208</v>
      </c>
      <c r="N308" t="s">
        <v>76</v>
      </c>
      <c r="O308" t="s">
        <v>47</v>
      </c>
      <c r="P308" t="s">
        <v>47</v>
      </c>
      <c r="Y308" t="s">
        <v>1209</v>
      </c>
    </row>
    <row r="309" spans="1:25">
      <c r="A309" t="s">
        <v>1210</v>
      </c>
      <c r="B309" t="s">
        <v>1211</v>
      </c>
      <c r="D309" t="s">
        <v>40</v>
      </c>
      <c r="E309" t="s">
        <v>41</v>
      </c>
      <c r="J309" t="s">
        <v>190</v>
      </c>
      <c r="K309" t="s">
        <v>191</v>
      </c>
      <c r="L309">
        <v>7</v>
      </c>
      <c r="M309" t="s">
        <v>1208</v>
      </c>
      <c r="N309" t="s">
        <v>76</v>
      </c>
      <c r="O309" t="s">
        <v>47</v>
      </c>
      <c r="P309" t="s">
        <v>47</v>
      </c>
      <c r="Y309" t="s">
        <v>1212</v>
      </c>
    </row>
    <row r="310" spans="1:25">
      <c r="A310" t="s">
        <v>1213</v>
      </c>
      <c r="B310" t="s">
        <v>1214</v>
      </c>
      <c r="D310" t="s">
        <v>40</v>
      </c>
      <c r="E310" t="s">
        <v>41</v>
      </c>
      <c r="J310" t="s">
        <v>190</v>
      </c>
      <c r="K310" t="s">
        <v>191</v>
      </c>
      <c r="L310">
        <v>7</v>
      </c>
      <c r="M310" t="s">
        <v>1215</v>
      </c>
      <c r="N310" t="s">
        <v>76</v>
      </c>
      <c r="O310" t="s">
        <v>47</v>
      </c>
      <c r="P310" t="s">
        <v>47</v>
      </c>
      <c r="Y310" t="s">
        <v>1216</v>
      </c>
    </row>
    <row r="311" spans="1:25">
      <c r="A311" t="s">
        <v>1217</v>
      </c>
      <c r="B311" t="s">
        <v>1218</v>
      </c>
      <c r="D311" t="s">
        <v>40</v>
      </c>
      <c r="E311" t="s">
        <v>41</v>
      </c>
      <c r="J311" t="s">
        <v>261</v>
      </c>
      <c r="K311" t="s">
        <v>262</v>
      </c>
      <c r="L311">
        <v>7</v>
      </c>
      <c r="M311" t="s">
        <v>1215</v>
      </c>
      <c r="N311" t="s">
        <v>76</v>
      </c>
      <c r="O311" t="s">
        <v>47</v>
      </c>
      <c r="P311" t="s">
        <v>47</v>
      </c>
      <c r="Y311" t="s">
        <v>1219</v>
      </c>
    </row>
    <row r="312" spans="1:25">
      <c r="A312" t="s">
        <v>1220</v>
      </c>
      <c r="B312" t="s">
        <v>1221</v>
      </c>
      <c r="D312" t="s">
        <v>40</v>
      </c>
      <c r="E312" t="s">
        <v>41</v>
      </c>
      <c r="J312" t="s">
        <v>190</v>
      </c>
      <c r="K312" t="s">
        <v>191</v>
      </c>
      <c r="L312">
        <v>7</v>
      </c>
      <c r="M312" t="s">
        <v>1215</v>
      </c>
      <c r="N312" t="s">
        <v>76</v>
      </c>
      <c r="O312" t="s">
        <v>47</v>
      </c>
      <c r="P312" t="s">
        <v>47</v>
      </c>
      <c r="Y312" t="s">
        <v>1222</v>
      </c>
    </row>
    <row r="313" spans="1:25">
      <c r="A313" t="s">
        <v>1223</v>
      </c>
      <c r="B313" t="s">
        <v>1224</v>
      </c>
      <c r="D313" t="s">
        <v>40</v>
      </c>
      <c r="E313" t="s">
        <v>41</v>
      </c>
      <c r="J313" t="s">
        <v>261</v>
      </c>
      <c r="K313" t="s">
        <v>262</v>
      </c>
      <c r="L313">
        <v>7</v>
      </c>
      <c r="M313" t="s">
        <v>1225</v>
      </c>
      <c r="N313" t="s">
        <v>76</v>
      </c>
      <c r="O313" t="s">
        <v>47</v>
      </c>
      <c r="P313" t="s">
        <v>47</v>
      </c>
      <c r="Y313" t="s">
        <v>1226</v>
      </c>
    </row>
    <row r="314" spans="1:25">
      <c r="A314" t="s">
        <v>1227</v>
      </c>
      <c r="B314" t="s">
        <v>1228</v>
      </c>
      <c r="D314" t="s">
        <v>40</v>
      </c>
      <c r="E314" t="s">
        <v>41</v>
      </c>
      <c r="J314" t="s">
        <v>240</v>
      </c>
      <c r="K314" t="s">
        <v>241</v>
      </c>
      <c r="L314">
        <v>7</v>
      </c>
      <c r="M314" t="s">
        <v>1229</v>
      </c>
      <c r="N314" t="s">
        <v>76</v>
      </c>
      <c r="O314" t="s">
        <v>47</v>
      </c>
      <c r="P314" t="s">
        <v>47</v>
      </c>
      <c r="Y314" t="s">
        <v>1230</v>
      </c>
    </row>
    <row r="315" spans="1:25">
      <c r="A315" t="s">
        <v>1231</v>
      </c>
      <c r="B315" t="s">
        <v>1232</v>
      </c>
      <c r="D315" t="s">
        <v>40</v>
      </c>
      <c r="E315" t="s">
        <v>41</v>
      </c>
      <c r="J315" t="s">
        <v>701</v>
      </c>
      <c r="K315" t="s">
        <v>702</v>
      </c>
      <c r="L315">
        <v>7</v>
      </c>
      <c r="M315" t="s">
        <v>1233</v>
      </c>
      <c r="N315" t="s">
        <v>80</v>
      </c>
      <c r="O315" t="s">
        <v>47</v>
      </c>
      <c r="P315" t="s">
        <v>47</v>
      </c>
      <c r="Y315" t="s">
        <v>1234</v>
      </c>
    </row>
    <row r="316" spans="1:25">
      <c r="A316" t="s">
        <v>1235</v>
      </c>
      <c r="B316" t="s">
        <v>1236</v>
      </c>
      <c r="D316" t="s">
        <v>40</v>
      </c>
      <c r="E316" t="s">
        <v>41</v>
      </c>
      <c r="H316" t="s">
        <v>1237</v>
      </c>
      <c r="J316" t="s">
        <v>240</v>
      </c>
      <c r="K316" t="s">
        <v>241</v>
      </c>
      <c r="L316">
        <v>7</v>
      </c>
      <c r="M316" t="s">
        <v>1238</v>
      </c>
      <c r="N316" t="s">
        <v>76</v>
      </c>
      <c r="O316" t="s">
        <v>47</v>
      </c>
      <c r="P316" t="s">
        <v>47</v>
      </c>
      <c r="Y316" t="s">
        <v>1237</v>
      </c>
    </row>
    <row r="317" spans="1:25">
      <c r="A317" t="s">
        <v>1239</v>
      </c>
      <c r="B317" t="s">
        <v>1240</v>
      </c>
      <c r="D317" t="s">
        <v>40</v>
      </c>
      <c r="E317" t="s">
        <v>41</v>
      </c>
      <c r="J317" t="s">
        <v>261</v>
      </c>
      <c r="K317" t="s">
        <v>262</v>
      </c>
      <c r="L317">
        <v>7</v>
      </c>
      <c r="M317" t="s">
        <v>1241</v>
      </c>
      <c r="N317" t="s">
        <v>76</v>
      </c>
      <c r="O317" t="s">
        <v>47</v>
      </c>
      <c r="P317" t="s">
        <v>47</v>
      </c>
      <c r="Y317" t="s">
        <v>1242</v>
      </c>
    </row>
    <row r="318" spans="1:25">
      <c r="A318" t="s">
        <v>1243</v>
      </c>
      <c r="B318" t="s">
        <v>1244</v>
      </c>
      <c r="D318" t="s">
        <v>40</v>
      </c>
      <c r="E318" t="s">
        <v>41</v>
      </c>
      <c r="J318" t="s">
        <v>168</v>
      </c>
      <c r="K318" t="s">
        <v>169</v>
      </c>
      <c r="L318">
        <v>7</v>
      </c>
      <c r="M318" t="s">
        <v>1245</v>
      </c>
      <c r="N318" t="s">
        <v>76</v>
      </c>
      <c r="O318" t="s">
        <v>47</v>
      </c>
      <c r="P318" t="s">
        <v>47</v>
      </c>
      <c r="Y318" t="s">
        <v>1246</v>
      </c>
    </row>
    <row r="319" spans="1:25">
      <c r="A319" t="s">
        <v>1247</v>
      </c>
      <c r="B319" t="s">
        <v>1248</v>
      </c>
      <c r="D319" t="s">
        <v>40</v>
      </c>
      <c r="E319" t="s">
        <v>41</v>
      </c>
      <c r="J319" t="s">
        <v>240</v>
      </c>
      <c r="K319" t="s">
        <v>241</v>
      </c>
      <c r="L319">
        <v>7</v>
      </c>
      <c r="M319" t="s">
        <v>1249</v>
      </c>
      <c r="N319" t="s">
        <v>76</v>
      </c>
      <c r="O319" t="s">
        <v>47</v>
      </c>
      <c r="P319" t="s">
        <v>47</v>
      </c>
      <c r="Y319" t="s">
        <v>1250</v>
      </c>
    </row>
    <row r="320" spans="1:25">
      <c r="A320" t="s">
        <v>1251</v>
      </c>
      <c r="B320" t="s">
        <v>1252</v>
      </c>
      <c r="D320" t="s">
        <v>40</v>
      </c>
      <c r="E320" t="s">
        <v>41</v>
      </c>
      <c r="J320" t="s">
        <v>190</v>
      </c>
      <c r="K320" t="s">
        <v>191</v>
      </c>
      <c r="L320">
        <v>7</v>
      </c>
      <c r="M320" t="s">
        <v>1253</v>
      </c>
      <c r="N320" t="s">
        <v>76</v>
      </c>
      <c r="O320" t="s">
        <v>47</v>
      </c>
      <c r="P320" t="s">
        <v>47</v>
      </c>
      <c r="Y320" t="s">
        <v>1254</v>
      </c>
    </row>
    <row r="321" spans="1:25">
      <c r="A321" t="s">
        <v>1255</v>
      </c>
      <c r="B321" t="s">
        <v>1256</v>
      </c>
      <c r="D321" t="s">
        <v>40</v>
      </c>
      <c r="E321" t="s">
        <v>41</v>
      </c>
      <c r="J321" t="s">
        <v>190</v>
      </c>
      <c r="K321" t="s">
        <v>191</v>
      </c>
      <c r="L321">
        <v>7</v>
      </c>
      <c r="M321" t="s">
        <v>1257</v>
      </c>
      <c r="N321" t="s">
        <v>76</v>
      </c>
      <c r="O321" t="s">
        <v>47</v>
      </c>
      <c r="P321" t="s">
        <v>47</v>
      </c>
      <c r="Y321" t="s">
        <v>1258</v>
      </c>
    </row>
    <row r="322" spans="1:25">
      <c r="A322" t="s">
        <v>1259</v>
      </c>
      <c r="B322" t="s">
        <v>1260</v>
      </c>
      <c r="D322" t="s">
        <v>40</v>
      </c>
      <c r="E322" t="s">
        <v>41</v>
      </c>
      <c r="J322" t="s">
        <v>261</v>
      </c>
      <c r="K322" t="s">
        <v>262</v>
      </c>
      <c r="L322">
        <v>7</v>
      </c>
      <c r="M322" t="s">
        <v>1261</v>
      </c>
      <c r="N322" t="s">
        <v>76</v>
      </c>
      <c r="O322" t="s">
        <v>47</v>
      </c>
      <c r="P322" t="s">
        <v>47</v>
      </c>
      <c r="Y322" t="s">
        <v>1262</v>
      </c>
    </row>
    <row r="323" spans="1:25">
      <c r="A323" t="s">
        <v>1263</v>
      </c>
      <c r="B323" t="s">
        <v>1264</v>
      </c>
      <c r="D323" t="s">
        <v>40</v>
      </c>
      <c r="E323" t="s">
        <v>41</v>
      </c>
      <c r="H323" t="s">
        <v>1265</v>
      </c>
      <c r="J323" t="s">
        <v>51</v>
      </c>
      <c r="K323" t="s">
        <v>52</v>
      </c>
      <c r="L323">
        <v>7</v>
      </c>
      <c r="M323" t="s">
        <v>1266</v>
      </c>
      <c r="N323" t="s">
        <v>80</v>
      </c>
      <c r="O323" t="s">
        <v>47</v>
      </c>
      <c r="P323" t="s">
        <v>47</v>
      </c>
      <c r="Y323" t="s">
        <v>1265</v>
      </c>
    </row>
    <row r="324" spans="1:25">
      <c r="A324" t="s">
        <v>1267</v>
      </c>
      <c r="B324" t="s">
        <v>1268</v>
      </c>
      <c r="D324" t="s">
        <v>40</v>
      </c>
      <c r="E324" t="s">
        <v>41</v>
      </c>
      <c r="J324" t="s">
        <v>190</v>
      </c>
      <c r="K324" t="s">
        <v>191</v>
      </c>
      <c r="L324">
        <v>7</v>
      </c>
      <c r="M324" t="s">
        <v>1269</v>
      </c>
      <c r="N324" t="s">
        <v>76</v>
      </c>
      <c r="O324" t="s">
        <v>47</v>
      </c>
      <c r="P324" t="s">
        <v>47</v>
      </c>
      <c r="Y324" t="s">
        <v>1270</v>
      </c>
    </row>
    <row r="325" spans="1:25">
      <c r="A325" t="s">
        <v>1271</v>
      </c>
      <c r="B325" t="s">
        <v>1272</v>
      </c>
      <c r="D325" t="s">
        <v>40</v>
      </c>
      <c r="E325" t="s">
        <v>41</v>
      </c>
      <c r="J325" t="s">
        <v>190</v>
      </c>
      <c r="K325" t="s">
        <v>191</v>
      </c>
      <c r="L325">
        <v>7</v>
      </c>
      <c r="M325" t="s">
        <v>1269</v>
      </c>
      <c r="N325" t="s">
        <v>76</v>
      </c>
      <c r="O325" t="s">
        <v>47</v>
      </c>
      <c r="P325" t="s">
        <v>47</v>
      </c>
      <c r="Y325" t="s">
        <v>1273</v>
      </c>
    </row>
    <row r="326" spans="1:25">
      <c r="A326" t="s">
        <v>1274</v>
      </c>
      <c r="B326" t="s">
        <v>1275</v>
      </c>
      <c r="D326" t="s">
        <v>40</v>
      </c>
      <c r="E326" t="s">
        <v>41</v>
      </c>
      <c r="H326" t="s">
        <v>1276</v>
      </c>
      <c r="J326" t="s">
        <v>73</v>
      </c>
      <c r="K326" t="s">
        <v>74</v>
      </c>
      <c r="L326">
        <v>7</v>
      </c>
      <c r="M326" t="s">
        <v>1277</v>
      </c>
      <c r="N326" t="s">
        <v>76</v>
      </c>
      <c r="O326" t="s">
        <v>47</v>
      </c>
      <c r="P326" t="s">
        <v>47</v>
      </c>
      <c r="Y326" t="s">
        <v>1276</v>
      </c>
    </row>
    <row r="327" spans="1:25">
      <c r="A327" t="s">
        <v>1278</v>
      </c>
      <c r="B327" t="s">
        <v>1279</v>
      </c>
      <c r="D327" t="s">
        <v>40</v>
      </c>
      <c r="E327" t="s">
        <v>41</v>
      </c>
      <c r="J327" t="s">
        <v>190</v>
      </c>
      <c r="K327" t="s">
        <v>191</v>
      </c>
      <c r="L327">
        <v>7</v>
      </c>
      <c r="M327" t="s">
        <v>1280</v>
      </c>
      <c r="N327" t="s">
        <v>76</v>
      </c>
      <c r="O327" t="s">
        <v>47</v>
      </c>
      <c r="P327" t="s">
        <v>47</v>
      </c>
      <c r="Y327" t="s">
        <v>1281</v>
      </c>
    </row>
    <row r="328" spans="1:25">
      <c r="A328" t="s">
        <v>1282</v>
      </c>
      <c r="B328" t="s">
        <v>1283</v>
      </c>
      <c r="D328" t="s">
        <v>40</v>
      </c>
      <c r="E328" t="s">
        <v>41</v>
      </c>
      <c r="J328" t="s">
        <v>190</v>
      </c>
      <c r="K328" t="s">
        <v>191</v>
      </c>
      <c r="L328">
        <v>7</v>
      </c>
      <c r="M328" t="s">
        <v>1284</v>
      </c>
      <c r="N328" t="s">
        <v>76</v>
      </c>
      <c r="O328" t="s">
        <v>47</v>
      </c>
      <c r="P328" t="s">
        <v>47</v>
      </c>
      <c r="Y328" t="s">
        <v>1285</v>
      </c>
    </row>
    <row r="329" spans="1:25">
      <c r="A329" t="s">
        <v>1286</v>
      </c>
      <c r="B329" t="s">
        <v>1287</v>
      </c>
      <c r="D329" t="s">
        <v>40</v>
      </c>
      <c r="E329" t="s">
        <v>41</v>
      </c>
      <c r="H329" t="s">
        <v>1288</v>
      </c>
      <c r="J329" t="s">
        <v>190</v>
      </c>
      <c r="K329" t="s">
        <v>191</v>
      </c>
      <c r="L329">
        <v>7</v>
      </c>
      <c r="M329" t="s">
        <v>1289</v>
      </c>
      <c r="N329" t="s">
        <v>76</v>
      </c>
      <c r="O329" t="s">
        <v>47</v>
      </c>
      <c r="P329" t="s">
        <v>47</v>
      </c>
      <c r="Y329" t="s">
        <v>1288</v>
      </c>
    </row>
    <row r="330" spans="1:25">
      <c r="A330" t="s">
        <v>1290</v>
      </c>
      <c r="B330" t="s">
        <v>1291</v>
      </c>
      <c r="D330" t="s">
        <v>40</v>
      </c>
      <c r="E330" t="s">
        <v>41</v>
      </c>
      <c r="J330" t="s">
        <v>318</v>
      </c>
      <c r="K330" t="s">
        <v>319</v>
      </c>
      <c r="L330">
        <v>7</v>
      </c>
      <c r="M330" t="s">
        <v>1292</v>
      </c>
      <c r="N330" t="s">
        <v>76</v>
      </c>
      <c r="O330" t="s">
        <v>47</v>
      </c>
      <c r="P330" t="s">
        <v>47</v>
      </c>
      <c r="Y330" t="s">
        <v>1293</v>
      </c>
    </row>
    <row r="331" spans="1:25">
      <c r="A331" t="s">
        <v>1294</v>
      </c>
      <c r="B331" t="s">
        <v>1295</v>
      </c>
      <c r="D331" t="s">
        <v>40</v>
      </c>
      <c r="E331" t="s">
        <v>41</v>
      </c>
      <c r="H331" t="s">
        <v>1296</v>
      </c>
      <c r="J331" t="s">
        <v>240</v>
      </c>
      <c r="K331" t="s">
        <v>241</v>
      </c>
      <c r="L331">
        <v>7</v>
      </c>
      <c r="M331" t="s">
        <v>1292</v>
      </c>
      <c r="N331" t="s">
        <v>76</v>
      </c>
      <c r="O331" t="s">
        <v>47</v>
      </c>
      <c r="P331" t="s">
        <v>47</v>
      </c>
      <c r="Y331" t="s">
        <v>1296</v>
      </c>
    </row>
    <row r="332" spans="1:25">
      <c r="A332" t="s">
        <v>1297</v>
      </c>
      <c r="B332" t="s">
        <v>1298</v>
      </c>
      <c r="D332" t="s">
        <v>40</v>
      </c>
      <c r="E332" t="s">
        <v>41</v>
      </c>
      <c r="J332" t="s">
        <v>168</v>
      </c>
      <c r="K332" t="s">
        <v>169</v>
      </c>
      <c r="L332">
        <v>7</v>
      </c>
      <c r="M332" t="s">
        <v>1299</v>
      </c>
      <c r="N332" t="s">
        <v>76</v>
      </c>
      <c r="O332" t="s">
        <v>47</v>
      </c>
      <c r="P332" t="s">
        <v>47</v>
      </c>
      <c r="Y332" t="s">
        <v>1300</v>
      </c>
    </row>
    <row r="333" spans="1:25">
      <c r="A333" t="s">
        <v>1301</v>
      </c>
      <c r="B333" t="s">
        <v>1302</v>
      </c>
      <c r="D333" t="s">
        <v>40</v>
      </c>
      <c r="E333" t="s">
        <v>41</v>
      </c>
      <c r="J333" t="s">
        <v>108</v>
      </c>
      <c r="K333" t="s">
        <v>109</v>
      </c>
      <c r="L333">
        <v>7</v>
      </c>
      <c r="M333" t="s">
        <v>1299</v>
      </c>
      <c r="N333" t="s">
        <v>80</v>
      </c>
      <c r="O333" t="s">
        <v>47</v>
      </c>
      <c r="P333" t="s">
        <v>47</v>
      </c>
      <c r="Y333" t="s">
        <v>1303</v>
      </c>
    </row>
    <row r="334" spans="1:25">
      <c r="A334" t="s">
        <v>1304</v>
      </c>
      <c r="B334" t="s">
        <v>1305</v>
      </c>
      <c r="D334" t="s">
        <v>40</v>
      </c>
      <c r="E334" t="s">
        <v>41</v>
      </c>
      <c r="J334" t="s">
        <v>190</v>
      </c>
      <c r="K334" t="s">
        <v>191</v>
      </c>
      <c r="L334">
        <v>7</v>
      </c>
      <c r="M334" t="s">
        <v>1306</v>
      </c>
      <c r="N334" t="s">
        <v>76</v>
      </c>
      <c r="O334" t="s">
        <v>47</v>
      </c>
      <c r="P334" t="s">
        <v>47</v>
      </c>
      <c r="Y334" t="s">
        <v>1307</v>
      </c>
    </row>
    <row r="335" spans="1:25">
      <c r="A335" t="s">
        <v>1308</v>
      </c>
      <c r="B335" t="s">
        <v>1309</v>
      </c>
      <c r="D335" t="s">
        <v>40</v>
      </c>
      <c r="E335" t="s">
        <v>41</v>
      </c>
      <c r="J335" t="s">
        <v>108</v>
      </c>
      <c r="K335" t="s">
        <v>109</v>
      </c>
      <c r="L335">
        <v>7</v>
      </c>
      <c r="M335" t="s">
        <v>1310</v>
      </c>
      <c r="N335" t="s">
        <v>202</v>
      </c>
      <c r="O335" t="s">
        <v>47</v>
      </c>
      <c r="P335" t="s">
        <v>47</v>
      </c>
      <c r="Y335" t="s">
        <v>1311</v>
      </c>
    </row>
    <row r="336" spans="1:25">
      <c r="A336" t="s">
        <v>1312</v>
      </c>
      <c r="B336" t="s">
        <v>1313</v>
      </c>
      <c r="D336" t="s">
        <v>40</v>
      </c>
      <c r="E336" t="s">
        <v>41</v>
      </c>
      <c r="J336" t="s">
        <v>261</v>
      </c>
      <c r="K336" t="s">
        <v>262</v>
      </c>
      <c r="L336">
        <v>7</v>
      </c>
      <c r="M336" t="s">
        <v>1310</v>
      </c>
      <c r="N336" t="s">
        <v>76</v>
      </c>
      <c r="O336" t="s">
        <v>47</v>
      </c>
      <c r="P336" t="s">
        <v>47</v>
      </c>
      <c r="Y336" t="s">
        <v>1314</v>
      </c>
    </row>
    <row r="337" spans="1:25">
      <c r="A337" t="s">
        <v>1315</v>
      </c>
      <c r="B337" t="s">
        <v>1316</v>
      </c>
      <c r="D337" t="s">
        <v>40</v>
      </c>
      <c r="E337" t="s">
        <v>41</v>
      </c>
      <c r="J337" t="s">
        <v>261</v>
      </c>
      <c r="K337" t="s">
        <v>262</v>
      </c>
      <c r="L337">
        <v>7</v>
      </c>
      <c r="M337" t="s">
        <v>1310</v>
      </c>
      <c r="N337" t="s">
        <v>76</v>
      </c>
      <c r="O337" t="s">
        <v>47</v>
      </c>
      <c r="P337" t="s">
        <v>47</v>
      </c>
      <c r="Y337" t="s">
        <v>1317</v>
      </c>
    </row>
    <row r="338" spans="1:25">
      <c r="A338" t="s">
        <v>1318</v>
      </c>
      <c r="B338" t="s">
        <v>1319</v>
      </c>
      <c r="D338" t="s">
        <v>40</v>
      </c>
      <c r="E338" t="s">
        <v>41</v>
      </c>
      <c r="J338" t="s">
        <v>190</v>
      </c>
      <c r="K338" t="s">
        <v>191</v>
      </c>
      <c r="L338">
        <v>7</v>
      </c>
      <c r="M338" t="s">
        <v>1320</v>
      </c>
      <c r="N338" t="s">
        <v>76</v>
      </c>
      <c r="O338" t="s">
        <v>47</v>
      </c>
      <c r="P338" t="s">
        <v>47</v>
      </c>
      <c r="Y338" t="s">
        <v>1321</v>
      </c>
    </row>
    <row r="339" spans="1:25">
      <c r="A339" t="s">
        <v>1322</v>
      </c>
      <c r="B339" t="s">
        <v>1323</v>
      </c>
      <c r="D339" t="s">
        <v>40</v>
      </c>
      <c r="E339" t="s">
        <v>41</v>
      </c>
      <c r="H339" t="s">
        <v>1324</v>
      </c>
      <c r="J339" t="s">
        <v>108</v>
      </c>
      <c r="K339" t="s">
        <v>109</v>
      </c>
      <c r="L339">
        <v>7</v>
      </c>
      <c r="M339" t="s">
        <v>1320</v>
      </c>
      <c r="N339" t="s">
        <v>80</v>
      </c>
      <c r="O339" t="s">
        <v>47</v>
      </c>
      <c r="P339" t="s">
        <v>47</v>
      </c>
      <c r="Y339" t="s">
        <v>1324</v>
      </c>
    </row>
    <row r="340" spans="1:25">
      <c r="A340" t="s">
        <v>1325</v>
      </c>
      <c r="B340" t="s">
        <v>1326</v>
      </c>
      <c r="D340" t="s">
        <v>40</v>
      </c>
      <c r="E340" t="s">
        <v>41</v>
      </c>
      <c r="J340" t="s">
        <v>240</v>
      </c>
      <c r="K340" t="s">
        <v>241</v>
      </c>
      <c r="L340">
        <v>7</v>
      </c>
      <c r="M340" t="s">
        <v>1320</v>
      </c>
      <c r="N340" t="s">
        <v>76</v>
      </c>
      <c r="O340" t="s">
        <v>47</v>
      </c>
      <c r="P340" t="s">
        <v>47</v>
      </c>
      <c r="Y340" t="s">
        <v>1327</v>
      </c>
    </row>
    <row r="341" spans="1:25">
      <c r="A341" t="s">
        <v>1328</v>
      </c>
      <c r="B341" t="s">
        <v>1329</v>
      </c>
      <c r="D341" t="s">
        <v>40</v>
      </c>
      <c r="E341" t="s">
        <v>41</v>
      </c>
      <c r="H341" t="s">
        <v>1330</v>
      </c>
      <c r="J341" t="s">
        <v>1331</v>
      </c>
      <c r="K341" t="s">
        <v>1332</v>
      </c>
      <c r="L341">
        <v>7</v>
      </c>
      <c r="M341" t="s">
        <v>1333</v>
      </c>
      <c r="N341" t="s">
        <v>80</v>
      </c>
      <c r="O341" t="s">
        <v>47</v>
      </c>
      <c r="P341" t="s">
        <v>47</v>
      </c>
      <c r="Y341" t="s">
        <v>1330</v>
      </c>
    </row>
    <row r="342" spans="1:25">
      <c r="A342" t="s">
        <v>1334</v>
      </c>
      <c r="B342" t="s">
        <v>1335</v>
      </c>
      <c r="D342" t="s">
        <v>40</v>
      </c>
      <c r="E342" t="s">
        <v>41</v>
      </c>
      <c r="H342" t="s">
        <v>1336</v>
      </c>
      <c r="J342" t="s">
        <v>73</v>
      </c>
      <c r="K342" t="s">
        <v>74</v>
      </c>
      <c r="L342">
        <v>7</v>
      </c>
      <c r="M342" t="s">
        <v>1337</v>
      </c>
      <c r="N342" t="s">
        <v>76</v>
      </c>
      <c r="O342" t="s">
        <v>47</v>
      </c>
      <c r="P342" t="s">
        <v>47</v>
      </c>
      <c r="Y342" t="s">
        <v>1336</v>
      </c>
    </row>
    <row r="343" spans="1:25">
      <c r="A343" t="s">
        <v>1338</v>
      </c>
      <c r="B343" t="s">
        <v>1339</v>
      </c>
      <c r="D343" t="s">
        <v>40</v>
      </c>
      <c r="E343" t="s">
        <v>41</v>
      </c>
      <c r="J343" t="s">
        <v>240</v>
      </c>
      <c r="K343" t="s">
        <v>241</v>
      </c>
      <c r="L343">
        <v>7</v>
      </c>
      <c r="M343" t="s">
        <v>1340</v>
      </c>
      <c r="N343" t="s">
        <v>76</v>
      </c>
      <c r="O343" t="s">
        <v>47</v>
      </c>
      <c r="P343" t="s">
        <v>47</v>
      </c>
      <c r="Y343" t="s">
        <v>1341</v>
      </c>
    </row>
    <row r="344" spans="1:25">
      <c r="A344" t="s">
        <v>1342</v>
      </c>
      <c r="B344" t="s">
        <v>1343</v>
      </c>
      <c r="D344" t="s">
        <v>40</v>
      </c>
      <c r="E344" t="s">
        <v>41</v>
      </c>
      <c r="H344" t="s">
        <v>1344</v>
      </c>
      <c r="J344" t="s">
        <v>168</v>
      </c>
      <c r="K344" t="s">
        <v>169</v>
      </c>
      <c r="L344">
        <v>7</v>
      </c>
      <c r="M344" t="s">
        <v>1345</v>
      </c>
      <c r="N344" t="s">
        <v>76</v>
      </c>
      <c r="O344" t="s">
        <v>47</v>
      </c>
      <c r="P344" t="s">
        <v>47</v>
      </c>
      <c r="Y344" t="s">
        <v>1344</v>
      </c>
    </row>
    <row r="345" spans="1:25">
      <c r="A345" t="s">
        <v>1346</v>
      </c>
      <c r="B345" t="s">
        <v>1347</v>
      </c>
      <c r="D345" t="s">
        <v>40</v>
      </c>
      <c r="E345" t="s">
        <v>41</v>
      </c>
      <c r="J345" t="s">
        <v>240</v>
      </c>
      <c r="K345" t="s">
        <v>241</v>
      </c>
      <c r="L345">
        <v>7</v>
      </c>
      <c r="M345" t="s">
        <v>1345</v>
      </c>
      <c r="N345" t="s">
        <v>76</v>
      </c>
      <c r="O345" t="s">
        <v>47</v>
      </c>
      <c r="P345" t="s">
        <v>47</v>
      </c>
      <c r="Y345" t="s">
        <v>1348</v>
      </c>
    </row>
    <row r="346" spans="1:25">
      <c r="A346" t="s">
        <v>1349</v>
      </c>
      <c r="B346" t="s">
        <v>1350</v>
      </c>
      <c r="D346" t="s">
        <v>40</v>
      </c>
      <c r="E346" t="s">
        <v>41</v>
      </c>
      <c r="H346" t="s">
        <v>1351</v>
      </c>
      <c r="J346" t="s">
        <v>108</v>
      </c>
      <c r="K346" t="s">
        <v>109</v>
      </c>
      <c r="L346">
        <v>7</v>
      </c>
      <c r="M346" t="s">
        <v>1352</v>
      </c>
      <c r="N346" t="s">
        <v>80</v>
      </c>
      <c r="O346" t="s">
        <v>47</v>
      </c>
      <c r="P346" t="s">
        <v>47</v>
      </c>
      <c r="Y346" t="s">
        <v>1351</v>
      </c>
    </row>
    <row r="347" spans="1:25">
      <c r="A347" t="s">
        <v>1353</v>
      </c>
      <c r="B347" t="s">
        <v>1354</v>
      </c>
      <c r="D347" t="s">
        <v>40</v>
      </c>
      <c r="E347" t="s">
        <v>41</v>
      </c>
      <c r="H347" t="s">
        <v>1355</v>
      </c>
      <c r="J347" t="s">
        <v>190</v>
      </c>
      <c r="K347" t="s">
        <v>191</v>
      </c>
      <c r="L347">
        <v>7</v>
      </c>
      <c r="M347" t="s">
        <v>1356</v>
      </c>
      <c r="N347" t="s">
        <v>76</v>
      </c>
      <c r="O347" t="s">
        <v>47</v>
      </c>
      <c r="P347" t="s">
        <v>47</v>
      </c>
      <c r="Y347" t="s">
        <v>1355</v>
      </c>
    </row>
    <row r="348" spans="1:25">
      <c r="A348" t="s">
        <v>1357</v>
      </c>
      <c r="B348" t="s">
        <v>1358</v>
      </c>
      <c r="D348" t="s">
        <v>40</v>
      </c>
      <c r="E348" t="s">
        <v>41</v>
      </c>
      <c r="H348" t="s">
        <v>1359</v>
      </c>
      <c r="J348" t="s">
        <v>261</v>
      </c>
      <c r="K348" t="s">
        <v>262</v>
      </c>
      <c r="L348">
        <v>7</v>
      </c>
      <c r="M348" t="s">
        <v>1360</v>
      </c>
      <c r="N348" t="s">
        <v>76</v>
      </c>
      <c r="O348" t="s">
        <v>47</v>
      </c>
      <c r="P348" t="s">
        <v>47</v>
      </c>
      <c r="Y348" t="s">
        <v>1359</v>
      </c>
    </row>
    <row r="349" spans="1:25">
      <c r="A349" t="s">
        <v>1361</v>
      </c>
      <c r="B349" t="s">
        <v>1362</v>
      </c>
      <c r="D349" t="s">
        <v>40</v>
      </c>
      <c r="E349" t="s">
        <v>41</v>
      </c>
      <c r="J349" t="s">
        <v>190</v>
      </c>
      <c r="K349" t="s">
        <v>191</v>
      </c>
      <c r="L349">
        <v>7</v>
      </c>
      <c r="M349" t="s">
        <v>1363</v>
      </c>
      <c r="N349" t="s">
        <v>76</v>
      </c>
      <c r="O349" t="s">
        <v>47</v>
      </c>
      <c r="P349" t="s">
        <v>47</v>
      </c>
      <c r="Y349" t="s">
        <v>1364</v>
      </c>
    </row>
    <row r="350" spans="1:25">
      <c r="A350" t="s">
        <v>1365</v>
      </c>
      <c r="B350" t="s">
        <v>1366</v>
      </c>
      <c r="D350" t="s">
        <v>40</v>
      </c>
      <c r="E350" t="s">
        <v>41</v>
      </c>
      <c r="H350" t="s">
        <v>1367</v>
      </c>
      <c r="J350" t="s">
        <v>108</v>
      </c>
      <c r="K350" t="s">
        <v>109</v>
      </c>
      <c r="L350">
        <v>7</v>
      </c>
      <c r="M350" t="s">
        <v>1363</v>
      </c>
      <c r="N350" t="s">
        <v>202</v>
      </c>
      <c r="O350" t="s">
        <v>47</v>
      </c>
      <c r="P350" t="s">
        <v>47</v>
      </c>
      <c r="Y350" t="s">
        <v>1367</v>
      </c>
    </row>
    <row r="351" spans="1:25">
      <c r="A351" t="s">
        <v>1368</v>
      </c>
      <c r="B351" t="s">
        <v>1369</v>
      </c>
      <c r="D351" t="s">
        <v>40</v>
      </c>
      <c r="E351" t="s">
        <v>41</v>
      </c>
      <c r="J351" t="s">
        <v>190</v>
      </c>
      <c r="K351" t="s">
        <v>191</v>
      </c>
      <c r="L351">
        <v>7</v>
      </c>
      <c r="M351" t="s">
        <v>1370</v>
      </c>
      <c r="N351" t="s">
        <v>76</v>
      </c>
      <c r="O351" t="s">
        <v>47</v>
      </c>
      <c r="P351" t="s">
        <v>47</v>
      </c>
      <c r="Y351" t="s">
        <v>1371</v>
      </c>
    </row>
    <row r="352" spans="1:25">
      <c r="A352" t="s">
        <v>1372</v>
      </c>
      <c r="B352" t="s">
        <v>1373</v>
      </c>
      <c r="D352" t="s">
        <v>40</v>
      </c>
      <c r="E352" t="s">
        <v>41</v>
      </c>
      <c r="J352" t="s">
        <v>240</v>
      </c>
      <c r="K352" t="s">
        <v>241</v>
      </c>
      <c r="L352">
        <v>7</v>
      </c>
      <c r="M352" t="s">
        <v>1374</v>
      </c>
      <c r="N352" t="s">
        <v>76</v>
      </c>
      <c r="O352" t="s">
        <v>47</v>
      </c>
      <c r="P352" t="s">
        <v>47</v>
      </c>
      <c r="Y352" t="s">
        <v>1375</v>
      </c>
    </row>
    <row r="353" spans="1:25">
      <c r="A353" t="s">
        <v>1376</v>
      </c>
      <c r="B353" t="s">
        <v>1377</v>
      </c>
      <c r="D353" t="s">
        <v>40</v>
      </c>
      <c r="E353" t="s">
        <v>41</v>
      </c>
      <c r="J353" t="s">
        <v>261</v>
      </c>
      <c r="K353" t="s">
        <v>262</v>
      </c>
      <c r="L353">
        <v>7</v>
      </c>
      <c r="M353" t="s">
        <v>1374</v>
      </c>
      <c r="N353" t="s">
        <v>76</v>
      </c>
      <c r="O353" t="s">
        <v>47</v>
      </c>
      <c r="P353" t="s">
        <v>47</v>
      </c>
      <c r="Y353" t="s">
        <v>1378</v>
      </c>
    </row>
    <row r="354" spans="1:25">
      <c r="A354" t="s">
        <v>231</v>
      </c>
      <c r="B354" t="s">
        <v>1379</v>
      </c>
      <c r="D354" t="s">
        <v>40</v>
      </c>
      <c r="E354" t="s">
        <v>41</v>
      </c>
      <c r="J354" t="s">
        <v>240</v>
      </c>
      <c r="K354" t="s">
        <v>241</v>
      </c>
      <c r="L354">
        <v>7</v>
      </c>
      <c r="M354" t="s">
        <v>1380</v>
      </c>
      <c r="N354" t="s">
        <v>76</v>
      </c>
      <c r="O354" t="s">
        <v>47</v>
      </c>
      <c r="P354" t="s">
        <v>47</v>
      </c>
      <c r="Y354" t="s">
        <v>1381</v>
      </c>
    </row>
    <row r="355" spans="1:25">
      <c r="A355" t="s">
        <v>1382</v>
      </c>
      <c r="B355" t="s">
        <v>1383</v>
      </c>
      <c r="D355" t="s">
        <v>40</v>
      </c>
      <c r="E355" t="s">
        <v>41</v>
      </c>
      <c r="J355" t="s">
        <v>190</v>
      </c>
      <c r="K355" t="s">
        <v>191</v>
      </c>
      <c r="L355">
        <v>7</v>
      </c>
      <c r="M355" t="s">
        <v>1384</v>
      </c>
      <c r="N355" t="s">
        <v>76</v>
      </c>
      <c r="O355" t="s">
        <v>47</v>
      </c>
      <c r="P355" t="s">
        <v>47</v>
      </c>
      <c r="Y355" t="s">
        <v>1385</v>
      </c>
    </row>
    <row r="356" spans="1:25">
      <c r="A356" t="s">
        <v>1386</v>
      </c>
      <c r="B356" t="s">
        <v>1387</v>
      </c>
      <c r="D356" t="s">
        <v>40</v>
      </c>
      <c r="E356" t="s">
        <v>41</v>
      </c>
      <c r="J356" t="s">
        <v>240</v>
      </c>
      <c r="K356" t="s">
        <v>241</v>
      </c>
      <c r="L356">
        <v>7</v>
      </c>
      <c r="M356" t="s">
        <v>1388</v>
      </c>
      <c r="N356" t="s">
        <v>76</v>
      </c>
      <c r="O356" t="s">
        <v>47</v>
      </c>
      <c r="P356" t="s">
        <v>47</v>
      </c>
      <c r="Y356" t="s">
        <v>1389</v>
      </c>
    </row>
    <row r="357" spans="1:25">
      <c r="A357" t="s">
        <v>1390</v>
      </c>
      <c r="B357" t="s">
        <v>1391</v>
      </c>
      <c r="D357" t="s">
        <v>40</v>
      </c>
      <c r="E357" t="s">
        <v>41</v>
      </c>
      <c r="H357" t="s">
        <v>1392</v>
      </c>
      <c r="J357" t="s">
        <v>108</v>
      </c>
      <c r="K357" t="s">
        <v>109</v>
      </c>
      <c r="L357">
        <v>7</v>
      </c>
      <c r="M357" t="s">
        <v>1393</v>
      </c>
      <c r="N357" t="s">
        <v>202</v>
      </c>
      <c r="O357" t="s">
        <v>47</v>
      </c>
      <c r="P357" t="s">
        <v>47</v>
      </c>
      <c r="Y357" t="s">
        <v>1392</v>
      </c>
    </row>
    <row r="358" spans="1:25">
      <c r="A358" t="s">
        <v>1394</v>
      </c>
      <c r="B358" t="s">
        <v>1395</v>
      </c>
      <c r="D358" t="s">
        <v>40</v>
      </c>
      <c r="E358" t="s">
        <v>41</v>
      </c>
      <c r="J358" t="s">
        <v>190</v>
      </c>
      <c r="K358" t="s">
        <v>191</v>
      </c>
      <c r="L358">
        <v>7</v>
      </c>
      <c r="M358" t="s">
        <v>1396</v>
      </c>
      <c r="N358" t="s">
        <v>76</v>
      </c>
      <c r="O358" t="s">
        <v>47</v>
      </c>
      <c r="P358" t="s">
        <v>47</v>
      </c>
      <c r="Y358" t="s">
        <v>1397</v>
      </c>
    </row>
    <row r="359" spans="1:25">
      <c r="A359" t="s">
        <v>1398</v>
      </c>
      <c r="B359" t="s">
        <v>1399</v>
      </c>
      <c r="D359" t="s">
        <v>40</v>
      </c>
      <c r="E359" t="s">
        <v>41</v>
      </c>
      <c r="J359" t="s">
        <v>190</v>
      </c>
      <c r="K359" t="s">
        <v>191</v>
      </c>
      <c r="L359">
        <v>7</v>
      </c>
      <c r="M359" t="s">
        <v>1396</v>
      </c>
      <c r="N359" t="s">
        <v>76</v>
      </c>
      <c r="O359" t="s">
        <v>47</v>
      </c>
      <c r="P359" t="s">
        <v>47</v>
      </c>
      <c r="Y359" t="s">
        <v>1400</v>
      </c>
    </row>
    <row r="360" spans="1:25">
      <c r="A360" t="s">
        <v>1401</v>
      </c>
      <c r="B360" t="s">
        <v>1402</v>
      </c>
      <c r="D360" t="s">
        <v>40</v>
      </c>
      <c r="E360" t="s">
        <v>41</v>
      </c>
      <c r="J360" t="s">
        <v>168</v>
      </c>
      <c r="K360" t="s">
        <v>169</v>
      </c>
      <c r="L360">
        <v>7</v>
      </c>
      <c r="M360" t="s">
        <v>1403</v>
      </c>
      <c r="N360" t="s">
        <v>76</v>
      </c>
      <c r="O360" t="s">
        <v>47</v>
      </c>
      <c r="P360" t="s">
        <v>47</v>
      </c>
      <c r="Y360" t="s">
        <v>1404</v>
      </c>
    </row>
    <row r="361" spans="1:25">
      <c r="A361" t="s">
        <v>1405</v>
      </c>
      <c r="B361" t="s">
        <v>1406</v>
      </c>
      <c r="D361" t="s">
        <v>40</v>
      </c>
      <c r="E361" t="s">
        <v>41</v>
      </c>
      <c r="J361" t="s">
        <v>168</v>
      </c>
      <c r="K361" t="s">
        <v>169</v>
      </c>
      <c r="L361">
        <v>7</v>
      </c>
      <c r="M361" t="s">
        <v>1403</v>
      </c>
      <c r="N361" t="s">
        <v>76</v>
      </c>
      <c r="O361" t="s">
        <v>47</v>
      </c>
      <c r="P361" t="s">
        <v>47</v>
      </c>
      <c r="Y361" t="s">
        <v>1407</v>
      </c>
    </row>
    <row r="362" spans="1:25">
      <c r="A362" t="s">
        <v>1408</v>
      </c>
      <c r="B362" t="s">
        <v>1409</v>
      </c>
      <c r="D362" t="s">
        <v>40</v>
      </c>
      <c r="E362" t="s">
        <v>41</v>
      </c>
      <c r="H362" t="s">
        <v>1410</v>
      </c>
      <c r="J362" t="s">
        <v>261</v>
      </c>
      <c r="K362" t="s">
        <v>262</v>
      </c>
      <c r="L362">
        <v>7</v>
      </c>
      <c r="M362" t="s">
        <v>1403</v>
      </c>
      <c r="N362" t="s">
        <v>76</v>
      </c>
      <c r="O362" t="s">
        <v>47</v>
      </c>
      <c r="P362" t="s">
        <v>47</v>
      </c>
      <c r="Y362" t="s">
        <v>1410</v>
      </c>
    </row>
    <row r="363" spans="1:25">
      <c r="A363" t="s">
        <v>1411</v>
      </c>
      <c r="B363" t="s">
        <v>1412</v>
      </c>
      <c r="D363" t="s">
        <v>40</v>
      </c>
      <c r="E363" t="s">
        <v>41</v>
      </c>
      <c r="J363" t="s">
        <v>108</v>
      </c>
      <c r="K363" t="s">
        <v>109</v>
      </c>
      <c r="L363">
        <v>7</v>
      </c>
      <c r="M363" t="s">
        <v>1413</v>
      </c>
      <c r="N363" t="s">
        <v>80</v>
      </c>
      <c r="O363" t="s">
        <v>47</v>
      </c>
      <c r="P363" t="s">
        <v>47</v>
      </c>
      <c r="Y363" t="s">
        <v>1414</v>
      </c>
    </row>
    <row r="364" spans="1:25">
      <c r="A364" t="s">
        <v>1415</v>
      </c>
      <c r="B364" t="s">
        <v>1416</v>
      </c>
      <c r="D364" t="s">
        <v>40</v>
      </c>
      <c r="E364" t="s">
        <v>41</v>
      </c>
      <c r="H364" t="s">
        <v>1417</v>
      </c>
      <c r="J364" t="s">
        <v>190</v>
      </c>
      <c r="K364" t="s">
        <v>191</v>
      </c>
      <c r="L364">
        <v>7</v>
      </c>
      <c r="M364" t="s">
        <v>1418</v>
      </c>
      <c r="N364" t="s">
        <v>76</v>
      </c>
      <c r="O364" t="s">
        <v>47</v>
      </c>
      <c r="P364" t="s">
        <v>47</v>
      </c>
      <c r="Y364" t="s">
        <v>1417</v>
      </c>
    </row>
    <row r="365" spans="1:25">
      <c r="A365" t="s">
        <v>1419</v>
      </c>
      <c r="B365" t="s">
        <v>1420</v>
      </c>
      <c r="D365" t="s">
        <v>40</v>
      </c>
      <c r="E365" t="s">
        <v>41</v>
      </c>
      <c r="J365" t="s">
        <v>240</v>
      </c>
      <c r="K365" t="s">
        <v>241</v>
      </c>
      <c r="L365">
        <v>7</v>
      </c>
      <c r="M365" t="s">
        <v>1421</v>
      </c>
      <c r="N365" t="s">
        <v>76</v>
      </c>
      <c r="O365" t="s">
        <v>47</v>
      </c>
      <c r="P365" t="s">
        <v>47</v>
      </c>
      <c r="Y365" t="s">
        <v>1422</v>
      </c>
    </row>
    <row r="366" spans="1:25">
      <c r="A366" t="s">
        <v>1423</v>
      </c>
      <c r="B366" t="s">
        <v>1424</v>
      </c>
      <c r="D366" t="s">
        <v>40</v>
      </c>
      <c r="E366" t="s">
        <v>41</v>
      </c>
      <c r="J366" t="s">
        <v>261</v>
      </c>
      <c r="K366" t="s">
        <v>262</v>
      </c>
      <c r="L366">
        <v>7</v>
      </c>
      <c r="M366" t="s">
        <v>1425</v>
      </c>
      <c r="N366" t="s">
        <v>76</v>
      </c>
      <c r="O366" t="s">
        <v>47</v>
      </c>
      <c r="P366" t="s">
        <v>47</v>
      </c>
      <c r="Y366" t="s">
        <v>1426</v>
      </c>
    </row>
    <row r="367" spans="1:25">
      <c r="A367" t="s">
        <v>231</v>
      </c>
      <c r="B367" t="s">
        <v>1427</v>
      </c>
      <c r="D367" t="s">
        <v>40</v>
      </c>
      <c r="E367" t="s">
        <v>41</v>
      </c>
      <c r="J367" t="s">
        <v>190</v>
      </c>
      <c r="K367" t="s">
        <v>191</v>
      </c>
      <c r="L367">
        <v>7</v>
      </c>
      <c r="M367" t="s">
        <v>1425</v>
      </c>
      <c r="N367" t="s">
        <v>76</v>
      </c>
      <c r="O367" t="s">
        <v>47</v>
      </c>
      <c r="P367" t="s">
        <v>47</v>
      </c>
      <c r="Y367" t="s">
        <v>1428</v>
      </c>
    </row>
    <row r="368" spans="1:25">
      <c r="A368" t="s">
        <v>1429</v>
      </c>
      <c r="B368" t="s">
        <v>1430</v>
      </c>
      <c r="D368" t="s">
        <v>40</v>
      </c>
      <c r="E368" t="s">
        <v>41</v>
      </c>
      <c r="J368" t="s">
        <v>240</v>
      </c>
      <c r="K368" t="s">
        <v>241</v>
      </c>
      <c r="L368">
        <v>7</v>
      </c>
      <c r="M368" t="s">
        <v>1431</v>
      </c>
      <c r="N368" t="s">
        <v>76</v>
      </c>
      <c r="O368" t="s">
        <v>47</v>
      </c>
      <c r="P368" t="s">
        <v>47</v>
      </c>
      <c r="Y368" t="s">
        <v>1432</v>
      </c>
    </row>
    <row r="369" spans="1:25">
      <c r="A369" t="s">
        <v>1433</v>
      </c>
      <c r="B369" t="s">
        <v>1434</v>
      </c>
      <c r="D369" t="s">
        <v>40</v>
      </c>
      <c r="E369" t="s">
        <v>41</v>
      </c>
      <c r="J369" t="s">
        <v>190</v>
      </c>
      <c r="K369" t="s">
        <v>191</v>
      </c>
      <c r="L369">
        <v>7</v>
      </c>
      <c r="M369" t="s">
        <v>1435</v>
      </c>
      <c r="N369" t="s">
        <v>76</v>
      </c>
      <c r="O369" t="s">
        <v>47</v>
      </c>
      <c r="P369" t="s">
        <v>47</v>
      </c>
      <c r="Y369" t="s">
        <v>1436</v>
      </c>
    </row>
    <row r="370" spans="1:25">
      <c r="A370" t="s">
        <v>1437</v>
      </c>
      <c r="B370" t="s">
        <v>1438</v>
      </c>
      <c r="D370" t="s">
        <v>40</v>
      </c>
      <c r="E370" t="s">
        <v>41</v>
      </c>
      <c r="J370" t="s">
        <v>318</v>
      </c>
      <c r="K370" t="s">
        <v>319</v>
      </c>
      <c r="L370">
        <v>7</v>
      </c>
      <c r="M370" t="s">
        <v>1435</v>
      </c>
      <c r="N370" t="s">
        <v>76</v>
      </c>
      <c r="O370" t="s">
        <v>47</v>
      </c>
      <c r="P370" t="s">
        <v>47</v>
      </c>
      <c r="Y370" t="s">
        <v>1439</v>
      </c>
    </row>
    <row r="371" spans="1:25">
      <c r="A371" t="s">
        <v>1440</v>
      </c>
      <c r="B371" t="s">
        <v>1441</v>
      </c>
      <c r="D371" t="s">
        <v>40</v>
      </c>
      <c r="E371" t="s">
        <v>41</v>
      </c>
      <c r="J371" t="s">
        <v>190</v>
      </c>
      <c r="K371" t="s">
        <v>191</v>
      </c>
      <c r="L371">
        <v>7</v>
      </c>
      <c r="M371" t="s">
        <v>1442</v>
      </c>
      <c r="N371" t="s">
        <v>76</v>
      </c>
      <c r="O371" t="s">
        <v>47</v>
      </c>
      <c r="P371" t="s">
        <v>47</v>
      </c>
      <c r="Y371" t="s">
        <v>1443</v>
      </c>
    </row>
    <row r="372" spans="1:25">
      <c r="A372" t="s">
        <v>1444</v>
      </c>
      <c r="B372" t="s">
        <v>1445</v>
      </c>
      <c r="D372" t="s">
        <v>40</v>
      </c>
      <c r="E372" t="s">
        <v>41</v>
      </c>
      <c r="H372" t="s">
        <v>1446</v>
      </c>
      <c r="J372" t="s">
        <v>73</v>
      </c>
      <c r="K372" t="s">
        <v>74</v>
      </c>
      <c r="L372">
        <v>7</v>
      </c>
      <c r="M372" t="s">
        <v>1447</v>
      </c>
      <c r="N372" t="s">
        <v>76</v>
      </c>
      <c r="O372" t="s">
        <v>47</v>
      </c>
      <c r="P372" t="s">
        <v>47</v>
      </c>
      <c r="Y372" t="s">
        <v>1446</v>
      </c>
    </row>
    <row r="373" spans="1:25">
      <c r="A373" t="s">
        <v>1448</v>
      </c>
      <c r="B373" t="s">
        <v>1449</v>
      </c>
      <c r="D373" t="s">
        <v>40</v>
      </c>
      <c r="E373" t="s">
        <v>41</v>
      </c>
      <c r="H373" t="s">
        <v>1450</v>
      </c>
      <c r="J373" t="s">
        <v>279</v>
      </c>
      <c r="K373" t="s">
        <v>280</v>
      </c>
      <c r="L373">
        <v>8</v>
      </c>
      <c r="M373" t="s">
        <v>1451</v>
      </c>
      <c r="N373" t="s">
        <v>80</v>
      </c>
      <c r="O373" t="s">
        <v>47</v>
      </c>
      <c r="P373" t="s">
        <v>47</v>
      </c>
      <c r="Y373" t="s">
        <v>1450</v>
      </c>
    </row>
    <row r="374" spans="1:25">
      <c r="A374" t="s">
        <v>1452</v>
      </c>
      <c r="B374" t="s">
        <v>1453</v>
      </c>
      <c r="D374" t="s">
        <v>40</v>
      </c>
      <c r="E374" t="s">
        <v>41</v>
      </c>
      <c r="J374" t="s">
        <v>261</v>
      </c>
      <c r="K374" t="s">
        <v>262</v>
      </c>
      <c r="L374">
        <v>7</v>
      </c>
      <c r="M374" t="s">
        <v>1454</v>
      </c>
      <c r="N374" t="s">
        <v>76</v>
      </c>
      <c r="O374" t="s">
        <v>47</v>
      </c>
      <c r="P374" t="s">
        <v>47</v>
      </c>
      <c r="Y374" t="s">
        <v>1455</v>
      </c>
    </row>
    <row r="375" spans="1:25">
      <c r="A375" t="s">
        <v>1456</v>
      </c>
      <c r="B375" t="s">
        <v>1457</v>
      </c>
      <c r="D375" t="s">
        <v>40</v>
      </c>
      <c r="E375" t="s">
        <v>41</v>
      </c>
      <c r="J375" t="s">
        <v>261</v>
      </c>
      <c r="K375" t="s">
        <v>262</v>
      </c>
      <c r="L375">
        <v>7</v>
      </c>
      <c r="M375" t="s">
        <v>1458</v>
      </c>
      <c r="N375" t="s">
        <v>76</v>
      </c>
      <c r="O375" t="s">
        <v>47</v>
      </c>
      <c r="P375" t="s">
        <v>47</v>
      </c>
      <c r="Y375" t="s">
        <v>1459</v>
      </c>
    </row>
    <row r="376" spans="1:25">
      <c r="A376" t="s">
        <v>1460</v>
      </c>
      <c r="B376" t="s">
        <v>1461</v>
      </c>
      <c r="D376" t="s">
        <v>40</v>
      </c>
      <c r="E376" t="s">
        <v>41</v>
      </c>
      <c r="J376" t="s">
        <v>261</v>
      </c>
      <c r="K376" t="s">
        <v>262</v>
      </c>
      <c r="L376">
        <v>7</v>
      </c>
      <c r="M376" t="s">
        <v>1462</v>
      </c>
      <c r="N376" t="s">
        <v>76</v>
      </c>
      <c r="O376" t="s">
        <v>47</v>
      </c>
      <c r="P376" t="s">
        <v>47</v>
      </c>
      <c r="Y376" t="s">
        <v>1463</v>
      </c>
    </row>
    <row r="377" spans="1:25">
      <c r="A377" t="s">
        <v>1464</v>
      </c>
      <c r="B377" t="s">
        <v>1465</v>
      </c>
      <c r="D377" t="s">
        <v>40</v>
      </c>
      <c r="E377" t="s">
        <v>41</v>
      </c>
      <c r="J377" t="s">
        <v>261</v>
      </c>
      <c r="K377" t="s">
        <v>262</v>
      </c>
      <c r="L377">
        <v>7</v>
      </c>
      <c r="M377" t="s">
        <v>1466</v>
      </c>
      <c r="N377" t="s">
        <v>76</v>
      </c>
      <c r="O377" t="s">
        <v>47</v>
      </c>
      <c r="P377" t="s">
        <v>47</v>
      </c>
      <c r="Y377" t="s">
        <v>1467</v>
      </c>
    </row>
    <row r="378" spans="1:25">
      <c r="A378" t="s">
        <v>1468</v>
      </c>
      <c r="B378" t="s">
        <v>1469</v>
      </c>
      <c r="D378" t="s">
        <v>40</v>
      </c>
      <c r="E378" t="s">
        <v>41</v>
      </c>
      <c r="J378" t="s">
        <v>190</v>
      </c>
      <c r="K378" t="s">
        <v>191</v>
      </c>
      <c r="L378">
        <v>7</v>
      </c>
      <c r="M378" t="s">
        <v>1466</v>
      </c>
      <c r="N378" t="s">
        <v>76</v>
      </c>
      <c r="O378" t="s">
        <v>47</v>
      </c>
      <c r="P378" t="s">
        <v>47</v>
      </c>
      <c r="Y378" t="s">
        <v>1470</v>
      </c>
    </row>
    <row r="379" spans="1:25">
      <c r="A379" t="s">
        <v>1471</v>
      </c>
      <c r="B379" t="s">
        <v>1472</v>
      </c>
      <c r="D379" t="s">
        <v>40</v>
      </c>
      <c r="E379" t="s">
        <v>41</v>
      </c>
      <c r="H379" t="s">
        <v>1473</v>
      </c>
      <c r="J379" t="s">
        <v>240</v>
      </c>
      <c r="K379" t="s">
        <v>241</v>
      </c>
      <c r="L379">
        <v>7</v>
      </c>
      <c r="M379" t="s">
        <v>1466</v>
      </c>
      <c r="N379" t="s">
        <v>76</v>
      </c>
      <c r="O379" t="s">
        <v>47</v>
      </c>
      <c r="P379" t="s">
        <v>47</v>
      </c>
      <c r="Y379" t="s">
        <v>1473</v>
      </c>
    </row>
    <row r="380" spans="1:25">
      <c r="A380" t="s">
        <v>1474</v>
      </c>
      <c r="B380" t="s">
        <v>1475</v>
      </c>
      <c r="D380" t="s">
        <v>40</v>
      </c>
      <c r="E380" t="s">
        <v>41</v>
      </c>
      <c r="H380" t="s">
        <v>1476</v>
      </c>
      <c r="J380" t="s">
        <v>108</v>
      </c>
      <c r="K380" t="s">
        <v>109</v>
      </c>
      <c r="L380">
        <v>7</v>
      </c>
      <c r="M380" t="s">
        <v>1466</v>
      </c>
      <c r="N380" t="s">
        <v>202</v>
      </c>
      <c r="O380" t="s">
        <v>47</v>
      </c>
      <c r="P380" t="s">
        <v>47</v>
      </c>
      <c r="Y380" t="s">
        <v>1476</v>
      </c>
    </row>
    <row r="381" spans="1:25">
      <c r="A381" t="s">
        <v>1477</v>
      </c>
      <c r="B381" t="s">
        <v>1478</v>
      </c>
      <c r="D381" t="s">
        <v>40</v>
      </c>
      <c r="E381" t="s">
        <v>41</v>
      </c>
      <c r="J381" t="s">
        <v>240</v>
      </c>
      <c r="K381" t="s">
        <v>241</v>
      </c>
      <c r="L381">
        <v>7</v>
      </c>
      <c r="M381" t="s">
        <v>1479</v>
      </c>
      <c r="N381" t="s">
        <v>76</v>
      </c>
      <c r="O381" t="s">
        <v>47</v>
      </c>
      <c r="P381" t="s">
        <v>47</v>
      </c>
      <c r="Y381" t="s">
        <v>1480</v>
      </c>
    </row>
    <row r="382" spans="1:25">
      <c r="A382" t="s">
        <v>1481</v>
      </c>
      <c r="B382" t="s">
        <v>1482</v>
      </c>
      <c r="D382" t="s">
        <v>40</v>
      </c>
      <c r="E382" t="s">
        <v>41</v>
      </c>
      <c r="J382" t="s">
        <v>190</v>
      </c>
      <c r="K382" t="s">
        <v>191</v>
      </c>
      <c r="L382">
        <v>7</v>
      </c>
      <c r="M382" t="s">
        <v>1479</v>
      </c>
      <c r="N382" t="s">
        <v>76</v>
      </c>
      <c r="O382" t="s">
        <v>47</v>
      </c>
      <c r="P382" t="s">
        <v>47</v>
      </c>
      <c r="Y382" t="s">
        <v>1483</v>
      </c>
    </row>
    <row r="383" spans="1:25">
      <c r="A383" t="s">
        <v>1484</v>
      </c>
      <c r="B383" t="s">
        <v>1485</v>
      </c>
      <c r="D383" t="s">
        <v>40</v>
      </c>
      <c r="E383" t="s">
        <v>41</v>
      </c>
      <c r="J383" t="s">
        <v>190</v>
      </c>
      <c r="K383" t="s">
        <v>191</v>
      </c>
      <c r="L383">
        <v>7</v>
      </c>
      <c r="M383" t="s">
        <v>1486</v>
      </c>
      <c r="N383" t="s">
        <v>76</v>
      </c>
      <c r="O383" t="s">
        <v>47</v>
      </c>
      <c r="P383" t="s">
        <v>47</v>
      </c>
      <c r="Y383" t="s">
        <v>1487</v>
      </c>
    </row>
    <row r="384" spans="1:25">
      <c r="A384" t="s">
        <v>1488</v>
      </c>
      <c r="B384" t="s">
        <v>1489</v>
      </c>
      <c r="D384" t="s">
        <v>40</v>
      </c>
      <c r="E384" t="s">
        <v>41</v>
      </c>
      <c r="J384" t="s">
        <v>190</v>
      </c>
      <c r="K384" t="s">
        <v>191</v>
      </c>
      <c r="L384">
        <v>7</v>
      </c>
      <c r="M384" t="s">
        <v>1490</v>
      </c>
      <c r="N384" t="s">
        <v>76</v>
      </c>
      <c r="O384" t="s">
        <v>47</v>
      </c>
      <c r="P384" t="s">
        <v>47</v>
      </c>
      <c r="Y384" t="s">
        <v>1491</v>
      </c>
    </row>
    <row r="385" spans="1:25">
      <c r="A385" t="s">
        <v>1492</v>
      </c>
      <c r="B385" t="s">
        <v>1493</v>
      </c>
      <c r="D385" t="s">
        <v>40</v>
      </c>
      <c r="E385" t="s">
        <v>41</v>
      </c>
      <c r="J385" t="s">
        <v>318</v>
      </c>
      <c r="K385" t="s">
        <v>319</v>
      </c>
      <c r="L385">
        <v>7</v>
      </c>
      <c r="M385" t="s">
        <v>1494</v>
      </c>
      <c r="N385" t="s">
        <v>76</v>
      </c>
      <c r="O385" t="s">
        <v>47</v>
      </c>
      <c r="P385" t="s">
        <v>47</v>
      </c>
      <c r="Y385" t="s">
        <v>1495</v>
      </c>
    </row>
    <row r="386" spans="1:25">
      <c r="A386" t="s">
        <v>1496</v>
      </c>
      <c r="B386" t="s">
        <v>1497</v>
      </c>
      <c r="D386" t="s">
        <v>40</v>
      </c>
      <c r="E386" t="s">
        <v>41</v>
      </c>
      <c r="J386" t="s">
        <v>318</v>
      </c>
      <c r="K386" t="s">
        <v>319</v>
      </c>
      <c r="L386">
        <v>7</v>
      </c>
      <c r="M386" t="s">
        <v>1494</v>
      </c>
      <c r="N386" t="s">
        <v>76</v>
      </c>
      <c r="O386" t="s">
        <v>47</v>
      </c>
      <c r="P386" t="s">
        <v>47</v>
      </c>
      <c r="Y386" t="s">
        <v>1498</v>
      </c>
    </row>
    <row r="387" spans="1:25">
      <c r="A387" t="s">
        <v>1499</v>
      </c>
      <c r="B387" t="s">
        <v>1500</v>
      </c>
      <c r="D387" t="s">
        <v>40</v>
      </c>
      <c r="E387" t="s">
        <v>41</v>
      </c>
      <c r="H387" t="s">
        <v>1501</v>
      </c>
      <c r="J387" t="s">
        <v>190</v>
      </c>
      <c r="K387" t="s">
        <v>191</v>
      </c>
      <c r="L387">
        <v>7</v>
      </c>
      <c r="M387" t="s">
        <v>1494</v>
      </c>
      <c r="N387" t="s">
        <v>76</v>
      </c>
      <c r="O387" t="s">
        <v>47</v>
      </c>
      <c r="P387" t="s">
        <v>47</v>
      </c>
      <c r="Y387" t="s">
        <v>1501</v>
      </c>
    </row>
    <row r="388" spans="1:25">
      <c r="A388" t="s">
        <v>1502</v>
      </c>
      <c r="B388" t="s">
        <v>1503</v>
      </c>
      <c r="D388" t="s">
        <v>40</v>
      </c>
      <c r="E388" t="s">
        <v>41</v>
      </c>
      <c r="J388" t="s">
        <v>261</v>
      </c>
      <c r="K388" t="s">
        <v>262</v>
      </c>
      <c r="L388">
        <v>7</v>
      </c>
      <c r="M388" t="s">
        <v>1504</v>
      </c>
      <c r="N388" t="s">
        <v>76</v>
      </c>
      <c r="O388" t="s">
        <v>47</v>
      </c>
      <c r="P388" t="s">
        <v>47</v>
      </c>
      <c r="Y388" t="s">
        <v>1505</v>
      </c>
    </row>
    <row r="389" spans="1:25">
      <c r="A389" t="s">
        <v>1506</v>
      </c>
      <c r="B389" t="s">
        <v>1507</v>
      </c>
      <c r="D389" t="s">
        <v>40</v>
      </c>
      <c r="E389" t="s">
        <v>41</v>
      </c>
      <c r="J389" t="s">
        <v>240</v>
      </c>
      <c r="K389" t="s">
        <v>241</v>
      </c>
      <c r="L389">
        <v>7</v>
      </c>
      <c r="M389" t="s">
        <v>1508</v>
      </c>
      <c r="N389" t="s">
        <v>76</v>
      </c>
      <c r="O389" t="s">
        <v>47</v>
      </c>
      <c r="P389" t="s">
        <v>47</v>
      </c>
      <c r="Y389" t="s">
        <v>1509</v>
      </c>
    </row>
    <row r="390" spans="1:25">
      <c r="A390" t="s">
        <v>1510</v>
      </c>
      <c r="B390" t="s">
        <v>1511</v>
      </c>
      <c r="D390" t="s">
        <v>40</v>
      </c>
      <c r="E390" t="s">
        <v>41</v>
      </c>
      <c r="H390" t="s">
        <v>1512</v>
      </c>
      <c r="J390" t="s">
        <v>261</v>
      </c>
      <c r="K390" t="s">
        <v>262</v>
      </c>
      <c r="L390">
        <v>7</v>
      </c>
      <c r="M390" t="s">
        <v>1513</v>
      </c>
      <c r="N390" t="s">
        <v>76</v>
      </c>
      <c r="O390" t="s">
        <v>47</v>
      </c>
      <c r="P390" t="s">
        <v>47</v>
      </c>
      <c r="Y390" t="s">
        <v>1512</v>
      </c>
    </row>
    <row r="391" spans="1:25">
      <c r="A391" t="s">
        <v>1514</v>
      </c>
      <c r="B391" t="s">
        <v>1515</v>
      </c>
      <c r="D391" t="s">
        <v>40</v>
      </c>
      <c r="E391" t="s">
        <v>41</v>
      </c>
      <c r="J391" t="s">
        <v>261</v>
      </c>
      <c r="K391" t="s">
        <v>262</v>
      </c>
      <c r="L391">
        <v>7</v>
      </c>
      <c r="M391" t="s">
        <v>1516</v>
      </c>
      <c r="N391" t="s">
        <v>76</v>
      </c>
      <c r="O391" t="s">
        <v>47</v>
      </c>
      <c r="P391" t="s">
        <v>47</v>
      </c>
      <c r="Y391" t="s">
        <v>1517</v>
      </c>
    </row>
    <row r="392" spans="1:25">
      <c r="A392" t="s">
        <v>1518</v>
      </c>
      <c r="B392" t="s">
        <v>1519</v>
      </c>
      <c r="D392" t="s">
        <v>40</v>
      </c>
      <c r="E392" t="s">
        <v>41</v>
      </c>
      <c r="J392" t="s">
        <v>240</v>
      </c>
      <c r="K392" t="s">
        <v>241</v>
      </c>
      <c r="L392">
        <v>7</v>
      </c>
      <c r="M392" t="s">
        <v>1516</v>
      </c>
      <c r="N392" t="s">
        <v>76</v>
      </c>
      <c r="O392" t="s">
        <v>47</v>
      </c>
      <c r="P392" t="s">
        <v>47</v>
      </c>
      <c r="Y392" t="s">
        <v>1520</v>
      </c>
    </row>
    <row r="393" spans="1:25">
      <c r="A393" t="s">
        <v>1521</v>
      </c>
      <c r="B393" t="s">
        <v>1522</v>
      </c>
      <c r="D393" t="s">
        <v>40</v>
      </c>
      <c r="E393" t="s">
        <v>41</v>
      </c>
      <c r="H393" t="s">
        <v>1523</v>
      </c>
      <c r="J393" t="s">
        <v>108</v>
      </c>
      <c r="K393" t="s">
        <v>109</v>
      </c>
      <c r="L393">
        <v>7</v>
      </c>
      <c r="M393" t="s">
        <v>1516</v>
      </c>
      <c r="N393" t="s">
        <v>202</v>
      </c>
      <c r="O393" t="s">
        <v>47</v>
      </c>
      <c r="P393" t="s">
        <v>47</v>
      </c>
      <c r="Y393" t="s">
        <v>1523</v>
      </c>
    </row>
    <row r="394" spans="1:25">
      <c r="A394" t="s">
        <v>1524</v>
      </c>
      <c r="B394" t="s">
        <v>1525</v>
      </c>
      <c r="D394" t="s">
        <v>40</v>
      </c>
      <c r="E394" t="s">
        <v>41</v>
      </c>
      <c r="J394" t="s">
        <v>261</v>
      </c>
      <c r="K394" t="s">
        <v>262</v>
      </c>
      <c r="L394">
        <v>7</v>
      </c>
      <c r="M394" t="s">
        <v>1516</v>
      </c>
      <c r="N394" t="s">
        <v>76</v>
      </c>
      <c r="O394" t="s">
        <v>47</v>
      </c>
      <c r="P394" t="s">
        <v>47</v>
      </c>
      <c r="Y394" t="s">
        <v>1526</v>
      </c>
    </row>
    <row r="395" spans="1:25">
      <c r="A395" t="s">
        <v>1527</v>
      </c>
      <c r="B395" t="s">
        <v>1528</v>
      </c>
      <c r="D395" t="s">
        <v>40</v>
      </c>
      <c r="E395" t="s">
        <v>41</v>
      </c>
      <c r="J395" t="s">
        <v>190</v>
      </c>
      <c r="K395" t="s">
        <v>191</v>
      </c>
      <c r="L395">
        <v>7</v>
      </c>
      <c r="M395" t="s">
        <v>1529</v>
      </c>
      <c r="N395" t="s">
        <v>76</v>
      </c>
      <c r="O395" t="s">
        <v>47</v>
      </c>
      <c r="P395" t="s">
        <v>47</v>
      </c>
      <c r="Y395" t="s">
        <v>1530</v>
      </c>
    </row>
    <row r="396" spans="1:25">
      <c r="A396" t="s">
        <v>1531</v>
      </c>
      <c r="B396" t="s">
        <v>1532</v>
      </c>
      <c r="D396" t="s">
        <v>40</v>
      </c>
      <c r="E396" t="s">
        <v>41</v>
      </c>
      <c r="J396" t="s">
        <v>190</v>
      </c>
      <c r="K396" t="s">
        <v>191</v>
      </c>
      <c r="L396">
        <v>7</v>
      </c>
      <c r="M396" t="s">
        <v>1533</v>
      </c>
      <c r="N396" t="s">
        <v>76</v>
      </c>
      <c r="O396" t="s">
        <v>47</v>
      </c>
      <c r="P396" t="s">
        <v>47</v>
      </c>
      <c r="Y396" t="s">
        <v>1534</v>
      </c>
    </row>
    <row r="397" spans="1:25">
      <c r="A397" t="s">
        <v>1535</v>
      </c>
      <c r="B397" t="s">
        <v>1536</v>
      </c>
      <c r="D397" t="s">
        <v>40</v>
      </c>
      <c r="E397" t="s">
        <v>41</v>
      </c>
      <c r="J397" t="s">
        <v>190</v>
      </c>
      <c r="K397" t="s">
        <v>191</v>
      </c>
      <c r="L397">
        <v>7</v>
      </c>
      <c r="M397" t="s">
        <v>1537</v>
      </c>
      <c r="N397" t="s">
        <v>76</v>
      </c>
      <c r="O397" t="s">
        <v>47</v>
      </c>
      <c r="P397" t="s">
        <v>47</v>
      </c>
      <c r="Y397" t="s">
        <v>1538</v>
      </c>
    </row>
    <row r="398" spans="1:25">
      <c r="A398" t="s">
        <v>1539</v>
      </c>
      <c r="B398" t="s">
        <v>1540</v>
      </c>
      <c r="D398" t="s">
        <v>40</v>
      </c>
      <c r="E398" t="s">
        <v>41</v>
      </c>
      <c r="H398" t="s">
        <v>1541</v>
      </c>
      <c r="J398" t="s">
        <v>190</v>
      </c>
      <c r="K398" t="s">
        <v>191</v>
      </c>
      <c r="L398">
        <v>7</v>
      </c>
      <c r="M398" t="s">
        <v>1542</v>
      </c>
      <c r="N398" t="s">
        <v>76</v>
      </c>
      <c r="O398" t="s">
        <v>47</v>
      </c>
      <c r="P398" t="s">
        <v>47</v>
      </c>
      <c r="Y398" t="s">
        <v>1541</v>
      </c>
    </row>
    <row r="399" spans="1:25">
      <c r="A399" t="s">
        <v>1543</v>
      </c>
      <c r="B399" t="s">
        <v>1544</v>
      </c>
      <c r="D399" t="s">
        <v>40</v>
      </c>
      <c r="E399" t="s">
        <v>41</v>
      </c>
      <c r="J399" t="s">
        <v>261</v>
      </c>
      <c r="K399" t="s">
        <v>262</v>
      </c>
      <c r="L399">
        <v>7</v>
      </c>
      <c r="M399" t="s">
        <v>1542</v>
      </c>
      <c r="N399" t="s">
        <v>76</v>
      </c>
      <c r="O399" t="s">
        <v>47</v>
      </c>
      <c r="P399" t="s">
        <v>47</v>
      </c>
      <c r="Y399" t="s">
        <v>1545</v>
      </c>
    </row>
    <row r="400" spans="1:25">
      <c r="A400" t="s">
        <v>1546</v>
      </c>
      <c r="B400" t="s">
        <v>1547</v>
      </c>
      <c r="D400" t="s">
        <v>40</v>
      </c>
      <c r="E400" t="s">
        <v>41</v>
      </c>
      <c r="J400" t="s">
        <v>240</v>
      </c>
      <c r="K400" t="s">
        <v>241</v>
      </c>
      <c r="L400">
        <v>7</v>
      </c>
      <c r="M400" t="s">
        <v>1548</v>
      </c>
      <c r="N400" t="s">
        <v>76</v>
      </c>
      <c r="O400" t="s">
        <v>47</v>
      </c>
      <c r="P400" t="s">
        <v>47</v>
      </c>
      <c r="Y400" t="s">
        <v>1549</v>
      </c>
    </row>
    <row r="401" spans="1:25">
      <c r="A401" t="s">
        <v>1550</v>
      </c>
      <c r="B401" t="s">
        <v>1551</v>
      </c>
      <c r="D401" t="s">
        <v>40</v>
      </c>
      <c r="E401" t="s">
        <v>41</v>
      </c>
      <c r="J401" t="s">
        <v>190</v>
      </c>
      <c r="K401" t="s">
        <v>191</v>
      </c>
      <c r="L401">
        <v>7</v>
      </c>
      <c r="M401" t="s">
        <v>1552</v>
      </c>
      <c r="N401" t="s">
        <v>76</v>
      </c>
      <c r="O401" t="s">
        <v>47</v>
      </c>
      <c r="P401" t="s">
        <v>47</v>
      </c>
      <c r="Y401" t="s">
        <v>1553</v>
      </c>
    </row>
    <row r="402" spans="1:25">
      <c r="A402" t="s">
        <v>1554</v>
      </c>
      <c r="B402" t="s">
        <v>1555</v>
      </c>
      <c r="D402" t="s">
        <v>40</v>
      </c>
      <c r="E402" t="s">
        <v>41</v>
      </c>
      <c r="J402" t="s">
        <v>190</v>
      </c>
      <c r="K402" t="s">
        <v>191</v>
      </c>
      <c r="L402">
        <v>7</v>
      </c>
      <c r="M402" t="s">
        <v>1552</v>
      </c>
      <c r="N402" t="s">
        <v>76</v>
      </c>
      <c r="O402" t="s">
        <v>47</v>
      </c>
      <c r="P402" t="s">
        <v>47</v>
      </c>
      <c r="Y402" t="s">
        <v>1556</v>
      </c>
    </row>
    <row r="403" spans="1:25">
      <c r="A403" t="s">
        <v>1557</v>
      </c>
      <c r="B403" t="s">
        <v>1558</v>
      </c>
      <c r="D403" t="s">
        <v>40</v>
      </c>
      <c r="E403" t="s">
        <v>41</v>
      </c>
      <c r="H403" t="s">
        <v>1559</v>
      </c>
      <c r="J403" t="s">
        <v>190</v>
      </c>
      <c r="K403" t="s">
        <v>191</v>
      </c>
      <c r="L403">
        <v>7</v>
      </c>
      <c r="M403" t="s">
        <v>1552</v>
      </c>
      <c r="N403" t="s">
        <v>76</v>
      </c>
      <c r="O403" t="s">
        <v>47</v>
      </c>
      <c r="P403" t="s">
        <v>47</v>
      </c>
      <c r="Y403" t="s">
        <v>1559</v>
      </c>
    </row>
    <row r="404" spans="1:25">
      <c r="A404" t="s">
        <v>1560</v>
      </c>
      <c r="B404" t="s">
        <v>1561</v>
      </c>
      <c r="D404" t="s">
        <v>40</v>
      </c>
      <c r="E404" t="s">
        <v>41</v>
      </c>
      <c r="J404" t="s">
        <v>108</v>
      </c>
      <c r="K404" t="s">
        <v>109</v>
      </c>
      <c r="L404">
        <v>7</v>
      </c>
      <c r="M404" t="s">
        <v>1552</v>
      </c>
      <c r="N404" t="s">
        <v>80</v>
      </c>
      <c r="O404" t="s">
        <v>47</v>
      </c>
      <c r="P404" t="s">
        <v>47</v>
      </c>
      <c r="Y404" t="s">
        <v>1562</v>
      </c>
    </row>
    <row r="405" spans="1:25">
      <c r="A405" t="s">
        <v>1563</v>
      </c>
      <c r="B405" t="s">
        <v>1564</v>
      </c>
      <c r="D405" t="s">
        <v>40</v>
      </c>
      <c r="E405" t="s">
        <v>41</v>
      </c>
      <c r="H405" t="s">
        <v>1565</v>
      </c>
      <c r="J405" t="s">
        <v>73</v>
      </c>
      <c r="K405" t="s">
        <v>74</v>
      </c>
      <c r="L405">
        <v>7</v>
      </c>
      <c r="M405" t="s">
        <v>1566</v>
      </c>
      <c r="N405" t="s">
        <v>76</v>
      </c>
      <c r="O405" t="s">
        <v>47</v>
      </c>
      <c r="P405" t="s">
        <v>47</v>
      </c>
      <c r="Y405" t="s">
        <v>1565</v>
      </c>
    </row>
    <row r="406" spans="1:25">
      <c r="A406" t="s">
        <v>1567</v>
      </c>
      <c r="B406" t="s">
        <v>1568</v>
      </c>
      <c r="D406" t="s">
        <v>40</v>
      </c>
      <c r="E406" t="s">
        <v>41</v>
      </c>
      <c r="H406" t="s">
        <v>1569</v>
      </c>
      <c r="J406" t="s">
        <v>73</v>
      </c>
      <c r="K406" t="s">
        <v>74</v>
      </c>
      <c r="L406">
        <v>7</v>
      </c>
      <c r="M406" t="s">
        <v>1570</v>
      </c>
      <c r="N406" t="s">
        <v>76</v>
      </c>
      <c r="O406" t="s">
        <v>47</v>
      </c>
      <c r="P406" t="s">
        <v>47</v>
      </c>
      <c r="Y406" t="s">
        <v>1569</v>
      </c>
    </row>
    <row r="407" spans="1:25">
      <c r="A407" t="s">
        <v>1571</v>
      </c>
      <c r="B407" t="s">
        <v>1572</v>
      </c>
      <c r="D407" t="s">
        <v>40</v>
      </c>
      <c r="E407" t="s">
        <v>41</v>
      </c>
      <c r="J407" t="s">
        <v>190</v>
      </c>
      <c r="K407" t="s">
        <v>191</v>
      </c>
      <c r="L407">
        <v>7</v>
      </c>
      <c r="M407" t="s">
        <v>1573</v>
      </c>
      <c r="N407" t="s">
        <v>76</v>
      </c>
      <c r="O407" t="s">
        <v>47</v>
      </c>
      <c r="P407" t="s">
        <v>47</v>
      </c>
      <c r="Y407" t="s">
        <v>1574</v>
      </c>
    </row>
    <row r="408" spans="1:25">
      <c r="A408" t="s">
        <v>1575</v>
      </c>
      <c r="B408" t="s">
        <v>1576</v>
      </c>
      <c r="D408" t="s">
        <v>40</v>
      </c>
      <c r="E408" t="s">
        <v>41</v>
      </c>
      <c r="J408" t="s">
        <v>240</v>
      </c>
      <c r="K408" t="s">
        <v>241</v>
      </c>
      <c r="L408">
        <v>7</v>
      </c>
      <c r="M408" t="s">
        <v>1577</v>
      </c>
      <c r="N408" t="s">
        <v>76</v>
      </c>
      <c r="O408" t="s">
        <v>47</v>
      </c>
      <c r="P408" t="s">
        <v>47</v>
      </c>
      <c r="Y408" t="s">
        <v>1578</v>
      </c>
    </row>
    <row r="409" spans="1:25">
      <c r="A409" t="s">
        <v>1579</v>
      </c>
      <c r="B409" t="s">
        <v>1580</v>
      </c>
      <c r="D409" t="s">
        <v>40</v>
      </c>
      <c r="E409" t="s">
        <v>41</v>
      </c>
      <c r="J409" t="s">
        <v>190</v>
      </c>
      <c r="K409" t="s">
        <v>191</v>
      </c>
      <c r="L409">
        <v>7</v>
      </c>
      <c r="M409" t="s">
        <v>1581</v>
      </c>
      <c r="N409" t="s">
        <v>76</v>
      </c>
      <c r="O409" t="s">
        <v>47</v>
      </c>
      <c r="P409" t="s">
        <v>47</v>
      </c>
      <c r="Y409" t="s">
        <v>1582</v>
      </c>
    </row>
    <row r="410" spans="1:25">
      <c r="A410" t="s">
        <v>1583</v>
      </c>
      <c r="B410" t="s">
        <v>1584</v>
      </c>
      <c r="D410" t="s">
        <v>40</v>
      </c>
      <c r="E410" t="s">
        <v>41</v>
      </c>
      <c r="J410" t="s">
        <v>190</v>
      </c>
      <c r="K410" t="s">
        <v>191</v>
      </c>
      <c r="L410">
        <v>7</v>
      </c>
      <c r="M410" t="s">
        <v>1585</v>
      </c>
      <c r="N410" t="s">
        <v>76</v>
      </c>
      <c r="O410" t="s">
        <v>47</v>
      </c>
      <c r="P410" t="s">
        <v>47</v>
      </c>
      <c r="Y410" t="s">
        <v>1586</v>
      </c>
    </row>
    <row r="411" spans="1:25">
      <c r="A411" t="s">
        <v>1587</v>
      </c>
      <c r="B411" t="s">
        <v>1588</v>
      </c>
      <c r="D411" t="s">
        <v>40</v>
      </c>
      <c r="E411" t="s">
        <v>41</v>
      </c>
      <c r="H411" t="s">
        <v>1589</v>
      </c>
      <c r="J411" t="s">
        <v>240</v>
      </c>
      <c r="K411" t="s">
        <v>241</v>
      </c>
      <c r="L411">
        <v>7</v>
      </c>
      <c r="M411" t="s">
        <v>1585</v>
      </c>
      <c r="N411" t="s">
        <v>76</v>
      </c>
      <c r="O411" t="s">
        <v>47</v>
      </c>
      <c r="P411" t="s">
        <v>47</v>
      </c>
      <c r="Y411" t="s">
        <v>1589</v>
      </c>
    </row>
    <row r="412" spans="1:25">
      <c r="A412" t="s">
        <v>1590</v>
      </c>
      <c r="B412" t="s">
        <v>1591</v>
      </c>
      <c r="D412" t="s">
        <v>40</v>
      </c>
      <c r="E412" t="s">
        <v>41</v>
      </c>
      <c r="J412" t="s">
        <v>190</v>
      </c>
      <c r="K412" t="s">
        <v>191</v>
      </c>
      <c r="L412">
        <v>7</v>
      </c>
      <c r="M412" t="s">
        <v>1592</v>
      </c>
      <c r="N412" t="s">
        <v>76</v>
      </c>
      <c r="O412" t="s">
        <v>47</v>
      </c>
      <c r="P412" t="s">
        <v>47</v>
      </c>
      <c r="Y412" t="s">
        <v>1593</v>
      </c>
    </row>
    <row r="413" spans="1:25">
      <c r="A413" t="s">
        <v>1594</v>
      </c>
      <c r="B413" t="s">
        <v>1595</v>
      </c>
      <c r="D413" t="s">
        <v>40</v>
      </c>
      <c r="E413" t="s">
        <v>41</v>
      </c>
      <c r="J413" t="s">
        <v>190</v>
      </c>
      <c r="K413" t="s">
        <v>191</v>
      </c>
      <c r="L413">
        <v>7</v>
      </c>
      <c r="M413" t="s">
        <v>1592</v>
      </c>
      <c r="N413" t="s">
        <v>76</v>
      </c>
      <c r="O413" t="s">
        <v>47</v>
      </c>
      <c r="P413" t="s">
        <v>47</v>
      </c>
      <c r="Y413" t="s">
        <v>1596</v>
      </c>
    </row>
    <row r="414" spans="1:25">
      <c r="A414" t="s">
        <v>1597</v>
      </c>
      <c r="B414" t="s">
        <v>1598</v>
      </c>
      <c r="D414" t="s">
        <v>40</v>
      </c>
      <c r="E414" t="s">
        <v>41</v>
      </c>
      <c r="J414" t="s">
        <v>190</v>
      </c>
      <c r="K414" t="s">
        <v>191</v>
      </c>
      <c r="L414">
        <v>7</v>
      </c>
      <c r="M414" t="s">
        <v>1599</v>
      </c>
      <c r="N414" t="s">
        <v>76</v>
      </c>
      <c r="O414" t="s">
        <v>47</v>
      </c>
      <c r="P414" t="s">
        <v>47</v>
      </c>
      <c r="Y414" t="s">
        <v>1600</v>
      </c>
    </row>
    <row r="415" spans="1:25">
      <c r="A415" t="s">
        <v>1601</v>
      </c>
      <c r="B415" t="s">
        <v>1602</v>
      </c>
      <c r="D415" t="s">
        <v>40</v>
      </c>
      <c r="E415" t="s">
        <v>41</v>
      </c>
      <c r="H415" t="s">
        <v>1603</v>
      </c>
      <c r="J415" t="s">
        <v>240</v>
      </c>
      <c r="K415" t="s">
        <v>241</v>
      </c>
      <c r="L415">
        <v>7</v>
      </c>
      <c r="M415" t="s">
        <v>1604</v>
      </c>
      <c r="N415" t="s">
        <v>76</v>
      </c>
      <c r="O415" t="s">
        <v>47</v>
      </c>
      <c r="P415" t="s">
        <v>47</v>
      </c>
      <c r="Y415" t="s">
        <v>1603</v>
      </c>
    </row>
    <row r="416" spans="1:25">
      <c r="A416" t="s">
        <v>1605</v>
      </c>
      <c r="B416" t="s">
        <v>1606</v>
      </c>
      <c r="D416" t="s">
        <v>40</v>
      </c>
      <c r="E416" t="s">
        <v>41</v>
      </c>
      <c r="H416" t="s">
        <v>1607</v>
      </c>
      <c r="J416" t="s">
        <v>240</v>
      </c>
      <c r="K416" t="s">
        <v>241</v>
      </c>
      <c r="L416">
        <v>7</v>
      </c>
      <c r="M416" t="s">
        <v>1608</v>
      </c>
      <c r="N416" t="s">
        <v>76</v>
      </c>
      <c r="O416" t="s">
        <v>47</v>
      </c>
      <c r="P416" t="s">
        <v>47</v>
      </c>
      <c r="Y416" t="s">
        <v>1607</v>
      </c>
    </row>
    <row r="417" spans="1:25">
      <c r="A417" t="s">
        <v>1609</v>
      </c>
      <c r="B417" t="s">
        <v>1610</v>
      </c>
      <c r="D417" t="s">
        <v>40</v>
      </c>
      <c r="E417" t="s">
        <v>41</v>
      </c>
      <c r="J417" t="s">
        <v>108</v>
      </c>
      <c r="K417" t="s">
        <v>109</v>
      </c>
      <c r="L417">
        <v>7</v>
      </c>
      <c r="M417" t="s">
        <v>1611</v>
      </c>
      <c r="N417" t="s">
        <v>202</v>
      </c>
      <c r="O417" t="s">
        <v>47</v>
      </c>
      <c r="P417" t="s">
        <v>47</v>
      </c>
      <c r="Y417" t="s">
        <v>1612</v>
      </c>
    </row>
    <row r="418" spans="1:25">
      <c r="A418" t="s">
        <v>1613</v>
      </c>
      <c r="B418" t="s">
        <v>1614</v>
      </c>
      <c r="D418" t="s">
        <v>40</v>
      </c>
      <c r="E418" t="s">
        <v>41</v>
      </c>
      <c r="H418" t="s">
        <v>1615</v>
      </c>
      <c r="J418" t="s">
        <v>318</v>
      </c>
      <c r="K418" t="s">
        <v>319</v>
      </c>
      <c r="L418">
        <v>7</v>
      </c>
      <c r="M418" t="s">
        <v>1616</v>
      </c>
      <c r="N418" t="s">
        <v>76</v>
      </c>
      <c r="O418" t="s">
        <v>47</v>
      </c>
      <c r="P418" t="s">
        <v>47</v>
      </c>
      <c r="Y418" t="s">
        <v>1615</v>
      </c>
    </row>
    <row r="419" spans="1:25">
      <c r="A419" t="s">
        <v>1617</v>
      </c>
      <c r="B419" t="s">
        <v>1618</v>
      </c>
      <c r="D419" t="s">
        <v>40</v>
      </c>
      <c r="E419" t="s">
        <v>41</v>
      </c>
      <c r="J419" t="s">
        <v>190</v>
      </c>
      <c r="K419" t="s">
        <v>191</v>
      </c>
      <c r="L419">
        <v>7</v>
      </c>
      <c r="M419" t="s">
        <v>1616</v>
      </c>
      <c r="N419" t="s">
        <v>76</v>
      </c>
      <c r="O419" t="s">
        <v>47</v>
      </c>
      <c r="P419" t="s">
        <v>47</v>
      </c>
      <c r="Y419" t="s">
        <v>1619</v>
      </c>
    </row>
    <row r="420" spans="1:25">
      <c r="A420" t="s">
        <v>1620</v>
      </c>
      <c r="B420" t="s">
        <v>1621</v>
      </c>
      <c r="D420" t="s">
        <v>40</v>
      </c>
      <c r="E420" t="s">
        <v>41</v>
      </c>
      <c r="J420" t="s">
        <v>240</v>
      </c>
      <c r="K420" t="s">
        <v>241</v>
      </c>
      <c r="L420">
        <v>7</v>
      </c>
      <c r="M420" t="s">
        <v>1616</v>
      </c>
      <c r="N420" t="s">
        <v>76</v>
      </c>
      <c r="O420" t="s">
        <v>47</v>
      </c>
      <c r="P420" t="s">
        <v>47</v>
      </c>
      <c r="Y420" t="s">
        <v>1622</v>
      </c>
    </row>
    <row r="421" spans="1:25">
      <c r="A421" t="s">
        <v>1623</v>
      </c>
      <c r="B421" t="s">
        <v>1624</v>
      </c>
      <c r="D421" t="s">
        <v>40</v>
      </c>
      <c r="E421" t="s">
        <v>41</v>
      </c>
      <c r="J421" t="s">
        <v>190</v>
      </c>
      <c r="K421" t="s">
        <v>191</v>
      </c>
      <c r="L421">
        <v>7</v>
      </c>
      <c r="M421" t="s">
        <v>1616</v>
      </c>
      <c r="N421" t="s">
        <v>76</v>
      </c>
      <c r="O421" t="s">
        <v>47</v>
      </c>
      <c r="P421" t="s">
        <v>47</v>
      </c>
      <c r="Y421" t="s">
        <v>1625</v>
      </c>
    </row>
    <row r="422" spans="1:25">
      <c r="A422" t="s">
        <v>1626</v>
      </c>
      <c r="B422" t="s">
        <v>1627</v>
      </c>
      <c r="D422" t="s">
        <v>40</v>
      </c>
      <c r="E422" t="s">
        <v>41</v>
      </c>
      <c r="J422" t="s">
        <v>190</v>
      </c>
      <c r="K422" t="s">
        <v>191</v>
      </c>
      <c r="L422">
        <v>7</v>
      </c>
      <c r="M422" t="s">
        <v>1616</v>
      </c>
      <c r="N422" t="s">
        <v>76</v>
      </c>
      <c r="O422" t="s">
        <v>47</v>
      </c>
      <c r="P422" t="s">
        <v>47</v>
      </c>
      <c r="Y422" t="s">
        <v>1628</v>
      </c>
    </row>
    <row r="423" spans="1:25">
      <c r="A423" t="s">
        <v>1629</v>
      </c>
      <c r="B423" t="s">
        <v>1630</v>
      </c>
      <c r="D423" t="s">
        <v>40</v>
      </c>
      <c r="E423" t="s">
        <v>41</v>
      </c>
      <c r="J423" t="s">
        <v>190</v>
      </c>
      <c r="K423" t="s">
        <v>191</v>
      </c>
      <c r="L423">
        <v>7</v>
      </c>
      <c r="M423" t="s">
        <v>1631</v>
      </c>
      <c r="N423" t="s">
        <v>76</v>
      </c>
      <c r="O423" t="s">
        <v>47</v>
      </c>
      <c r="P423" t="s">
        <v>47</v>
      </c>
      <c r="Y423" t="s">
        <v>1632</v>
      </c>
    </row>
    <row r="424" spans="1:25">
      <c r="A424" t="s">
        <v>1633</v>
      </c>
      <c r="B424" t="s">
        <v>1634</v>
      </c>
      <c r="D424" t="s">
        <v>40</v>
      </c>
      <c r="E424" t="s">
        <v>41</v>
      </c>
      <c r="J424" t="s">
        <v>240</v>
      </c>
      <c r="K424" t="s">
        <v>241</v>
      </c>
      <c r="L424">
        <v>7</v>
      </c>
      <c r="M424" t="s">
        <v>1635</v>
      </c>
      <c r="N424" t="s">
        <v>76</v>
      </c>
      <c r="O424" t="s">
        <v>47</v>
      </c>
      <c r="P424" t="s">
        <v>47</v>
      </c>
      <c r="Y424" t="s">
        <v>1636</v>
      </c>
    </row>
    <row r="425" spans="1:25">
      <c r="A425" t="s">
        <v>1637</v>
      </c>
      <c r="B425" t="s">
        <v>1638</v>
      </c>
      <c r="D425" t="s">
        <v>40</v>
      </c>
      <c r="E425" t="s">
        <v>41</v>
      </c>
      <c r="J425" t="s">
        <v>261</v>
      </c>
      <c r="K425" t="s">
        <v>262</v>
      </c>
      <c r="L425">
        <v>7</v>
      </c>
      <c r="M425" t="s">
        <v>1635</v>
      </c>
      <c r="N425" t="s">
        <v>76</v>
      </c>
      <c r="O425" t="s">
        <v>47</v>
      </c>
      <c r="P425" t="s">
        <v>47</v>
      </c>
      <c r="Y425" t="s">
        <v>1639</v>
      </c>
    </row>
    <row r="426" spans="1:25">
      <c r="A426" t="s">
        <v>1640</v>
      </c>
      <c r="B426" t="s">
        <v>1641</v>
      </c>
      <c r="D426" t="s">
        <v>40</v>
      </c>
      <c r="E426" t="s">
        <v>41</v>
      </c>
      <c r="J426" t="s">
        <v>190</v>
      </c>
      <c r="K426" t="s">
        <v>191</v>
      </c>
      <c r="L426">
        <v>7</v>
      </c>
      <c r="M426" t="s">
        <v>1635</v>
      </c>
      <c r="N426" t="s">
        <v>76</v>
      </c>
      <c r="O426" t="s">
        <v>47</v>
      </c>
      <c r="P426" t="s">
        <v>47</v>
      </c>
      <c r="Y426" t="s">
        <v>1642</v>
      </c>
    </row>
    <row r="427" spans="1:25">
      <c r="A427" t="s">
        <v>1643</v>
      </c>
      <c r="B427" t="s">
        <v>1644</v>
      </c>
      <c r="D427" t="s">
        <v>40</v>
      </c>
      <c r="E427" t="s">
        <v>41</v>
      </c>
      <c r="J427" t="s">
        <v>168</v>
      </c>
      <c r="K427" t="s">
        <v>169</v>
      </c>
      <c r="L427">
        <v>7</v>
      </c>
      <c r="M427" t="s">
        <v>1645</v>
      </c>
      <c r="N427" t="s">
        <v>76</v>
      </c>
      <c r="O427" t="s">
        <v>47</v>
      </c>
      <c r="P427" t="s">
        <v>47</v>
      </c>
      <c r="Y427" t="s">
        <v>1646</v>
      </c>
    </row>
    <row r="428" spans="1:25">
      <c r="A428" t="s">
        <v>1647</v>
      </c>
      <c r="B428" t="s">
        <v>1648</v>
      </c>
      <c r="D428" t="s">
        <v>40</v>
      </c>
      <c r="E428" t="s">
        <v>41</v>
      </c>
      <c r="H428" t="s">
        <v>1649</v>
      </c>
      <c r="J428" t="s">
        <v>73</v>
      </c>
      <c r="K428" t="s">
        <v>74</v>
      </c>
      <c r="L428">
        <v>7</v>
      </c>
      <c r="M428" t="s">
        <v>1650</v>
      </c>
      <c r="N428" t="s">
        <v>76</v>
      </c>
      <c r="O428" t="s">
        <v>47</v>
      </c>
      <c r="P428" t="s">
        <v>47</v>
      </c>
      <c r="Y428" t="s">
        <v>1649</v>
      </c>
    </row>
    <row r="429" spans="1:25">
      <c r="A429" t="s">
        <v>1651</v>
      </c>
      <c r="B429" t="s">
        <v>1652</v>
      </c>
      <c r="D429" t="s">
        <v>40</v>
      </c>
      <c r="E429" t="s">
        <v>41</v>
      </c>
      <c r="J429" t="s">
        <v>1653</v>
      </c>
      <c r="K429" t="s">
        <v>1654</v>
      </c>
      <c r="L429">
        <v>7</v>
      </c>
      <c r="M429" t="s">
        <v>1655</v>
      </c>
      <c r="N429" t="s">
        <v>76</v>
      </c>
      <c r="O429" t="s">
        <v>47</v>
      </c>
      <c r="P429" t="s">
        <v>47</v>
      </c>
      <c r="Y429" t="s">
        <v>1656</v>
      </c>
    </row>
    <row r="430" spans="1:25">
      <c r="A430" t="s">
        <v>1657</v>
      </c>
      <c r="B430" t="s">
        <v>1658</v>
      </c>
      <c r="D430" t="s">
        <v>40</v>
      </c>
      <c r="E430" t="s">
        <v>41</v>
      </c>
      <c r="H430" t="s">
        <v>1659</v>
      </c>
      <c r="J430" t="s">
        <v>108</v>
      </c>
      <c r="K430" t="s">
        <v>109</v>
      </c>
      <c r="L430">
        <v>8</v>
      </c>
      <c r="M430" t="s">
        <v>1660</v>
      </c>
      <c r="N430" t="s">
        <v>202</v>
      </c>
      <c r="O430" t="s">
        <v>47</v>
      </c>
      <c r="P430" t="s">
        <v>47</v>
      </c>
      <c r="Y430" t="s">
        <v>1659</v>
      </c>
    </row>
    <row r="431" spans="1:25">
      <c r="A431" t="s">
        <v>1661</v>
      </c>
      <c r="B431" t="s">
        <v>1662</v>
      </c>
      <c r="D431" t="s">
        <v>40</v>
      </c>
      <c r="E431" t="s">
        <v>41</v>
      </c>
      <c r="J431" t="s">
        <v>240</v>
      </c>
      <c r="K431" t="s">
        <v>241</v>
      </c>
      <c r="L431">
        <v>7</v>
      </c>
      <c r="M431" t="s">
        <v>1663</v>
      </c>
      <c r="N431" t="s">
        <v>76</v>
      </c>
      <c r="O431" t="s">
        <v>47</v>
      </c>
      <c r="P431" t="s">
        <v>47</v>
      </c>
      <c r="Y431" t="s">
        <v>1664</v>
      </c>
    </row>
    <row r="432" spans="1:25">
      <c r="A432" t="s">
        <v>1665</v>
      </c>
      <c r="B432" t="s">
        <v>1666</v>
      </c>
      <c r="D432" t="s">
        <v>40</v>
      </c>
      <c r="E432" t="s">
        <v>41</v>
      </c>
      <c r="J432" t="s">
        <v>190</v>
      </c>
      <c r="K432" t="s">
        <v>191</v>
      </c>
      <c r="L432">
        <v>7</v>
      </c>
      <c r="M432" t="s">
        <v>1663</v>
      </c>
      <c r="N432" t="s">
        <v>76</v>
      </c>
      <c r="O432" t="s">
        <v>47</v>
      </c>
      <c r="P432" t="s">
        <v>47</v>
      </c>
      <c r="Y432" t="s">
        <v>1667</v>
      </c>
    </row>
    <row r="433" spans="1:25">
      <c r="A433" t="s">
        <v>1668</v>
      </c>
      <c r="B433" t="s">
        <v>1669</v>
      </c>
      <c r="D433" t="s">
        <v>40</v>
      </c>
      <c r="E433" t="s">
        <v>41</v>
      </c>
      <c r="J433" t="s">
        <v>261</v>
      </c>
      <c r="K433" t="s">
        <v>262</v>
      </c>
      <c r="L433">
        <v>7</v>
      </c>
      <c r="M433" t="s">
        <v>1663</v>
      </c>
      <c r="N433" t="s">
        <v>76</v>
      </c>
      <c r="O433" t="s">
        <v>47</v>
      </c>
      <c r="P433" t="s">
        <v>47</v>
      </c>
      <c r="Y433" t="s">
        <v>1670</v>
      </c>
    </row>
    <row r="434" spans="1:25">
      <c r="A434" t="s">
        <v>1671</v>
      </c>
      <c r="B434" t="s">
        <v>1672</v>
      </c>
      <c r="D434" t="s">
        <v>40</v>
      </c>
      <c r="E434" t="s">
        <v>41</v>
      </c>
      <c r="J434" t="s">
        <v>261</v>
      </c>
      <c r="K434" t="s">
        <v>262</v>
      </c>
      <c r="L434">
        <v>7</v>
      </c>
      <c r="M434" t="s">
        <v>1673</v>
      </c>
      <c r="N434" t="s">
        <v>76</v>
      </c>
      <c r="O434" t="s">
        <v>47</v>
      </c>
      <c r="P434" t="s">
        <v>47</v>
      </c>
      <c r="Y434" t="s">
        <v>1674</v>
      </c>
    </row>
    <row r="435" spans="1:25">
      <c r="A435" t="s">
        <v>1675</v>
      </c>
      <c r="B435" t="s">
        <v>1676</v>
      </c>
      <c r="D435" t="s">
        <v>40</v>
      </c>
      <c r="E435" t="s">
        <v>41</v>
      </c>
      <c r="J435" t="s">
        <v>240</v>
      </c>
      <c r="K435" t="s">
        <v>241</v>
      </c>
      <c r="L435">
        <v>7</v>
      </c>
      <c r="M435" t="s">
        <v>1677</v>
      </c>
      <c r="N435" t="s">
        <v>76</v>
      </c>
      <c r="O435" t="s">
        <v>47</v>
      </c>
      <c r="P435" t="s">
        <v>47</v>
      </c>
      <c r="Y435" t="s">
        <v>1678</v>
      </c>
    </row>
    <row r="436" spans="1:25">
      <c r="A436" t="s">
        <v>1679</v>
      </c>
      <c r="B436" t="s">
        <v>1680</v>
      </c>
      <c r="D436" t="s">
        <v>40</v>
      </c>
      <c r="E436" t="s">
        <v>41</v>
      </c>
      <c r="H436" t="s">
        <v>1681</v>
      </c>
      <c r="J436" t="s">
        <v>190</v>
      </c>
      <c r="K436" t="s">
        <v>191</v>
      </c>
      <c r="L436">
        <v>7</v>
      </c>
      <c r="M436" t="s">
        <v>1682</v>
      </c>
      <c r="N436" t="s">
        <v>76</v>
      </c>
      <c r="O436" t="s">
        <v>47</v>
      </c>
      <c r="P436" t="s">
        <v>47</v>
      </c>
      <c r="Y436" t="s">
        <v>1681</v>
      </c>
    </row>
    <row r="437" spans="1:25">
      <c r="A437" t="s">
        <v>1683</v>
      </c>
      <c r="B437" t="s">
        <v>1684</v>
      </c>
      <c r="D437" t="s">
        <v>40</v>
      </c>
      <c r="E437" t="s">
        <v>41</v>
      </c>
      <c r="J437" t="s">
        <v>190</v>
      </c>
      <c r="K437" t="s">
        <v>191</v>
      </c>
      <c r="L437">
        <v>7</v>
      </c>
      <c r="M437" t="s">
        <v>1685</v>
      </c>
      <c r="N437" t="s">
        <v>76</v>
      </c>
      <c r="O437" t="s">
        <v>47</v>
      </c>
      <c r="P437" t="s">
        <v>47</v>
      </c>
      <c r="Y437" t="s">
        <v>1686</v>
      </c>
    </row>
    <row r="438" spans="1:25">
      <c r="A438" t="s">
        <v>1687</v>
      </c>
      <c r="B438" t="s">
        <v>1688</v>
      </c>
      <c r="D438" t="s">
        <v>40</v>
      </c>
      <c r="E438" t="s">
        <v>41</v>
      </c>
      <c r="J438" t="s">
        <v>168</v>
      </c>
      <c r="K438" t="s">
        <v>169</v>
      </c>
      <c r="L438">
        <v>7</v>
      </c>
      <c r="M438" t="s">
        <v>1689</v>
      </c>
      <c r="N438" t="s">
        <v>76</v>
      </c>
      <c r="O438" t="s">
        <v>47</v>
      </c>
      <c r="P438" t="s">
        <v>47</v>
      </c>
      <c r="Y438" t="s">
        <v>1690</v>
      </c>
    </row>
    <row r="439" spans="1:25">
      <c r="A439" t="s">
        <v>1691</v>
      </c>
      <c r="B439" t="s">
        <v>1692</v>
      </c>
      <c r="D439" t="s">
        <v>40</v>
      </c>
      <c r="E439" t="s">
        <v>41</v>
      </c>
      <c r="H439" t="s">
        <v>1693</v>
      </c>
      <c r="J439" t="s">
        <v>108</v>
      </c>
      <c r="K439" t="s">
        <v>109</v>
      </c>
      <c r="L439">
        <v>7</v>
      </c>
      <c r="M439" t="s">
        <v>1694</v>
      </c>
      <c r="N439" t="s">
        <v>80</v>
      </c>
      <c r="O439" t="s">
        <v>47</v>
      </c>
      <c r="P439" t="s">
        <v>47</v>
      </c>
      <c r="Y439" t="s">
        <v>1693</v>
      </c>
    </row>
    <row r="440" spans="1:25">
      <c r="A440" t="s">
        <v>1695</v>
      </c>
      <c r="B440" t="s">
        <v>1696</v>
      </c>
      <c r="D440" t="s">
        <v>40</v>
      </c>
      <c r="E440" t="s">
        <v>41</v>
      </c>
      <c r="J440" t="s">
        <v>190</v>
      </c>
      <c r="K440" t="s">
        <v>191</v>
      </c>
      <c r="L440">
        <v>7</v>
      </c>
      <c r="M440" t="s">
        <v>1697</v>
      </c>
      <c r="N440" t="s">
        <v>76</v>
      </c>
      <c r="O440" t="s">
        <v>47</v>
      </c>
      <c r="P440" t="s">
        <v>47</v>
      </c>
      <c r="Y440" t="s">
        <v>1698</v>
      </c>
    </row>
    <row r="441" spans="1:25">
      <c r="A441" t="s">
        <v>1699</v>
      </c>
      <c r="B441" t="s">
        <v>1700</v>
      </c>
      <c r="D441" t="s">
        <v>40</v>
      </c>
      <c r="E441" t="s">
        <v>41</v>
      </c>
      <c r="H441" t="s">
        <v>1701</v>
      </c>
      <c r="J441" t="s">
        <v>108</v>
      </c>
      <c r="K441" t="s">
        <v>109</v>
      </c>
      <c r="L441">
        <v>7</v>
      </c>
      <c r="M441" t="s">
        <v>1702</v>
      </c>
      <c r="N441" t="s">
        <v>80</v>
      </c>
      <c r="O441" t="s">
        <v>47</v>
      </c>
      <c r="P441" t="s">
        <v>47</v>
      </c>
      <c r="Y441" t="s">
        <v>1701</v>
      </c>
    </row>
    <row r="442" spans="1:25">
      <c r="A442" t="s">
        <v>1703</v>
      </c>
      <c r="B442" t="s">
        <v>1704</v>
      </c>
      <c r="D442" t="s">
        <v>40</v>
      </c>
      <c r="E442" t="s">
        <v>41</v>
      </c>
      <c r="J442" t="s">
        <v>190</v>
      </c>
      <c r="K442" t="s">
        <v>191</v>
      </c>
      <c r="L442">
        <v>7</v>
      </c>
      <c r="M442" t="s">
        <v>1702</v>
      </c>
      <c r="N442" t="s">
        <v>76</v>
      </c>
      <c r="O442" t="s">
        <v>47</v>
      </c>
      <c r="P442" t="s">
        <v>47</v>
      </c>
      <c r="Y442" t="s">
        <v>1705</v>
      </c>
    </row>
    <row r="443" spans="1:25">
      <c r="A443" t="s">
        <v>1706</v>
      </c>
      <c r="B443" t="s">
        <v>1707</v>
      </c>
      <c r="D443" t="s">
        <v>40</v>
      </c>
      <c r="E443" t="s">
        <v>41</v>
      </c>
      <c r="H443" t="s">
        <v>1708</v>
      </c>
      <c r="J443" t="s">
        <v>190</v>
      </c>
      <c r="K443" t="s">
        <v>191</v>
      </c>
      <c r="L443">
        <v>7</v>
      </c>
      <c r="M443" t="s">
        <v>1702</v>
      </c>
      <c r="N443" t="s">
        <v>76</v>
      </c>
      <c r="O443" t="s">
        <v>47</v>
      </c>
      <c r="P443" t="s">
        <v>47</v>
      </c>
      <c r="Y443" t="s">
        <v>1708</v>
      </c>
    </row>
    <row r="444" spans="1:25">
      <c r="A444" t="s">
        <v>1709</v>
      </c>
      <c r="B444" t="s">
        <v>1710</v>
      </c>
      <c r="D444" t="s">
        <v>40</v>
      </c>
      <c r="E444" t="s">
        <v>41</v>
      </c>
      <c r="J444" t="s">
        <v>190</v>
      </c>
      <c r="K444" t="s">
        <v>191</v>
      </c>
      <c r="L444">
        <v>7</v>
      </c>
      <c r="M444" t="s">
        <v>1702</v>
      </c>
      <c r="N444" t="s">
        <v>76</v>
      </c>
      <c r="O444" t="s">
        <v>47</v>
      </c>
      <c r="P444" t="s">
        <v>47</v>
      </c>
      <c r="Y444" t="s">
        <v>1711</v>
      </c>
    </row>
    <row r="445" spans="1:25">
      <c r="A445" t="s">
        <v>1712</v>
      </c>
      <c r="B445" t="s">
        <v>1713</v>
      </c>
      <c r="D445" t="s">
        <v>40</v>
      </c>
      <c r="E445" t="s">
        <v>41</v>
      </c>
      <c r="J445" t="s">
        <v>190</v>
      </c>
      <c r="K445" t="s">
        <v>191</v>
      </c>
      <c r="L445">
        <v>7</v>
      </c>
      <c r="M445" t="s">
        <v>1714</v>
      </c>
      <c r="N445" t="s">
        <v>76</v>
      </c>
      <c r="O445" t="s">
        <v>47</v>
      </c>
      <c r="P445" t="s">
        <v>47</v>
      </c>
      <c r="Y445" t="s">
        <v>1715</v>
      </c>
    </row>
    <row r="446" spans="1:25">
      <c r="A446" t="s">
        <v>1716</v>
      </c>
      <c r="B446" t="s">
        <v>1717</v>
      </c>
      <c r="D446" t="s">
        <v>40</v>
      </c>
      <c r="E446" t="s">
        <v>41</v>
      </c>
      <c r="H446" t="s">
        <v>1718</v>
      </c>
      <c r="J446" t="s">
        <v>190</v>
      </c>
      <c r="K446" t="s">
        <v>191</v>
      </c>
      <c r="L446">
        <v>7</v>
      </c>
      <c r="M446" t="s">
        <v>1714</v>
      </c>
      <c r="N446" t="s">
        <v>76</v>
      </c>
      <c r="O446" t="s">
        <v>47</v>
      </c>
      <c r="P446" t="s">
        <v>47</v>
      </c>
      <c r="Y446" t="s">
        <v>1718</v>
      </c>
    </row>
    <row r="447" spans="1:25">
      <c r="A447" t="s">
        <v>1719</v>
      </c>
      <c r="B447" t="s">
        <v>1720</v>
      </c>
      <c r="D447" t="s">
        <v>40</v>
      </c>
      <c r="E447" t="s">
        <v>41</v>
      </c>
      <c r="H447" t="s">
        <v>1721</v>
      </c>
      <c r="J447" t="s">
        <v>108</v>
      </c>
      <c r="K447" t="s">
        <v>109</v>
      </c>
      <c r="L447">
        <v>7</v>
      </c>
      <c r="M447" t="s">
        <v>1722</v>
      </c>
      <c r="N447" t="s">
        <v>80</v>
      </c>
      <c r="O447" t="s">
        <v>47</v>
      </c>
      <c r="P447" t="s">
        <v>47</v>
      </c>
      <c r="Y447" t="s">
        <v>1721</v>
      </c>
    </row>
    <row r="448" spans="1:25">
      <c r="A448" t="s">
        <v>1723</v>
      </c>
      <c r="B448" t="s">
        <v>1724</v>
      </c>
      <c r="D448" t="s">
        <v>40</v>
      </c>
      <c r="E448" t="s">
        <v>41</v>
      </c>
      <c r="H448" t="s">
        <v>1725</v>
      </c>
      <c r="J448" t="s">
        <v>190</v>
      </c>
      <c r="K448" t="s">
        <v>191</v>
      </c>
      <c r="L448">
        <v>7</v>
      </c>
      <c r="M448" t="s">
        <v>1722</v>
      </c>
      <c r="N448" t="s">
        <v>76</v>
      </c>
      <c r="O448" t="s">
        <v>47</v>
      </c>
      <c r="P448" t="s">
        <v>47</v>
      </c>
      <c r="Y448" t="s">
        <v>1725</v>
      </c>
    </row>
    <row r="449" spans="1:25">
      <c r="A449" t="s">
        <v>1726</v>
      </c>
      <c r="B449" t="s">
        <v>1727</v>
      </c>
      <c r="D449" t="s">
        <v>40</v>
      </c>
      <c r="E449" t="s">
        <v>41</v>
      </c>
      <c r="H449" t="s">
        <v>1728</v>
      </c>
      <c r="J449" t="s">
        <v>261</v>
      </c>
      <c r="K449" t="s">
        <v>262</v>
      </c>
      <c r="L449">
        <v>7</v>
      </c>
      <c r="M449" t="s">
        <v>1722</v>
      </c>
      <c r="N449" t="s">
        <v>76</v>
      </c>
      <c r="O449" t="s">
        <v>47</v>
      </c>
      <c r="P449" t="s">
        <v>47</v>
      </c>
      <c r="Y449" t="s">
        <v>1728</v>
      </c>
    </row>
    <row r="450" spans="1:25">
      <c r="A450" t="s">
        <v>1729</v>
      </c>
      <c r="B450" t="s">
        <v>1730</v>
      </c>
      <c r="D450" t="s">
        <v>40</v>
      </c>
      <c r="E450" t="s">
        <v>41</v>
      </c>
      <c r="H450" t="s">
        <v>1731</v>
      </c>
      <c r="J450" t="s">
        <v>168</v>
      </c>
      <c r="K450" t="s">
        <v>169</v>
      </c>
      <c r="L450">
        <v>7</v>
      </c>
      <c r="M450" t="s">
        <v>1722</v>
      </c>
      <c r="N450" t="s">
        <v>76</v>
      </c>
      <c r="O450" t="s">
        <v>47</v>
      </c>
      <c r="P450" t="s">
        <v>47</v>
      </c>
      <c r="Y450" t="s">
        <v>1731</v>
      </c>
    </row>
    <row r="451" spans="1:25">
      <c r="A451" t="s">
        <v>1732</v>
      </c>
      <c r="B451" t="s">
        <v>1733</v>
      </c>
      <c r="D451" t="s">
        <v>40</v>
      </c>
      <c r="E451" t="s">
        <v>41</v>
      </c>
      <c r="H451" t="s">
        <v>1734</v>
      </c>
      <c r="J451" t="s">
        <v>190</v>
      </c>
      <c r="K451" t="s">
        <v>191</v>
      </c>
      <c r="L451">
        <v>7</v>
      </c>
      <c r="M451" t="s">
        <v>1722</v>
      </c>
      <c r="N451" t="s">
        <v>76</v>
      </c>
      <c r="O451" t="s">
        <v>47</v>
      </c>
      <c r="P451" t="s">
        <v>47</v>
      </c>
      <c r="Y451" t="s">
        <v>1734</v>
      </c>
    </row>
    <row r="452" spans="1:25">
      <c r="A452" t="s">
        <v>1735</v>
      </c>
      <c r="B452" t="s">
        <v>1736</v>
      </c>
      <c r="D452" t="s">
        <v>40</v>
      </c>
      <c r="E452" t="s">
        <v>41</v>
      </c>
      <c r="H452" t="s">
        <v>1737</v>
      </c>
      <c r="J452" t="s">
        <v>108</v>
      </c>
      <c r="K452" t="s">
        <v>109</v>
      </c>
      <c r="L452">
        <v>7</v>
      </c>
      <c r="M452" t="s">
        <v>1722</v>
      </c>
      <c r="N452" t="s">
        <v>80</v>
      </c>
      <c r="O452" t="s">
        <v>47</v>
      </c>
      <c r="P452" t="s">
        <v>47</v>
      </c>
      <c r="Y452" t="s">
        <v>1737</v>
      </c>
    </row>
    <row r="453" spans="1:25">
      <c r="A453" t="s">
        <v>1738</v>
      </c>
      <c r="B453" t="s">
        <v>1739</v>
      </c>
      <c r="D453" t="s">
        <v>40</v>
      </c>
      <c r="E453" t="s">
        <v>41</v>
      </c>
      <c r="J453" t="s">
        <v>108</v>
      </c>
      <c r="K453" t="s">
        <v>109</v>
      </c>
      <c r="L453">
        <v>7</v>
      </c>
      <c r="M453" t="s">
        <v>1740</v>
      </c>
      <c r="N453" t="s">
        <v>202</v>
      </c>
      <c r="O453" t="s">
        <v>47</v>
      </c>
      <c r="P453" t="s">
        <v>47</v>
      </c>
      <c r="Y453" t="s">
        <v>1741</v>
      </c>
    </row>
    <row r="454" spans="1:25">
      <c r="A454" t="s">
        <v>1742</v>
      </c>
      <c r="B454" t="s">
        <v>1743</v>
      </c>
      <c r="D454" t="s">
        <v>40</v>
      </c>
      <c r="E454" t="s">
        <v>41</v>
      </c>
      <c r="J454" t="s">
        <v>318</v>
      </c>
      <c r="K454" t="s">
        <v>319</v>
      </c>
      <c r="L454">
        <v>7</v>
      </c>
      <c r="M454" t="s">
        <v>1740</v>
      </c>
      <c r="N454" t="s">
        <v>76</v>
      </c>
      <c r="O454" t="s">
        <v>47</v>
      </c>
      <c r="P454" t="s">
        <v>47</v>
      </c>
      <c r="Y454" t="s">
        <v>1744</v>
      </c>
    </row>
    <row r="455" spans="1:25">
      <c r="A455" t="s">
        <v>1745</v>
      </c>
      <c r="B455" t="s">
        <v>1746</v>
      </c>
      <c r="D455" t="s">
        <v>40</v>
      </c>
      <c r="E455" t="s">
        <v>41</v>
      </c>
      <c r="H455" t="s">
        <v>1747</v>
      </c>
      <c r="J455" t="s">
        <v>108</v>
      </c>
      <c r="K455" t="s">
        <v>109</v>
      </c>
      <c r="L455">
        <v>7</v>
      </c>
      <c r="M455" t="s">
        <v>1748</v>
      </c>
      <c r="N455" t="s">
        <v>80</v>
      </c>
      <c r="O455" t="s">
        <v>47</v>
      </c>
      <c r="P455" t="s">
        <v>47</v>
      </c>
      <c r="Y455" t="s">
        <v>1747</v>
      </c>
    </row>
    <row r="456" spans="1:25">
      <c r="A456" t="s">
        <v>1749</v>
      </c>
      <c r="B456" t="s">
        <v>1750</v>
      </c>
      <c r="D456" t="s">
        <v>40</v>
      </c>
      <c r="E456" t="s">
        <v>41</v>
      </c>
      <c r="J456" t="s">
        <v>190</v>
      </c>
      <c r="K456" t="s">
        <v>191</v>
      </c>
      <c r="L456">
        <v>7</v>
      </c>
      <c r="M456" t="s">
        <v>1751</v>
      </c>
      <c r="N456" t="s">
        <v>76</v>
      </c>
      <c r="O456" t="s">
        <v>47</v>
      </c>
      <c r="P456" t="s">
        <v>47</v>
      </c>
      <c r="Y456" t="s">
        <v>1752</v>
      </c>
    </row>
    <row r="457" spans="1:25">
      <c r="A457" t="s">
        <v>1753</v>
      </c>
      <c r="B457" t="s">
        <v>1754</v>
      </c>
      <c r="D457" t="s">
        <v>40</v>
      </c>
      <c r="E457" t="s">
        <v>41</v>
      </c>
      <c r="J457" t="s">
        <v>261</v>
      </c>
      <c r="K457" t="s">
        <v>262</v>
      </c>
      <c r="L457">
        <v>7</v>
      </c>
      <c r="M457" t="s">
        <v>1751</v>
      </c>
      <c r="N457" t="s">
        <v>76</v>
      </c>
      <c r="O457" t="s">
        <v>47</v>
      </c>
      <c r="P457" t="s">
        <v>47</v>
      </c>
      <c r="Y457" t="s">
        <v>1755</v>
      </c>
    </row>
    <row r="458" spans="1:25">
      <c r="A458" t="s">
        <v>1756</v>
      </c>
      <c r="B458" t="s">
        <v>1757</v>
      </c>
      <c r="D458" t="s">
        <v>40</v>
      </c>
      <c r="E458" t="s">
        <v>41</v>
      </c>
      <c r="H458" t="s">
        <v>1758</v>
      </c>
      <c r="J458" t="s">
        <v>108</v>
      </c>
      <c r="K458" t="s">
        <v>109</v>
      </c>
      <c r="L458">
        <v>7</v>
      </c>
      <c r="M458" t="s">
        <v>1759</v>
      </c>
      <c r="N458" t="s">
        <v>80</v>
      </c>
      <c r="O458" t="s">
        <v>47</v>
      </c>
      <c r="P458" t="s">
        <v>47</v>
      </c>
      <c r="Y458" t="s">
        <v>1758</v>
      </c>
    </row>
    <row r="459" spans="1:25">
      <c r="A459" t="s">
        <v>1760</v>
      </c>
      <c r="B459" t="s">
        <v>1761</v>
      </c>
      <c r="D459" t="s">
        <v>40</v>
      </c>
      <c r="E459" t="s">
        <v>41</v>
      </c>
      <c r="J459" t="s">
        <v>240</v>
      </c>
      <c r="K459" t="s">
        <v>241</v>
      </c>
      <c r="L459">
        <v>7</v>
      </c>
      <c r="M459" t="s">
        <v>1762</v>
      </c>
      <c r="N459" t="s">
        <v>76</v>
      </c>
      <c r="O459" t="s">
        <v>47</v>
      </c>
      <c r="P459" t="s">
        <v>47</v>
      </c>
      <c r="Y459" t="s">
        <v>1763</v>
      </c>
    </row>
    <row r="460" spans="1:25">
      <c r="A460" t="s">
        <v>1764</v>
      </c>
      <c r="B460" t="s">
        <v>1765</v>
      </c>
      <c r="D460" t="s">
        <v>40</v>
      </c>
      <c r="E460" t="s">
        <v>41</v>
      </c>
      <c r="H460" t="s">
        <v>1766</v>
      </c>
      <c r="J460" t="s">
        <v>117</v>
      </c>
      <c r="K460" t="s">
        <v>118</v>
      </c>
      <c r="L460">
        <v>7</v>
      </c>
      <c r="M460" t="s">
        <v>1762</v>
      </c>
      <c r="N460" t="s">
        <v>80</v>
      </c>
      <c r="O460" t="s">
        <v>47</v>
      </c>
      <c r="P460" t="s">
        <v>47</v>
      </c>
      <c r="Y460" t="s">
        <v>1766</v>
      </c>
    </row>
    <row r="461" spans="1:25">
      <c r="A461" t="s">
        <v>1767</v>
      </c>
      <c r="B461" t="s">
        <v>1768</v>
      </c>
      <c r="D461" t="s">
        <v>40</v>
      </c>
      <c r="E461" t="s">
        <v>41</v>
      </c>
      <c r="J461" t="s">
        <v>190</v>
      </c>
      <c r="K461" t="s">
        <v>191</v>
      </c>
      <c r="L461">
        <v>7</v>
      </c>
      <c r="M461" t="s">
        <v>1762</v>
      </c>
      <c r="N461" t="s">
        <v>76</v>
      </c>
      <c r="O461" t="s">
        <v>47</v>
      </c>
      <c r="P461" t="s">
        <v>47</v>
      </c>
      <c r="Y461" t="s">
        <v>1769</v>
      </c>
    </row>
    <row r="462" spans="1:25">
      <c r="A462" t="s">
        <v>1770</v>
      </c>
      <c r="B462" t="s">
        <v>1771</v>
      </c>
      <c r="D462" t="s">
        <v>40</v>
      </c>
      <c r="E462" t="s">
        <v>41</v>
      </c>
      <c r="J462" t="s">
        <v>168</v>
      </c>
      <c r="K462" t="s">
        <v>169</v>
      </c>
      <c r="L462">
        <v>7</v>
      </c>
      <c r="M462" t="s">
        <v>1772</v>
      </c>
      <c r="N462" t="s">
        <v>76</v>
      </c>
      <c r="O462" t="s">
        <v>47</v>
      </c>
      <c r="P462" t="s">
        <v>47</v>
      </c>
      <c r="Y462" t="s">
        <v>1773</v>
      </c>
    </row>
    <row r="463" spans="1:25">
      <c r="A463" t="s">
        <v>1774</v>
      </c>
      <c r="B463" t="s">
        <v>1775</v>
      </c>
      <c r="D463" t="s">
        <v>40</v>
      </c>
      <c r="E463" t="s">
        <v>41</v>
      </c>
      <c r="J463" t="s">
        <v>261</v>
      </c>
      <c r="K463" t="s">
        <v>262</v>
      </c>
      <c r="L463">
        <v>7</v>
      </c>
      <c r="M463" t="s">
        <v>1772</v>
      </c>
      <c r="N463" t="s">
        <v>76</v>
      </c>
      <c r="O463" t="s">
        <v>47</v>
      </c>
      <c r="P463" t="s">
        <v>47</v>
      </c>
      <c r="Y463" t="s">
        <v>1776</v>
      </c>
    </row>
    <row r="464" spans="1:25">
      <c r="A464" t="s">
        <v>1777</v>
      </c>
      <c r="B464" t="s">
        <v>1778</v>
      </c>
      <c r="D464" t="s">
        <v>40</v>
      </c>
      <c r="E464" t="s">
        <v>41</v>
      </c>
      <c r="J464" t="s">
        <v>168</v>
      </c>
      <c r="K464" t="s">
        <v>169</v>
      </c>
      <c r="L464">
        <v>7</v>
      </c>
      <c r="M464" t="s">
        <v>1779</v>
      </c>
      <c r="N464" t="s">
        <v>76</v>
      </c>
      <c r="O464" t="s">
        <v>47</v>
      </c>
      <c r="P464" t="s">
        <v>47</v>
      </c>
      <c r="Y464" t="s">
        <v>1780</v>
      </c>
    </row>
    <row r="465" spans="1:25">
      <c r="A465" t="s">
        <v>1781</v>
      </c>
      <c r="B465" t="s">
        <v>1782</v>
      </c>
      <c r="D465" t="s">
        <v>40</v>
      </c>
      <c r="E465" t="s">
        <v>41</v>
      </c>
      <c r="J465" t="s">
        <v>190</v>
      </c>
      <c r="K465" t="s">
        <v>191</v>
      </c>
      <c r="L465">
        <v>7</v>
      </c>
      <c r="M465" t="s">
        <v>1783</v>
      </c>
      <c r="N465" t="s">
        <v>76</v>
      </c>
      <c r="O465" t="s">
        <v>47</v>
      </c>
      <c r="P465" t="s">
        <v>47</v>
      </c>
      <c r="Y465" t="s">
        <v>1784</v>
      </c>
    </row>
    <row r="466" spans="1:25">
      <c r="A466" t="s">
        <v>1785</v>
      </c>
      <c r="B466" t="s">
        <v>1786</v>
      </c>
      <c r="D466" t="s">
        <v>40</v>
      </c>
      <c r="E466" t="s">
        <v>41</v>
      </c>
      <c r="J466" t="s">
        <v>240</v>
      </c>
      <c r="K466" t="s">
        <v>241</v>
      </c>
      <c r="L466">
        <v>7</v>
      </c>
      <c r="M466" t="s">
        <v>1787</v>
      </c>
      <c r="N466" t="s">
        <v>76</v>
      </c>
      <c r="O466" t="s">
        <v>47</v>
      </c>
      <c r="P466" t="s">
        <v>47</v>
      </c>
      <c r="Y466" t="s">
        <v>1788</v>
      </c>
    </row>
    <row r="467" spans="1:25">
      <c r="A467" t="s">
        <v>1789</v>
      </c>
      <c r="B467" t="s">
        <v>1790</v>
      </c>
      <c r="D467" t="s">
        <v>40</v>
      </c>
      <c r="E467" t="s">
        <v>41</v>
      </c>
      <c r="J467" t="s">
        <v>190</v>
      </c>
      <c r="K467" t="s">
        <v>191</v>
      </c>
      <c r="L467">
        <v>7</v>
      </c>
      <c r="M467" t="s">
        <v>1791</v>
      </c>
      <c r="N467" t="s">
        <v>76</v>
      </c>
      <c r="O467" t="s">
        <v>47</v>
      </c>
      <c r="P467" t="s">
        <v>47</v>
      </c>
      <c r="Y467" t="s">
        <v>1792</v>
      </c>
    </row>
    <row r="468" spans="1:25">
      <c r="A468" t="s">
        <v>1793</v>
      </c>
      <c r="B468" t="s">
        <v>1794</v>
      </c>
      <c r="D468" t="s">
        <v>40</v>
      </c>
      <c r="E468" t="s">
        <v>41</v>
      </c>
      <c r="J468" t="s">
        <v>240</v>
      </c>
      <c r="K468" t="s">
        <v>241</v>
      </c>
      <c r="L468">
        <v>7</v>
      </c>
      <c r="M468" t="s">
        <v>1791</v>
      </c>
      <c r="N468" t="s">
        <v>76</v>
      </c>
      <c r="O468" t="s">
        <v>47</v>
      </c>
      <c r="P468" t="s">
        <v>47</v>
      </c>
      <c r="Y468" t="s">
        <v>1795</v>
      </c>
    </row>
    <row r="469" spans="1:25">
      <c r="A469" t="s">
        <v>1796</v>
      </c>
      <c r="B469" t="s">
        <v>1797</v>
      </c>
      <c r="D469" t="s">
        <v>40</v>
      </c>
      <c r="E469" t="s">
        <v>41</v>
      </c>
      <c r="H469" t="s">
        <v>1798</v>
      </c>
      <c r="J469" t="s">
        <v>108</v>
      </c>
      <c r="K469" t="s">
        <v>109</v>
      </c>
      <c r="L469">
        <v>7</v>
      </c>
      <c r="M469" t="s">
        <v>1791</v>
      </c>
      <c r="N469" t="s">
        <v>202</v>
      </c>
      <c r="O469" t="s">
        <v>47</v>
      </c>
      <c r="P469" t="s">
        <v>47</v>
      </c>
      <c r="Y469" t="s">
        <v>1798</v>
      </c>
    </row>
    <row r="470" spans="1:25">
      <c r="A470" t="s">
        <v>1799</v>
      </c>
      <c r="B470" t="s">
        <v>1800</v>
      </c>
      <c r="D470" t="s">
        <v>40</v>
      </c>
      <c r="E470" t="s">
        <v>41</v>
      </c>
      <c r="J470" t="s">
        <v>190</v>
      </c>
      <c r="K470" t="s">
        <v>191</v>
      </c>
      <c r="L470">
        <v>7</v>
      </c>
      <c r="M470" t="s">
        <v>1791</v>
      </c>
      <c r="N470" t="s">
        <v>76</v>
      </c>
      <c r="O470" t="s">
        <v>47</v>
      </c>
      <c r="P470" t="s">
        <v>47</v>
      </c>
      <c r="Y470" t="s">
        <v>1801</v>
      </c>
    </row>
    <row r="471" spans="1:25">
      <c r="A471" t="s">
        <v>1802</v>
      </c>
      <c r="B471" t="s">
        <v>1803</v>
      </c>
      <c r="D471" t="s">
        <v>40</v>
      </c>
      <c r="E471" t="s">
        <v>41</v>
      </c>
      <c r="H471" t="s">
        <v>1804</v>
      </c>
      <c r="J471" t="s">
        <v>108</v>
      </c>
      <c r="K471" t="s">
        <v>109</v>
      </c>
      <c r="L471">
        <v>7</v>
      </c>
      <c r="M471" t="s">
        <v>1805</v>
      </c>
      <c r="N471" t="s">
        <v>80</v>
      </c>
      <c r="O471" t="s">
        <v>47</v>
      </c>
      <c r="P471" t="s">
        <v>47</v>
      </c>
      <c r="Y471" t="s">
        <v>1804</v>
      </c>
    </row>
    <row r="472" spans="1:25">
      <c r="A472" t="s">
        <v>1806</v>
      </c>
      <c r="B472" t="s">
        <v>1807</v>
      </c>
      <c r="D472" t="s">
        <v>40</v>
      </c>
      <c r="E472" t="s">
        <v>41</v>
      </c>
      <c r="H472" t="s">
        <v>1808</v>
      </c>
      <c r="J472" t="s">
        <v>73</v>
      </c>
      <c r="K472" t="s">
        <v>74</v>
      </c>
      <c r="L472">
        <v>7</v>
      </c>
      <c r="M472" t="s">
        <v>1809</v>
      </c>
      <c r="N472" t="s">
        <v>76</v>
      </c>
      <c r="O472" t="s">
        <v>47</v>
      </c>
      <c r="P472" t="s">
        <v>47</v>
      </c>
      <c r="Y472" t="s">
        <v>1808</v>
      </c>
    </row>
    <row r="473" spans="1:25">
      <c r="A473" t="s">
        <v>1810</v>
      </c>
      <c r="B473" t="s">
        <v>1811</v>
      </c>
      <c r="D473" t="s">
        <v>40</v>
      </c>
      <c r="E473" t="s">
        <v>41</v>
      </c>
      <c r="H473" t="s">
        <v>1812</v>
      </c>
      <c r="J473" t="s">
        <v>73</v>
      </c>
      <c r="K473" t="s">
        <v>74</v>
      </c>
      <c r="L473">
        <v>7</v>
      </c>
      <c r="M473" t="s">
        <v>1813</v>
      </c>
      <c r="N473" t="s">
        <v>76</v>
      </c>
      <c r="O473" t="s">
        <v>47</v>
      </c>
      <c r="P473" t="s">
        <v>47</v>
      </c>
      <c r="Y473" t="s">
        <v>1812</v>
      </c>
    </row>
    <row r="474" spans="1:25">
      <c r="A474" t="s">
        <v>1814</v>
      </c>
      <c r="B474" t="s">
        <v>1815</v>
      </c>
      <c r="D474" t="s">
        <v>40</v>
      </c>
      <c r="E474" t="s">
        <v>41</v>
      </c>
      <c r="J474" t="s">
        <v>240</v>
      </c>
      <c r="K474" t="s">
        <v>241</v>
      </c>
      <c r="L474">
        <v>7</v>
      </c>
      <c r="M474" t="s">
        <v>1816</v>
      </c>
      <c r="N474" t="s">
        <v>76</v>
      </c>
      <c r="O474" t="s">
        <v>47</v>
      </c>
      <c r="P474" t="s">
        <v>47</v>
      </c>
      <c r="Y474" t="s">
        <v>1817</v>
      </c>
    </row>
    <row r="475" spans="1:25">
      <c r="A475" t="s">
        <v>1818</v>
      </c>
      <c r="B475" t="s">
        <v>1819</v>
      </c>
      <c r="D475" t="s">
        <v>40</v>
      </c>
      <c r="E475" t="s">
        <v>41</v>
      </c>
      <c r="H475" t="s">
        <v>1820</v>
      </c>
      <c r="J475" t="s">
        <v>701</v>
      </c>
      <c r="K475" t="s">
        <v>702</v>
      </c>
      <c r="L475">
        <v>7</v>
      </c>
      <c r="M475" t="s">
        <v>1821</v>
      </c>
      <c r="N475" t="s">
        <v>80</v>
      </c>
      <c r="O475" t="s">
        <v>47</v>
      </c>
      <c r="P475" t="s">
        <v>47</v>
      </c>
      <c r="Y475" t="s">
        <v>1820</v>
      </c>
    </row>
    <row r="476" spans="1:25">
      <c r="A476" t="s">
        <v>1822</v>
      </c>
      <c r="B476" t="s">
        <v>1823</v>
      </c>
      <c r="D476" t="s">
        <v>40</v>
      </c>
      <c r="E476" t="s">
        <v>41</v>
      </c>
      <c r="J476" t="s">
        <v>190</v>
      </c>
      <c r="K476" t="s">
        <v>191</v>
      </c>
      <c r="L476">
        <v>7</v>
      </c>
      <c r="M476" t="s">
        <v>1821</v>
      </c>
      <c r="N476" t="s">
        <v>76</v>
      </c>
      <c r="O476" t="s">
        <v>47</v>
      </c>
      <c r="P476" t="s">
        <v>47</v>
      </c>
      <c r="Y476" t="s">
        <v>1824</v>
      </c>
    </row>
    <row r="477" spans="1:25">
      <c r="A477" t="s">
        <v>1825</v>
      </c>
      <c r="B477" t="s">
        <v>1826</v>
      </c>
      <c r="D477" t="s">
        <v>40</v>
      </c>
      <c r="E477" t="s">
        <v>41</v>
      </c>
      <c r="J477" t="s">
        <v>190</v>
      </c>
      <c r="K477" t="s">
        <v>191</v>
      </c>
      <c r="L477">
        <v>7</v>
      </c>
      <c r="M477" t="s">
        <v>1827</v>
      </c>
      <c r="N477" t="s">
        <v>76</v>
      </c>
      <c r="O477" t="s">
        <v>47</v>
      </c>
      <c r="P477" t="s">
        <v>47</v>
      </c>
      <c r="Y477" t="s">
        <v>1828</v>
      </c>
    </row>
    <row r="478" spans="1:25">
      <c r="A478" t="s">
        <v>1829</v>
      </c>
      <c r="B478" t="s">
        <v>1830</v>
      </c>
      <c r="D478" t="s">
        <v>40</v>
      </c>
      <c r="E478" t="s">
        <v>41</v>
      </c>
      <c r="J478" t="s">
        <v>240</v>
      </c>
      <c r="K478" t="s">
        <v>241</v>
      </c>
      <c r="L478">
        <v>7</v>
      </c>
      <c r="M478" t="s">
        <v>1827</v>
      </c>
      <c r="N478" t="s">
        <v>76</v>
      </c>
      <c r="O478" t="s">
        <v>47</v>
      </c>
      <c r="P478" t="s">
        <v>47</v>
      </c>
      <c r="Y478" t="s">
        <v>1831</v>
      </c>
    </row>
    <row r="479" spans="1:25">
      <c r="A479" t="s">
        <v>1832</v>
      </c>
      <c r="B479" t="s">
        <v>1833</v>
      </c>
      <c r="D479" t="s">
        <v>40</v>
      </c>
      <c r="E479" t="s">
        <v>41</v>
      </c>
      <c r="H479" t="s">
        <v>1834</v>
      </c>
      <c r="J479" t="s">
        <v>108</v>
      </c>
      <c r="K479" t="s">
        <v>109</v>
      </c>
      <c r="L479">
        <v>7</v>
      </c>
      <c r="M479" t="s">
        <v>1835</v>
      </c>
      <c r="N479" t="s">
        <v>80</v>
      </c>
      <c r="O479" t="s">
        <v>47</v>
      </c>
      <c r="P479" t="s">
        <v>47</v>
      </c>
      <c r="Y479" t="s">
        <v>1834</v>
      </c>
    </row>
    <row r="480" spans="1:25">
      <c r="A480" t="s">
        <v>1836</v>
      </c>
      <c r="B480" t="s">
        <v>1837</v>
      </c>
      <c r="D480" t="s">
        <v>40</v>
      </c>
      <c r="E480" t="s">
        <v>41</v>
      </c>
      <c r="J480" t="s">
        <v>190</v>
      </c>
      <c r="K480" t="s">
        <v>191</v>
      </c>
      <c r="L480">
        <v>7</v>
      </c>
      <c r="M480" t="s">
        <v>1838</v>
      </c>
      <c r="N480" t="s">
        <v>76</v>
      </c>
      <c r="O480" t="s">
        <v>47</v>
      </c>
      <c r="P480" t="s">
        <v>47</v>
      </c>
      <c r="Y480" t="s">
        <v>1839</v>
      </c>
    </row>
    <row r="481" spans="1:25">
      <c r="A481" t="s">
        <v>1840</v>
      </c>
      <c r="B481" t="s">
        <v>1841</v>
      </c>
      <c r="D481" t="s">
        <v>40</v>
      </c>
      <c r="E481" t="s">
        <v>41</v>
      </c>
      <c r="H481" t="s">
        <v>1842</v>
      </c>
      <c r="J481" t="s">
        <v>168</v>
      </c>
      <c r="K481" t="s">
        <v>169</v>
      </c>
      <c r="L481">
        <v>7</v>
      </c>
      <c r="M481" t="s">
        <v>1838</v>
      </c>
      <c r="N481" t="s">
        <v>76</v>
      </c>
      <c r="O481" t="s">
        <v>47</v>
      </c>
      <c r="P481" t="s">
        <v>47</v>
      </c>
      <c r="Y481" t="s">
        <v>1842</v>
      </c>
    </row>
    <row r="482" spans="1:25">
      <c r="A482" t="s">
        <v>1843</v>
      </c>
      <c r="B482" t="s">
        <v>1844</v>
      </c>
      <c r="D482" t="s">
        <v>40</v>
      </c>
      <c r="E482" t="s">
        <v>41</v>
      </c>
      <c r="J482" t="s">
        <v>240</v>
      </c>
      <c r="K482" t="s">
        <v>241</v>
      </c>
      <c r="L482">
        <v>7</v>
      </c>
      <c r="M482" t="s">
        <v>1845</v>
      </c>
      <c r="N482" t="s">
        <v>76</v>
      </c>
      <c r="O482" t="s">
        <v>47</v>
      </c>
      <c r="P482" t="s">
        <v>47</v>
      </c>
      <c r="Y482" t="s">
        <v>1846</v>
      </c>
    </row>
    <row r="483" spans="1:25">
      <c r="A483" t="s">
        <v>1847</v>
      </c>
      <c r="B483" t="s">
        <v>1848</v>
      </c>
      <c r="D483" t="s">
        <v>40</v>
      </c>
      <c r="E483" t="s">
        <v>41</v>
      </c>
      <c r="J483" t="s">
        <v>190</v>
      </c>
      <c r="K483" t="s">
        <v>191</v>
      </c>
      <c r="L483">
        <v>7</v>
      </c>
      <c r="M483" t="s">
        <v>1849</v>
      </c>
      <c r="N483" t="s">
        <v>76</v>
      </c>
      <c r="O483" t="s">
        <v>47</v>
      </c>
      <c r="P483" t="s">
        <v>47</v>
      </c>
      <c r="Y483" t="s">
        <v>1850</v>
      </c>
    </row>
    <row r="484" spans="1:25">
      <c r="A484" t="s">
        <v>1851</v>
      </c>
      <c r="B484" t="s">
        <v>1852</v>
      </c>
      <c r="D484" t="s">
        <v>40</v>
      </c>
      <c r="E484" t="s">
        <v>41</v>
      </c>
      <c r="H484" t="s">
        <v>1853</v>
      </c>
      <c r="J484" t="s">
        <v>190</v>
      </c>
      <c r="K484" t="s">
        <v>191</v>
      </c>
      <c r="L484">
        <v>7</v>
      </c>
      <c r="M484" t="s">
        <v>1849</v>
      </c>
      <c r="N484" t="s">
        <v>76</v>
      </c>
      <c r="O484" t="s">
        <v>47</v>
      </c>
      <c r="P484" t="s">
        <v>47</v>
      </c>
      <c r="Y484" t="s">
        <v>1853</v>
      </c>
    </row>
    <row r="485" spans="1:25">
      <c r="A485" t="s">
        <v>1854</v>
      </c>
      <c r="B485" t="s">
        <v>1855</v>
      </c>
      <c r="D485" t="s">
        <v>40</v>
      </c>
      <c r="E485" t="s">
        <v>41</v>
      </c>
      <c r="J485" t="s">
        <v>190</v>
      </c>
      <c r="K485" t="s">
        <v>191</v>
      </c>
      <c r="L485">
        <v>7</v>
      </c>
      <c r="M485" t="s">
        <v>1849</v>
      </c>
      <c r="N485" t="s">
        <v>76</v>
      </c>
      <c r="O485" t="s">
        <v>47</v>
      </c>
      <c r="P485" t="s">
        <v>47</v>
      </c>
      <c r="Y485" t="s">
        <v>1856</v>
      </c>
    </row>
    <row r="486" spans="1:25">
      <c r="A486" t="s">
        <v>1857</v>
      </c>
      <c r="B486" t="s">
        <v>1858</v>
      </c>
      <c r="D486" t="s">
        <v>40</v>
      </c>
      <c r="E486" t="s">
        <v>41</v>
      </c>
      <c r="J486" t="s">
        <v>318</v>
      </c>
      <c r="K486" t="s">
        <v>319</v>
      </c>
      <c r="L486">
        <v>7</v>
      </c>
      <c r="M486" t="s">
        <v>1859</v>
      </c>
      <c r="N486" t="s">
        <v>76</v>
      </c>
      <c r="O486" t="s">
        <v>47</v>
      </c>
      <c r="P486" t="s">
        <v>47</v>
      </c>
      <c r="Y486" t="s">
        <v>1860</v>
      </c>
    </row>
    <row r="487" spans="1:25">
      <c r="A487" t="s">
        <v>1861</v>
      </c>
      <c r="B487" t="s">
        <v>1862</v>
      </c>
      <c r="D487" t="s">
        <v>40</v>
      </c>
      <c r="E487" t="s">
        <v>41</v>
      </c>
      <c r="J487" t="s">
        <v>240</v>
      </c>
      <c r="K487" t="s">
        <v>241</v>
      </c>
      <c r="L487">
        <v>7</v>
      </c>
      <c r="M487" t="s">
        <v>1859</v>
      </c>
      <c r="N487" t="s">
        <v>76</v>
      </c>
      <c r="O487" t="s">
        <v>47</v>
      </c>
      <c r="P487" t="s">
        <v>47</v>
      </c>
      <c r="Y487" t="s">
        <v>1863</v>
      </c>
    </row>
    <row r="488" spans="1:25">
      <c r="A488" t="s">
        <v>1864</v>
      </c>
      <c r="B488" t="s">
        <v>1865</v>
      </c>
      <c r="D488" t="s">
        <v>40</v>
      </c>
      <c r="E488" t="s">
        <v>41</v>
      </c>
      <c r="J488" t="s">
        <v>190</v>
      </c>
      <c r="K488" t="s">
        <v>191</v>
      </c>
      <c r="L488">
        <v>7</v>
      </c>
      <c r="M488" t="s">
        <v>1859</v>
      </c>
      <c r="N488" t="s">
        <v>76</v>
      </c>
      <c r="O488" t="s">
        <v>47</v>
      </c>
      <c r="P488" t="s">
        <v>47</v>
      </c>
      <c r="Y488" t="s">
        <v>1866</v>
      </c>
    </row>
    <row r="489" spans="1:25">
      <c r="A489" t="s">
        <v>1867</v>
      </c>
      <c r="B489" t="s">
        <v>1868</v>
      </c>
      <c r="D489" t="s">
        <v>40</v>
      </c>
      <c r="E489" t="s">
        <v>41</v>
      </c>
      <c r="H489" t="s">
        <v>1869</v>
      </c>
      <c r="J489" t="s">
        <v>190</v>
      </c>
      <c r="K489" t="s">
        <v>191</v>
      </c>
      <c r="L489">
        <v>7</v>
      </c>
      <c r="M489" t="s">
        <v>1870</v>
      </c>
      <c r="N489" t="s">
        <v>76</v>
      </c>
      <c r="O489" t="s">
        <v>47</v>
      </c>
      <c r="P489" t="s">
        <v>47</v>
      </c>
      <c r="Y489" t="s">
        <v>1869</v>
      </c>
    </row>
    <row r="490" spans="1:25">
      <c r="A490" t="s">
        <v>1871</v>
      </c>
      <c r="B490" t="s">
        <v>1872</v>
      </c>
      <c r="D490" t="s">
        <v>40</v>
      </c>
      <c r="E490" t="s">
        <v>41</v>
      </c>
      <c r="J490" t="s">
        <v>240</v>
      </c>
      <c r="K490" t="s">
        <v>241</v>
      </c>
      <c r="L490">
        <v>7</v>
      </c>
      <c r="M490" t="s">
        <v>1873</v>
      </c>
      <c r="N490" t="s">
        <v>76</v>
      </c>
      <c r="O490" t="s">
        <v>47</v>
      </c>
      <c r="P490" t="s">
        <v>47</v>
      </c>
      <c r="Y490" t="s">
        <v>1874</v>
      </c>
    </row>
    <row r="491" spans="1:25">
      <c r="A491" t="s">
        <v>1875</v>
      </c>
      <c r="B491" t="s">
        <v>1876</v>
      </c>
      <c r="D491" t="s">
        <v>40</v>
      </c>
      <c r="E491" t="s">
        <v>41</v>
      </c>
      <c r="J491" t="s">
        <v>261</v>
      </c>
      <c r="K491" t="s">
        <v>262</v>
      </c>
      <c r="L491">
        <v>7</v>
      </c>
      <c r="M491" t="s">
        <v>1877</v>
      </c>
      <c r="N491" t="s">
        <v>76</v>
      </c>
      <c r="O491" t="s">
        <v>47</v>
      </c>
      <c r="P491" t="s">
        <v>47</v>
      </c>
      <c r="Y491" t="s">
        <v>1878</v>
      </c>
    </row>
    <row r="492" spans="1:25">
      <c r="A492" t="s">
        <v>1879</v>
      </c>
      <c r="B492" t="s">
        <v>1880</v>
      </c>
      <c r="D492" t="s">
        <v>40</v>
      </c>
      <c r="E492" t="s">
        <v>41</v>
      </c>
      <c r="J492" t="s">
        <v>108</v>
      </c>
      <c r="K492" t="s">
        <v>109</v>
      </c>
      <c r="L492">
        <v>7</v>
      </c>
      <c r="M492" t="s">
        <v>1881</v>
      </c>
      <c r="N492" t="s">
        <v>80</v>
      </c>
      <c r="O492" t="s">
        <v>47</v>
      </c>
      <c r="P492" t="s">
        <v>47</v>
      </c>
      <c r="Y492" t="s">
        <v>1882</v>
      </c>
    </row>
    <row r="493" spans="1:25">
      <c r="A493" t="s">
        <v>1883</v>
      </c>
      <c r="B493" t="s">
        <v>1884</v>
      </c>
      <c r="D493" t="s">
        <v>40</v>
      </c>
      <c r="E493" t="s">
        <v>41</v>
      </c>
      <c r="J493" t="s">
        <v>261</v>
      </c>
      <c r="K493" t="s">
        <v>262</v>
      </c>
      <c r="L493">
        <v>7</v>
      </c>
      <c r="M493" t="s">
        <v>1881</v>
      </c>
      <c r="N493" t="s">
        <v>76</v>
      </c>
      <c r="O493" t="s">
        <v>47</v>
      </c>
      <c r="P493" t="s">
        <v>47</v>
      </c>
      <c r="Y493" t="s">
        <v>1885</v>
      </c>
    </row>
    <row r="494" spans="1:25">
      <c r="A494" t="s">
        <v>1886</v>
      </c>
      <c r="B494" t="s">
        <v>1887</v>
      </c>
      <c r="D494" t="s">
        <v>40</v>
      </c>
      <c r="E494" t="s">
        <v>41</v>
      </c>
      <c r="H494" t="s">
        <v>1888</v>
      </c>
      <c r="J494" t="s">
        <v>108</v>
      </c>
      <c r="K494" t="s">
        <v>109</v>
      </c>
      <c r="L494">
        <v>7</v>
      </c>
      <c r="M494" t="s">
        <v>1881</v>
      </c>
      <c r="N494" t="s">
        <v>202</v>
      </c>
      <c r="O494" t="s">
        <v>47</v>
      </c>
      <c r="P494" t="s">
        <v>47</v>
      </c>
      <c r="Y494" t="s">
        <v>1888</v>
      </c>
    </row>
    <row r="495" spans="1:25">
      <c r="A495" t="s">
        <v>1889</v>
      </c>
      <c r="B495" t="s">
        <v>1890</v>
      </c>
      <c r="D495" t="s">
        <v>40</v>
      </c>
      <c r="E495" t="s">
        <v>41</v>
      </c>
      <c r="J495" t="s">
        <v>168</v>
      </c>
      <c r="K495" t="s">
        <v>169</v>
      </c>
      <c r="L495">
        <v>7</v>
      </c>
      <c r="M495" t="s">
        <v>1891</v>
      </c>
      <c r="N495" t="s">
        <v>76</v>
      </c>
      <c r="O495" t="s">
        <v>47</v>
      </c>
      <c r="P495" t="s">
        <v>47</v>
      </c>
      <c r="Y495" t="s">
        <v>1892</v>
      </c>
    </row>
    <row r="496" spans="1:25">
      <c r="A496" t="s">
        <v>1893</v>
      </c>
      <c r="B496" t="s">
        <v>1894</v>
      </c>
      <c r="D496" t="s">
        <v>40</v>
      </c>
      <c r="E496" t="s">
        <v>41</v>
      </c>
      <c r="H496" t="s">
        <v>1895</v>
      </c>
      <c r="J496" t="s">
        <v>240</v>
      </c>
      <c r="K496" t="s">
        <v>241</v>
      </c>
      <c r="L496">
        <v>7</v>
      </c>
      <c r="M496" t="s">
        <v>1896</v>
      </c>
      <c r="N496" t="s">
        <v>76</v>
      </c>
      <c r="O496" t="s">
        <v>47</v>
      </c>
      <c r="P496" t="s">
        <v>47</v>
      </c>
      <c r="Y496" t="s">
        <v>1895</v>
      </c>
    </row>
    <row r="497" spans="1:25">
      <c r="A497" t="s">
        <v>1897</v>
      </c>
      <c r="B497" t="s">
        <v>1898</v>
      </c>
      <c r="D497" t="s">
        <v>40</v>
      </c>
      <c r="E497" t="s">
        <v>41</v>
      </c>
      <c r="J497" t="s">
        <v>261</v>
      </c>
      <c r="K497" t="s">
        <v>262</v>
      </c>
      <c r="L497">
        <v>7</v>
      </c>
      <c r="M497" t="s">
        <v>1899</v>
      </c>
      <c r="N497" t="s">
        <v>76</v>
      </c>
      <c r="O497" t="s">
        <v>47</v>
      </c>
      <c r="P497" t="s">
        <v>47</v>
      </c>
      <c r="Y497" t="s">
        <v>1900</v>
      </c>
    </row>
    <row r="498" spans="1:25">
      <c r="A498" t="s">
        <v>1901</v>
      </c>
      <c r="B498" t="s">
        <v>1902</v>
      </c>
      <c r="D498" t="s">
        <v>40</v>
      </c>
      <c r="E498" t="s">
        <v>41</v>
      </c>
      <c r="H498" t="s">
        <v>1903</v>
      </c>
      <c r="J498" t="s">
        <v>190</v>
      </c>
      <c r="K498" t="s">
        <v>191</v>
      </c>
      <c r="L498">
        <v>7</v>
      </c>
      <c r="M498" t="s">
        <v>1899</v>
      </c>
      <c r="N498" t="s">
        <v>76</v>
      </c>
      <c r="O498" t="s">
        <v>47</v>
      </c>
      <c r="P498" t="s">
        <v>47</v>
      </c>
      <c r="Y498" t="s">
        <v>1903</v>
      </c>
    </row>
    <row r="499" spans="1:25">
      <c r="A499" t="s">
        <v>1904</v>
      </c>
      <c r="B499" t="s">
        <v>1905</v>
      </c>
      <c r="D499" t="s">
        <v>40</v>
      </c>
      <c r="E499" t="s">
        <v>41</v>
      </c>
      <c r="J499" t="s">
        <v>190</v>
      </c>
      <c r="K499" t="s">
        <v>191</v>
      </c>
      <c r="L499">
        <v>7</v>
      </c>
      <c r="M499" t="s">
        <v>1899</v>
      </c>
      <c r="N499" t="s">
        <v>76</v>
      </c>
      <c r="O499" t="s">
        <v>47</v>
      </c>
      <c r="P499" t="s">
        <v>47</v>
      </c>
      <c r="Y499" t="s">
        <v>1906</v>
      </c>
    </row>
    <row r="500" spans="1:25">
      <c r="A500" t="s">
        <v>1907</v>
      </c>
      <c r="B500" t="s">
        <v>1908</v>
      </c>
      <c r="D500" t="s">
        <v>40</v>
      </c>
      <c r="E500" t="s">
        <v>41</v>
      </c>
      <c r="H500" t="s">
        <v>1909</v>
      </c>
      <c r="J500" t="s">
        <v>261</v>
      </c>
      <c r="K500" t="s">
        <v>262</v>
      </c>
      <c r="L500">
        <v>7</v>
      </c>
      <c r="M500" t="s">
        <v>1899</v>
      </c>
      <c r="N500" t="s">
        <v>76</v>
      </c>
      <c r="O500" t="s">
        <v>47</v>
      </c>
      <c r="P500" t="s">
        <v>47</v>
      </c>
      <c r="Y500" t="s">
        <v>1909</v>
      </c>
    </row>
    <row r="501" spans="1:25">
      <c r="A501" t="s">
        <v>1910</v>
      </c>
      <c r="B501" t="s">
        <v>1911</v>
      </c>
      <c r="D501" t="s">
        <v>40</v>
      </c>
      <c r="E501" t="s">
        <v>41</v>
      </c>
      <c r="J501" t="s">
        <v>190</v>
      </c>
      <c r="K501" t="s">
        <v>191</v>
      </c>
      <c r="L501">
        <v>7</v>
      </c>
      <c r="M501" t="s">
        <v>1912</v>
      </c>
      <c r="N501" t="s">
        <v>76</v>
      </c>
      <c r="O501" t="s">
        <v>47</v>
      </c>
      <c r="P501" t="s">
        <v>47</v>
      </c>
      <c r="Y501" t="s">
        <v>1913</v>
      </c>
    </row>
    <row r="502" spans="1:25">
      <c r="A502" t="s">
        <v>1914</v>
      </c>
      <c r="B502" t="s">
        <v>1915</v>
      </c>
      <c r="D502" t="s">
        <v>40</v>
      </c>
      <c r="E502" t="s">
        <v>41</v>
      </c>
      <c r="J502" t="s">
        <v>190</v>
      </c>
      <c r="K502" t="s">
        <v>191</v>
      </c>
      <c r="L502">
        <v>7</v>
      </c>
      <c r="M502" t="s">
        <v>1916</v>
      </c>
      <c r="N502" t="s">
        <v>76</v>
      </c>
      <c r="O502" t="s">
        <v>47</v>
      </c>
      <c r="P502" t="s">
        <v>47</v>
      </c>
      <c r="Y502" t="s">
        <v>1917</v>
      </c>
    </row>
    <row r="503" spans="1:25">
      <c r="A503" t="s">
        <v>1918</v>
      </c>
      <c r="B503" t="s">
        <v>1919</v>
      </c>
      <c r="D503" t="s">
        <v>40</v>
      </c>
      <c r="E503" t="s">
        <v>41</v>
      </c>
      <c r="H503" t="s">
        <v>1920</v>
      </c>
      <c r="J503" t="s">
        <v>43</v>
      </c>
      <c r="K503" t="s">
        <v>44</v>
      </c>
      <c r="L503">
        <v>7</v>
      </c>
      <c r="M503" t="s">
        <v>1921</v>
      </c>
      <c r="N503" t="s">
        <v>202</v>
      </c>
      <c r="O503" t="s">
        <v>47</v>
      </c>
      <c r="P503" t="s">
        <v>47</v>
      </c>
      <c r="Y503" t="s">
        <v>1920</v>
      </c>
    </row>
    <row r="504" spans="1:25">
      <c r="A504" t="s">
        <v>1922</v>
      </c>
      <c r="B504" t="s">
        <v>1923</v>
      </c>
      <c r="D504" t="s">
        <v>40</v>
      </c>
      <c r="E504" t="s">
        <v>41</v>
      </c>
      <c r="J504" t="s">
        <v>261</v>
      </c>
      <c r="K504" t="s">
        <v>262</v>
      </c>
      <c r="L504">
        <v>7</v>
      </c>
      <c r="M504" t="s">
        <v>1921</v>
      </c>
      <c r="N504" t="s">
        <v>76</v>
      </c>
      <c r="O504" t="s">
        <v>47</v>
      </c>
      <c r="P504" t="s">
        <v>47</v>
      </c>
      <c r="Y504" t="s">
        <v>1924</v>
      </c>
    </row>
    <row r="505" spans="1:25">
      <c r="A505" t="s">
        <v>1925</v>
      </c>
      <c r="B505" t="s">
        <v>1926</v>
      </c>
      <c r="D505" t="s">
        <v>40</v>
      </c>
      <c r="E505" t="s">
        <v>41</v>
      </c>
      <c r="J505" t="s">
        <v>190</v>
      </c>
      <c r="K505" t="s">
        <v>191</v>
      </c>
      <c r="L505">
        <v>7</v>
      </c>
      <c r="M505" t="s">
        <v>1921</v>
      </c>
      <c r="N505" t="s">
        <v>76</v>
      </c>
      <c r="O505" t="s">
        <v>47</v>
      </c>
      <c r="P505" t="s">
        <v>47</v>
      </c>
      <c r="Y505" t="s">
        <v>1927</v>
      </c>
    </row>
    <row r="506" spans="1:25">
      <c r="A506" t="s">
        <v>1928</v>
      </c>
      <c r="B506" t="s">
        <v>1929</v>
      </c>
      <c r="D506" t="s">
        <v>40</v>
      </c>
      <c r="E506" t="s">
        <v>41</v>
      </c>
      <c r="J506" t="s">
        <v>168</v>
      </c>
      <c r="K506" t="s">
        <v>169</v>
      </c>
      <c r="L506">
        <v>7</v>
      </c>
      <c r="M506" t="s">
        <v>1930</v>
      </c>
      <c r="N506" t="s">
        <v>76</v>
      </c>
      <c r="O506" t="s">
        <v>47</v>
      </c>
      <c r="P506" t="s">
        <v>47</v>
      </c>
      <c r="Y506" t="s">
        <v>1931</v>
      </c>
    </row>
    <row r="507" spans="1:25">
      <c r="A507" t="s">
        <v>1932</v>
      </c>
      <c r="B507" t="s">
        <v>1933</v>
      </c>
      <c r="D507" t="s">
        <v>40</v>
      </c>
      <c r="E507" t="s">
        <v>41</v>
      </c>
      <c r="J507" t="s">
        <v>190</v>
      </c>
      <c r="K507" t="s">
        <v>191</v>
      </c>
      <c r="L507">
        <v>7</v>
      </c>
      <c r="M507" t="s">
        <v>1934</v>
      </c>
      <c r="N507" t="s">
        <v>76</v>
      </c>
      <c r="O507" t="s">
        <v>47</v>
      </c>
      <c r="P507" t="s">
        <v>47</v>
      </c>
      <c r="Y507" t="s">
        <v>1935</v>
      </c>
    </row>
    <row r="508" spans="1:25">
      <c r="A508" t="s">
        <v>1936</v>
      </c>
      <c r="B508" t="s">
        <v>1937</v>
      </c>
      <c r="D508" t="s">
        <v>40</v>
      </c>
      <c r="E508" t="s">
        <v>41</v>
      </c>
      <c r="J508" t="s">
        <v>190</v>
      </c>
      <c r="K508" t="s">
        <v>191</v>
      </c>
      <c r="L508">
        <v>7</v>
      </c>
      <c r="M508" t="s">
        <v>1934</v>
      </c>
      <c r="N508" t="s">
        <v>76</v>
      </c>
      <c r="O508" t="s">
        <v>47</v>
      </c>
      <c r="P508" t="s">
        <v>47</v>
      </c>
      <c r="Y508" t="s">
        <v>1938</v>
      </c>
    </row>
    <row r="509" spans="1:25">
      <c r="A509" t="s">
        <v>1939</v>
      </c>
      <c r="B509" t="s">
        <v>1940</v>
      </c>
      <c r="D509" t="s">
        <v>40</v>
      </c>
      <c r="E509" t="s">
        <v>41</v>
      </c>
      <c r="J509" t="s">
        <v>261</v>
      </c>
      <c r="K509" t="s">
        <v>262</v>
      </c>
      <c r="L509">
        <v>7</v>
      </c>
      <c r="M509" t="s">
        <v>1941</v>
      </c>
      <c r="N509" t="s">
        <v>76</v>
      </c>
      <c r="O509" t="s">
        <v>47</v>
      </c>
      <c r="P509" t="s">
        <v>47</v>
      </c>
      <c r="Y509" t="s">
        <v>1942</v>
      </c>
    </row>
    <row r="510" spans="1:25">
      <c r="A510" t="s">
        <v>1943</v>
      </c>
      <c r="B510" t="s">
        <v>1944</v>
      </c>
      <c r="D510" t="s">
        <v>40</v>
      </c>
      <c r="E510" t="s">
        <v>41</v>
      </c>
      <c r="H510" t="s">
        <v>1945</v>
      </c>
      <c r="J510" t="s">
        <v>190</v>
      </c>
      <c r="K510" t="s">
        <v>191</v>
      </c>
      <c r="L510">
        <v>7</v>
      </c>
      <c r="M510" t="s">
        <v>1946</v>
      </c>
      <c r="N510" t="s">
        <v>76</v>
      </c>
      <c r="O510" t="s">
        <v>47</v>
      </c>
      <c r="P510" t="s">
        <v>47</v>
      </c>
      <c r="Y510" t="s">
        <v>1945</v>
      </c>
    </row>
    <row r="511" spans="1:25">
      <c r="A511" t="s">
        <v>1947</v>
      </c>
      <c r="B511" t="s">
        <v>1948</v>
      </c>
      <c r="D511" t="s">
        <v>40</v>
      </c>
      <c r="E511" t="s">
        <v>41</v>
      </c>
      <c r="J511" t="s">
        <v>190</v>
      </c>
      <c r="K511" t="s">
        <v>191</v>
      </c>
      <c r="L511">
        <v>7</v>
      </c>
      <c r="M511" t="s">
        <v>1949</v>
      </c>
      <c r="N511" t="s">
        <v>76</v>
      </c>
      <c r="O511" t="s">
        <v>47</v>
      </c>
      <c r="P511" t="s">
        <v>47</v>
      </c>
      <c r="Y511" t="s">
        <v>1950</v>
      </c>
    </row>
    <row r="512" spans="1:25">
      <c r="A512" t="s">
        <v>1951</v>
      </c>
      <c r="B512" t="s">
        <v>1952</v>
      </c>
      <c r="D512" t="s">
        <v>40</v>
      </c>
      <c r="E512" t="s">
        <v>41</v>
      </c>
      <c r="J512" t="s">
        <v>168</v>
      </c>
      <c r="K512" t="s">
        <v>169</v>
      </c>
      <c r="L512">
        <v>7</v>
      </c>
      <c r="M512" t="s">
        <v>1949</v>
      </c>
      <c r="N512" t="s">
        <v>76</v>
      </c>
      <c r="O512" t="s">
        <v>47</v>
      </c>
      <c r="P512" t="s">
        <v>47</v>
      </c>
      <c r="Y512" t="s">
        <v>1953</v>
      </c>
    </row>
    <row r="513" spans="1:25">
      <c r="A513" t="s">
        <v>1954</v>
      </c>
      <c r="B513" t="s">
        <v>1955</v>
      </c>
      <c r="D513" t="s">
        <v>40</v>
      </c>
      <c r="E513" t="s">
        <v>41</v>
      </c>
      <c r="J513" t="s">
        <v>117</v>
      </c>
      <c r="K513" t="s">
        <v>118</v>
      </c>
      <c r="L513">
        <v>7</v>
      </c>
      <c r="M513" t="s">
        <v>1949</v>
      </c>
      <c r="N513" t="s">
        <v>80</v>
      </c>
      <c r="O513" t="s">
        <v>47</v>
      </c>
      <c r="P513" t="s">
        <v>47</v>
      </c>
      <c r="Y513" t="s">
        <v>1956</v>
      </c>
    </row>
    <row r="514" spans="1:25">
      <c r="A514" t="s">
        <v>1957</v>
      </c>
      <c r="B514" t="s">
        <v>1958</v>
      </c>
      <c r="D514" t="s">
        <v>40</v>
      </c>
      <c r="E514" t="s">
        <v>41</v>
      </c>
      <c r="J514" t="s">
        <v>261</v>
      </c>
      <c r="K514" t="s">
        <v>262</v>
      </c>
      <c r="L514">
        <v>7</v>
      </c>
      <c r="M514" t="s">
        <v>1959</v>
      </c>
      <c r="N514" t="s">
        <v>76</v>
      </c>
      <c r="O514" t="s">
        <v>47</v>
      </c>
      <c r="P514" t="s">
        <v>47</v>
      </c>
      <c r="Y514" t="s">
        <v>1960</v>
      </c>
    </row>
    <row r="515" spans="1:25">
      <c r="A515" t="s">
        <v>1961</v>
      </c>
      <c r="B515" t="s">
        <v>1962</v>
      </c>
      <c r="D515" t="s">
        <v>40</v>
      </c>
      <c r="E515" t="s">
        <v>41</v>
      </c>
      <c r="J515" t="s">
        <v>108</v>
      </c>
      <c r="K515" t="s">
        <v>109</v>
      </c>
      <c r="L515">
        <v>7</v>
      </c>
      <c r="M515" t="s">
        <v>1963</v>
      </c>
      <c r="N515" t="s">
        <v>80</v>
      </c>
      <c r="O515" t="s">
        <v>47</v>
      </c>
      <c r="P515" t="s">
        <v>47</v>
      </c>
      <c r="Y515" t="s">
        <v>1964</v>
      </c>
    </row>
    <row r="516" spans="1:25">
      <c r="A516" t="s">
        <v>1965</v>
      </c>
      <c r="B516" t="s">
        <v>1966</v>
      </c>
      <c r="D516" t="s">
        <v>40</v>
      </c>
      <c r="E516" t="s">
        <v>41</v>
      </c>
      <c r="J516" t="s">
        <v>261</v>
      </c>
      <c r="K516" t="s">
        <v>262</v>
      </c>
      <c r="L516">
        <v>7</v>
      </c>
      <c r="M516" t="s">
        <v>1967</v>
      </c>
      <c r="N516" t="s">
        <v>76</v>
      </c>
      <c r="O516" t="s">
        <v>47</v>
      </c>
      <c r="P516" t="s">
        <v>47</v>
      </c>
      <c r="Y516" t="s">
        <v>1968</v>
      </c>
    </row>
    <row r="517" spans="1:25">
      <c r="A517" t="s">
        <v>1969</v>
      </c>
      <c r="B517" t="s">
        <v>1970</v>
      </c>
      <c r="D517" t="s">
        <v>40</v>
      </c>
      <c r="E517" t="s">
        <v>41</v>
      </c>
      <c r="H517" t="s">
        <v>1971</v>
      </c>
      <c r="J517" t="s">
        <v>190</v>
      </c>
      <c r="K517" t="s">
        <v>191</v>
      </c>
      <c r="L517">
        <v>7</v>
      </c>
      <c r="M517" t="s">
        <v>1972</v>
      </c>
      <c r="N517" t="s">
        <v>76</v>
      </c>
      <c r="O517" t="s">
        <v>47</v>
      </c>
      <c r="P517" t="s">
        <v>47</v>
      </c>
      <c r="Y517" t="s">
        <v>1971</v>
      </c>
    </row>
    <row r="518" spans="1:25">
      <c r="A518" t="s">
        <v>1973</v>
      </c>
      <c r="B518" t="s">
        <v>1974</v>
      </c>
      <c r="D518" t="s">
        <v>40</v>
      </c>
      <c r="E518" t="s">
        <v>41</v>
      </c>
      <c r="J518" t="s">
        <v>318</v>
      </c>
      <c r="K518" t="s">
        <v>319</v>
      </c>
      <c r="L518">
        <v>7</v>
      </c>
      <c r="M518" t="s">
        <v>1975</v>
      </c>
      <c r="N518" t="s">
        <v>76</v>
      </c>
      <c r="O518" t="s">
        <v>47</v>
      </c>
      <c r="P518" t="s">
        <v>47</v>
      </c>
      <c r="Y518" t="s">
        <v>1976</v>
      </c>
    </row>
    <row r="519" spans="1:25">
      <c r="A519" t="s">
        <v>1977</v>
      </c>
      <c r="B519" t="s">
        <v>1978</v>
      </c>
      <c r="D519" t="s">
        <v>40</v>
      </c>
      <c r="E519" t="s">
        <v>41</v>
      </c>
      <c r="J519" t="s">
        <v>190</v>
      </c>
      <c r="K519" t="s">
        <v>191</v>
      </c>
      <c r="L519">
        <v>7</v>
      </c>
      <c r="M519" t="s">
        <v>1979</v>
      </c>
      <c r="N519" t="s">
        <v>76</v>
      </c>
      <c r="O519" t="s">
        <v>47</v>
      </c>
      <c r="P519" t="s">
        <v>47</v>
      </c>
      <c r="Y519" t="s">
        <v>1980</v>
      </c>
    </row>
    <row r="520" spans="1:25">
      <c r="A520" t="s">
        <v>1981</v>
      </c>
      <c r="B520" t="s">
        <v>1982</v>
      </c>
      <c r="D520" t="s">
        <v>40</v>
      </c>
      <c r="E520" t="s">
        <v>41</v>
      </c>
      <c r="J520" t="s">
        <v>190</v>
      </c>
      <c r="K520" t="s">
        <v>191</v>
      </c>
      <c r="L520">
        <v>7</v>
      </c>
      <c r="M520" t="s">
        <v>1983</v>
      </c>
      <c r="N520" t="s">
        <v>76</v>
      </c>
      <c r="O520" t="s">
        <v>47</v>
      </c>
      <c r="P520" t="s">
        <v>47</v>
      </c>
      <c r="Y520" t="s">
        <v>1984</v>
      </c>
    </row>
    <row r="521" spans="1:25">
      <c r="A521" t="s">
        <v>1985</v>
      </c>
      <c r="B521" t="s">
        <v>1986</v>
      </c>
      <c r="D521" t="s">
        <v>40</v>
      </c>
      <c r="E521" t="s">
        <v>41</v>
      </c>
      <c r="J521" t="s">
        <v>318</v>
      </c>
      <c r="K521" t="s">
        <v>319</v>
      </c>
      <c r="L521">
        <v>7</v>
      </c>
      <c r="M521" t="s">
        <v>1983</v>
      </c>
      <c r="N521" t="s">
        <v>76</v>
      </c>
      <c r="O521" t="s">
        <v>47</v>
      </c>
      <c r="P521" t="s">
        <v>47</v>
      </c>
      <c r="Y521" t="s">
        <v>1987</v>
      </c>
    </row>
    <row r="522" spans="1:25">
      <c r="A522" t="s">
        <v>231</v>
      </c>
      <c r="B522" t="s">
        <v>1988</v>
      </c>
      <c r="D522" t="s">
        <v>40</v>
      </c>
      <c r="E522" t="s">
        <v>41</v>
      </c>
      <c r="H522" t="s">
        <v>1989</v>
      </c>
      <c r="J522" t="s">
        <v>190</v>
      </c>
      <c r="K522" t="s">
        <v>191</v>
      </c>
      <c r="L522">
        <v>7</v>
      </c>
      <c r="M522" t="s">
        <v>1990</v>
      </c>
      <c r="N522" t="s">
        <v>76</v>
      </c>
      <c r="O522" t="s">
        <v>47</v>
      </c>
      <c r="P522" t="s">
        <v>47</v>
      </c>
      <c r="Y522" t="s">
        <v>1989</v>
      </c>
    </row>
    <row r="523" spans="1:25">
      <c r="A523" t="s">
        <v>1991</v>
      </c>
      <c r="B523" t="s">
        <v>1992</v>
      </c>
      <c r="D523" t="s">
        <v>40</v>
      </c>
      <c r="E523" t="s">
        <v>41</v>
      </c>
      <c r="J523" t="s">
        <v>240</v>
      </c>
      <c r="K523" t="s">
        <v>241</v>
      </c>
      <c r="L523">
        <v>7</v>
      </c>
      <c r="M523" t="s">
        <v>1990</v>
      </c>
      <c r="N523" t="s">
        <v>76</v>
      </c>
      <c r="O523" t="s">
        <v>47</v>
      </c>
      <c r="P523" t="s">
        <v>47</v>
      </c>
      <c r="Y523" t="s">
        <v>1993</v>
      </c>
    </row>
    <row r="524" spans="1:25">
      <c r="A524" t="s">
        <v>1994</v>
      </c>
      <c r="B524" t="s">
        <v>1995</v>
      </c>
      <c r="D524" t="s">
        <v>40</v>
      </c>
      <c r="E524" t="s">
        <v>41</v>
      </c>
      <c r="J524" t="s">
        <v>240</v>
      </c>
      <c r="K524" t="s">
        <v>241</v>
      </c>
      <c r="L524">
        <v>7</v>
      </c>
      <c r="M524" t="s">
        <v>1990</v>
      </c>
      <c r="N524" t="s">
        <v>76</v>
      </c>
      <c r="O524" t="s">
        <v>47</v>
      </c>
      <c r="P524" t="s">
        <v>47</v>
      </c>
      <c r="Y524" t="s">
        <v>1996</v>
      </c>
    </row>
    <row r="525" spans="1:25">
      <c r="A525" t="s">
        <v>1997</v>
      </c>
      <c r="B525" t="s">
        <v>1998</v>
      </c>
      <c r="D525" t="s">
        <v>40</v>
      </c>
      <c r="E525" t="s">
        <v>41</v>
      </c>
      <c r="J525" t="s">
        <v>190</v>
      </c>
      <c r="K525" t="s">
        <v>191</v>
      </c>
      <c r="L525">
        <v>7</v>
      </c>
      <c r="M525" t="s">
        <v>1999</v>
      </c>
      <c r="N525" t="s">
        <v>76</v>
      </c>
      <c r="O525" t="s">
        <v>47</v>
      </c>
      <c r="P525" t="s">
        <v>47</v>
      </c>
      <c r="Y525" t="s">
        <v>2000</v>
      </c>
    </row>
    <row r="526" spans="1:25">
      <c r="A526" t="s">
        <v>2001</v>
      </c>
      <c r="B526" t="s">
        <v>2002</v>
      </c>
      <c r="D526" t="s">
        <v>40</v>
      </c>
      <c r="E526" t="s">
        <v>41</v>
      </c>
      <c r="H526" t="s">
        <v>2003</v>
      </c>
      <c r="J526" t="s">
        <v>108</v>
      </c>
      <c r="K526" t="s">
        <v>109</v>
      </c>
      <c r="L526">
        <v>8</v>
      </c>
      <c r="M526" t="s">
        <v>2004</v>
      </c>
      <c r="N526" t="s">
        <v>202</v>
      </c>
      <c r="O526" t="s">
        <v>47</v>
      </c>
      <c r="P526" t="s">
        <v>47</v>
      </c>
      <c r="Y526" t="s">
        <v>2003</v>
      </c>
    </row>
    <row r="527" spans="1:25">
      <c r="A527" t="s">
        <v>2005</v>
      </c>
      <c r="B527" t="s">
        <v>2006</v>
      </c>
      <c r="D527" t="s">
        <v>40</v>
      </c>
      <c r="E527" t="s">
        <v>41</v>
      </c>
      <c r="J527" t="s">
        <v>168</v>
      </c>
      <c r="K527" t="s">
        <v>169</v>
      </c>
      <c r="L527">
        <v>7</v>
      </c>
      <c r="M527" t="s">
        <v>2007</v>
      </c>
      <c r="N527" t="s">
        <v>76</v>
      </c>
      <c r="O527" t="s">
        <v>47</v>
      </c>
      <c r="P527" t="s">
        <v>47</v>
      </c>
      <c r="Y527" t="s">
        <v>2008</v>
      </c>
    </row>
    <row r="528" spans="1:25">
      <c r="A528" t="s">
        <v>2009</v>
      </c>
      <c r="B528" t="s">
        <v>2010</v>
      </c>
      <c r="D528" t="s">
        <v>40</v>
      </c>
      <c r="E528" t="s">
        <v>41</v>
      </c>
      <c r="J528" t="s">
        <v>190</v>
      </c>
      <c r="K528" t="s">
        <v>191</v>
      </c>
      <c r="L528">
        <v>7</v>
      </c>
      <c r="M528" t="s">
        <v>2011</v>
      </c>
      <c r="N528" t="s">
        <v>76</v>
      </c>
      <c r="O528" t="s">
        <v>47</v>
      </c>
      <c r="P528" t="s">
        <v>47</v>
      </c>
      <c r="Y528" t="s">
        <v>2012</v>
      </c>
    </row>
    <row r="529" spans="1:25">
      <c r="A529" t="s">
        <v>2013</v>
      </c>
      <c r="B529" t="s">
        <v>2014</v>
      </c>
      <c r="D529" t="s">
        <v>40</v>
      </c>
      <c r="E529" t="s">
        <v>41</v>
      </c>
      <c r="J529" t="s">
        <v>168</v>
      </c>
      <c r="K529" t="s">
        <v>169</v>
      </c>
      <c r="L529">
        <v>7</v>
      </c>
      <c r="M529" t="s">
        <v>2011</v>
      </c>
      <c r="N529" t="s">
        <v>76</v>
      </c>
      <c r="O529" t="s">
        <v>47</v>
      </c>
      <c r="P529" t="s">
        <v>47</v>
      </c>
      <c r="Y529" t="s">
        <v>2015</v>
      </c>
    </row>
    <row r="530" spans="1:25">
      <c r="A530" t="s">
        <v>2016</v>
      </c>
      <c r="B530" t="s">
        <v>2017</v>
      </c>
      <c r="D530" t="s">
        <v>40</v>
      </c>
      <c r="E530" t="s">
        <v>41</v>
      </c>
      <c r="J530" t="s">
        <v>261</v>
      </c>
      <c r="K530" t="s">
        <v>262</v>
      </c>
      <c r="L530">
        <v>7</v>
      </c>
      <c r="M530" t="s">
        <v>2018</v>
      </c>
      <c r="N530" t="s">
        <v>76</v>
      </c>
      <c r="O530" t="s">
        <v>47</v>
      </c>
      <c r="P530" t="s">
        <v>47</v>
      </c>
      <c r="Y530" t="s">
        <v>2019</v>
      </c>
    </row>
    <row r="531" spans="1:25">
      <c r="A531" t="s">
        <v>2020</v>
      </c>
      <c r="B531" t="s">
        <v>2021</v>
      </c>
      <c r="D531" t="s">
        <v>40</v>
      </c>
      <c r="E531" t="s">
        <v>41</v>
      </c>
      <c r="J531" t="s">
        <v>190</v>
      </c>
      <c r="K531" t="s">
        <v>191</v>
      </c>
      <c r="L531">
        <v>7</v>
      </c>
      <c r="M531" t="s">
        <v>2022</v>
      </c>
      <c r="N531" t="s">
        <v>76</v>
      </c>
      <c r="O531" t="s">
        <v>47</v>
      </c>
      <c r="P531" t="s">
        <v>47</v>
      </c>
      <c r="Y531" t="s">
        <v>2023</v>
      </c>
    </row>
    <row r="532" spans="1:25">
      <c r="A532" t="s">
        <v>2024</v>
      </c>
      <c r="B532" t="s">
        <v>2025</v>
      </c>
      <c r="D532" t="s">
        <v>40</v>
      </c>
      <c r="E532" t="s">
        <v>41</v>
      </c>
      <c r="H532" t="s">
        <v>2026</v>
      </c>
      <c r="J532" t="s">
        <v>261</v>
      </c>
      <c r="K532" t="s">
        <v>262</v>
      </c>
      <c r="L532">
        <v>7</v>
      </c>
      <c r="M532" t="s">
        <v>2027</v>
      </c>
      <c r="N532" t="s">
        <v>76</v>
      </c>
      <c r="O532" t="s">
        <v>47</v>
      </c>
      <c r="P532" t="s">
        <v>47</v>
      </c>
      <c r="Y532" t="s">
        <v>2026</v>
      </c>
    </row>
    <row r="533" spans="1:25">
      <c r="A533" t="s">
        <v>2028</v>
      </c>
      <c r="B533" t="s">
        <v>2029</v>
      </c>
      <c r="D533" t="s">
        <v>40</v>
      </c>
      <c r="E533" t="s">
        <v>41</v>
      </c>
      <c r="J533" t="s">
        <v>261</v>
      </c>
      <c r="K533" t="s">
        <v>262</v>
      </c>
      <c r="L533">
        <v>7</v>
      </c>
      <c r="M533" t="s">
        <v>2030</v>
      </c>
      <c r="N533" t="s">
        <v>76</v>
      </c>
      <c r="O533" t="s">
        <v>47</v>
      </c>
      <c r="P533" t="s">
        <v>47</v>
      </c>
      <c r="Y533" t="s">
        <v>2031</v>
      </c>
    </row>
    <row r="534" spans="1:25">
      <c r="A534" t="s">
        <v>2032</v>
      </c>
      <c r="B534" t="s">
        <v>2033</v>
      </c>
      <c r="D534" t="s">
        <v>40</v>
      </c>
      <c r="E534" t="s">
        <v>41</v>
      </c>
      <c r="J534" t="s">
        <v>240</v>
      </c>
      <c r="K534" t="s">
        <v>241</v>
      </c>
      <c r="L534">
        <v>7</v>
      </c>
      <c r="M534" t="s">
        <v>2030</v>
      </c>
      <c r="N534" t="s">
        <v>76</v>
      </c>
      <c r="O534" t="s">
        <v>47</v>
      </c>
      <c r="P534" t="s">
        <v>47</v>
      </c>
      <c r="Y534" t="s">
        <v>2034</v>
      </c>
    </row>
    <row r="535" spans="1:25">
      <c r="A535" t="s">
        <v>2035</v>
      </c>
      <c r="B535" t="s">
        <v>2036</v>
      </c>
      <c r="D535" t="s">
        <v>40</v>
      </c>
      <c r="E535" t="s">
        <v>41</v>
      </c>
      <c r="H535" t="s">
        <v>2037</v>
      </c>
      <c r="J535" t="s">
        <v>43</v>
      </c>
      <c r="K535" t="s">
        <v>44</v>
      </c>
      <c r="L535">
        <v>7</v>
      </c>
      <c r="M535" t="s">
        <v>2038</v>
      </c>
      <c r="N535" t="s">
        <v>76</v>
      </c>
      <c r="O535" t="s">
        <v>47</v>
      </c>
      <c r="P535" t="s">
        <v>47</v>
      </c>
      <c r="Y535" t="s">
        <v>2037</v>
      </c>
    </row>
    <row r="536" spans="1:25">
      <c r="A536" t="s">
        <v>2039</v>
      </c>
      <c r="B536" t="s">
        <v>2040</v>
      </c>
      <c r="D536" t="s">
        <v>40</v>
      </c>
      <c r="E536" t="s">
        <v>41</v>
      </c>
      <c r="H536" t="s">
        <v>2041</v>
      </c>
      <c r="J536" t="s">
        <v>190</v>
      </c>
      <c r="K536" t="s">
        <v>191</v>
      </c>
      <c r="L536">
        <v>7</v>
      </c>
      <c r="M536" t="s">
        <v>2042</v>
      </c>
      <c r="N536" t="s">
        <v>76</v>
      </c>
      <c r="O536" t="s">
        <v>47</v>
      </c>
      <c r="P536" t="s">
        <v>47</v>
      </c>
      <c r="Y536" t="s">
        <v>2041</v>
      </c>
    </row>
    <row r="537" spans="1:25">
      <c r="A537" t="s">
        <v>2043</v>
      </c>
      <c r="B537" t="s">
        <v>2044</v>
      </c>
      <c r="D537" t="s">
        <v>40</v>
      </c>
      <c r="E537" t="s">
        <v>41</v>
      </c>
      <c r="J537" t="s">
        <v>190</v>
      </c>
      <c r="K537" t="s">
        <v>191</v>
      </c>
      <c r="L537">
        <v>7</v>
      </c>
      <c r="M537" t="s">
        <v>2045</v>
      </c>
      <c r="N537" t="s">
        <v>76</v>
      </c>
      <c r="O537" t="s">
        <v>47</v>
      </c>
      <c r="P537" t="s">
        <v>47</v>
      </c>
      <c r="Y537" t="s">
        <v>2046</v>
      </c>
    </row>
    <row r="538" spans="1:25">
      <c r="A538" t="s">
        <v>2047</v>
      </c>
      <c r="B538" t="s">
        <v>2048</v>
      </c>
      <c r="D538" t="s">
        <v>40</v>
      </c>
      <c r="E538" t="s">
        <v>41</v>
      </c>
      <c r="J538" t="s">
        <v>261</v>
      </c>
      <c r="K538" t="s">
        <v>262</v>
      </c>
      <c r="L538">
        <v>7</v>
      </c>
      <c r="M538" t="s">
        <v>2049</v>
      </c>
      <c r="N538" t="s">
        <v>76</v>
      </c>
      <c r="O538" t="s">
        <v>47</v>
      </c>
      <c r="P538" t="s">
        <v>47</v>
      </c>
      <c r="Y538" t="s">
        <v>2050</v>
      </c>
    </row>
    <row r="539" spans="1:25">
      <c r="A539" t="s">
        <v>2051</v>
      </c>
      <c r="B539" t="s">
        <v>2052</v>
      </c>
      <c r="D539" t="s">
        <v>40</v>
      </c>
      <c r="E539" t="s">
        <v>41</v>
      </c>
      <c r="J539" t="s">
        <v>190</v>
      </c>
      <c r="K539" t="s">
        <v>191</v>
      </c>
      <c r="L539">
        <v>7</v>
      </c>
      <c r="M539" t="s">
        <v>2053</v>
      </c>
      <c r="N539" t="s">
        <v>76</v>
      </c>
      <c r="O539" t="s">
        <v>47</v>
      </c>
      <c r="P539" t="s">
        <v>47</v>
      </c>
      <c r="Y539" t="s">
        <v>2054</v>
      </c>
    </row>
    <row r="540" spans="1:25">
      <c r="A540" t="s">
        <v>2055</v>
      </c>
      <c r="B540" t="s">
        <v>2056</v>
      </c>
      <c r="D540" t="s">
        <v>40</v>
      </c>
      <c r="E540" t="s">
        <v>41</v>
      </c>
      <c r="J540" t="s">
        <v>240</v>
      </c>
      <c r="K540" t="s">
        <v>241</v>
      </c>
      <c r="L540">
        <v>7</v>
      </c>
      <c r="M540" t="s">
        <v>2057</v>
      </c>
      <c r="N540" t="s">
        <v>76</v>
      </c>
      <c r="O540" t="s">
        <v>47</v>
      </c>
      <c r="P540" t="s">
        <v>47</v>
      </c>
      <c r="Y540" t="s">
        <v>2058</v>
      </c>
    </row>
    <row r="541" spans="1:25">
      <c r="A541" t="s">
        <v>2059</v>
      </c>
      <c r="B541" t="s">
        <v>2060</v>
      </c>
      <c r="D541" t="s">
        <v>40</v>
      </c>
      <c r="E541" t="s">
        <v>41</v>
      </c>
      <c r="J541" t="s">
        <v>240</v>
      </c>
      <c r="K541" t="s">
        <v>241</v>
      </c>
      <c r="L541">
        <v>7</v>
      </c>
      <c r="M541" t="s">
        <v>2061</v>
      </c>
      <c r="N541" t="s">
        <v>76</v>
      </c>
      <c r="O541" t="s">
        <v>47</v>
      </c>
      <c r="P541" t="s">
        <v>47</v>
      </c>
      <c r="Y541" t="s">
        <v>2062</v>
      </c>
    </row>
    <row r="542" spans="1:25">
      <c r="A542" t="s">
        <v>2063</v>
      </c>
      <c r="B542" t="s">
        <v>2064</v>
      </c>
      <c r="D542" t="s">
        <v>40</v>
      </c>
      <c r="E542" t="s">
        <v>41</v>
      </c>
      <c r="H542" t="s">
        <v>2065</v>
      </c>
      <c r="J542" t="s">
        <v>261</v>
      </c>
      <c r="K542" t="s">
        <v>262</v>
      </c>
      <c r="L542">
        <v>7</v>
      </c>
      <c r="M542" t="s">
        <v>2061</v>
      </c>
      <c r="N542" t="s">
        <v>76</v>
      </c>
      <c r="O542" t="s">
        <v>47</v>
      </c>
      <c r="P542" t="s">
        <v>47</v>
      </c>
      <c r="Y542" t="s">
        <v>2065</v>
      </c>
    </row>
    <row r="543" spans="1:25">
      <c r="A543" t="s">
        <v>2066</v>
      </c>
      <c r="B543" t="s">
        <v>2067</v>
      </c>
      <c r="D543" t="s">
        <v>40</v>
      </c>
      <c r="E543" t="s">
        <v>41</v>
      </c>
      <c r="H543" t="s">
        <v>2068</v>
      </c>
      <c r="J543" t="s">
        <v>190</v>
      </c>
      <c r="K543" t="s">
        <v>191</v>
      </c>
      <c r="L543">
        <v>7</v>
      </c>
      <c r="M543" t="s">
        <v>2069</v>
      </c>
      <c r="N543" t="s">
        <v>76</v>
      </c>
      <c r="O543" t="s">
        <v>47</v>
      </c>
      <c r="P543" t="s">
        <v>47</v>
      </c>
      <c r="Y543" t="s">
        <v>2068</v>
      </c>
    </row>
    <row r="544" spans="1:25">
      <c r="A544" t="s">
        <v>2070</v>
      </c>
      <c r="B544" t="s">
        <v>2071</v>
      </c>
      <c r="D544" t="s">
        <v>40</v>
      </c>
      <c r="E544" t="s">
        <v>41</v>
      </c>
      <c r="J544" t="s">
        <v>43</v>
      </c>
      <c r="K544" t="s">
        <v>44</v>
      </c>
      <c r="L544">
        <v>7</v>
      </c>
      <c r="M544" t="s">
        <v>2072</v>
      </c>
      <c r="N544" t="s">
        <v>202</v>
      </c>
      <c r="O544" t="s">
        <v>47</v>
      </c>
      <c r="P544" t="s">
        <v>47</v>
      </c>
      <c r="Y544" t="s">
        <v>2073</v>
      </c>
    </row>
    <row r="545" spans="1:25">
      <c r="A545" t="s">
        <v>2074</v>
      </c>
      <c r="B545" t="s">
        <v>2075</v>
      </c>
      <c r="D545" t="s">
        <v>40</v>
      </c>
      <c r="E545" t="s">
        <v>41</v>
      </c>
      <c r="H545" t="s">
        <v>2076</v>
      </c>
      <c r="J545" t="s">
        <v>168</v>
      </c>
      <c r="K545" t="s">
        <v>169</v>
      </c>
      <c r="L545">
        <v>7</v>
      </c>
      <c r="M545" t="s">
        <v>2077</v>
      </c>
      <c r="N545" t="s">
        <v>76</v>
      </c>
      <c r="O545" t="s">
        <v>47</v>
      </c>
      <c r="P545" t="s">
        <v>47</v>
      </c>
      <c r="Y545" t="s">
        <v>2076</v>
      </c>
    </row>
    <row r="546" spans="1:25">
      <c r="A546" t="s">
        <v>2078</v>
      </c>
      <c r="B546" t="s">
        <v>2079</v>
      </c>
      <c r="D546" t="s">
        <v>40</v>
      </c>
      <c r="E546" t="s">
        <v>41</v>
      </c>
      <c r="J546" t="s">
        <v>168</v>
      </c>
      <c r="K546" t="s">
        <v>169</v>
      </c>
      <c r="L546">
        <v>7</v>
      </c>
      <c r="M546" t="s">
        <v>2080</v>
      </c>
      <c r="N546" t="s">
        <v>76</v>
      </c>
      <c r="O546" t="s">
        <v>47</v>
      </c>
      <c r="P546" t="s">
        <v>47</v>
      </c>
      <c r="Y546" t="s">
        <v>2081</v>
      </c>
    </row>
    <row r="547" spans="1:25">
      <c r="A547" t="s">
        <v>2082</v>
      </c>
      <c r="B547" t="s">
        <v>2083</v>
      </c>
      <c r="D547" t="s">
        <v>40</v>
      </c>
      <c r="E547" t="s">
        <v>41</v>
      </c>
      <c r="J547" t="s">
        <v>190</v>
      </c>
      <c r="K547" t="s">
        <v>191</v>
      </c>
      <c r="L547">
        <v>7</v>
      </c>
      <c r="M547" t="s">
        <v>2084</v>
      </c>
      <c r="N547" t="s">
        <v>76</v>
      </c>
      <c r="O547" t="s">
        <v>47</v>
      </c>
      <c r="P547" t="s">
        <v>47</v>
      </c>
      <c r="Y547" t="s">
        <v>2085</v>
      </c>
    </row>
    <row r="548" spans="1:25">
      <c r="A548" t="s">
        <v>2086</v>
      </c>
      <c r="B548" t="s">
        <v>2087</v>
      </c>
      <c r="D548" t="s">
        <v>40</v>
      </c>
      <c r="E548" t="s">
        <v>41</v>
      </c>
      <c r="J548" t="s">
        <v>190</v>
      </c>
      <c r="K548" t="s">
        <v>191</v>
      </c>
      <c r="L548">
        <v>7</v>
      </c>
      <c r="M548" t="s">
        <v>2088</v>
      </c>
      <c r="N548" t="s">
        <v>76</v>
      </c>
      <c r="O548" t="s">
        <v>47</v>
      </c>
      <c r="P548" t="s">
        <v>47</v>
      </c>
      <c r="Y548" t="s">
        <v>2089</v>
      </c>
    </row>
    <row r="549" spans="1:25">
      <c r="A549" t="s">
        <v>2090</v>
      </c>
      <c r="B549" t="s">
        <v>2091</v>
      </c>
      <c r="D549" t="s">
        <v>40</v>
      </c>
      <c r="E549" t="s">
        <v>41</v>
      </c>
      <c r="H549" t="s">
        <v>2092</v>
      </c>
      <c r="J549" t="s">
        <v>190</v>
      </c>
      <c r="K549" t="s">
        <v>191</v>
      </c>
      <c r="L549">
        <v>7</v>
      </c>
      <c r="M549" t="s">
        <v>2088</v>
      </c>
      <c r="N549" t="s">
        <v>76</v>
      </c>
      <c r="O549" t="s">
        <v>47</v>
      </c>
      <c r="P549" t="s">
        <v>47</v>
      </c>
      <c r="Y549" t="s">
        <v>2092</v>
      </c>
    </row>
    <row r="550" spans="1:25">
      <c r="A550" t="s">
        <v>2093</v>
      </c>
      <c r="B550" t="s">
        <v>2094</v>
      </c>
      <c r="D550" t="s">
        <v>40</v>
      </c>
      <c r="E550" t="s">
        <v>41</v>
      </c>
      <c r="J550" t="s">
        <v>168</v>
      </c>
      <c r="K550" t="s">
        <v>169</v>
      </c>
      <c r="L550">
        <v>7</v>
      </c>
      <c r="M550" t="s">
        <v>2088</v>
      </c>
      <c r="N550" t="s">
        <v>76</v>
      </c>
      <c r="O550" t="s">
        <v>47</v>
      </c>
      <c r="P550" t="s">
        <v>47</v>
      </c>
      <c r="Y550" t="s">
        <v>2095</v>
      </c>
    </row>
    <row r="551" spans="1:25">
      <c r="A551" t="s">
        <v>2096</v>
      </c>
      <c r="B551" t="s">
        <v>2097</v>
      </c>
      <c r="D551" t="s">
        <v>40</v>
      </c>
      <c r="E551" t="s">
        <v>41</v>
      </c>
      <c r="J551" t="s">
        <v>240</v>
      </c>
      <c r="K551" t="s">
        <v>241</v>
      </c>
      <c r="L551">
        <v>7</v>
      </c>
      <c r="M551" t="s">
        <v>2098</v>
      </c>
      <c r="N551" t="s">
        <v>76</v>
      </c>
      <c r="O551" t="s">
        <v>47</v>
      </c>
      <c r="P551" t="s">
        <v>47</v>
      </c>
      <c r="Y551" t="s">
        <v>2099</v>
      </c>
    </row>
    <row r="552" spans="1:25">
      <c r="A552" t="s">
        <v>2100</v>
      </c>
      <c r="B552" t="s">
        <v>2101</v>
      </c>
      <c r="D552" t="s">
        <v>40</v>
      </c>
      <c r="E552" t="s">
        <v>41</v>
      </c>
      <c r="J552" t="s">
        <v>190</v>
      </c>
      <c r="K552" t="s">
        <v>191</v>
      </c>
      <c r="L552">
        <v>7</v>
      </c>
      <c r="M552" t="s">
        <v>2102</v>
      </c>
      <c r="N552" t="s">
        <v>76</v>
      </c>
      <c r="O552" t="s">
        <v>47</v>
      </c>
      <c r="P552" t="s">
        <v>47</v>
      </c>
      <c r="Y552" t="s">
        <v>2103</v>
      </c>
    </row>
    <row r="553" spans="1:25">
      <c r="A553" t="s">
        <v>2104</v>
      </c>
      <c r="B553" t="s">
        <v>2105</v>
      </c>
      <c r="D553" t="s">
        <v>40</v>
      </c>
      <c r="E553" t="s">
        <v>41</v>
      </c>
      <c r="J553" t="s">
        <v>897</v>
      </c>
      <c r="K553" t="s">
        <v>898</v>
      </c>
      <c r="L553">
        <v>7</v>
      </c>
      <c r="M553" t="s">
        <v>2102</v>
      </c>
      <c r="N553" t="s">
        <v>202</v>
      </c>
      <c r="O553" t="s">
        <v>47</v>
      </c>
      <c r="P553" t="s">
        <v>47</v>
      </c>
      <c r="Y553" t="s">
        <v>2106</v>
      </c>
    </row>
    <row r="554" spans="1:25">
      <c r="A554" t="s">
        <v>2107</v>
      </c>
      <c r="B554" t="s">
        <v>2108</v>
      </c>
      <c r="D554" t="s">
        <v>40</v>
      </c>
      <c r="E554" t="s">
        <v>41</v>
      </c>
      <c r="J554" t="s">
        <v>43</v>
      </c>
      <c r="K554" t="s">
        <v>44</v>
      </c>
      <c r="L554">
        <v>7</v>
      </c>
      <c r="M554" t="s">
        <v>2102</v>
      </c>
      <c r="N554" t="s">
        <v>80</v>
      </c>
      <c r="O554" t="s">
        <v>47</v>
      </c>
      <c r="P554" t="s">
        <v>47</v>
      </c>
      <c r="Y554" t="s">
        <v>2109</v>
      </c>
    </row>
    <row r="555" spans="1:25">
      <c r="A555" t="s">
        <v>2110</v>
      </c>
      <c r="B555" t="s">
        <v>2111</v>
      </c>
      <c r="D555" t="s">
        <v>40</v>
      </c>
      <c r="E555" t="s">
        <v>41</v>
      </c>
      <c r="H555" t="s">
        <v>2112</v>
      </c>
      <c r="J555" t="s">
        <v>261</v>
      </c>
      <c r="K555" t="s">
        <v>262</v>
      </c>
      <c r="L555">
        <v>7</v>
      </c>
      <c r="M555" t="s">
        <v>2102</v>
      </c>
      <c r="N555" t="s">
        <v>76</v>
      </c>
      <c r="O555" t="s">
        <v>47</v>
      </c>
      <c r="P555" t="s">
        <v>47</v>
      </c>
      <c r="Y555" t="s">
        <v>2112</v>
      </c>
    </row>
    <row r="556" spans="1:25">
      <c r="A556" t="s">
        <v>2113</v>
      </c>
      <c r="B556" t="s">
        <v>2114</v>
      </c>
      <c r="D556" t="s">
        <v>40</v>
      </c>
      <c r="E556" t="s">
        <v>41</v>
      </c>
      <c r="H556" t="s">
        <v>2115</v>
      </c>
      <c r="J556" t="s">
        <v>73</v>
      </c>
      <c r="K556" t="s">
        <v>74</v>
      </c>
      <c r="L556">
        <v>7</v>
      </c>
      <c r="M556" t="s">
        <v>2116</v>
      </c>
      <c r="N556" t="s">
        <v>76</v>
      </c>
      <c r="O556" t="s">
        <v>47</v>
      </c>
      <c r="P556" t="s">
        <v>47</v>
      </c>
      <c r="Y556" t="s">
        <v>2115</v>
      </c>
    </row>
    <row r="557" spans="1:25">
      <c r="A557" t="s">
        <v>2117</v>
      </c>
      <c r="B557" t="s">
        <v>2118</v>
      </c>
      <c r="D557" t="s">
        <v>40</v>
      </c>
      <c r="E557" t="s">
        <v>41</v>
      </c>
      <c r="H557" t="s">
        <v>2119</v>
      </c>
      <c r="J557" t="s">
        <v>190</v>
      </c>
      <c r="K557" t="s">
        <v>191</v>
      </c>
      <c r="L557">
        <v>7</v>
      </c>
      <c r="M557" t="s">
        <v>2120</v>
      </c>
      <c r="N557" t="s">
        <v>76</v>
      </c>
      <c r="O557" t="s">
        <v>47</v>
      </c>
      <c r="P557" t="s">
        <v>47</v>
      </c>
      <c r="Y557" t="s">
        <v>2119</v>
      </c>
    </row>
    <row r="558" spans="1:25">
      <c r="A558" t="s">
        <v>2121</v>
      </c>
      <c r="B558" t="s">
        <v>2122</v>
      </c>
      <c r="D558" t="s">
        <v>40</v>
      </c>
      <c r="E558" t="s">
        <v>41</v>
      </c>
      <c r="J558" t="s">
        <v>168</v>
      </c>
      <c r="K558" t="s">
        <v>169</v>
      </c>
      <c r="L558">
        <v>7</v>
      </c>
      <c r="M558" t="s">
        <v>2120</v>
      </c>
      <c r="N558" t="s">
        <v>76</v>
      </c>
      <c r="O558" t="s">
        <v>47</v>
      </c>
      <c r="P558" t="s">
        <v>47</v>
      </c>
      <c r="Y558" t="s">
        <v>2123</v>
      </c>
    </row>
    <row r="559" spans="1:25">
      <c r="A559" t="s">
        <v>2124</v>
      </c>
      <c r="B559" t="s">
        <v>2125</v>
      </c>
      <c r="D559" t="s">
        <v>40</v>
      </c>
      <c r="E559" t="s">
        <v>41</v>
      </c>
      <c r="J559" t="s">
        <v>190</v>
      </c>
      <c r="K559" t="s">
        <v>191</v>
      </c>
      <c r="L559">
        <v>7</v>
      </c>
      <c r="M559" t="s">
        <v>2126</v>
      </c>
      <c r="N559" t="s">
        <v>76</v>
      </c>
      <c r="O559" t="s">
        <v>47</v>
      </c>
      <c r="P559" t="s">
        <v>47</v>
      </c>
      <c r="Y559" t="s">
        <v>2127</v>
      </c>
    </row>
    <row r="560" spans="1:25">
      <c r="A560" t="s">
        <v>2128</v>
      </c>
      <c r="B560" t="s">
        <v>2129</v>
      </c>
      <c r="D560" t="s">
        <v>40</v>
      </c>
      <c r="E560" t="s">
        <v>41</v>
      </c>
      <c r="J560" t="s">
        <v>318</v>
      </c>
      <c r="K560" t="s">
        <v>319</v>
      </c>
      <c r="L560">
        <v>7</v>
      </c>
      <c r="M560" t="s">
        <v>2130</v>
      </c>
      <c r="N560" t="s">
        <v>76</v>
      </c>
      <c r="O560" t="s">
        <v>47</v>
      </c>
      <c r="P560" t="s">
        <v>47</v>
      </c>
      <c r="Y560" t="s">
        <v>2131</v>
      </c>
    </row>
    <row r="561" spans="1:25">
      <c r="A561" t="s">
        <v>2132</v>
      </c>
      <c r="B561" t="s">
        <v>2133</v>
      </c>
      <c r="D561" t="s">
        <v>40</v>
      </c>
      <c r="E561" t="s">
        <v>41</v>
      </c>
      <c r="J561" t="s">
        <v>261</v>
      </c>
      <c r="K561" t="s">
        <v>262</v>
      </c>
      <c r="L561">
        <v>7</v>
      </c>
      <c r="M561" t="s">
        <v>2130</v>
      </c>
      <c r="N561" t="s">
        <v>76</v>
      </c>
      <c r="O561" t="s">
        <v>47</v>
      </c>
      <c r="P561" t="s">
        <v>47</v>
      </c>
      <c r="Y561" t="s">
        <v>2134</v>
      </c>
    </row>
    <row r="562" spans="1:25">
      <c r="A562" t="s">
        <v>2135</v>
      </c>
      <c r="B562" t="s">
        <v>2136</v>
      </c>
      <c r="D562" t="s">
        <v>40</v>
      </c>
      <c r="E562" t="s">
        <v>41</v>
      </c>
      <c r="J562" t="s">
        <v>190</v>
      </c>
      <c r="K562" t="s">
        <v>191</v>
      </c>
      <c r="L562">
        <v>7</v>
      </c>
      <c r="M562" t="s">
        <v>2130</v>
      </c>
      <c r="N562" t="s">
        <v>76</v>
      </c>
      <c r="O562" t="s">
        <v>47</v>
      </c>
      <c r="P562" t="s">
        <v>47</v>
      </c>
      <c r="Y562" t="s">
        <v>2137</v>
      </c>
    </row>
    <row r="563" spans="1:25">
      <c r="A563" t="s">
        <v>2138</v>
      </c>
      <c r="B563" t="s">
        <v>2139</v>
      </c>
      <c r="D563" t="s">
        <v>40</v>
      </c>
      <c r="E563" t="s">
        <v>41</v>
      </c>
      <c r="J563" t="s">
        <v>279</v>
      </c>
      <c r="K563" t="s">
        <v>280</v>
      </c>
      <c r="L563">
        <v>7</v>
      </c>
      <c r="M563" t="s">
        <v>2130</v>
      </c>
      <c r="N563" t="s">
        <v>80</v>
      </c>
      <c r="O563" t="s">
        <v>47</v>
      </c>
      <c r="P563" t="s">
        <v>47</v>
      </c>
      <c r="Y563" t="s">
        <v>2140</v>
      </c>
    </row>
    <row r="564" spans="1:25">
      <c r="A564" t="s">
        <v>2141</v>
      </c>
      <c r="B564" t="s">
        <v>2142</v>
      </c>
      <c r="D564" t="s">
        <v>40</v>
      </c>
      <c r="E564" t="s">
        <v>41</v>
      </c>
      <c r="J564" t="s">
        <v>190</v>
      </c>
      <c r="K564" t="s">
        <v>191</v>
      </c>
      <c r="L564">
        <v>7</v>
      </c>
      <c r="M564" t="s">
        <v>2143</v>
      </c>
      <c r="N564" t="s">
        <v>76</v>
      </c>
      <c r="O564" t="s">
        <v>47</v>
      </c>
      <c r="P564" t="s">
        <v>47</v>
      </c>
      <c r="Y564" t="s">
        <v>2144</v>
      </c>
    </row>
    <row r="565" spans="1:25">
      <c r="A565" t="s">
        <v>2145</v>
      </c>
      <c r="B565" t="s">
        <v>2146</v>
      </c>
      <c r="D565" t="s">
        <v>40</v>
      </c>
      <c r="E565" t="s">
        <v>41</v>
      </c>
      <c r="J565" t="s">
        <v>261</v>
      </c>
      <c r="K565" t="s">
        <v>262</v>
      </c>
      <c r="L565">
        <v>7</v>
      </c>
      <c r="M565" t="s">
        <v>2143</v>
      </c>
      <c r="N565" t="s">
        <v>76</v>
      </c>
      <c r="O565" t="s">
        <v>47</v>
      </c>
      <c r="P565" t="s">
        <v>47</v>
      </c>
      <c r="Y565" t="s">
        <v>2147</v>
      </c>
    </row>
    <row r="566" spans="1:25">
      <c r="A566" t="s">
        <v>2148</v>
      </c>
      <c r="B566" t="s">
        <v>2149</v>
      </c>
      <c r="D566" t="s">
        <v>40</v>
      </c>
      <c r="E566" t="s">
        <v>41</v>
      </c>
      <c r="J566" t="s">
        <v>190</v>
      </c>
      <c r="K566" t="s">
        <v>191</v>
      </c>
      <c r="L566">
        <v>7</v>
      </c>
      <c r="M566" t="s">
        <v>2143</v>
      </c>
      <c r="N566" t="s">
        <v>76</v>
      </c>
      <c r="O566" t="s">
        <v>47</v>
      </c>
      <c r="P566" t="s">
        <v>47</v>
      </c>
      <c r="Y566" t="s">
        <v>2150</v>
      </c>
    </row>
    <row r="567" spans="1:25">
      <c r="A567" t="s">
        <v>2151</v>
      </c>
      <c r="B567" t="s">
        <v>2152</v>
      </c>
      <c r="D567" t="s">
        <v>40</v>
      </c>
      <c r="E567" t="s">
        <v>41</v>
      </c>
      <c r="J567" t="s">
        <v>240</v>
      </c>
      <c r="K567" t="s">
        <v>241</v>
      </c>
      <c r="L567">
        <v>7</v>
      </c>
      <c r="M567" t="s">
        <v>2153</v>
      </c>
      <c r="N567" t="s">
        <v>76</v>
      </c>
      <c r="O567" t="s">
        <v>47</v>
      </c>
      <c r="P567" t="s">
        <v>47</v>
      </c>
      <c r="Y567" t="s">
        <v>2154</v>
      </c>
    </row>
    <row r="568" spans="1:25">
      <c r="A568" t="s">
        <v>2155</v>
      </c>
      <c r="B568" t="s">
        <v>2156</v>
      </c>
      <c r="D568" t="s">
        <v>40</v>
      </c>
      <c r="E568" t="s">
        <v>41</v>
      </c>
      <c r="J568" t="s">
        <v>318</v>
      </c>
      <c r="K568" t="s">
        <v>319</v>
      </c>
      <c r="L568">
        <v>7</v>
      </c>
      <c r="M568" t="s">
        <v>2157</v>
      </c>
      <c r="N568" t="s">
        <v>76</v>
      </c>
      <c r="O568" t="s">
        <v>47</v>
      </c>
      <c r="P568" t="s">
        <v>47</v>
      </c>
      <c r="Y568" t="s">
        <v>2158</v>
      </c>
    </row>
    <row r="569" spans="1:25">
      <c r="A569" t="s">
        <v>2159</v>
      </c>
      <c r="B569" t="s">
        <v>2160</v>
      </c>
      <c r="D569" t="s">
        <v>40</v>
      </c>
      <c r="E569" t="s">
        <v>41</v>
      </c>
      <c r="J569" t="s">
        <v>240</v>
      </c>
      <c r="K569" t="s">
        <v>241</v>
      </c>
      <c r="L569">
        <v>7</v>
      </c>
      <c r="M569" t="s">
        <v>2157</v>
      </c>
      <c r="N569" t="s">
        <v>76</v>
      </c>
      <c r="O569" t="s">
        <v>47</v>
      </c>
      <c r="P569" t="s">
        <v>47</v>
      </c>
      <c r="Y569" t="s">
        <v>2161</v>
      </c>
    </row>
    <row r="570" spans="1:25">
      <c r="A570" t="s">
        <v>2162</v>
      </c>
      <c r="B570" t="s">
        <v>2163</v>
      </c>
      <c r="D570" t="s">
        <v>40</v>
      </c>
      <c r="E570" t="s">
        <v>41</v>
      </c>
      <c r="J570" t="s">
        <v>108</v>
      </c>
      <c r="K570" t="s">
        <v>109</v>
      </c>
      <c r="L570">
        <v>7</v>
      </c>
      <c r="M570" t="s">
        <v>2157</v>
      </c>
      <c r="N570" t="s">
        <v>202</v>
      </c>
      <c r="O570" t="s">
        <v>47</v>
      </c>
      <c r="P570" t="s">
        <v>47</v>
      </c>
      <c r="Y570" t="s">
        <v>2164</v>
      </c>
    </row>
    <row r="571" spans="1:25">
      <c r="A571" t="s">
        <v>2165</v>
      </c>
      <c r="B571" t="s">
        <v>2166</v>
      </c>
      <c r="D571" t="s">
        <v>40</v>
      </c>
      <c r="E571" t="s">
        <v>41</v>
      </c>
      <c r="J571" t="s">
        <v>190</v>
      </c>
      <c r="K571" t="s">
        <v>191</v>
      </c>
      <c r="L571">
        <v>7</v>
      </c>
      <c r="M571" t="s">
        <v>2157</v>
      </c>
      <c r="N571" t="s">
        <v>76</v>
      </c>
      <c r="O571" t="s">
        <v>47</v>
      </c>
      <c r="P571" t="s">
        <v>47</v>
      </c>
      <c r="Y571" t="s">
        <v>2167</v>
      </c>
    </row>
    <row r="572" spans="1:25">
      <c r="A572" t="s">
        <v>2168</v>
      </c>
      <c r="B572" t="s">
        <v>2169</v>
      </c>
      <c r="D572" t="s">
        <v>40</v>
      </c>
      <c r="E572" t="s">
        <v>41</v>
      </c>
      <c r="J572" t="s">
        <v>318</v>
      </c>
      <c r="K572" t="s">
        <v>319</v>
      </c>
      <c r="L572">
        <v>7</v>
      </c>
      <c r="M572" t="s">
        <v>2170</v>
      </c>
      <c r="N572" t="s">
        <v>76</v>
      </c>
      <c r="O572" t="s">
        <v>47</v>
      </c>
      <c r="P572" t="s">
        <v>47</v>
      </c>
      <c r="Y572" t="s">
        <v>2171</v>
      </c>
    </row>
    <row r="573" spans="1:25">
      <c r="A573" t="s">
        <v>2172</v>
      </c>
      <c r="B573" t="s">
        <v>2173</v>
      </c>
      <c r="D573" t="s">
        <v>40</v>
      </c>
      <c r="E573" t="s">
        <v>41</v>
      </c>
      <c r="J573" t="s">
        <v>240</v>
      </c>
      <c r="K573" t="s">
        <v>241</v>
      </c>
      <c r="L573">
        <v>7</v>
      </c>
      <c r="M573" t="s">
        <v>2174</v>
      </c>
      <c r="N573" t="s">
        <v>76</v>
      </c>
      <c r="O573" t="s">
        <v>47</v>
      </c>
      <c r="P573" t="s">
        <v>47</v>
      </c>
      <c r="Y573" t="s">
        <v>2175</v>
      </c>
    </row>
    <row r="574" spans="1:25">
      <c r="A574" t="s">
        <v>2176</v>
      </c>
      <c r="B574" t="s">
        <v>2177</v>
      </c>
      <c r="D574" t="s">
        <v>40</v>
      </c>
      <c r="E574" t="s">
        <v>41</v>
      </c>
      <c r="H574" t="s">
        <v>2178</v>
      </c>
      <c r="J574" t="s">
        <v>190</v>
      </c>
      <c r="K574" t="s">
        <v>191</v>
      </c>
      <c r="L574">
        <v>7</v>
      </c>
      <c r="M574" t="s">
        <v>2179</v>
      </c>
      <c r="N574" t="s">
        <v>76</v>
      </c>
      <c r="O574" t="s">
        <v>47</v>
      </c>
      <c r="P574" t="s">
        <v>47</v>
      </c>
      <c r="Y574" t="s">
        <v>2178</v>
      </c>
    </row>
    <row r="575" spans="1:25">
      <c r="A575" t="s">
        <v>2180</v>
      </c>
      <c r="B575" t="s">
        <v>2181</v>
      </c>
      <c r="D575" t="s">
        <v>40</v>
      </c>
      <c r="E575" t="s">
        <v>41</v>
      </c>
      <c r="J575" t="s">
        <v>240</v>
      </c>
      <c r="K575" t="s">
        <v>241</v>
      </c>
      <c r="L575">
        <v>7</v>
      </c>
      <c r="M575" t="s">
        <v>2179</v>
      </c>
      <c r="N575" t="s">
        <v>76</v>
      </c>
      <c r="O575" t="s">
        <v>47</v>
      </c>
      <c r="P575" t="s">
        <v>47</v>
      </c>
      <c r="Y575" t="s">
        <v>2182</v>
      </c>
    </row>
    <row r="576" spans="1:25">
      <c r="A576" t="s">
        <v>2183</v>
      </c>
      <c r="B576" t="s">
        <v>2184</v>
      </c>
      <c r="D576" t="s">
        <v>40</v>
      </c>
      <c r="E576" t="s">
        <v>41</v>
      </c>
      <c r="J576" t="s">
        <v>66</v>
      </c>
      <c r="K576" t="s">
        <v>67</v>
      </c>
      <c r="L576">
        <v>7</v>
      </c>
      <c r="M576" t="s">
        <v>2179</v>
      </c>
      <c r="N576" t="s">
        <v>80</v>
      </c>
      <c r="O576" t="s">
        <v>47</v>
      </c>
      <c r="P576" t="s">
        <v>47</v>
      </c>
      <c r="Y576" t="s">
        <v>2185</v>
      </c>
    </row>
    <row r="577" spans="1:25">
      <c r="A577" t="s">
        <v>2186</v>
      </c>
      <c r="B577" t="s">
        <v>2187</v>
      </c>
      <c r="D577" t="s">
        <v>40</v>
      </c>
      <c r="E577" t="s">
        <v>41</v>
      </c>
      <c r="J577" t="s">
        <v>190</v>
      </c>
      <c r="K577" t="s">
        <v>191</v>
      </c>
      <c r="L577">
        <v>7</v>
      </c>
      <c r="M577" t="s">
        <v>2188</v>
      </c>
      <c r="N577" t="s">
        <v>76</v>
      </c>
      <c r="O577" t="s">
        <v>47</v>
      </c>
      <c r="P577" t="s">
        <v>47</v>
      </c>
      <c r="Y577" t="s">
        <v>2189</v>
      </c>
    </row>
    <row r="578" spans="1:25">
      <c r="A578" t="s">
        <v>2190</v>
      </c>
      <c r="B578" t="s">
        <v>2191</v>
      </c>
      <c r="D578" t="s">
        <v>40</v>
      </c>
      <c r="E578" t="s">
        <v>41</v>
      </c>
      <c r="H578" t="s">
        <v>2192</v>
      </c>
      <c r="J578" t="s">
        <v>108</v>
      </c>
      <c r="K578" t="s">
        <v>109</v>
      </c>
      <c r="L578">
        <v>7</v>
      </c>
      <c r="M578" t="s">
        <v>2193</v>
      </c>
      <c r="N578" t="s">
        <v>80</v>
      </c>
      <c r="O578" t="s">
        <v>47</v>
      </c>
      <c r="P578" t="s">
        <v>47</v>
      </c>
      <c r="Y578" t="s">
        <v>2192</v>
      </c>
    </row>
    <row r="579" spans="1:25">
      <c r="A579" t="s">
        <v>2194</v>
      </c>
      <c r="B579" t="s">
        <v>2195</v>
      </c>
      <c r="D579" t="s">
        <v>40</v>
      </c>
      <c r="E579" t="s">
        <v>41</v>
      </c>
      <c r="J579" t="s">
        <v>168</v>
      </c>
      <c r="K579" t="s">
        <v>169</v>
      </c>
      <c r="L579">
        <v>7</v>
      </c>
      <c r="M579" t="s">
        <v>2196</v>
      </c>
      <c r="N579" t="s">
        <v>76</v>
      </c>
      <c r="O579" t="s">
        <v>47</v>
      </c>
      <c r="P579" t="s">
        <v>47</v>
      </c>
      <c r="Y579" t="s">
        <v>2197</v>
      </c>
    </row>
    <row r="580" spans="1:25">
      <c r="A580" t="s">
        <v>2198</v>
      </c>
      <c r="B580" t="s">
        <v>2199</v>
      </c>
      <c r="D580" t="s">
        <v>40</v>
      </c>
      <c r="E580" t="s">
        <v>41</v>
      </c>
      <c r="J580" t="s">
        <v>190</v>
      </c>
      <c r="K580" t="s">
        <v>191</v>
      </c>
      <c r="L580">
        <v>7</v>
      </c>
      <c r="M580" t="s">
        <v>2200</v>
      </c>
      <c r="N580" t="s">
        <v>76</v>
      </c>
      <c r="O580" t="s">
        <v>47</v>
      </c>
      <c r="P580" t="s">
        <v>47</v>
      </c>
      <c r="Y580" t="s">
        <v>2201</v>
      </c>
    </row>
    <row r="581" spans="1:25">
      <c r="A581" t="s">
        <v>2202</v>
      </c>
      <c r="B581" t="s">
        <v>2203</v>
      </c>
      <c r="D581" t="s">
        <v>40</v>
      </c>
      <c r="E581" t="s">
        <v>41</v>
      </c>
      <c r="H581" t="s">
        <v>2204</v>
      </c>
      <c r="J581" t="s">
        <v>261</v>
      </c>
      <c r="K581" t="s">
        <v>262</v>
      </c>
      <c r="L581">
        <v>7</v>
      </c>
      <c r="M581" t="s">
        <v>2205</v>
      </c>
      <c r="N581" t="s">
        <v>76</v>
      </c>
      <c r="O581" t="s">
        <v>47</v>
      </c>
      <c r="P581" t="s">
        <v>47</v>
      </c>
      <c r="Y581" t="s">
        <v>2204</v>
      </c>
    </row>
    <row r="582" spans="1:25">
      <c r="A582" t="s">
        <v>2206</v>
      </c>
      <c r="B582" t="s">
        <v>2207</v>
      </c>
      <c r="D582" t="s">
        <v>40</v>
      </c>
      <c r="E582" t="s">
        <v>41</v>
      </c>
      <c r="J582" t="s">
        <v>190</v>
      </c>
      <c r="K582" t="s">
        <v>191</v>
      </c>
      <c r="L582">
        <v>7</v>
      </c>
      <c r="M582" t="s">
        <v>2208</v>
      </c>
      <c r="N582" t="s">
        <v>76</v>
      </c>
      <c r="O582" t="s">
        <v>47</v>
      </c>
      <c r="P582" t="s">
        <v>47</v>
      </c>
      <c r="Y582" t="s">
        <v>2209</v>
      </c>
    </row>
    <row r="583" spans="1:25">
      <c r="A583" t="s">
        <v>2210</v>
      </c>
      <c r="B583" t="s">
        <v>2211</v>
      </c>
      <c r="D583" t="s">
        <v>40</v>
      </c>
      <c r="E583" t="s">
        <v>41</v>
      </c>
      <c r="J583" t="s">
        <v>190</v>
      </c>
      <c r="K583" t="s">
        <v>191</v>
      </c>
      <c r="L583">
        <v>7</v>
      </c>
      <c r="M583" t="s">
        <v>2212</v>
      </c>
      <c r="N583" t="s">
        <v>76</v>
      </c>
      <c r="O583" t="s">
        <v>47</v>
      </c>
      <c r="P583" t="s">
        <v>47</v>
      </c>
      <c r="Y583" t="s">
        <v>2213</v>
      </c>
    </row>
    <row r="584" spans="1:25">
      <c r="A584" t="s">
        <v>2214</v>
      </c>
      <c r="B584" t="s">
        <v>2215</v>
      </c>
      <c r="D584" t="s">
        <v>40</v>
      </c>
      <c r="E584" t="s">
        <v>41</v>
      </c>
      <c r="J584" t="s">
        <v>240</v>
      </c>
      <c r="K584" t="s">
        <v>241</v>
      </c>
      <c r="L584">
        <v>7</v>
      </c>
      <c r="M584" t="s">
        <v>2212</v>
      </c>
      <c r="N584" t="s">
        <v>76</v>
      </c>
      <c r="O584" t="s">
        <v>47</v>
      </c>
      <c r="P584" t="s">
        <v>47</v>
      </c>
      <c r="Y584" t="s">
        <v>2216</v>
      </c>
    </row>
    <row r="585" spans="1:25">
      <c r="A585" t="s">
        <v>2217</v>
      </c>
      <c r="B585" t="s">
        <v>2218</v>
      </c>
      <c r="D585" t="s">
        <v>40</v>
      </c>
      <c r="E585" t="s">
        <v>41</v>
      </c>
      <c r="J585" t="s">
        <v>108</v>
      </c>
      <c r="K585" t="s">
        <v>109</v>
      </c>
      <c r="L585">
        <v>7</v>
      </c>
      <c r="M585" t="s">
        <v>2212</v>
      </c>
      <c r="N585" t="s">
        <v>80</v>
      </c>
      <c r="O585" t="s">
        <v>47</v>
      </c>
      <c r="P585" t="s">
        <v>47</v>
      </c>
      <c r="Y585" t="s">
        <v>2219</v>
      </c>
    </row>
    <row r="586" spans="1:25">
      <c r="A586" t="s">
        <v>2220</v>
      </c>
      <c r="B586" t="s">
        <v>2221</v>
      </c>
      <c r="D586" t="s">
        <v>40</v>
      </c>
      <c r="E586" t="s">
        <v>41</v>
      </c>
      <c r="H586" t="s">
        <v>2222</v>
      </c>
      <c r="J586" t="s">
        <v>168</v>
      </c>
      <c r="K586" t="s">
        <v>169</v>
      </c>
      <c r="L586">
        <v>7</v>
      </c>
      <c r="M586" t="s">
        <v>2212</v>
      </c>
      <c r="N586" t="s">
        <v>76</v>
      </c>
      <c r="O586" t="s">
        <v>47</v>
      </c>
      <c r="P586" t="s">
        <v>47</v>
      </c>
      <c r="Y586" t="s">
        <v>2222</v>
      </c>
    </row>
    <row r="587" spans="1:25">
      <c r="A587" t="s">
        <v>2223</v>
      </c>
      <c r="B587" t="s">
        <v>2224</v>
      </c>
      <c r="D587" t="s">
        <v>40</v>
      </c>
      <c r="E587" t="s">
        <v>41</v>
      </c>
      <c r="J587" t="s">
        <v>168</v>
      </c>
      <c r="K587" t="s">
        <v>169</v>
      </c>
      <c r="L587">
        <v>7</v>
      </c>
      <c r="M587" t="s">
        <v>2225</v>
      </c>
      <c r="N587" t="s">
        <v>76</v>
      </c>
      <c r="O587" t="s">
        <v>47</v>
      </c>
      <c r="P587" t="s">
        <v>47</v>
      </c>
      <c r="Y587" t="s">
        <v>2226</v>
      </c>
    </row>
    <row r="588" spans="1:25">
      <c r="A588" t="s">
        <v>2227</v>
      </c>
      <c r="B588" t="s">
        <v>2228</v>
      </c>
      <c r="D588" t="s">
        <v>40</v>
      </c>
      <c r="E588" t="s">
        <v>41</v>
      </c>
      <c r="J588" t="s">
        <v>261</v>
      </c>
      <c r="K588" t="s">
        <v>262</v>
      </c>
      <c r="L588">
        <v>7</v>
      </c>
      <c r="M588" t="s">
        <v>2229</v>
      </c>
      <c r="N588" t="s">
        <v>76</v>
      </c>
      <c r="O588" t="s">
        <v>47</v>
      </c>
      <c r="P588" t="s">
        <v>47</v>
      </c>
      <c r="Y588" t="s">
        <v>2230</v>
      </c>
    </row>
    <row r="589" spans="1:25">
      <c r="A589" t="s">
        <v>2231</v>
      </c>
      <c r="B589" t="s">
        <v>2232</v>
      </c>
      <c r="D589" t="s">
        <v>40</v>
      </c>
      <c r="E589" t="s">
        <v>41</v>
      </c>
      <c r="J589" t="s">
        <v>240</v>
      </c>
      <c r="K589" t="s">
        <v>241</v>
      </c>
      <c r="L589">
        <v>7</v>
      </c>
      <c r="M589" t="s">
        <v>2229</v>
      </c>
      <c r="N589" t="s">
        <v>76</v>
      </c>
      <c r="O589" t="s">
        <v>47</v>
      </c>
      <c r="P589" t="s">
        <v>47</v>
      </c>
      <c r="Y589" t="s">
        <v>2233</v>
      </c>
    </row>
    <row r="590" spans="1:25">
      <c r="A590" t="s">
        <v>2234</v>
      </c>
      <c r="B590" t="s">
        <v>2235</v>
      </c>
      <c r="D590" t="s">
        <v>40</v>
      </c>
      <c r="E590" t="s">
        <v>41</v>
      </c>
      <c r="J590" t="s">
        <v>261</v>
      </c>
      <c r="K590" t="s">
        <v>262</v>
      </c>
      <c r="L590">
        <v>7</v>
      </c>
      <c r="M590" t="s">
        <v>2236</v>
      </c>
      <c r="N590" t="s">
        <v>76</v>
      </c>
      <c r="O590" t="s">
        <v>47</v>
      </c>
      <c r="P590" t="s">
        <v>47</v>
      </c>
      <c r="Y590" t="s">
        <v>2237</v>
      </c>
    </row>
    <row r="591" spans="1:25">
      <c r="A591" t="s">
        <v>2238</v>
      </c>
      <c r="B591" t="s">
        <v>2239</v>
      </c>
      <c r="D591" t="s">
        <v>40</v>
      </c>
      <c r="E591" t="s">
        <v>41</v>
      </c>
      <c r="J591" t="s">
        <v>897</v>
      </c>
      <c r="K591" t="s">
        <v>898</v>
      </c>
      <c r="L591">
        <v>7</v>
      </c>
      <c r="M591" t="s">
        <v>2236</v>
      </c>
      <c r="N591" t="s">
        <v>202</v>
      </c>
      <c r="O591" t="s">
        <v>47</v>
      </c>
      <c r="P591" t="s">
        <v>47</v>
      </c>
      <c r="Y591" t="s">
        <v>2240</v>
      </c>
    </row>
    <row r="592" spans="1:25">
      <c r="A592" t="s">
        <v>2241</v>
      </c>
      <c r="B592" t="s">
        <v>2242</v>
      </c>
      <c r="D592" t="s">
        <v>40</v>
      </c>
      <c r="E592" t="s">
        <v>41</v>
      </c>
      <c r="J592" t="s">
        <v>190</v>
      </c>
      <c r="K592" t="s">
        <v>191</v>
      </c>
      <c r="L592">
        <v>7</v>
      </c>
      <c r="M592" t="s">
        <v>2243</v>
      </c>
      <c r="N592" t="s">
        <v>76</v>
      </c>
      <c r="O592" t="s">
        <v>47</v>
      </c>
      <c r="P592" t="s">
        <v>47</v>
      </c>
      <c r="Y592" t="s">
        <v>2244</v>
      </c>
    </row>
    <row r="593" spans="1:25">
      <c r="A593" t="s">
        <v>2245</v>
      </c>
      <c r="B593" t="s">
        <v>2246</v>
      </c>
      <c r="D593" t="s">
        <v>40</v>
      </c>
      <c r="E593" t="s">
        <v>41</v>
      </c>
      <c r="J593" t="s">
        <v>190</v>
      </c>
      <c r="K593" t="s">
        <v>191</v>
      </c>
      <c r="L593">
        <v>7</v>
      </c>
      <c r="M593" t="s">
        <v>2247</v>
      </c>
      <c r="N593" t="s">
        <v>76</v>
      </c>
      <c r="O593" t="s">
        <v>47</v>
      </c>
      <c r="P593" t="s">
        <v>47</v>
      </c>
      <c r="Y593" t="s">
        <v>2248</v>
      </c>
    </row>
    <row r="594" spans="1:25">
      <c r="A594" t="s">
        <v>2249</v>
      </c>
      <c r="B594" t="s">
        <v>2250</v>
      </c>
      <c r="D594" t="s">
        <v>40</v>
      </c>
      <c r="E594" t="s">
        <v>41</v>
      </c>
      <c r="J594" t="s">
        <v>108</v>
      </c>
      <c r="K594" t="s">
        <v>109</v>
      </c>
      <c r="L594">
        <v>7</v>
      </c>
      <c r="M594" t="s">
        <v>2251</v>
      </c>
      <c r="N594" t="s">
        <v>80</v>
      </c>
      <c r="O594" t="s">
        <v>47</v>
      </c>
      <c r="P594" t="s">
        <v>47</v>
      </c>
      <c r="Y594" t="s">
        <v>2252</v>
      </c>
    </row>
    <row r="595" spans="1:25">
      <c r="A595" t="s">
        <v>2253</v>
      </c>
      <c r="B595" t="s">
        <v>2254</v>
      </c>
      <c r="D595" t="s">
        <v>40</v>
      </c>
      <c r="E595" t="s">
        <v>41</v>
      </c>
      <c r="J595" t="s">
        <v>318</v>
      </c>
      <c r="K595" t="s">
        <v>319</v>
      </c>
      <c r="L595">
        <v>7</v>
      </c>
      <c r="M595" t="s">
        <v>2255</v>
      </c>
      <c r="N595" t="s">
        <v>76</v>
      </c>
      <c r="O595" t="s">
        <v>47</v>
      </c>
      <c r="P595" t="s">
        <v>47</v>
      </c>
      <c r="Y595" t="s">
        <v>2256</v>
      </c>
    </row>
    <row r="596" spans="1:25">
      <c r="A596" t="s">
        <v>2257</v>
      </c>
      <c r="B596" t="s">
        <v>2258</v>
      </c>
      <c r="D596" t="s">
        <v>40</v>
      </c>
      <c r="E596" t="s">
        <v>41</v>
      </c>
      <c r="J596" t="s">
        <v>261</v>
      </c>
      <c r="K596" t="s">
        <v>262</v>
      </c>
      <c r="L596">
        <v>7</v>
      </c>
      <c r="M596" t="s">
        <v>2259</v>
      </c>
      <c r="N596" t="s">
        <v>76</v>
      </c>
      <c r="O596" t="s">
        <v>47</v>
      </c>
      <c r="P596" t="s">
        <v>47</v>
      </c>
      <c r="Y596" t="s">
        <v>2260</v>
      </c>
    </row>
    <row r="597" spans="1:25">
      <c r="A597" t="s">
        <v>2261</v>
      </c>
      <c r="B597" t="s">
        <v>2262</v>
      </c>
      <c r="D597" t="s">
        <v>40</v>
      </c>
      <c r="E597" t="s">
        <v>41</v>
      </c>
      <c r="H597" t="s">
        <v>2263</v>
      </c>
      <c r="J597" t="s">
        <v>1653</v>
      </c>
      <c r="K597" t="s">
        <v>1654</v>
      </c>
      <c r="L597">
        <v>7</v>
      </c>
      <c r="M597" t="s">
        <v>2264</v>
      </c>
      <c r="N597" t="s">
        <v>76</v>
      </c>
      <c r="O597" t="s">
        <v>47</v>
      </c>
      <c r="P597" t="s">
        <v>47</v>
      </c>
      <c r="Y597" t="s">
        <v>2263</v>
      </c>
    </row>
    <row r="598" spans="1:25">
      <c r="A598" t="s">
        <v>2265</v>
      </c>
      <c r="B598" t="s">
        <v>2266</v>
      </c>
      <c r="D598" t="s">
        <v>40</v>
      </c>
      <c r="E598" t="s">
        <v>41</v>
      </c>
      <c r="J598" t="s">
        <v>168</v>
      </c>
      <c r="K598" t="s">
        <v>169</v>
      </c>
      <c r="L598">
        <v>7</v>
      </c>
      <c r="M598" t="s">
        <v>2267</v>
      </c>
      <c r="N598" t="s">
        <v>76</v>
      </c>
      <c r="O598" t="s">
        <v>47</v>
      </c>
      <c r="P598" t="s">
        <v>47</v>
      </c>
      <c r="Y598" t="s">
        <v>2268</v>
      </c>
    </row>
    <row r="599" spans="1:25">
      <c r="A599" t="s">
        <v>2269</v>
      </c>
      <c r="B599" t="s">
        <v>2270</v>
      </c>
      <c r="D599" t="s">
        <v>40</v>
      </c>
      <c r="E599" t="s">
        <v>41</v>
      </c>
      <c r="H599" t="s">
        <v>2271</v>
      </c>
      <c r="J599" t="s">
        <v>261</v>
      </c>
      <c r="K599" t="s">
        <v>262</v>
      </c>
      <c r="L599">
        <v>7</v>
      </c>
      <c r="M599" t="s">
        <v>2272</v>
      </c>
      <c r="N599" t="s">
        <v>76</v>
      </c>
      <c r="O599" t="s">
        <v>47</v>
      </c>
      <c r="P599" t="s">
        <v>47</v>
      </c>
      <c r="Y599" t="s">
        <v>2271</v>
      </c>
    </row>
    <row r="600" spans="1:25">
      <c r="A600" t="s">
        <v>2273</v>
      </c>
      <c r="B600" t="s">
        <v>2274</v>
      </c>
      <c r="D600" t="s">
        <v>40</v>
      </c>
      <c r="E600" t="s">
        <v>41</v>
      </c>
      <c r="J600" t="s">
        <v>240</v>
      </c>
      <c r="K600" t="s">
        <v>241</v>
      </c>
      <c r="L600">
        <v>7</v>
      </c>
      <c r="M600" t="s">
        <v>2275</v>
      </c>
      <c r="N600" t="s">
        <v>76</v>
      </c>
      <c r="O600" t="s">
        <v>47</v>
      </c>
      <c r="P600" t="s">
        <v>47</v>
      </c>
      <c r="Y600" t="s">
        <v>2276</v>
      </c>
    </row>
    <row r="601" spans="1:25">
      <c r="A601" t="s">
        <v>2277</v>
      </c>
      <c r="B601" t="s">
        <v>2278</v>
      </c>
      <c r="D601" t="s">
        <v>40</v>
      </c>
      <c r="E601" t="s">
        <v>41</v>
      </c>
      <c r="H601" t="s">
        <v>2279</v>
      </c>
      <c r="J601" t="s">
        <v>190</v>
      </c>
      <c r="K601" t="s">
        <v>191</v>
      </c>
      <c r="L601">
        <v>7</v>
      </c>
      <c r="M601" t="s">
        <v>2280</v>
      </c>
      <c r="N601" t="s">
        <v>76</v>
      </c>
      <c r="O601" t="s">
        <v>47</v>
      </c>
      <c r="P601" t="s">
        <v>47</v>
      </c>
      <c r="Y601" t="s">
        <v>2279</v>
      </c>
    </row>
    <row r="602" spans="1:25">
      <c r="A602" t="s">
        <v>2281</v>
      </c>
      <c r="B602" t="s">
        <v>2282</v>
      </c>
      <c r="D602" t="s">
        <v>40</v>
      </c>
      <c r="E602" t="s">
        <v>41</v>
      </c>
      <c r="J602" t="s">
        <v>240</v>
      </c>
      <c r="K602" t="s">
        <v>241</v>
      </c>
      <c r="L602">
        <v>7</v>
      </c>
      <c r="M602" t="s">
        <v>2280</v>
      </c>
      <c r="N602" t="s">
        <v>76</v>
      </c>
      <c r="O602" t="s">
        <v>47</v>
      </c>
      <c r="P602" t="s">
        <v>47</v>
      </c>
      <c r="Y602" t="s">
        <v>2283</v>
      </c>
    </row>
    <row r="603" spans="1:25">
      <c r="A603" t="s">
        <v>2284</v>
      </c>
      <c r="B603" t="s">
        <v>2285</v>
      </c>
      <c r="D603" t="s">
        <v>40</v>
      </c>
      <c r="E603" t="s">
        <v>41</v>
      </c>
      <c r="J603" t="s">
        <v>190</v>
      </c>
      <c r="K603" t="s">
        <v>191</v>
      </c>
      <c r="L603">
        <v>7</v>
      </c>
      <c r="M603" t="s">
        <v>2280</v>
      </c>
      <c r="N603" t="s">
        <v>76</v>
      </c>
      <c r="O603" t="s">
        <v>47</v>
      </c>
      <c r="P603" t="s">
        <v>47</v>
      </c>
      <c r="Y603" t="s">
        <v>2286</v>
      </c>
    </row>
    <row r="604" spans="1:25">
      <c r="A604" t="s">
        <v>2287</v>
      </c>
      <c r="B604" t="s">
        <v>2288</v>
      </c>
      <c r="D604" t="s">
        <v>40</v>
      </c>
      <c r="E604" t="s">
        <v>41</v>
      </c>
      <c r="H604" t="s">
        <v>2289</v>
      </c>
      <c r="J604" t="s">
        <v>261</v>
      </c>
      <c r="K604" t="s">
        <v>262</v>
      </c>
      <c r="L604">
        <v>7</v>
      </c>
      <c r="M604" t="s">
        <v>2290</v>
      </c>
      <c r="N604" t="s">
        <v>80</v>
      </c>
      <c r="O604" t="s">
        <v>47</v>
      </c>
      <c r="P604" t="s">
        <v>47</v>
      </c>
      <c r="Y604" t="s">
        <v>2289</v>
      </c>
    </row>
    <row r="605" spans="1:25">
      <c r="A605" t="s">
        <v>2291</v>
      </c>
      <c r="B605" t="s">
        <v>2292</v>
      </c>
      <c r="D605" t="s">
        <v>40</v>
      </c>
      <c r="E605" t="s">
        <v>41</v>
      </c>
      <c r="J605" t="s">
        <v>240</v>
      </c>
      <c r="K605" t="s">
        <v>241</v>
      </c>
      <c r="L605">
        <v>7</v>
      </c>
      <c r="M605" t="s">
        <v>2293</v>
      </c>
      <c r="N605" t="s">
        <v>76</v>
      </c>
      <c r="O605" t="s">
        <v>47</v>
      </c>
      <c r="P605" t="s">
        <v>47</v>
      </c>
      <c r="Y605" t="s">
        <v>2294</v>
      </c>
    </row>
    <row r="606" spans="1:25">
      <c r="A606" t="s">
        <v>2295</v>
      </c>
      <c r="B606" t="s">
        <v>2296</v>
      </c>
      <c r="D606" t="s">
        <v>40</v>
      </c>
      <c r="E606" t="s">
        <v>41</v>
      </c>
      <c r="H606" t="s">
        <v>2297</v>
      </c>
      <c r="J606" t="s">
        <v>108</v>
      </c>
      <c r="K606" t="s">
        <v>109</v>
      </c>
      <c r="L606">
        <v>7</v>
      </c>
      <c r="M606" t="s">
        <v>2298</v>
      </c>
      <c r="N606" t="s">
        <v>80</v>
      </c>
      <c r="O606" t="s">
        <v>47</v>
      </c>
      <c r="P606" t="s">
        <v>47</v>
      </c>
      <c r="Y606" t="s">
        <v>2297</v>
      </c>
    </row>
    <row r="607" spans="1:25">
      <c r="A607" t="s">
        <v>2299</v>
      </c>
      <c r="B607" t="s">
        <v>2300</v>
      </c>
      <c r="D607" t="s">
        <v>40</v>
      </c>
      <c r="E607" t="s">
        <v>41</v>
      </c>
      <c r="J607" t="s">
        <v>108</v>
      </c>
      <c r="K607" t="s">
        <v>109</v>
      </c>
      <c r="L607">
        <v>7</v>
      </c>
      <c r="M607" t="s">
        <v>2301</v>
      </c>
      <c r="N607" t="s">
        <v>202</v>
      </c>
      <c r="O607" t="s">
        <v>47</v>
      </c>
      <c r="P607" t="s">
        <v>47</v>
      </c>
      <c r="Y607" t="s">
        <v>2302</v>
      </c>
    </row>
    <row r="608" spans="1:25">
      <c r="A608" t="s">
        <v>2303</v>
      </c>
      <c r="B608" t="s">
        <v>2304</v>
      </c>
      <c r="D608" t="s">
        <v>40</v>
      </c>
      <c r="E608" t="s">
        <v>41</v>
      </c>
      <c r="J608" t="s">
        <v>318</v>
      </c>
      <c r="K608" t="s">
        <v>319</v>
      </c>
      <c r="L608">
        <v>7</v>
      </c>
      <c r="M608" t="s">
        <v>2301</v>
      </c>
      <c r="N608" t="s">
        <v>76</v>
      </c>
      <c r="O608" t="s">
        <v>47</v>
      </c>
      <c r="P608" t="s">
        <v>47</v>
      </c>
      <c r="Y608" t="s">
        <v>2305</v>
      </c>
    </row>
    <row r="609" spans="1:25">
      <c r="A609" t="s">
        <v>2306</v>
      </c>
      <c r="B609" t="s">
        <v>2307</v>
      </c>
      <c r="D609" t="s">
        <v>40</v>
      </c>
      <c r="E609" t="s">
        <v>41</v>
      </c>
      <c r="J609" t="s">
        <v>190</v>
      </c>
      <c r="K609" t="s">
        <v>191</v>
      </c>
      <c r="L609">
        <v>7</v>
      </c>
      <c r="M609" t="s">
        <v>2308</v>
      </c>
      <c r="N609" t="s">
        <v>76</v>
      </c>
      <c r="O609" t="s">
        <v>47</v>
      </c>
      <c r="P609" t="s">
        <v>47</v>
      </c>
      <c r="Y609" t="s">
        <v>2309</v>
      </c>
    </row>
    <row r="610" spans="1:25">
      <c r="A610" t="s">
        <v>2310</v>
      </c>
      <c r="B610" t="s">
        <v>2311</v>
      </c>
      <c r="D610" t="s">
        <v>40</v>
      </c>
      <c r="E610" t="s">
        <v>41</v>
      </c>
      <c r="H610" t="s">
        <v>2312</v>
      </c>
      <c r="J610" t="s">
        <v>190</v>
      </c>
      <c r="K610" t="s">
        <v>191</v>
      </c>
      <c r="L610">
        <v>7</v>
      </c>
      <c r="M610" t="s">
        <v>2313</v>
      </c>
      <c r="N610" t="s">
        <v>76</v>
      </c>
      <c r="O610" t="s">
        <v>47</v>
      </c>
      <c r="P610" t="s">
        <v>47</v>
      </c>
      <c r="Y610" t="s">
        <v>2312</v>
      </c>
    </row>
    <row r="611" spans="1:25">
      <c r="A611" t="s">
        <v>2314</v>
      </c>
      <c r="B611" t="s">
        <v>2315</v>
      </c>
      <c r="D611" t="s">
        <v>40</v>
      </c>
      <c r="E611" t="s">
        <v>41</v>
      </c>
      <c r="J611" t="s">
        <v>190</v>
      </c>
      <c r="K611" t="s">
        <v>191</v>
      </c>
      <c r="L611">
        <v>7</v>
      </c>
      <c r="M611" t="s">
        <v>2316</v>
      </c>
      <c r="N611" t="s">
        <v>76</v>
      </c>
      <c r="O611" t="s">
        <v>47</v>
      </c>
      <c r="P611" t="s">
        <v>47</v>
      </c>
      <c r="Y611" t="s">
        <v>2317</v>
      </c>
    </row>
    <row r="612" spans="1:25">
      <c r="A612" t="s">
        <v>2318</v>
      </c>
      <c r="B612" t="s">
        <v>2319</v>
      </c>
      <c r="D612" t="s">
        <v>40</v>
      </c>
      <c r="E612" t="s">
        <v>41</v>
      </c>
      <c r="J612" t="s">
        <v>240</v>
      </c>
      <c r="K612" t="s">
        <v>241</v>
      </c>
      <c r="L612">
        <v>7</v>
      </c>
      <c r="M612" t="s">
        <v>2316</v>
      </c>
      <c r="N612" t="s">
        <v>76</v>
      </c>
      <c r="O612" t="s">
        <v>47</v>
      </c>
      <c r="P612" t="s">
        <v>47</v>
      </c>
      <c r="Y612" t="s">
        <v>2320</v>
      </c>
    </row>
    <row r="613" spans="1:25">
      <c r="A613" t="s">
        <v>2321</v>
      </c>
      <c r="B613" t="s">
        <v>2322</v>
      </c>
      <c r="D613" t="s">
        <v>40</v>
      </c>
      <c r="E613" t="s">
        <v>41</v>
      </c>
      <c r="H613" t="s">
        <v>2323</v>
      </c>
      <c r="J613" t="s">
        <v>1653</v>
      </c>
      <c r="K613" t="s">
        <v>1654</v>
      </c>
      <c r="L613">
        <v>7</v>
      </c>
      <c r="M613" t="s">
        <v>2316</v>
      </c>
      <c r="N613" t="s">
        <v>76</v>
      </c>
      <c r="O613" t="s">
        <v>47</v>
      </c>
      <c r="P613" t="s">
        <v>47</v>
      </c>
      <c r="Y613" t="s">
        <v>2323</v>
      </c>
    </row>
    <row r="614" spans="1:25">
      <c r="A614" t="s">
        <v>231</v>
      </c>
      <c r="B614" t="s">
        <v>2324</v>
      </c>
      <c r="D614" t="s">
        <v>40</v>
      </c>
      <c r="E614" t="s">
        <v>41</v>
      </c>
      <c r="H614" t="s">
        <v>2325</v>
      </c>
      <c r="J614" t="s">
        <v>117</v>
      </c>
      <c r="K614" t="s">
        <v>118</v>
      </c>
      <c r="L614">
        <v>4</v>
      </c>
      <c r="M614" t="s">
        <v>2326</v>
      </c>
      <c r="N614" t="s">
        <v>80</v>
      </c>
      <c r="O614" t="s">
        <v>47</v>
      </c>
      <c r="P614" t="s">
        <v>47</v>
      </c>
      <c r="Y614" t="s">
        <v>2325</v>
      </c>
    </row>
    <row r="615" spans="1:25">
      <c r="A615" t="s">
        <v>2327</v>
      </c>
      <c r="B615" t="s">
        <v>2328</v>
      </c>
      <c r="D615" t="s">
        <v>40</v>
      </c>
      <c r="E615" t="s">
        <v>41</v>
      </c>
      <c r="H615" t="s">
        <v>2329</v>
      </c>
      <c r="J615" t="s">
        <v>73</v>
      </c>
      <c r="K615" t="s">
        <v>74</v>
      </c>
      <c r="L615">
        <v>7</v>
      </c>
      <c r="M615" t="s">
        <v>2330</v>
      </c>
      <c r="N615" t="s">
        <v>76</v>
      </c>
      <c r="O615" t="s">
        <v>47</v>
      </c>
      <c r="P615" t="s">
        <v>47</v>
      </c>
      <c r="Y615" t="s">
        <v>2329</v>
      </c>
    </row>
    <row r="616" spans="1:25">
      <c r="A616" t="s">
        <v>2331</v>
      </c>
      <c r="B616" t="s">
        <v>2332</v>
      </c>
      <c r="D616" t="s">
        <v>40</v>
      </c>
      <c r="E616" t="s">
        <v>41</v>
      </c>
      <c r="H616" t="s">
        <v>2333</v>
      </c>
      <c r="J616" t="s">
        <v>73</v>
      </c>
      <c r="K616" t="s">
        <v>74</v>
      </c>
      <c r="L616">
        <v>7</v>
      </c>
      <c r="M616" t="s">
        <v>2334</v>
      </c>
      <c r="N616" t="s">
        <v>76</v>
      </c>
      <c r="O616" t="s">
        <v>47</v>
      </c>
      <c r="P616" t="s">
        <v>47</v>
      </c>
      <c r="Y616" t="s">
        <v>2333</v>
      </c>
    </row>
    <row r="617" spans="1:25">
      <c r="A617" t="s">
        <v>2335</v>
      </c>
      <c r="B617" t="s">
        <v>2336</v>
      </c>
      <c r="D617" t="s">
        <v>40</v>
      </c>
      <c r="E617" t="s">
        <v>41</v>
      </c>
      <c r="H617" t="s">
        <v>2337</v>
      </c>
      <c r="J617" t="s">
        <v>73</v>
      </c>
      <c r="K617" t="s">
        <v>74</v>
      </c>
      <c r="L617">
        <v>7</v>
      </c>
      <c r="M617" t="s">
        <v>2338</v>
      </c>
      <c r="N617" t="s">
        <v>76</v>
      </c>
      <c r="O617" t="s">
        <v>47</v>
      </c>
      <c r="P617" t="s">
        <v>47</v>
      </c>
      <c r="Y617" t="s">
        <v>2337</v>
      </c>
    </row>
    <row r="618" spans="1:25">
      <c r="A618" t="s">
        <v>2339</v>
      </c>
      <c r="B618" t="s">
        <v>2340</v>
      </c>
      <c r="D618" t="s">
        <v>40</v>
      </c>
      <c r="E618" t="s">
        <v>41</v>
      </c>
      <c r="H618" t="s">
        <v>2341</v>
      </c>
      <c r="J618" t="s">
        <v>318</v>
      </c>
      <c r="K618" t="s">
        <v>319</v>
      </c>
      <c r="L618">
        <v>7</v>
      </c>
      <c r="M618" t="s">
        <v>2342</v>
      </c>
      <c r="N618" t="s">
        <v>76</v>
      </c>
      <c r="O618" t="s">
        <v>47</v>
      </c>
      <c r="P618" t="s">
        <v>47</v>
      </c>
      <c r="Y618" t="s">
        <v>2341</v>
      </c>
    </row>
    <row r="619" spans="1:25">
      <c r="A619" t="s">
        <v>2343</v>
      </c>
      <c r="B619" t="s">
        <v>2344</v>
      </c>
      <c r="D619" t="s">
        <v>40</v>
      </c>
      <c r="E619" t="s">
        <v>41</v>
      </c>
      <c r="J619" t="s">
        <v>190</v>
      </c>
      <c r="K619" t="s">
        <v>191</v>
      </c>
      <c r="L619">
        <v>7</v>
      </c>
      <c r="M619" t="s">
        <v>2342</v>
      </c>
      <c r="N619" t="s">
        <v>76</v>
      </c>
      <c r="O619" t="s">
        <v>47</v>
      </c>
      <c r="P619" t="s">
        <v>47</v>
      </c>
      <c r="Y619" t="s">
        <v>2345</v>
      </c>
    </row>
    <row r="620" spans="1:25">
      <c r="A620" t="s">
        <v>2346</v>
      </c>
      <c r="B620" t="s">
        <v>2347</v>
      </c>
      <c r="D620" t="s">
        <v>40</v>
      </c>
      <c r="E620" t="s">
        <v>41</v>
      </c>
      <c r="J620" t="s">
        <v>240</v>
      </c>
      <c r="K620" t="s">
        <v>241</v>
      </c>
      <c r="L620">
        <v>7</v>
      </c>
      <c r="M620" t="s">
        <v>2342</v>
      </c>
      <c r="N620" t="s">
        <v>76</v>
      </c>
      <c r="O620" t="s">
        <v>47</v>
      </c>
      <c r="P620" t="s">
        <v>47</v>
      </c>
      <c r="Y620" t="s">
        <v>2348</v>
      </c>
    </row>
    <row r="621" spans="1:25">
      <c r="A621" t="s">
        <v>2349</v>
      </c>
      <c r="B621" t="s">
        <v>2350</v>
      </c>
      <c r="D621" t="s">
        <v>40</v>
      </c>
      <c r="E621" t="s">
        <v>41</v>
      </c>
      <c r="J621" t="s">
        <v>168</v>
      </c>
      <c r="K621" t="s">
        <v>169</v>
      </c>
      <c r="L621">
        <v>7</v>
      </c>
      <c r="M621" t="s">
        <v>2351</v>
      </c>
      <c r="N621" t="s">
        <v>76</v>
      </c>
      <c r="O621" t="s">
        <v>47</v>
      </c>
      <c r="P621" t="s">
        <v>47</v>
      </c>
      <c r="Y621" t="s">
        <v>2352</v>
      </c>
    </row>
    <row r="622" spans="1:25">
      <c r="A622" t="s">
        <v>2353</v>
      </c>
      <c r="B622" t="s">
        <v>2354</v>
      </c>
      <c r="D622" t="s">
        <v>40</v>
      </c>
      <c r="E622" t="s">
        <v>41</v>
      </c>
      <c r="H622" t="s">
        <v>2355</v>
      </c>
      <c r="J622" t="s">
        <v>168</v>
      </c>
      <c r="K622" t="s">
        <v>169</v>
      </c>
      <c r="L622">
        <v>7</v>
      </c>
      <c r="M622" t="s">
        <v>2351</v>
      </c>
      <c r="N622" t="s">
        <v>76</v>
      </c>
      <c r="O622" t="s">
        <v>47</v>
      </c>
      <c r="P622" t="s">
        <v>47</v>
      </c>
      <c r="Y622" t="s">
        <v>2355</v>
      </c>
    </row>
    <row r="623" spans="1:25">
      <c r="A623" t="s">
        <v>2356</v>
      </c>
      <c r="B623" t="s">
        <v>2357</v>
      </c>
      <c r="D623" t="s">
        <v>40</v>
      </c>
      <c r="E623" t="s">
        <v>41</v>
      </c>
      <c r="J623" t="s">
        <v>190</v>
      </c>
      <c r="K623" t="s">
        <v>191</v>
      </c>
      <c r="L623">
        <v>7</v>
      </c>
      <c r="M623" t="s">
        <v>2358</v>
      </c>
      <c r="N623" t="s">
        <v>76</v>
      </c>
      <c r="O623" t="s">
        <v>47</v>
      </c>
      <c r="P623" t="s">
        <v>47</v>
      </c>
      <c r="Y623" t="s">
        <v>2359</v>
      </c>
    </row>
    <row r="624" spans="1:25">
      <c r="A624" t="s">
        <v>2360</v>
      </c>
      <c r="B624" t="s">
        <v>2361</v>
      </c>
      <c r="D624" t="s">
        <v>40</v>
      </c>
      <c r="E624" t="s">
        <v>41</v>
      </c>
      <c r="J624" t="s">
        <v>168</v>
      </c>
      <c r="K624" t="s">
        <v>169</v>
      </c>
      <c r="L624">
        <v>7</v>
      </c>
      <c r="M624" t="s">
        <v>2362</v>
      </c>
      <c r="N624" t="s">
        <v>76</v>
      </c>
      <c r="O624" t="s">
        <v>47</v>
      </c>
      <c r="P624" t="s">
        <v>47</v>
      </c>
      <c r="Y624" t="s">
        <v>2363</v>
      </c>
    </row>
    <row r="625" spans="1:25">
      <c r="A625" t="s">
        <v>2364</v>
      </c>
      <c r="B625" t="s">
        <v>2365</v>
      </c>
      <c r="D625" t="s">
        <v>40</v>
      </c>
      <c r="E625" t="s">
        <v>41</v>
      </c>
      <c r="H625" t="s">
        <v>2366</v>
      </c>
      <c r="J625" t="s">
        <v>261</v>
      </c>
      <c r="K625" t="s">
        <v>262</v>
      </c>
      <c r="L625">
        <v>7</v>
      </c>
      <c r="M625" t="s">
        <v>2362</v>
      </c>
      <c r="N625" t="s">
        <v>76</v>
      </c>
      <c r="O625" t="s">
        <v>47</v>
      </c>
      <c r="P625" t="s">
        <v>47</v>
      </c>
      <c r="Y625" t="s">
        <v>2366</v>
      </c>
    </row>
    <row r="626" spans="1:25">
      <c r="A626" t="s">
        <v>2367</v>
      </c>
      <c r="B626" t="s">
        <v>2368</v>
      </c>
      <c r="D626" t="s">
        <v>40</v>
      </c>
      <c r="E626" t="s">
        <v>41</v>
      </c>
      <c r="J626" t="s">
        <v>261</v>
      </c>
      <c r="K626" t="s">
        <v>262</v>
      </c>
      <c r="L626">
        <v>7</v>
      </c>
      <c r="M626" t="s">
        <v>2362</v>
      </c>
      <c r="N626" t="s">
        <v>76</v>
      </c>
      <c r="O626" t="s">
        <v>47</v>
      </c>
      <c r="P626" t="s">
        <v>47</v>
      </c>
      <c r="Y626" t="s">
        <v>2369</v>
      </c>
    </row>
    <row r="627" spans="1:25">
      <c r="A627" t="s">
        <v>2370</v>
      </c>
      <c r="B627" t="s">
        <v>2371</v>
      </c>
      <c r="D627" t="s">
        <v>40</v>
      </c>
      <c r="E627" t="s">
        <v>41</v>
      </c>
      <c r="J627" t="s">
        <v>240</v>
      </c>
      <c r="K627" t="s">
        <v>241</v>
      </c>
      <c r="L627">
        <v>7</v>
      </c>
      <c r="M627" t="s">
        <v>2362</v>
      </c>
      <c r="N627" t="s">
        <v>76</v>
      </c>
      <c r="O627" t="s">
        <v>47</v>
      </c>
      <c r="P627" t="s">
        <v>47</v>
      </c>
      <c r="Y627" t="s">
        <v>2372</v>
      </c>
    </row>
    <row r="628" spans="1:25">
      <c r="A628" t="s">
        <v>2373</v>
      </c>
      <c r="B628" t="s">
        <v>2374</v>
      </c>
      <c r="D628" t="s">
        <v>40</v>
      </c>
      <c r="E628" t="s">
        <v>41</v>
      </c>
      <c r="J628" t="s">
        <v>108</v>
      </c>
      <c r="K628" t="s">
        <v>109</v>
      </c>
      <c r="L628">
        <v>7</v>
      </c>
      <c r="M628" t="s">
        <v>2375</v>
      </c>
      <c r="N628" t="s">
        <v>80</v>
      </c>
      <c r="O628" t="s">
        <v>47</v>
      </c>
      <c r="P628" t="s">
        <v>47</v>
      </c>
      <c r="Y628" t="s">
        <v>2376</v>
      </c>
    </row>
    <row r="629" spans="1:25">
      <c r="A629" t="s">
        <v>2377</v>
      </c>
      <c r="B629" t="s">
        <v>2378</v>
      </c>
      <c r="D629" t="s">
        <v>40</v>
      </c>
      <c r="E629" t="s">
        <v>41</v>
      </c>
      <c r="H629" t="s">
        <v>2379</v>
      </c>
      <c r="J629" t="s">
        <v>261</v>
      </c>
      <c r="K629" t="s">
        <v>262</v>
      </c>
      <c r="L629">
        <v>7</v>
      </c>
      <c r="M629" t="s">
        <v>2380</v>
      </c>
      <c r="N629" t="s">
        <v>76</v>
      </c>
      <c r="O629" t="s">
        <v>47</v>
      </c>
      <c r="P629" t="s">
        <v>47</v>
      </c>
      <c r="Y629" t="s">
        <v>2379</v>
      </c>
    </row>
    <row r="630" spans="1:25">
      <c r="A630" t="s">
        <v>2381</v>
      </c>
      <c r="B630" t="s">
        <v>2382</v>
      </c>
      <c r="D630" t="s">
        <v>40</v>
      </c>
      <c r="E630" t="s">
        <v>41</v>
      </c>
      <c r="H630" t="s">
        <v>2383</v>
      </c>
      <c r="J630" t="s">
        <v>190</v>
      </c>
      <c r="K630" t="s">
        <v>191</v>
      </c>
      <c r="L630">
        <v>7</v>
      </c>
      <c r="M630" t="s">
        <v>2380</v>
      </c>
      <c r="N630" t="s">
        <v>76</v>
      </c>
      <c r="O630" t="s">
        <v>47</v>
      </c>
      <c r="P630" t="s">
        <v>47</v>
      </c>
      <c r="Y630" t="s">
        <v>2383</v>
      </c>
    </row>
    <row r="631" spans="1:25">
      <c r="A631" t="s">
        <v>2384</v>
      </c>
      <c r="B631" t="s">
        <v>2385</v>
      </c>
      <c r="D631" t="s">
        <v>40</v>
      </c>
      <c r="E631" t="s">
        <v>41</v>
      </c>
      <c r="J631" t="s">
        <v>240</v>
      </c>
      <c r="K631" t="s">
        <v>241</v>
      </c>
      <c r="L631">
        <v>7</v>
      </c>
      <c r="M631" t="s">
        <v>2386</v>
      </c>
      <c r="N631" t="s">
        <v>76</v>
      </c>
      <c r="O631" t="s">
        <v>47</v>
      </c>
      <c r="P631" t="s">
        <v>47</v>
      </c>
      <c r="Y631" t="s">
        <v>2387</v>
      </c>
    </row>
    <row r="632" spans="1:25">
      <c r="A632" t="s">
        <v>2388</v>
      </c>
      <c r="B632" t="s">
        <v>2389</v>
      </c>
      <c r="D632" t="s">
        <v>40</v>
      </c>
      <c r="E632" t="s">
        <v>41</v>
      </c>
      <c r="J632" t="s">
        <v>261</v>
      </c>
      <c r="K632" t="s">
        <v>262</v>
      </c>
      <c r="L632">
        <v>7</v>
      </c>
      <c r="M632" t="s">
        <v>2390</v>
      </c>
      <c r="N632" t="s">
        <v>76</v>
      </c>
      <c r="O632" t="s">
        <v>47</v>
      </c>
      <c r="P632" t="s">
        <v>47</v>
      </c>
      <c r="Y632" t="s">
        <v>2391</v>
      </c>
    </row>
    <row r="633" spans="1:25">
      <c r="A633" t="s">
        <v>2392</v>
      </c>
      <c r="B633" t="s">
        <v>2393</v>
      </c>
      <c r="D633" t="s">
        <v>40</v>
      </c>
      <c r="E633" t="s">
        <v>41</v>
      </c>
      <c r="J633" t="s">
        <v>318</v>
      </c>
      <c r="K633" t="s">
        <v>319</v>
      </c>
      <c r="L633">
        <v>7</v>
      </c>
      <c r="M633" t="s">
        <v>2394</v>
      </c>
      <c r="N633" t="s">
        <v>76</v>
      </c>
      <c r="O633" t="s">
        <v>47</v>
      </c>
      <c r="P633" t="s">
        <v>47</v>
      </c>
      <c r="Y633" t="s">
        <v>2395</v>
      </c>
    </row>
    <row r="634" spans="1:25">
      <c r="A634" t="s">
        <v>2396</v>
      </c>
      <c r="B634" t="s">
        <v>2397</v>
      </c>
      <c r="D634" t="s">
        <v>40</v>
      </c>
      <c r="E634" t="s">
        <v>41</v>
      </c>
      <c r="H634" t="s">
        <v>2398</v>
      </c>
      <c r="J634" t="s">
        <v>168</v>
      </c>
      <c r="K634" t="s">
        <v>169</v>
      </c>
      <c r="L634">
        <v>7</v>
      </c>
      <c r="M634" t="s">
        <v>2394</v>
      </c>
      <c r="N634" t="s">
        <v>76</v>
      </c>
      <c r="O634" t="s">
        <v>47</v>
      </c>
      <c r="P634" t="s">
        <v>47</v>
      </c>
      <c r="Y634" t="s">
        <v>2398</v>
      </c>
    </row>
    <row r="635" spans="1:25">
      <c r="A635" t="s">
        <v>2399</v>
      </c>
      <c r="B635" t="s">
        <v>2400</v>
      </c>
      <c r="D635" t="s">
        <v>40</v>
      </c>
      <c r="E635" t="s">
        <v>41</v>
      </c>
      <c r="J635" t="s">
        <v>240</v>
      </c>
      <c r="K635" t="s">
        <v>241</v>
      </c>
      <c r="L635">
        <v>7</v>
      </c>
      <c r="M635" t="s">
        <v>2394</v>
      </c>
      <c r="N635" t="s">
        <v>76</v>
      </c>
      <c r="O635" t="s">
        <v>47</v>
      </c>
      <c r="P635" t="s">
        <v>47</v>
      </c>
      <c r="Y635" t="s">
        <v>2401</v>
      </c>
    </row>
    <row r="636" spans="1:25">
      <c r="A636" t="s">
        <v>2402</v>
      </c>
      <c r="B636" t="s">
        <v>2403</v>
      </c>
      <c r="D636" t="s">
        <v>40</v>
      </c>
      <c r="E636" t="s">
        <v>41</v>
      </c>
      <c r="J636" t="s">
        <v>701</v>
      </c>
      <c r="K636" t="s">
        <v>702</v>
      </c>
      <c r="L636">
        <v>7</v>
      </c>
      <c r="M636" t="s">
        <v>2404</v>
      </c>
      <c r="N636" t="s">
        <v>202</v>
      </c>
      <c r="O636" t="s">
        <v>47</v>
      </c>
      <c r="P636" t="s">
        <v>47</v>
      </c>
      <c r="Y636" t="s">
        <v>2405</v>
      </c>
    </row>
    <row r="637" spans="1:25">
      <c r="A637" t="s">
        <v>2406</v>
      </c>
      <c r="B637" t="s">
        <v>2407</v>
      </c>
      <c r="D637" t="s">
        <v>40</v>
      </c>
      <c r="E637" t="s">
        <v>41</v>
      </c>
      <c r="J637" t="s">
        <v>190</v>
      </c>
      <c r="K637" t="s">
        <v>191</v>
      </c>
      <c r="L637">
        <v>7</v>
      </c>
      <c r="M637" t="s">
        <v>2408</v>
      </c>
      <c r="N637" t="s">
        <v>76</v>
      </c>
      <c r="O637" t="s">
        <v>47</v>
      </c>
      <c r="P637" t="s">
        <v>47</v>
      </c>
      <c r="Y637" t="s">
        <v>2409</v>
      </c>
    </row>
    <row r="638" spans="1:25">
      <c r="A638" t="s">
        <v>2410</v>
      </c>
      <c r="B638" t="s">
        <v>2411</v>
      </c>
      <c r="D638" t="s">
        <v>40</v>
      </c>
      <c r="E638" t="s">
        <v>41</v>
      </c>
      <c r="J638" t="s">
        <v>190</v>
      </c>
      <c r="K638" t="s">
        <v>191</v>
      </c>
      <c r="L638">
        <v>7</v>
      </c>
      <c r="M638" t="s">
        <v>2412</v>
      </c>
      <c r="N638" t="s">
        <v>76</v>
      </c>
      <c r="O638" t="s">
        <v>47</v>
      </c>
      <c r="P638" t="s">
        <v>47</v>
      </c>
      <c r="Y638" t="s">
        <v>2413</v>
      </c>
    </row>
    <row r="639" spans="1:25">
      <c r="A639" t="s">
        <v>2414</v>
      </c>
      <c r="B639" t="s">
        <v>2415</v>
      </c>
      <c r="D639" t="s">
        <v>40</v>
      </c>
      <c r="E639" t="s">
        <v>41</v>
      </c>
      <c r="J639" t="s">
        <v>240</v>
      </c>
      <c r="K639" t="s">
        <v>241</v>
      </c>
      <c r="L639">
        <v>7</v>
      </c>
      <c r="M639" t="s">
        <v>2416</v>
      </c>
      <c r="N639" t="s">
        <v>76</v>
      </c>
      <c r="O639" t="s">
        <v>47</v>
      </c>
      <c r="P639" t="s">
        <v>47</v>
      </c>
      <c r="Y639" t="s">
        <v>2417</v>
      </c>
    </row>
    <row r="640" spans="1:25">
      <c r="A640" t="s">
        <v>2418</v>
      </c>
      <c r="B640" t="s">
        <v>2419</v>
      </c>
      <c r="D640" t="s">
        <v>40</v>
      </c>
      <c r="E640" t="s">
        <v>41</v>
      </c>
      <c r="J640" t="s">
        <v>168</v>
      </c>
      <c r="K640" t="s">
        <v>169</v>
      </c>
      <c r="L640">
        <v>7</v>
      </c>
      <c r="M640" t="s">
        <v>2420</v>
      </c>
      <c r="N640" t="s">
        <v>76</v>
      </c>
      <c r="O640" t="s">
        <v>47</v>
      </c>
      <c r="P640" t="s">
        <v>47</v>
      </c>
      <c r="Y640" t="s">
        <v>2421</v>
      </c>
    </row>
    <row r="641" spans="1:25">
      <c r="A641" t="s">
        <v>2422</v>
      </c>
      <c r="B641" t="s">
        <v>2423</v>
      </c>
      <c r="D641" t="s">
        <v>40</v>
      </c>
      <c r="E641" t="s">
        <v>41</v>
      </c>
      <c r="J641" t="s">
        <v>43</v>
      </c>
      <c r="K641" t="s">
        <v>44</v>
      </c>
      <c r="L641">
        <v>7</v>
      </c>
      <c r="M641" t="s">
        <v>2424</v>
      </c>
      <c r="N641" t="s">
        <v>202</v>
      </c>
      <c r="O641" t="s">
        <v>47</v>
      </c>
      <c r="P641" t="s">
        <v>47</v>
      </c>
      <c r="Y641" t="s">
        <v>2425</v>
      </c>
    </row>
    <row r="642" spans="1:25">
      <c r="A642" t="s">
        <v>2426</v>
      </c>
      <c r="B642" t="s">
        <v>2427</v>
      </c>
      <c r="D642" t="s">
        <v>40</v>
      </c>
      <c r="E642" t="s">
        <v>41</v>
      </c>
      <c r="J642" t="s">
        <v>190</v>
      </c>
      <c r="K642" t="s">
        <v>191</v>
      </c>
      <c r="L642">
        <v>7</v>
      </c>
      <c r="M642" t="s">
        <v>2428</v>
      </c>
      <c r="N642" t="s">
        <v>76</v>
      </c>
      <c r="O642" t="s">
        <v>47</v>
      </c>
      <c r="P642" t="s">
        <v>47</v>
      </c>
      <c r="Y642" t="s">
        <v>2429</v>
      </c>
    </row>
    <row r="643" spans="1:25">
      <c r="A643" t="s">
        <v>2430</v>
      </c>
      <c r="B643" t="s">
        <v>2431</v>
      </c>
      <c r="D643" t="s">
        <v>40</v>
      </c>
      <c r="E643" t="s">
        <v>41</v>
      </c>
      <c r="J643" t="s">
        <v>240</v>
      </c>
      <c r="K643" t="s">
        <v>241</v>
      </c>
      <c r="L643">
        <v>7</v>
      </c>
      <c r="M643" t="s">
        <v>2432</v>
      </c>
      <c r="N643" t="s">
        <v>76</v>
      </c>
      <c r="O643" t="s">
        <v>47</v>
      </c>
      <c r="P643" t="s">
        <v>47</v>
      </c>
      <c r="Y643" t="s">
        <v>2433</v>
      </c>
    </row>
    <row r="644" spans="1:25">
      <c r="A644" t="s">
        <v>2434</v>
      </c>
      <c r="B644" t="s">
        <v>2435</v>
      </c>
      <c r="D644" t="s">
        <v>40</v>
      </c>
      <c r="E644" t="s">
        <v>41</v>
      </c>
      <c r="J644" t="s">
        <v>240</v>
      </c>
      <c r="K644" t="s">
        <v>241</v>
      </c>
      <c r="L644">
        <v>7</v>
      </c>
      <c r="M644" t="s">
        <v>2432</v>
      </c>
      <c r="N644" t="s">
        <v>76</v>
      </c>
      <c r="O644" t="s">
        <v>47</v>
      </c>
      <c r="P644" t="s">
        <v>47</v>
      </c>
      <c r="Y644" t="s">
        <v>2436</v>
      </c>
    </row>
    <row r="645" spans="1:25">
      <c r="A645" t="s">
        <v>2437</v>
      </c>
      <c r="B645" t="s">
        <v>2438</v>
      </c>
      <c r="D645" t="s">
        <v>40</v>
      </c>
      <c r="E645" t="s">
        <v>41</v>
      </c>
      <c r="J645" t="s">
        <v>190</v>
      </c>
      <c r="K645" t="s">
        <v>191</v>
      </c>
      <c r="L645">
        <v>7</v>
      </c>
      <c r="M645" t="s">
        <v>2439</v>
      </c>
      <c r="N645" t="s">
        <v>76</v>
      </c>
      <c r="O645" t="s">
        <v>47</v>
      </c>
      <c r="P645" t="s">
        <v>47</v>
      </c>
      <c r="Y645" t="s">
        <v>2440</v>
      </c>
    </row>
    <row r="646" spans="1:25">
      <c r="A646" t="s">
        <v>2441</v>
      </c>
      <c r="B646" t="s">
        <v>2442</v>
      </c>
      <c r="D646" t="s">
        <v>40</v>
      </c>
      <c r="E646" t="s">
        <v>41</v>
      </c>
      <c r="J646" t="s">
        <v>261</v>
      </c>
      <c r="K646" t="s">
        <v>262</v>
      </c>
      <c r="L646">
        <v>7</v>
      </c>
      <c r="M646" t="s">
        <v>2443</v>
      </c>
      <c r="N646" t="s">
        <v>76</v>
      </c>
      <c r="O646" t="s">
        <v>47</v>
      </c>
      <c r="P646" t="s">
        <v>47</v>
      </c>
      <c r="Y646" t="s">
        <v>2444</v>
      </c>
    </row>
    <row r="647" spans="1:25">
      <c r="A647" t="s">
        <v>2445</v>
      </c>
      <c r="B647" t="s">
        <v>2446</v>
      </c>
      <c r="D647" t="s">
        <v>40</v>
      </c>
      <c r="E647" t="s">
        <v>41</v>
      </c>
      <c r="J647" t="s">
        <v>318</v>
      </c>
      <c r="K647" t="s">
        <v>319</v>
      </c>
      <c r="L647">
        <v>7</v>
      </c>
      <c r="M647" t="s">
        <v>2447</v>
      </c>
      <c r="N647" t="s">
        <v>76</v>
      </c>
      <c r="O647" t="s">
        <v>47</v>
      </c>
      <c r="P647" t="s">
        <v>47</v>
      </c>
      <c r="Y647" t="s">
        <v>2448</v>
      </c>
    </row>
    <row r="648" spans="1:25">
      <c r="A648" t="s">
        <v>2449</v>
      </c>
      <c r="B648" t="s">
        <v>2450</v>
      </c>
      <c r="D648" t="s">
        <v>40</v>
      </c>
      <c r="E648" t="s">
        <v>41</v>
      </c>
      <c r="H648" t="s">
        <v>2451</v>
      </c>
      <c r="J648" t="s">
        <v>168</v>
      </c>
      <c r="K648" t="s">
        <v>169</v>
      </c>
      <c r="L648">
        <v>7</v>
      </c>
      <c r="M648" t="s">
        <v>2452</v>
      </c>
      <c r="N648" t="s">
        <v>76</v>
      </c>
      <c r="O648" t="s">
        <v>47</v>
      </c>
      <c r="P648" t="s">
        <v>47</v>
      </c>
      <c r="Y648" t="s">
        <v>2451</v>
      </c>
    </row>
    <row r="649" spans="1:25">
      <c r="A649" t="s">
        <v>2453</v>
      </c>
      <c r="B649" t="s">
        <v>2454</v>
      </c>
      <c r="D649" t="s">
        <v>40</v>
      </c>
      <c r="E649" t="s">
        <v>41</v>
      </c>
      <c r="J649" t="s">
        <v>168</v>
      </c>
      <c r="K649" t="s">
        <v>169</v>
      </c>
      <c r="L649">
        <v>7</v>
      </c>
      <c r="M649" t="s">
        <v>2452</v>
      </c>
      <c r="N649" t="s">
        <v>76</v>
      </c>
      <c r="O649" t="s">
        <v>47</v>
      </c>
      <c r="P649" t="s">
        <v>47</v>
      </c>
      <c r="Y649" t="s">
        <v>2455</v>
      </c>
    </row>
    <row r="650" spans="1:25">
      <c r="A650" t="s">
        <v>2456</v>
      </c>
      <c r="B650" t="s">
        <v>2457</v>
      </c>
      <c r="D650" t="s">
        <v>40</v>
      </c>
      <c r="E650" t="s">
        <v>41</v>
      </c>
      <c r="J650" t="s">
        <v>240</v>
      </c>
      <c r="K650" t="s">
        <v>241</v>
      </c>
      <c r="L650">
        <v>7</v>
      </c>
      <c r="M650" t="s">
        <v>2452</v>
      </c>
      <c r="N650" t="s">
        <v>76</v>
      </c>
      <c r="O650" t="s">
        <v>47</v>
      </c>
      <c r="P650" t="s">
        <v>47</v>
      </c>
      <c r="Y650" t="s">
        <v>2458</v>
      </c>
    </row>
    <row r="651" spans="1:25">
      <c r="A651" t="s">
        <v>2459</v>
      </c>
      <c r="B651" t="s">
        <v>2460</v>
      </c>
      <c r="D651" t="s">
        <v>40</v>
      </c>
      <c r="E651" t="s">
        <v>41</v>
      </c>
      <c r="H651" t="s">
        <v>2461</v>
      </c>
      <c r="J651" t="s">
        <v>190</v>
      </c>
      <c r="K651" t="s">
        <v>191</v>
      </c>
      <c r="L651">
        <v>7</v>
      </c>
      <c r="M651" t="s">
        <v>2462</v>
      </c>
      <c r="N651" t="s">
        <v>76</v>
      </c>
      <c r="O651" t="s">
        <v>47</v>
      </c>
      <c r="P651" t="s">
        <v>47</v>
      </c>
      <c r="Y651" t="s">
        <v>2461</v>
      </c>
    </row>
    <row r="652" spans="1:25">
      <c r="A652" t="s">
        <v>2463</v>
      </c>
      <c r="B652" t="s">
        <v>2464</v>
      </c>
      <c r="D652" t="s">
        <v>40</v>
      </c>
      <c r="E652" t="s">
        <v>41</v>
      </c>
      <c r="J652" t="s">
        <v>240</v>
      </c>
      <c r="K652" t="s">
        <v>241</v>
      </c>
      <c r="L652">
        <v>7</v>
      </c>
      <c r="M652" t="s">
        <v>2465</v>
      </c>
      <c r="N652" t="s">
        <v>76</v>
      </c>
      <c r="O652" t="s">
        <v>47</v>
      </c>
      <c r="P652" t="s">
        <v>47</v>
      </c>
      <c r="Y652" t="s">
        <v>2466</v>
      </c>
    </row>
    <row r="653" spans="1:25">
      <c r="A653" t="s">
        <v>2467</v>
      </c>
      <c r="B653" t="s">
        <v>2468</v>
      </c>
      <c r="D653" t="s">
        <v>40</v>
      </c>
      <c r="E653" t="s">
        <v>41</v>
      </c>
      <c r="J653" t="s">
        <v>240</v>
      </c>
      <c r="K653" t="s">
        <v>241</v>
      </c>
      <c r="L653">
        <v>7</v>
      </c>
      <c r="M653" t="s">
        <v>2469</v>
      </c>
      <c r="N653" t="s">
        <v>76</v>
      </c>
      <c r="O653" t="s">
        <v>47</v>
      </c>
      <c r="P653" t="s">
        <v>47</v>
      </c>
      <c r="Y653" t="s">
        <v>2470</v>
      </c>
    </row>
    <row r="654" spans="1:25">
      <c r="A654" t="s">
        <v>2471</v>
      </c>
      <c r="B654" t="s">
        <v>2472</v>
      </c>
      <c r="D654" t="s">
        <v>40</v>
      </c>
      <c r="E654" t="s">
        <v>41</v>
      </c>
      <c r="H654" t="s">
        <v>2473</v>
      </c>
      <c r="J654" t="s">
        <v>261</v>
      </c>
      <c r="K654" t="s">
        <v>262</v>
      </c>
      <c r="L654">
        <v>7</v>
      </c>
      <c r="M654" t="s">
        <v>2474</v>
      </c>
      <c r="N654" t="s">
        <v>76</v>
      </c>
      <c r="O654" t="s">
        <v>47</v>
      </c>
      <c r="P654" t="s">
        <v>47</v>
      </c>
      <c r="Y654" t="s">
        <v>2473</v>
      </c>
    </row>
    <row r="655" spans="1:25">
      <c r="A655" t="s">
        <v>2475</v>
      </c>
      <c r="B655" t="s">
        <v>2476</v>
      </c>
      <c r="D655" t="s">
        <v>40</v>
      </c>
      <c r="E655" t="s">
        <v>41</v>
      </c>
      <c r="J655" t="s">
        <v>240</v>
      </c>
      <c r="K655" t="s">
        <v>241</v>
      </c>
      <c r="L655">
        <v>7</v>
      </c>
      <c r="M655" t="s">
        <v>2477</v>
      </c>
      <c r="N655" t="s">
        <v>76</v>
      </c>
      <c r="O655" t="s">
        <v>47</v>
      </c>
      <c r="P655" t="s">
        <v>47</v>
      </c>
      <c r="Y655" t="s">
        <v>2478</v>
      </c>
    </row>
    <row r="656" spans="1:25">
      <c r="A656" t="s">
        <v>2479</v>
      </c>
      <c r="B656" t="s">
        <v>2480</v>
      </c>
      <c r="D656" t="s">
        <v>40</v>
      </c>
      <c r="E656" t="s">
        <v>41</v>
      </c>
      <c r="J656" t="s">
        <v>190</v>
      </c>
      <c r="K656" t="s">
        <v>191</v>
      </c>
      <c r="L656">
        <v>7</v>
      </c>
      <c r="M656" t="s">
        <v>2481</v>
      </c>
      <c r="N656" t="s">
        <v>76</v>
      </c>
      <c r="O656" t="s">
        <v>47</v>
      </c>
      <c r="P656" t="s">
        <v>47</v>
      </c>
      <c r="Y656" t="s">
        <v>2482</v>
      </c>
    </row>
    <row r="657" spans="1:25">
      <c r="A657" t="s">
        <v>2483</v>
      </c>
      <c r="B657" t="s">
        <v>2484</v>
      </c>
      <c r="D657" t="s">
        <v>40</v>
      </c>
      <c r="E657" t="s">
        <v>41</v>
      </c>
      <c r="J657" t="s">
        <v>190</v>
      </c>
      <c r="K657" t="s">
        <v>191</v>
      </c>
      <c r="L657">
        <v>7</v>
      </c>
      <c r="M657" t="s">
        <v>2481</v>
      </c>
      <c r="N657" t="s">
        <v>76</v>
      </c>
      <c r="O657" t="s">
        <v>47</v>
      </c>
      <c r="P657" t="s">
        <v>47</v>
      </c>
      <c r="Y657" t="s">
        <v>2485</v>
      </c>
    </row>
    <row r="658" spans="1:25">
      <c r="A658" t="s">
        <v>2486</v>
      </c>
      <c r="B658" t="s">
        <v>2487</v>
      </c>
      <c r="D658" t="s">
        <v>40</v>
      </c>
      <c r="E658" t="s">
        <v>41</v>
      </c>
      <c r="H658" t="s">
        <v>2488</v>
      </c>
      <c r="J658" t="s">
        <v>240</v>
      </c>
      <c r="K658" t="s">
        <v>241</v>
      </c>
      <c r="L658">
        <v>7</v>
      </c>
      <c r="M658" t="s">
        <v>2481</v>
      </c>
      <c r="N658" t="s">
        <v>76</v>
      </c>
      <c r="O658" t="s">
        <v>47</v>
      </c>
      <c r="P658" t="s">
        <v>47</v>
      </c>
      <c r="Y658" t="s">
        <v>2488</v>
      </c>
    </row>
    <row r="659" spans="1:25">
      <c r="A659" t="s">
        <v>2489</v>
      </c>
      <c r="B659" t="s">
        <v>2490</v>
      </c>
      <c r="D659" t="s">
        <v>40</v>
      </c>
      <c r="E659" t="s">
        <v>41</v>
      </c>
      <c r="J659" t="s">
        <v>168</v>
      </c>
      <c r="K659" t="s">
        <v>169</v>
      </c>
      <c r="L659">
        <v>7</v>
      </c>
      <c r="M659" t="s">
        <v>2491</v>
      </c>
      <c r="N659" t="s">
        <v>76</v>
      </c>
      <c r="O659" t="s">
        <v>47</v>
      </c>
      <c r="P659" t="s">
        <v>47</v>
      </c>
      <c r="Y659" t="s">
        <v>2492</v>
      </c>
    </row>
    <row r="660" spans="1:25">
      <c r="A660" t="s">
        <v>2493</v>
      </c>
      <c r="B660" t="s">
        <v>2494</v>
      </c>
      <c r="D660" t="s">
        <v>40</v>
      </c>
      <c r="E660" t="s">
        <v>41</v>
      </c>
      <c r="J660" t="s">
        <v>240</v>
      </c>
      <c r="K660" t="s">
        <v>241</v>
      </c>
      <c r="L660">
        <v>7</v>
      </c>
      <c r="M660" t="s">
        <v>2491</v>
      </c>
      <c r="N660" t="s">
        <v>76</v>
      </c>
      <c r="O660" t="s">
        <v>47</v>
      </c>
      <c r="P660" t="s">
        <v>47</v>
      </c>
      <c r="Y660" t="s">
        <v>2495</v>
      </c>
    </row>
    <row r="661" spans="1:25">
      <c r="A661" t="s">
        <v>2496</v>
      </c>
      <c r="B661" t="s">
        <v>2497</v>
      </c>
      <c r="D661" t="s">
        <v>40</v>
      </c>
      <c r="E661" t="s">
        <v>41</v>
      </c>
      <c r="H661" t="s">
        <v>2498</v>
      </c>
      <c r="J661" t="s">
        <v>73</v>
      </c>
      <c r="K661" t="s">
        <v>74</v>
      </c>
      <c r="L661">
        <v>7</v>
      </c>
      <c r="M661" t="s">
        <v>2499</v>
      </c>
      <c r="N661" t="s">
        <v>76</v>
      </c>
      <c r="O661" t="s">
        <v>47</v>
      </c>
      <c r="P661" t="s">
        <v>47</v>
      </c>
      <c r="Y661" t="s">
        <v>2498</v>
      </c>
    </row>
    <row r="662" spans="1:25">
      <c r="A662" t="s">
        <v>2500</v>
      </c>
      <c r="B662" t="s">
        <v>2501</v>
      </c>
      <c r="D662" t="s">
        <v>40</v>
      </c>
      <c r="E662" t="s">
        <v>41</v>
      </c>
      <c r="J662" t="s">
        <v>240</v>
      </c>
      <c r="K662" t="s">
        <v>241</v>
      </c>
      <c r="L662">
        <v>7</v>
      </c>
      <c r="M662" t="s">
        <v>2502</v>
      </c>
      <c r="N662" t="s">
        <v>76</v>
      </c>
      <c r="O662" t="s">
        <v>47</v>
      </c>
      <c r="P662" t="s">
        <v>47</v>
      </c>
      <c r="Y662" t="s">
        <v>2503</v>
      </c>
    </row>
    <row r="663" spans="1:25">
      <c r="A663" t="s">
        <v>231</v>
      </c>
      <c r="B663" t="s">
        <v>2504</v>
      </c>
      <c r="D663" t="s">
        <v>40</v>
      </c>
      <c r="E663" t="s">
        <v>41</v>
      </c>
      <c r="J663" t="s">
        <v>261</v>
      </c>
      <c r="K663" t="s">
        <v>262</v>
      </c>
      <c r="L663">
        <v>7</v>
      </c>
      <c r="M663" t="s">
        <v>2502</v>
      </c>
      <c r="N663" t="s">
        <v>76</v>
      </c>
      <c r="O663" t="s">
        <v>47</v>
      </c>
      <c r="P663" t="s">
        <v>47</v>
      </c>
      <c r="Y663" t="s">
        <v>2505</v>
      </c>
    </row>
    <row r="664" spans="1:25">
      <c r="A664" t="s">
        <v>2506</v>
      </c>
      <c r="B664" t="s">
        <v>2507</v>
      </c>
      <c r="D664" t="s">
        <v>40</v>
      </c>
      <c r="E664" t="s">
        <v>41</v>
      </c>
      <c r="J664" t="s">
        <v>108</v>
      </c>
      <c r="K664" t="s">
        <v>109</v>
      </c>
      <c r="L664">
        <v>7</v>
      </c>
      <c r="M664" t="s">
        <v>2508</v>
      </c>
      <c r="N664" t="s">
        <v>80</v>
      </c>
      <c r="O664" t="s">
        <v>47</v>
      </c>
      <c r="P664" t="s">
        <v>47</v>
      </c>
      <c r="Y664" t="s">
        <v>2509</v>
      </c>
    </row>
    <row r="665" spans="1:25">
      <c r="A665" t="s">
        <v>2510</v>
      </c>
      <c r="B665" t="s">
        <v>2511</v>
      </c>
      <c r="D665" t="s">
        <v>40</v>
      </c>
      <c r="E665" t="s">
        <v>41</v>
      </c>
      <c r="J665" t="s">
        <v>701</v>
      </c>
      <c r="K665" t="s">
        <v>702</v>
      </c>
      <c r="L665">
        <v>7</v>
      </c>
      <c r="M665" t="s">
        <v>2512</v>
      </c>
      <c r="N665" t="s">
        <v>202</v>
      </c>
      <c r="O665" t="s">
        <v>47</v>
      </c>
      <c r="P665" t="s">
        <v>47</v>
      </c>
      <c r="Y665" t="s">
        <v>2513</v>
      </c>
    </row>
    <row r="666" spans="1:25">
      <c r="A666" t="s">
        <v>2514</v>
      </c>
      <c r="B666" t="s">
        <v>2515</v>
      </c>
      <c r="D666" t="s">
        <v>40</v>
      </c>
      <c r="E666" t="s">
        <v>41</v>
      </c>
      <c r="J666" t="s">
        <v>240</v>
      </c>
      <c r="K666" t="s">
        <v>241</v>
      </c>
      <c r="L666">
        <v>7</v>
      </c>
      <c r="M666" t="s">
        <v>2516</v>
      </c>
      <c r="N666" t="s">
        <v>76</v>
      </c>
      <c r="O666" t="s">
        <v>47</v>
      </c>
      <c r="P666" t="s">
        <v>47</v>
      </c>
      <c r="Y666" t="s">
        <v>2517</v>
      </c>
    </row>
    <row r="667" spans="1:25">
      <c r="A667" t="s">
        <v>2518</v>
      </c>
      <c r="B667" t="s">
        <v>2519</v>
      </c>
      <c r="D667" t="s">
        <v>40</v>
      </c>
      <c r="E667" t="s">
        <v>41</v>
      </c>
      <c r="J667" t="s">
        <v>168</v>
      </c>
      <c r="K667" t="s">
        <v>169</v>
      </c>
      <c r="L667">
        <v>7</v>
      </c>
      <c r="M667" t="s">
        <v>2516</v>
      </c>
      <c r="N667" t="s">
        <v>76</v>
      </c>
      <c r="O667" t="s">
        <v>47</v>
      </c>
      <c r="P667" t="s">
        <v>47</v>
      </c>
      <c r="Y667" t="s">
        <v>2520</v>
      </c>
    </row>
    <row r="668" spans="1:25">
      <c r="A668" t="s">
        <v>2521</v>
      </c>
      <c r="B668" t="s">
        <v>2522</v>
      </c>
      <c r="D668" t="s">
        <v>40</v>
      </c>
      <c r="E668" t="s">
        <v>41</v>
      </c>
      <c r="J668" t="s">
        <v>240</v>
      </c>
      <c r="K668" t="s">
        <v>241</v>
      </c>
      <c r="L668">
        <v>7</v>
      </c>
      <c r="M668" t="s">
        <v>2516</v>
      </c>
      <c r="N668" t="s">
        <v>76</v>
      </c>
      <c r="O668" t="s">
        <v>47</v>
      </c>
      <c r="P668" t="s">
        <v>47</v>
      </c>
      <c r="Y668" t="s">
        <v>2523</v>
      </c>
    </row>
    <row r="669" spans="1:25">
      <c r="A669" t="s">
        <v>2524</v>
      </c>
      <c r="B669" t="s">
        <v>2525</v>
      </c>
      <c r="D669" t="s">
        <v>40</v>
      </c>
      <c r="E669" t="s">
        <v>41</v>
      </c>
      <c r="J669" t="s">
        <v>240</v>
      </c>
      <c r="K669" t="s">
        <v>241</v>
      </c>
      <c r="L669">
        <v>7</v>
      </c>
      <c r="M669" t="s">
        <v>2516</v>
      </c>
      <c r="N669" t="s">
        <v>76</v>
      </c>
      <c r="O669" t="s">
        <v>47</v>
      </c>
      <c r="P669" t="s">
        <v>47</v>
      </c>
      <c r="Y669" t="s">
        <v>2526</v>
      </c>
    </row>
    <row r="670" spans="1:25">
      <c r="A670" t="s">
        <v>2527</v>
      </c>
      <c r="B670" t="s">
        <v>2528</v>
      </c>
      <c r="D670" t="s">
        <v>40</v>
      </c>
      <c r="E670" t="s">
        <v>41</v>
      </c>
      <c r="J670" t="s">
        <v>240</v>
      </c>
      <c r="K670" t="s">
        <v>241</v>
      </c>
      <c r="L670">
        <v>7</v>
      </c>
      <c r="M670" t="s">
        <v>2516</v>
      </c>
      <c r="N670" t="s">
        <v>76</v>
      </c>
      <c r="O670" t="s">
        <v>47</v>
      </c>
      <c r="P670" t="s">
        <v>47</v>
      </c>
      <c r="Y670" t="s">
        <v>2529</v>
      </c>
    </row>
    <row r="671" spans="1:25">
      <c r="A671" t="s">
        <v>2530</v>
      </c>
      <c r="B671" t="s">
        <v>2531</v>
      </c>
      <c r="D671" t="s">
        <v>40</v>
      </c>
      <c r="E671" t="s">
        <v>41</v>
      </c>
      <c r="J671" t="s">
        <v>190</v>
      </c>
      <c r="K671" t="s">
        <v>191</v>
      </c>
      <c r="L671">
        <v>7</v>
      </c>
      <c r="M671" t="s">
        <v>2532</v>
      </c>
      <c r="N671" t="s">
        <v>76</v>
      </c>
      <c r="O671" t="s">
        <v>47</v>
      </c>
      <c r="P671" t="s">
        <v>47</v>
      </c>
      <c r="Y671" t="s">
        <v>2533</v>
      </c>
    </row>
    <row r="672" spans="1:25">
      <c r="A672" t="s">
        <v>2534</v>
      </c>
      <c r="B672" t="s">
        <v>2535</v>
      </c>
      <c r="D672" t="s">
        <v>40</v>
      </c>
      <c r="E672" t="s">
        <v>41</v>
      </c>
      <c r="J672" t="s">
        <v>66</v>
      </c>
      <c r="K672" t="s">
        <v>67</v>
      </c>
      <c r="L672">
        <v>7</v>
      </c>
      <c r="M672" t="s">
        <v>2536</v>
      </c>
      <c r="N672" t="s">
        <v>80</v>
      </c>
      <c r="O672" t="s">
        <v>47</v>
      </c>
      <c r="P672" t="s">
        <v>47</v>
      </c>
      <c r="Y672" t="s">
        <v>2537</v>
      </c>
    </row>
    <row r="673" spans="1:25">
      <c r="A673" t="s">
        <v>2538</v>
      </c>
      <c r="B673" t="s">
        <v>2539</v>
      </c>
      <c r="D673" t="s">
        <v>40</v>
      </c>
      <c r="E673" t="s">
        <v>41</v>
      </c>
      <c r="J673" t="s">
        <v>240</v>
      </c>
      <c r="K673" t="s">
        <v>241</v>
      </c>
      <c r="L673">
        <v>7</v>
      </c>
      <c r="M673" t="s">
        <v>2540</v>
      </c>
      <c r="N673" t="s">
        <v>76</v>
      </c>
      <c r="O673" t="s">
        <v>47</v>
      </c>
      <c r="P673" t="s">
        <v>47</v>
      </c>
      <c r="Y673" t="s">
        <v>2541</v>
      </c>
    </row>
    <row r="674" spans="1:25">
      <c r="A674" t="s">
        <v>2542</v>
      </c>
      <c r="B674" t="s">
        <v>2543</v>
      </c>
      <c r="D674" t="s">
        <v>40</v>
      </c>
      <c r="E674" t="s">
        <v>41</v>
      </c>
      <c r="H674" t="s">
        <v>2544</v>
      </c>
      <c r="J674" t="s">
        <v>190</v>
      </c>
      <c r="K674" t="s">
        <v>191</v>
      </c>
      <c r="L674">
        <v>7</v>
      </c>
      <c r="M674" t="s">
        <v>2545</v>
      </c>
      <c r="N674" t="s">
        <v>76</v>
      </c>
      <c r="O674" t="s">
        <v>47</v>
      </c>
      <c r="P674" t="s">
        <v>47</v>
      </c>
      <c r="Y674" t="s">
        <v>2544</v>
      </c>
    </row>
    <row r="675" spans="1:25">
      <c r="A675" t="s">
        <v>2546</v>
      </c>
      <c r="B675" t="s">
        <v>2547</v>
      </c>
      <c r="D675" t="s">
        <v>40</v>
      </c>
      <c r="E675" t="s">
        <v>41</v>
      </c>
      <c r="J675" t="s">
        <v>43</v>
      </c>
      <c r="K675" t="s">
        <v>44</v>
      </c>
      <c r="L675">
        <v>7</v>
      </c>
      <c r="M675" t="s">
        <v>2545</v>
      </c>
      <c r="N675" t="s">
        <v>202</v>
      </c>
      <c r="O675" t="s">
        <v>47</v>
      </c>
      <c r="P675" t="s">
        <v>47</v>
      </c>
      <c r="Y675" t="s">
        <v>2548</v>
      </c>
    </row>
    <row r="676" spans="1:25">
      <c r="A676" t="s">
        <v>2549</v>
      </c>
      <c r="B676" t="s">
        <v>2550</v>
      </c>
      <c r="D676" t="s">
        <v>40</v>
      </c>
      <c r="E676" t="s">
        <v>41</v>
      </c>
      <c r="H676" t="s">
        <v>2551</v>
      </c>
      <c r="J676" t="s">
        <v>261</v>
      </c>
      <c r="K676" t="s">
        <v>262</v>
      </c>
      <c r="L676">
        <v>7</v>
      </c>
      <c r="M676" t="s">
        <v>2552</v>
      </c>
      <c r="N676" t="s">
        <v>76</v>
      </c>
      <c r="O676" t="s">
        <v>47</v>
      </c>
      <c r="P676" t="s">
        <v>47</v>
      </c>
      <c r="Y676" t="s">
        <v>2551</v>
      </c>
    </row>
    <row r="677" spans="1:25">
      <c r="A677" t="s">
        <v>2553</v>
      </c>
      <c r="B677" t="s">
        <v>2554</v>
      </c>
      <c r="D677" t="s">
        <v>40</v>
      </c>
      <c r="E677" t="s">
        <v>41</v>
      </c>
      <c r="J677" t="s">
        <v>190</v>
      </c>
      <c r="K677" t="s">
        <v>191</v>
      </c>
      <c r="L677">
        <v>7</v>
      </c>
      <c r="M677" t="s">
        <v>2552</v>
      </c>
      <c r="N677" t="s">
        <v>76</v>
      </c>
      <c r="O677" t="s">
        <v>47</v>
      </c>
      <c r="P677" t="s">
        <v>47</v>
      </c>
      <c r="Y677" t="s">
        <v>2555</v>
      </c>
    </row>
    <row r="678" spans="1:25">
      <c r="A678" t="s">
        <v>2556</v>
      </c>
      <c r="B678" t="s">
        <v>2557</v>
      </c>
      <c r="D678" t="s">
        <v>40</v>
      </c>
      <c r="E678" t="s">
        <v>41</v>
      </c>
      <c r="J678" t="s">
        <v>190</v>
      </c>
      <c r="K678" t="s">
        <v>191</v>
      </c>
      <c r="L678">
        <v>7</v>
      </c>
      <c r="M678" t="s">
        <v>2552</v>
      </c>
      <c r="N678" t="s">
        <v>76</v>
      </c>
      <c r="O678" t="s">
        <v>47</v>
      </c>
      <c r="P678" t="s">
        <v>47</v>
      </c>
      <c r="Y678" t="s">
        <v>2558</v>
      </c>
    </row>
    <row r="679" spans="1:25">
      <c r="A679" t="s">
        <v>2559</v>
      </c>
      <c r="B679" t="s">
        <v>2560</v>
      </c>
      <c r="D679" t="s">
        <v>40</v>
      </c>
      <c r="E679" t="s">
        <v>41</v>
      </c>
      <c r="J679" t="s">
        <v>190</v>
      </c>
      <c r="K679" t="s">
        <v>191</v>
      </c>
      <c r="L679">
        <v>7</v>
      </c>
      <c r="M679" t="s">
        <v>2561</v>
      </c>
      <c r="N679" t="s">
        <v>76</v>
      </c>
      <c r="O679" t="s">
        <v>47</v>
      </c>
      <c r="P679" t="s">
        <v>47</v>
      </c>
      <c r="Y679" t="s">
        <v>2562</v>
      </c>
    </row>
    <row r="680" spans="1:25">
      <c r="A680" t="s">
        <v>2563</v>
      </c>
      <c r="B680" t="s">
        <v>2564</v>
      </c>
      <c r="D680" t="s">
        <v>40</v>
      </c>
      <c r="E680" t="s">
        <v>41</v>
      </c>
      <c r="H680" t="s">
        <v>2565</v>
      </c>
      <c r="J680" t="s">
        <v>168</v>
      </c>
      <c r="K680" t="s">
        <v>169</v>
      </c>
      <c r="L680">
        <v>7</v>
      </c>
      <c r="M680" t="s">
        <v>2561</v>
      </c>
      <c r="N680" t="s">
        <v>76</v>
      </c>
      <c r="O680" t="s">
        <v>47</v>
      </c>
      <c r="P680" t="s">
        <v>47</v>
      </c>
      <c r="Y680" t="s">
        <v>2565</v>
      </c>
    </row>
    <row r="681" spans="1:25">
      <c r="A681" t="s">
        <v>2566</v>
      </c>
      <c r="B681" t="s">
        <v>2567</v>
      </c>
      <c r="D681" t="s">
        <v>40</v>
      </c>
      <c r="E681" t="s">
        <v>41</v>
      </c>
      <c r="H681" t="s">
        <v>2568</v>
      </c>
      <c r="J681" t="s">
        <v>240</v>
      </c>
      <c r="K681" t="s">
        <v>241</v>
      </c>
      <c r="L681">
        <v>7</v>
      </c>
      <c r="M681" t="s">
        <v>2569</v>
      </c>
      <c r="N681" t="s">
        <v>76</v>
      </c>
      <c r="O681" t="s">
        <v>47</v>
      </c>
      <c r="P681" t="s">
        <v>47</v>
      </c>
      <c r="Y681" t="s">
        <v>2568</v>
      </c>
    </row>
    <row r="682" spans="1:25">
      <c r="A682" t="s">
        <v>2570</v>
      </c>
      <c r="B682" t="s">
        <v>2571</v>
      </c>
      <c r="D682" t="s">
        <v>40</v>
      </c>
      <c r="E682" t="s">
        <v>41</v>
      </c>
      <c r="J682" t="s">
        <v>240</v>
      </c>
      <c r="K682" t="s">
        <v>241</v>
      </c>
      <c r="L682">
        <v>7</v>
      </c>
      <c r="M682" t="s">
        <v>2572</v>
      </c>
      <c r="N682" t="s">
        <v>76</v>
      </c>
      <c r="O682" t="s">
        <v>47</v>
      </c>
      <c r="P682" t="s">
        <v>47</v>
      </c>
      <c r="Y682" t="s">
        <v>2573</v>
      </c>
    </row>
    <row r="683" spans="1:25">
      <c r="A683" t="s">
        <v>231</v>
      </c>
      <c r="B683" t="s">
        <v>2574</v>
      </c>
      <c r="D683" t="s">
        <v>40</v>
      </c>
      <c r="E683" t="s">
        <v>41</v>
      </c>
      <c r="J683" t="s">
        <v>240</v>
      </c>
      <c r="K683" t="s">
        <v>241</v>
      </c>
      <c r="L683">
        <v>7</v>
      </c>
      <c r="M683" t="s">
        <v>2572</v>
      </c>
      <c r="N683" t="s">
        <v>76</v>
      </c>
      <c r="O683" t="s">
        <v>47</v>
      </c>
      <c r="P683" t="s">
        <v>47</v>
      </c>
      <c r="Y683" t="s">
        <v>2575</v>
      </c>
    </row>
    <row r="684" spans="1:25">
      <c r="A684" t="s">
        <v>2576</v>
      </c>
      <c r="B684" t="s">
        <v>2577</v>
      </c>
      <c r="D684" t="s">
        <v>40</v>
      </c>
      <c r="E684" t="s">
        <v>41</v>
      </c>
      <c r="H684" t="s">
        <v>2578</v>
      </c>
      <c r="J684" t="s">
        <v>73</v>
      </c>
      <c r="K684" t="s">
        <v>74</v>
      </c>
      <c r="L684">
        <v>7</v>
      </c>
      <c r="M684" t="s">
        <v>2579</v>
      </c>
      <c r="N684" t="s">
        <v>76</v>
      </c>
      <c r="O684" t="s">
        <v>47</v>
      </c>
      <c r="P684" t="s">
        <v>47</v>
      </c>
      <c r="Y684" t="s">
        <v>2578</v>
      </c>
    </row>
    <row r="685" spans="1:25">
      <c r="A685" t="s">
        <v>2580</v>
      </c>
      <c r="B685" t="s">
        <v>2581</v>
      </c>
      <c r="D685" t="s">
        <v>40</v>
      </c>
      <c r="E685" t="s">
        <v>41</v>
      </c>
      <c r="H685" t="s">
        <v>2582</v>
      </c>
      <c r="J685" t="s">
        <v>190</v>
      </c>
      <c r="K685" t="s">
        <v>191</v>
      </c>
      <c r="L685">
        <v>7</v>
      </c>
      <c r="M685" t="s">
        <v>2583</v>
      </c>
      <c r="N685" t="s">
        <v>76</v>
      </c>
      <c r="O685" t="s">
        <v>47</v>
      </c>
      <c r="P685" t="s">
        <v>47</v>
      </c>
      <c r="Y685" t="s">
        <v>2582</v>
      </c>
    </row>
    <row r="686" spans="1:25">
      <c r="A686" t="s">
        <v>2584</v>
      </c>
      <c r="B686" t="s">
        <v>2585</v>
      </c>
      <c r="D686" t="s">
        <v>40</v>
      </c>
      <c r="E686" t="s">
        <v>41</v>
      </c>
      <c r="J686" t="s">
        <v>168</v>
      </c>
      <c r="K686" t="s">
        <v>169</v>
      </c>
      <c r="L686">
        <v>7</v>
      </c>
      <c r="M686" t="s">
        <v>2583</v>
      </c>
      <c r="N686" t="s">
        <v>76</v>
      </c>
      <c r="O686" t="s">
        <v>47</v>
      </c>
      <c r="P686" t="s">
        <v>47</v>
      </c>
      <c r="Y686" t="s">
        <v>2586</v>
      </c>
    </row>
    <row r="687" spans="1:25">
      <c r="A687" t="s">
        <v>2587</v>
      </c>
      <c r="B687" t="s">
        <v>2588</v>
      </c>
      <c r="D687" t="s">
        <v>40</v>
      </c>
      <c r="E687" t="s">
        <v>41</v>
      </c>
      <c r="J687" t="s">
        <v>240</v>
      </c>
      <c r="K687" t="s">
        <v>241</v>
      </c>
      <c r="L687">
        <v>7</v>
      </c>
      <c r="M687" t="s">
        <v>2589</v>
      </c>
      <c r="N687" t="s">
        <v>76</v>
      </c>
      <c r="O687" t="s">
        <v>47</v>
      </c>
      <c r="P687" t="s">
        <v>47</v>
      </c>
      <c r="Y687" t="s">
        <v>2590</v>
      </c>
    </row>
    <row r="688" spans="1:25">
      <c r="A688" t="s">
        <v>2591</v>
      </c>
      <c r="B688" t="s">
        <v>2592</v>
      </c>
      <c r="D688" t="s">
        <v>40</v>
      </c>
      <c r="E688" t="s">
        <v>41</v>
      </c>
      <c r="J688" t="s">
        <v>240</v>
      </c>
      <c r="K688" t="s">
        <v>241</v>
      </c>
      <c r="L688">
        <v>7</v>
      </c>
      <c r="M688" t="s">
        <v>2593</v>
      </c>
      <c r="N688" t="s">
        <v>76</v>
      </c>
      <c r="O688" t="s">
        <v>47</v>
      </c>
      <c r="P688" t="s">
        <v>47</v>
      </c>
      <c r="Y688" t="s">
        <v>2594</v>
      </c>
    </row>
    <row r="689" spans="1:25">
      <c r="A689" t="s">
        <v>2595</v>
      </c>
      <c r="B689" t="s">
        <v>2596</v>
      </c>
      <c r="D689" t="s">
        <v>40</v>
      </c>
      <c r="E689" t="s">
        <v>41</v>
      </c>
      <c r="J689" t="s">
        <v>240</v>
      </c>
      <c r="K689" t="s">
        <v>241</v>
      </c>
      <c r="L689">
        <v>7</v>
      </c>
      <c r="M689" t="s">
        <v>2593</v>
      </c>
      <c r="N689" t="s">
        <v>76</v>
      </c>
      <c r="O689" t="s">
        <v>47</v>
      </c>
      <c r="P689" t="s">
        <v>47</v>
      </c>
      <c r="Y689" t="s">
        <v>2597</v>
      </c>
    </row>
    <row r="690" spans="1:25">
      <c r="A690" t="s">
        <v>2598</v>
      </c>
      <c r="B690" t="s">
        <v>2599</v>
      </c>
      <c r="D690" t="s">
        <v>40</v>
      </c>
      <c r="E690" t="s">
        <v>41</v>
      </c>
      <c r="J690" t="s">
        <v>240</v>
      </c>
      <c r="K690" t="s">
        <v>241</v>
      </c>
      <c r="L690">
        <v>7</v>
      </c>
      <c r="M690" t="s">
        <v>2593</v>
      </c>
      <c r="N690" t="s">
        <v>76</v>
      </c>
      <c r="O690" t="s">
        <v>47</v>
      </c>
      <c r="P690" t="s">
        <v>47</v>
      </c>
      <c r="Y690" t="s">
        <v>2600</v>
      </c>
    </row>
    <row r="691" spans="1:25">
      <c r="A691" t="s">
        <v>231</v>
      </c>
      <c r="B691" t="s">
        <v>2601</v>
      </c>
      <c r="D691" t="s">
        <v>40</v>
      </c>
      <c r="E691" t="s">
        <v>41</v>
      </c>
      <c r="J691" t="s">
        <v>108</v>
      </c>
      <c r="K691" t="s">
        <v>109</v>
      </c>
      <c r="L691">
        <v>7</v>
      </c>
      <c r="M691" t="s">
        <v>2593</v>
      </c>
      <c r="N691" t="s">
        <v>202</v>
      </c>
      <c r="O691" t="s">
        <v>47</v>
      </c>
      <c r="P691" t="s">
        <v>47</v>
      </c>
      <c r="Y691" t="s">
        <v>2602</v>
      </c>
    </row>
    <row r="692" spans="1:25">
      <c r="A692" t="s">
        <v>2603</v>
      </c>
      <c r="B692" t="s">
        <v>2604</v>
      </c>
      <c r="D692" t="s">
        <v>40</v>
      </c>
      <c r="E692" t="s">
        <v>41</v>
      </c>
      <c r="H692" t="s">
        <v>2605</v>
      </c>
      <c r="J692" t="s">
        <v>168</v>
      </c>
      <c r="K692" t="s">
        <v>169</v>
      </c>
      <c r="L692">
        <v>7</v>
      </c>
      <c r="M692" t="s">
        <v>2606</v>
      </c>
      <c r="N692" t="s">
        <v>76</v>
      </c>
      <c r="O692" t="s">
        <v>47</v>
      </c>
      <c r="P692" t="s">
        <v>47</v>
      </c>
      <c r="Y692" t="s">
        <v>2605</v>
      </c>
    </row>
    <row r="693" spans="1:25">
      <c r="A693" t="s">
        <v>2607</v>
      </c>
      <c r="B693" t="s">
        <v>2608</v>
      </c>
      <c r="D693" t="s">
        <v>40</v>
      </c>
      <c r="E693" t="s">
        <v>41</v>
      </c>
      <c r="J693" t="s">
        <v>168</v>
      </c>
      <c r="K693" t="s">
        <v>169</v>
      </c>
      <c r="L693">
        <v>7</v>
      </c>
      <c r="M693" t="s">
        <v>2609</v>
      </c>
      <c r="N693" t="s">
        <v>76</v>
      </c>
      <c r="O693" t="s">
        <v>47</v>
      </c>
      <c r="P693" t="s">
        <v>47</v>
      </c>
      <c r="Y693" t="s">
        <v>2610</v>
      </c>
    </row>
    <row r="694" spans="1:25">
      <c r="A694" t="s">
        <v>2611</v>
      </c>
      <c r="B694" t="s">
        <v>2612</v>
      </c>
      <c r="D694" t="s">
        <v>40</v>
      </c>
      <c r="E694" t="s">
        <v>41</v>
      </c>
      <c r="J694" t="s">
        <v>240</v>
      </c>
      <c r="K694" t="s">
        <v>241</v>
      </c>
      <c r="L694">
        <v>7</v>
      </c>
      <c r="M694" t="s">
        <v>2613</v>
      </c>
      <c r="N694" t="s">
        <v>76</v>
      </c>
      <c r="O694" t="s">
        <v>47</v>
      </c>
      <c r="P694" t="s">
        <v>47</v>
      </c>
      <c r="Y694" t="s">
        <v>2614</v>
      </c>
    </row>
    <row r="695" spans="1:25">
      <c r="A695" t="s">
        <v>2615</v>
      </c>
      <c r="B695" t="s">
        <v>2616</v>
      </c>
      <c r="D695" t="s">
        <v>40</v>
      </c>
      <c r="E695" t="s">
        <v>41</v>
      </c>
      <c r="J695" t="s">
        <v>168</v>
      </c>
      <c r="K695" t="s">
        <v>169</v>
      </c>
      <c r="L695">
        <v>7</v>
      </c>
      <c r="M695" t="s">
        <v>2617</v>
      </c>
      <c r="N695" t="s">
        <v>76</v>
      </c>
      <c r="O695" t="s">
        <v>47</v>
      </c>
      <c r="P695" t="s">
        <v>47</v>
      </c>
      <c r="Y695" t="s">
        <v>2618</v>
      </c>
    </row>
    <row r="696" spans="1:25">
      <c r="A696" t="s">
        <v>2619</v>
      </c>
      <c r="B696" t="s">
        <v>2620</v>
      </c>
      <c r="D696" t="s">
        <v>40</v>
      </c>
      <c r="E696" t="s">
        <v>41</v>
      </c>
      <c r="H696" t="s">
        <v>2621</v>
      </c>
      <c r="J696" t="s">
        <v>168</v>
      </c>
      <c r="K696" t="s">
        <v>169</v>
      </c>
      <c r="L696">
        <v>7</v>
      </c>
      <c r="M696" t="s">
        <v>2617</v>
      </c>
      <c r="N696" t="s">
        <v>76</v>
      </c>
      <c r="O696" t="s">
        <v>47</v>
      </c>
      <c r="P696" t="s">
        <v>47</v>
      </c>
      <c r="Y696" t="s">
        <v>2621</v>
      </c>
    </row>
    <row r="697" spans="1:25">
      <c r="A697" t="s">
        <v>2622</v>
      </c>
      <c r="B697" t="s">
        <v>2623</v>
      </c>
      <c r="D697" t="s">
        <v>40</v>
      </c>
      <c r="E697" t="s">
        <v>41</v>
      </c>
      <c r="J697" t="s">
        <v>240</v>
      </c>
      <c r="K697" t="s">
        <v>241</v>
      </c>
      <c r="L697">
        <v>7</v>
      </c>
      <c r="M697" t="s">
        <v>2624</v>
      </c>
      <c r="N697" t="s">
        <v>76</v>
      </c>
      <c r="O697" t="s">
        <v>47</v>
      </c>
      <c r="P697" t="s">
        <v>47</v>
      </c>
      <c r="Y697" t="s">
        <v>2625</v>
      </c>
    </row>
    <row r="698" spans="1:25">
      <c r="A698" t="s">
        <v>2626</v>
      </c>
      <c r="B698" t="s">
        <v>2627</v>
      </c>
      <c r="D698" t="s">
        <v>40</v>
      </c>
      <c r="E698" t="s">
        <v>41</v>
      </c>
      <c r="J698" t="s">
        <v>240</v>
      </c>
      <c r="K698" t="s">
        <v>241</v>
      </c>
      <c r="L698">
        <v>7</v>
      </c>
      <c r="M698" t="s">
        <v>2628</v>
      </c>
      <c r="N698" t="s">
        <v>76</v>
      </c>
      <c r="O698" t="s">
        <v>47</v>
      </c>
      <c r="P698" t="s">
        <v>47</v>
      </c>
      <c r="Y698" t="s">
        <v>2629</v>
      </c>
    </row>
    <row r="699" spans="1:25">
      <c r="A699" t="s">
        <v>2630</v>
      </c>
      <c r="B699" t="s">
        <v>2631</v>
      </c>
      <c r="D699" t="s">
        <v>40</v>
      </c>
      <c r="E699" t="s">
        <v>41</v>
      </c>
      <c r="J699" t="s">
        <v>108</v>
      </c>
      <c r="K699" t="s">
        <v>109</v>
      </c>
      <c r="L699">
        <v>7</v>
      </c>
      <c r="M699" t="s">
        <v>2628</v>
      </c>
      <c r="N699" t="s">
        <v>202</v>
      </c>
      <c r="O699" t="s">
        <v>47</v>
      </c>
      <c r="P699" t="s">
        <v>47</v>
      </c>
      <c r="Y699" t="s">
        <v>2632</v>
      </c>
    </row>
    <row r="700" spans="1:25">
      <c r="A700" t="s">
        <v>2633</v>
      </c>
      <c r="B700" t="s">
        <v>2634</v>
      </c>
      <c r="D700" t="s">
        <v>40</v>
      </c>
      <c r="E700" t="s">
        <v>41</v>
      </c>
      <c r="J700" t="s">
        <v>240</v>
      </c>
      <c r="K700" t="s">
        <v>241</v>
      </c>
      <c r="L700">
        <v>7</v>
      </c>
      <c r="M700" t="s">
        <v>2628</v>
      </c>
      <c r="N700" t="s">
        <v>76</v>
      </c>
      <c r="O700" t="s">
        <v>47</v>
      </c>
      <c r="P700" t="s">
        <v>47</v>
      </c>
      <c r="Y700" t="s">
        <v>2635</v>
      </c>
    </row>
    <row r="701" spans="1:25">
      <c r="A701" t="s">
        <v>2636</v>
      </c>
      <c r="B701" t="s">
        <v>2637</v>
      </c>
      <c r="D701" t="s">
        <v>40</v>
      </c>
      <c r="E701" t="s">
        <v>41</v>
      </c>
      <c r="J701" t="s">
        <v>190</v>
      </c>
      <c r="K701" t="s">
        <v>191</v>
      </c>
      <c r="L701">
        <v>7</v>
      </c>
      <c r="M701" t="s">
        <v>2638</v>
      </c>
      <c r="N701" t="s">
        <v>76</v>
      </c>
      <c r="O701" t="s">
        <v>47</v>
      </c>
      <c r="P701" t="s">
        <v>47</v>
      </c>
      <c r="Y701" t="s">
        <v>2639</v>
      </c>
    </row>
    <row r="702" spans="1:25">
      <c r="A702" t="s">
        <v>2640</v>
      </c>
      <c r="B702" t="s">
        <v>2641</v>
      </c>
      <c r="D702" t="s">
        <v>40</v>
      </c>
      <c r="E702" t="s">
        <v>41</v>
      </c>
      <c r="J702" t="s">
        <v>240</v>
      </c>
      <c r="K702" t="s">
        <v>241</v>
      </c>
      <c r="L702">
        <v>7</v>
      </c>
      <c r="M702" t="s">
        <v>2642</v>
      </c>
      <c r="N702" t="s">
        <v>76</v>
      </c>
      <c r="O702" t="s">
        <v>47</v>
      </c>
      <c r="P702" t="s">
        <v>47</v>
      </c>
      <c r="Y702" t="s">
        <v>2643</v>
      </c>
    </row>
    <row r="703" spans="1:25">
      <c r="A703" t="s">
        <v>2644</v>
      </c>
      <c r="B703" t="s">
        <v>2645</v>
      </c>
      <c r="D703" t="s">
        <v>40</v>
      </c>
      <c r="E703" t="s">
        <v>41</v>
      </c>
      <c r="J703" t="s">
        <v>240</v>
      </c>
      <c r="K703" t="s">
        <v>241</v>
      </c>
      <c r="L703">
        <v>7</v>
      </c>
      <c r="M703" t="s">
        <v>2646</v>
      </c>
      <c r="N703" t="s">
        <v>76</v>
      </c>
      <c r="O703" t="s">
        <v>47</v>
      </c>
      <c r="P703" t="s">
        <v>47</v>
      </c>
      <c r="Y703" t="s">
        <v>2647</v>
      </c>
    </row>
    <row r="704" spans="1:25">
      <c r="A704" t="s">
        <v>231</v>
      </c>
      <c r="B704" t="s">
        <v>2648</v>
      </c>
      <c r="D704" t="s">
        <v>40</v>
      </c>
      <c r="E704" t="s">
        <v>41</v>
      </c>
      <c r="H704" t="s">
        <v>2649</v>
      </c>
      <c r="J704" t="s">
        <v>190</v>
      </c>
      <c r="K704" t="s">
        <v>191</v>
      </c>
      <c r="L704">
        <v>7</v>
      </c>
      <c r="M704" t="s">
        <v>2650</v>
      </c>
      <c r="N704" t="s">
        <v>76</v>
      </c>
      <c r="O704" t="s">
        <v>47</v>
      </c>
      <c r="P704" t="s">
        <v>47</v>
      </c>
      <c r="Y704" t="s">
        <v>2649</v>
      </c>
    </row>
    <row r="705" spans="1:25">
      <c r="A705" t="s">
        <v>2651</v>
      </c>
      <c r="B705" t="s">
        <v>2652</v>
      </c>
      <c r="D705" t="s">
        <v>40</v>
      </c>
      <c r="E705" t="s">
        <v>41</v>
      </c>
      <c r="J705" t="s">
        <v>43</v>
      </c>
      <c r="K705" t="s">
        <v>44</v>
      </c>
      <c r="L705">
        <v>7</v>
      </c>
      <c r="M705" t="s">
        <v>2650</v>
      </c>
      <c r="N705" t="s">
        <v>46</v>
      </c>
      <c r="O705" t="s">
        <v>47</v>
      </c>
      <c r="P705" t="s">
        <v>47</v>
      </c>
      <c r="Y705" t="s">
        <v>2653</v>
      </c>
    </row>
    <row r="706" spans="1:25">
      <c r="A706" t="s">
        <v>2654</v>
      </c>
      <c r="B706" t="s">
        <v>2655</v>
      </c>
      <c r="D706" t="s">
        <v>40</v>
      </c>
      <c r="E706" t="s">
        <v>41</v>
      </c>
      <c r="J706" t="s">
        <v>240</v>
      </c>
      <c r="K706" t="s">
        <v>241</v>
      </c>
      <c r="L706">
        <v>7</v>
      </c>
      <c r="M706" t="s">
        <v>2656</v>
      </c>
      <c r="N706" t="s">
        <v>76</v>
      </c>
      <c r="O706" t="s">
        <v>47</v>
      </c>
      <c r="P706" t="s">
        <v>47</v>
      </c>
      <c r="Y706" t="s">
        <v>2657</v>
      </c>
    </row>
    <row r="707" spans="1:25">
      <c r="A707" t="s">
        <v>2658</v>
      </c>
      <c r="B707" t="s">
        <v>2659</v>
      </c>
      <c r="D707" t="s">
        <v>40</v>
      </c>
      <c r="E707" t="s">
        <v>41</v>
      </c>
      <c r="J707" t="s">
        <v>190</v>
      </c>
      <c r="K707" t="s">
        <v>191</v>
      </c>
      <c r="L707">
        <v>7</v>
      </c>
      <c r="M707" t="s">
        <v>2660</v>
      </c>
      <c r="N707" t="s">
        <v>76</v>
      </c>
      <c r="O707" t="s">
        <v>47</v>
      </c>
      <c r="P707" t="s">
        <v>47</v>
      </c>
      <c r="Y707" t="s">
        <v>2661</v>
      </c>
    </row>
    <row r="708" spans="1:25">
      <c r="A708" t="s">
        <v>2662</v>
      </c>
      <c r="B708" t="s">
        <v>2663</v>
      </c>
      <c r="D708" t="s">
        <v>40</v>
      </c>
      <c r="E708" t="s">
        <v>41</v>
      </c>
      <c r="J708" t="s">
        <v>240</v>
      </c>
      <c r="K708" t="s">
        <v>241</v>
      </c>
      <c r="L708">
        <v>7</v>
      </c>
      <c r="M708" t="s">
        <v>2664</v>
      </c>
      <c r="N708" t="s">
        <v>76</v>
      </c>
      <c r="O708" t="s">
        <v>47</v>
      </c>
      <c r="P708" t="s">
        <v>47</v>
      </c>
      <c r="Y708" t="s">
        <v>2665</v>
      </c>
    </row>
    <row r="709" spans="1:25">
      <c r="A709" t="s">
        <v>2666</v>
      </c>
      <c r="B709" t="s">
        <v>2667</v>
      </c>
      <c r="D709" t="s">
        <v>40</v>
      </c>
      <c r="E709" t="s">
        <v>41</v>
      </c>
      <c r="J709" t="s">
        <v>43</v>
      </c>
      <c r="K709" t="s">
        <v>44</v>
      </c>
      <c r="L709">
        <v>7</v>
      </c>
      <c r="M709" t="s">
        <v>2668</v>
      </c>
      <c r="N709" t="s">
        <v>46</v>
      </c>
      <c r="O709" t="s">
        <v>47</v>
      </c>
      <c r="P709" t="s">
        <v>47</v>
      </c>
      <c r="Y709" t="s">
        <v>2669</v>
      </c>
    </row>
    <row r="710" spans="1:25">
      <c r="A710" t="s">
        <v>2670</v>
      </c>
      <c r="B710" t="s">
        <v>2671</v>
      </c>
      <c r="D710" t="s">
        <v>40</v>
      </c>
      <c r="E710" t="s">
        <v>41</v>
      </c>
      <c r="J710" t="s">
        <v>240</v>
      </c>
      <c r="K710" t="s">
        <v>241</v>
      </c>
      <c r="L710">
        <v>7</v>
      </c>
      <c r="M710" t="s">
        <v>2672</v>
      </c>
      <c r="N710" t="s">
        <v>76</v>
      </c>
      <c r="O710" t="s">
        <v>47</v>
      </c>
      <c r="P710" t="s">
        <v>47</v>
      </c>
      <c r="Y710" t="s">
        <v>2673</v>
      </c>
    </row>
    <row r="711" spans="1:25">
      <c r="A711" t="s">
        <v>2674</v>
      </c>
      <c r="B711" t="s">
        <v>2675</v>
      </c>
      <c r="D711" t="s">
        <v>40</v>
      </c>
      <c r="E711" t="s">
        <v>41</v>
      </c>
      <c r="J711" t="s">
        <v>1653</v>
      </c>
      <c r="K711" t="s">
        <v>1654</v>
      </c>
      <c r="L711">
        <v>7</v>
      </c>
      <c r="M711" t="s">
        <v>2676</v>
      </c>
      <c r="N711" t="s">
        <v>76</v>
      </c>
      <c r="O711" t="s">
        <v>47</v>
      </c>
      <c r="P711" t="s">
        <v>47</v>
      </c>
      <c r="Y711" t="s">
        <v>2677</v>
      </c>
    </row>
    <row r="712" spans="1:25">
      <c r="A712" t="s">
        <v>2678</v>
      </c>
      <c r="B712" t="s">
        <v>2679</v>
      </c>
      <c r="D712" t="s">
        <v>40</v>
      </c>
      <c r="E712" t="s">
        <v>41</v>
      </c>
      <c r="J712" t="s">
        <v>240</v>
      </c>
      <c r="K712" t="s">
        <v>241</v>
      </c>
      <c r="L712">
        <v>7</v>
      </c>
      <c r="M712" t="s">
        <v>2680</v>
      </c>
      <c r="N712" t="s">
        <v>76</v>
      </c>
      <c r="O712" t="s">
        <v>47</v>
      </c>
      <c r="P712" t="s">
        <v>47</v>
      </c>
      <c r="Y712" t="s">
        <v>2681</v>
      </c>
    </row>
    <row r="713" spans="1:25">
      <c r="A713" t="s">
        <v>2682</v>
      </c>
      <c r="B713" t="s">
        <v>2683</v>
      </c>
      <c r="D713" t="s">
        <v>40</v>
      </c>
      <c r="E713" t="s">
        <v>41</v>
      </c>
      <c r="J713" t="s">
        <v>190</v>
      </c>
      <c r="K713" t="s">
        <v>191</v>
      </c>
      <c r="L713">
        <v>7</v>
      </c>
      <c r="M713" t="s">
        <v>2684</v>
      </c>
      <c r="N713" t="s">
        <v>76</v>
      </c>
      <c r="O713" t="s">
        <v>47</v>
      </c>
      <c r="P713" t="s">
        <v>47</v>
      </c>
      <c r="Y713" t="s">
        <v>2685</v>
      </c>
    </row>
    <row r="714" spans="1:25">
      <c r="A714" t="s">
        <v>2686</v>
      </c>
      <c r="B714" t="s">
        <v>2687</v>
      </c>
      <c r="D714" t="s">
        <v>40</v>
      </c>
      <c r="E714" t="s">
        <v>41</v>
      </c>
      <c r="J714" t="s">
        <v>240</v>
      </c>
      <c r="K714" t="s">
        <v>241</v>
      </c>
      <c r="L714">
        <v>7</v>
      </c>
      <c r="M714" t="s">
        <v>2688</v>
      </c>
      <c r="N714" t="s">
        <v>76</v>
      </c>
      <c r="O714" t="s">
        <v>47</v>
      </c>
      <c r="P714" t="s">
        <v>47</v>
      </c>
      <c r="Y714" t="s">
        <v>2689</v>
      </c>
    </row>
    <row r="715" spans="1:25">
      <c r="A715" t="s">
        <v>2690</v>
      </c>
      <c r="B715" t="s">
        <v>2691</v>
      </c>
      <c r="D715" t="s">
        <v>40</v>
      </c>
      <c r="E715" t="s">
        <v>41</v>
      </c>
      <c r="H715" t="s">
        <v>2692</v>
      </c>
      <c r="J715" t="s">
        <v>51</v>
      </c>
      <c r="K715" t="s">
        <v>52</v>
      </c>
      <c r="L715">
        <v>7</v>
      </c>
      <c r="M715" t="s">
        <v>2688</v>
      </c>
      <c r="N715" t="s">
        <v>103</v>
      </c>
      <c r="O715" t="s">
        <v>47</v>
      </c>
      <c r="P715" t="s">
        <v>47</v>
      </c>
      <c r="Y715" t="s">
        <v>2692</v>
      </c>
    </row>
    <row r="716" spans="1:25">
      <c r="A716" t="s">
        <v>2693</v>
      </c>
      <c r="B716" t="s">
        <v>2694</v>
      </c>
      <c r="D716" t="s">
        <v>40</v>
      </c>
      <c r="E716" t="s">
        <v>41</v>
      </c>
      <c r="H716" t="s">
        <v>2695</v>
      </c>
      <c r="J716" t="s">
        <v>240</v>
      </c>
      <c r="K716" t="s">
        <v>241</v>
      </c>
      <c r="L716">
        <v>7</v>
      </c>
      <c r="M716" t="s">
        <v>2696</v>
      </c>
      <c r="N716" t="s">
        <v>76</v>
      </c>
      <c r="O716" t="s">
        <v>47</v>
      </c>
      <c r="P716" t="s">
        <v>47</v>
      </c>
      <c r="Y716" t="s">
        <v>2695</v>
      </c>
    </row>
    <row r="717" spans="1:25">
      <c r="A717" t="s">
        <v>2697</v>
      </c>
      <c r="B717" t="s">
        <v>2698</v>
      </c>
      <c r="D717" t="s">
        <v>40</v>
      </c>
      <c r="E717" t="s">
        <v>41</v>
      </c>
      <c r="J717" t="s">
        <v>240</v>
      </c>
      <c r="K717" t="s">
        <v>241</v>
      </c>
      <c r="L717">
        <v>7</v>
      </c>
      <c r="M717" t="s">
        <v>2699</v>
      </c>
      <c r="N717" t="s">
        <v>76</v>
      </c>
      <c r="O717" t="s">
        <v>47</v>
      </c>
      <c r="P717" t="s">
        <v>47</v>
      </c>
      <c r="Y717" t="s">
        <v>2700</v>
      </c>
    </row>
    <row r="718" spans="1:25">
      <c r="A718" t="s">
        <v>2701</v>
      </c>
      <c r="B718" t="s">
        <v>2702</v>
      </c>
      <c r="D718" t="s">
        <v>40</v>
      </c>
      <c r="E718" t="s">
        <v>41</v>
      </c>
      <c r="J718" t="s">
        <v>240</v>
      </c>
      <c r="K718" t="s">
        <v>241</v>
      </c>
      <c r="L718">
        <v>7</v>
      </c>
      <c r="M718" t="s">
        <v>2699</v>
      </c>
      <c r="N718" t="s">
        <v>76</v>
      </c>
      <c r="O718" t="s">
        <v>47</v>
      </c>
      <c r="P718" t="s">
        <v>47</v>
      </c>
      <c r="Y718" t="s">
        <v>2703</v>
      </c>
    </row>
    <row r="719" spans="1:25">
      <c r="A719" t="s">
        <v>2704</v>
      </c>
      <c r="B719" t="s">
        <v>2705</v>
      </c>
      <c r="D719" t="s">
        <v>40</v>
      </c>
      <c r="E719" t="s">
        <v>41</v>
      </c>
      <c r="H719" t="s">
        <v>2706</v>
      </c>
      <c r="J719" t="s">
        <v>701</v>
      </c>
      <c r="K719" t="s">
        <v>702</v>
      </c>
      <c r="L719">
        <v>7</v>
      </c>
      <c r="M719" t="s">
        <v>2699</v>
      </c>
      <c r="N719" t="s">
        <v>202</v>
      </c>
      <c r="O719" t="s">
        <v>47</v>
      </c>
      <c r="P719" t="s">
        <v>47</v>
      </c>
      <c r="Y719" t="s">
        <v>2706</v>
      </c>
    </row>
    <row r="720" spans="1:25">
      <c r="A720" t="s">
        <v>2707</v>
      </c>
      <c r="B720" t="s">
        <v>2708</v>
      </c>
      <c r="D720" t="s">
        <v>40</v>
      </c>
      <c r="E720" t="s">
        <v>41</v>
      </c>
      <c r="J720" t="s">
        <v>240</v>
      </c>
      <c r="K720" t="s">
        <v>241</v>
      </c>
      <c r="L720">
        <v>7</v>
      </c>
      <c r="M720" t="s">
        <v>2709</v>
      </c>
      <c r="N720" t="s">
        <v>76</v>
      </c>
      <c r="O720" t="s">
        <v>47</v>
      </c>
      <c r="P720" t="s">
        <v>47</v>
      </c>
      <c r="Y720" t="s">
        <v>2710</v>
      </c>
    </row>
    <row r="721" spans="1:25">
      <c r="A721" t="s">
        <v>2711</v>
      </c>
      <c r="B721" t="s">
        <v>2712</v>
      </c>
      <c r="D721" t="s">
        <v>40</v>
      </c>
      <c r="E721" t="s">
        <v>41</v>
      </c>
      <c r="J721" t="s">
        <v>190</v>
      </c>
      <c r="K721" t="s">
        <v>191</v>
      </c>
      <c r="L721">
        <v>7</v>
      </c>
      <c r="M721" t="s">
        <v>2713</v>
      </c>
      <c r="N721" t="s">
        <v>76</v>
      </c>
      <c r="O721" t="s">
        <v>47</v>
      </c>
      <c r="P721" t="s">
        <v>47</v>
      </c>
      <c r="Y721" t="s">
        <v>2714</v>
      </c>
    </row>
    <row r="722" spans="1:25">
      <c r="A722" t="s">
        <v>2715</v>
      </c>
      <c r="B722" t="s">
        <v>2716</v>
      </c>
      <c r="D722" t="s">
        <v>40</v>
      </c>
      <c r="E722" t="s">
        <v>41</v>
      </c>
      <c r="J722" t="s">
        <v>190</v>
      </c>
      <c r="K722" t="s">
        <v>191</v>
      </c>
      <c r="L722">
        <v>7</v>
      </c>
      <c r="M722" t="s">
        <v>2713</v>
      </c>
      <c r="N722" t="s">
        <v>76</v>
      </c>
      <c r="O722" t="s">
        <v>47</v>
      </c>
      <c r="P722" t="s">
        <v>47</v>
      </c>
      <c r="Y722" t="s">
        <v>2717</v>
      </c>
    </row>
    <row r="723" spans="1:25">
      <c r="A723" t="s">
        <v>2718</v>
      </c>
      <c r="B723" t="s">
        <v>2719</v>
      </c>
      <c r="D723" t="s">
        <v>40</v>
      </c>
      <c r="E723" t="s">
        <v>41</v>
      </c>
      <c r="J723" t="s">
        <v>240</v>
      </c>
      <c r="K723" t="s">
        <v>241</v>
      </c>
      <c r="L723">
        <v>7</v>
      </c>
      <c r="M723" t="s">
        <v>2720</v>
      </c>
      <c r="N723" t="s">
        <v>76</v>
      </c>
      <c r="O723" t="s">
        <v>47</v>
      </c>
      <c r="P723" t="s">
        <v>47</v>
      </c>
      <c r="Y723" t="s">
        <v>2721</v>
      </c>
    </row>
    <row r="724" spans="1:25">
      <c r="A724" t="s">
        <v>2722</v>
      </c>
      <c r="B724" t="s">
        <v>2723</v>
      </c>
      <c r="D724" t="s">
        <v>40</v>
      </c>
      <c r="E724" t="s">
        <v>41</v>
      </c>
      <c r="J724" t="s">
        <v>318</v>
      </c>
      <c r="K724" t="s">
        <v>319</v>
      </c>
      <c r="L724">
        <v>7</v>
      </c>
      <c r="M724" t="s">
        <v>2720</v>
      </c>
      <c r="N724" t="s">
        <v>76</v>
      </c>
      <c r="O724" t="s">
        <v>47</v>
      </c>
      <c r="P724" t="s">
        <v>47</v>
      </c>
      <c r="Y724" t="s">
        <v>2724</v>
      </c>
    </row>
    <row r="725" spans="1:25">
      <c r="A725" t="s">
        <v>2725</v>
      </c>
      <c r="B725" t="s">
        <v>2726</v>
      </c>
      <c r="D725" t="s">
        <v>40</v>
      </c>
      <c r="E725" t="s">
        <v>41</v>
      </c>
      <c r="J725" t="s">
        <v>168</v>
      </c>
      <c r="K725" t="s">
        <v>169</v>
      </c>
      <c r="L725">
        <v>7</v>
      </c>
      <c r="M725" t="s">
        <v>2727</v>
      </c>
      <c r="N725" t="s">
        <v>76</v>
      </c>
      <c r="O725" t="s">
        <v>47</v>
      </c>
      <c r="P725" t="s">
        <v>47</v>
      </c>
      <c r="Y725" t="s">
        <v>2728</v>
      </c>
    </row>
    <row r="726" spans="1:25">
      <c r="A726" t="s">
        <v>2729</v>
      </c>
      <c r="B726" t="s">
        <v>2730</v>
      </c>
      <c r="D726" t="s">
        <v>40</v>
      </c>
      <c r="E726" t="s">
        <v>41</v>
      </c>
      <c r="J726" t="s">
        <v>168</v>
      </c>
      <c r="K726" t="s">
        <v>169</v>
      </c>
      <c r="L726">
        <v>7</v>
      </c>
      <c r="M726" t="s">
        <v>2731</v>
      </c>
      <c r="N726" t="s">
        <v>76</v>
      </c>
      <c r="O726" t="s">
        <v>47</v>
      </c>
      <c r="P726" t="s">
        <v>47</v>
      </c>
      <c r="Y726" t="s">
        <v>2732</v>
      </c>
    </row>
    <row r="727" spans="1:25">
      <c r="A727" t="s">
        <v>2733</v>
      </c>
      <c r="B727" t="s">
        <v>2734</v>
      </c>
      <c r="D727" t="s">
        <v>40</v>
      </c>
      <c r="E727" t="s">
        <v>41</v>
      </c>
      <c r="H727" t="s">
        <v>2735</v>
      </c>
      <c r="J727" t="s">
        <v>1653</v>
      </c>
      <c r="K727" t="s">
        <v>1654</v>
      </c>
      <c r="L727">
        <v>7</v>
      </c>
      <c r="M727" t="s">
        <v>2736</v>
      </c>
      <c r="N727" t="s">
        <v>76</v>
      </c>
      <c r="O727" t="s">
        <v>47</v>
      </c>
      <c r="P727" t="s">
        <v>47</v>
      </c>
      <c r="Y727" t="s">
        <v>2735</v>
      </c>
    </row>
    <row r="728" spans="1:25">
      <c r="A728" t="s">
        <v>2737</v>
      </c>
      <c r="B728" t="s">
        <v>2738</v>
      </c>
      <c r="D728" t="s">
        <v>40</v>
      </c>
      <c r="E728" t="s">
        <v>41</v>
      </c>
      <c r="J728" t="s">
        <v>108</v>
      </c>
      <c r="K728" t="s">
        <v>109</v>
      </c>
      <c r="L728">
        <v>7</v>
      </c>
      <c r="M728" t="s">
        <v>2739</v>
      </c>
      <c r="N728" t="s">
        <v>202</v>
      </c>
      <c r="O728" t="s">
        <v>47</v>
      </c>
      <c r="P728" t="s">
        <v>47</v>
      </c>
      <c r="Y728" t="s">
        <v>2740</v>
      </c>
    </row>
    <row r="729" spans="1:25">
      <c r="A729" t="s">
        <v>2741</v>
      </c>
      <c r="B729" t="s">
        <v>2742</v>
      </c>
      <c r="D729" t="s">
        <v>40</v>
      </c>
      <c r="E729" t="s">
        <v>41</v>
      </c>
      <c r="J729" t="s">
        <v>240</v>
      </c>
      <c r="K729" t="s">
        <v>241</v>
      </c>
      <c r="L729">
        <v>7</v>
      </c>
      <c r="M729" t="s">
        <v>2743</v>
      </c>
      <c r="N729" t="s">
        <v>76</v>
      </c>
      <c r="O729" t="s">
        <v>47</v>
      </c>
      <c r="P729" t="s">
        <v>47</v>
      </c>
      <c r="Y729" t="s">
        <v>2744</v>
      </c>
    </row>
    <row r="730" spans="1:25">
      <c r="A730" t="s">
        <v>2745</v>
      </c>
      <c r="B730" t="s">
        <v>2746</v>
      </c>
      <c r="D730" t="s">
        <v>40</v>
      </c>
      <c r="E730" t="s">
        <v>41</v>
      </c>
      <c r="J730" t="s">
        <v>190</v>
      </c>
      <c r="K730" t="s">
        <v>191</v>
      </c>
      <c r="L730">
        <v>7</v>
      </c>
      <c r="M730" t="s">
        <v>2747</v>
      </c>
      <c r="N730" t="s">
        <v>76</v>
      </c>
      <c r="O730" t="s">
        <v>47</v>
      </c>
      <c r="P730" t="s">
        <v>47</v>
      </c>
      <c r="Y730" t="s">
        <v>2748</v>
      </c>
    </row>
    <row r="731" spans="1:25">
      <c r="A731" t="s">
        <v>2749</v>
      </c>
      <c r="B731" t="s">
        <v>2750</v>
      </c>
      <c r="D731" t="s">
        <v>40</v>
      </c>
      <c r="E731" t="s">
        <v>41</v>
      </c>
      <c r="J731" t="s">
        <v>261</v>
      </c>
      <c r="K731" t="s">
        <v>262</v>
      </c>
      <c r="L731">
        <v>7</v>
      </c>
      <c r="M731" t="s">
        <v>2747</v>
      </c>
      <c r="N731" t="s">
        <v>76</v>
      </c>
      <c r="O731" t="s">
        <v>47</v>
      </c>
      <c r="P731" t="s">
        <v>47</v>
      </c>
      <c r="Y731" t="s">
        <v>2751</v>
      </c>
    </row>
    <row r="732" spans="1:25">
      <c r="A732" t="s">
        <v>2752</v>
      </c>
      <c r="B732" t="s">
        <v>2753</v>
      </c>
      <c r="D732" t="s">
        <v>40</v>
      </c>
      <c r="E732" t="s">
        <v>41</v>
      </c>
      <c r="J732" t="s">
        <v>240</v>
      </c>
      <c r="K732" t="s">
        <v>241</v>
      </c>
      <c r="L732">
        <v>7</v>
      </c>
      <c r="M732" t="s">
        <v>2754</v>
      </c>
      <c r="N732" t="s">
        <v>76</v>
      </c>
      <c r="O732" t="s">
        <v>47</v>
      </c>
      <c r="P732" t="s">
        <v>47</v>
      </c>
      <c r="Y732" t="s">
        <v>2755</v>
      </c>
    </row>
    <row r="733" spans="1:25">
      <c r="A733" t="s">
        <v>2756</v>
      </c>
      <c r="B733" t="s">
        <v>2757</v>
      </c>
      <c r="D733" t="s">
        <v>40</v>
      </c>
      <c r="E733" t="s">
        <v>41</v>
      </c>
      <c r="J733" t="s">
        <v>240</v>
      </c>
      <c r="K733" t="s">
        <v>241</v>
      </c>
      <c r="L733">
        <v>7</v>
      </c>
      <c r="M733" t="s">
        <v>2758</v>
      </c>
      <c r="N733" t="s">
        <v>76</v>
      </c>
      <c r="O733" t="s">
        <v>47</v>
      </c>
      <c r="P733" t="s">
        <v>47</v>
      </c>
      <c r="Y733" t="s">
        <v>2759</v>
      </c>
    </row>
    <row r="734" spans="1:25">
      <c r="A734" t="s">
        <v>2760</v>
      </c>
      <c r="B734" t="s">
        <v>2761</v>
      </c>
      <c r="D734" t="s">
        <v>40</v>
      </c>
      <c r="E734" t="s">
        <v>41</v>
      </c>
      <c r="H734" t="s">
        <v>2762</v>
      </c>
      <c r="J734" t="s">
        <v>190</v>
      </c>
      <c r="K734" t="s">
        <v>191</v>
      </c>
      <c r="L734">
        <v>7</v>
      </c>
      <c r="M734" t="s">
        <v>2758</v>
      </c>
      <c r="N734" t="s">
        <v>76</v>
      </c>
      <c r="O734" t="s">
        <v>47</v>
      </c>
      <c r="P734" t="s">
        <v>47</v>
      </c>
      <c r="Y734" t="s">
        <v>2762</v>
      </c>
    </row>
    <row r="735" spans="1:25">
      <c r="A735" t="s">
        <v>2763</v>
      </c>
      <c r="B735" t="s">
        <v>2764</v>
      </c>
      <c r="D735" t="s">
        <v>40</v>
      </c>
      <c r="E735" t="s">
        <v>41</v>
      </c>
      <c r="J735" t="s">
        <v>240</v>
      </c>
      <c r="K735" t="s">
        <v>241</v>
      </c>
      <c r="L735">
        <v>7</v>
      </c>
      <c r="M735" t="s">
        <v>2765</v>
      </c>
      <c r="N735" t="s">
        <v>76</v>
      </c>
      <c r="O735" t="s">
        <v>47</v>
      </c>
      <c r="P735" t="s">
        <v>47</v>
      </c>
      <c r="Y735" t="s">
        <v>2766</v>
      </c>
    </row>
    <row r="736" spans="1:25">
      <c r="A736" t="s">
        <v>2767</v>
      </c>
      <c r="B736" t="s">
        <v>2768</v>
      </c>
      <c r="D736" t="s">
        <v>40</v>
      </c>
      <c r="E736" t="s">
        <v>41</v>
      </c>
      <c r="J736" t="s">
        <v>240</v>
      </c>
      <c r="K736" t="s">
        <v>241</v>
      </c>
      <c r="L736">
        <v>7</v>
      </c>
      <c r="M736" t="s">
        <v>2765</v>
      </c>
      <c r="N736" t="s">
        <v>76</v>
      </c>
      <c r="O736" t="s">
        <v>47</v>
      </c>
      <c r="P736" t="s">
        <v>47</v>
      </c>
      <c r="Y736" t="s">
        <v>2769</v>
      </c>
    </row>
    <row r="737" spans="1:25">
      <c r="A737" t="s">
        <v>2770</v>
      </c>
      <c r="B737" t="s">
        <v>2771</v>
      </c>
      <c r="D737" t="s">
        <v>40</v>
      </c>
      <c r="E737" t="s">
        <v>41</v>
      </c>
      <c r="H737" t="s">
        <v>2772</v>
      </c>
      <c r="J737" t="s">
        <v>261</v>
      </c>
      <c r="K737" t="s">
        <v>262</v>
      </c>
      <c r="L737">
        <v>7</v>
      </c>
      <c r="M737" t="s">
        <v>2773</v>
      </c>
      <c r="N737" t="s">
        <v>76</v>
      </c>
      <c r="O737" t="s">
        <v>47</v>
      </c>
      <c r="P737" t="s">
        <v>47</v>
      </c>
      <c r="Y737" t="s">
        <v>2772</v>
      </c>
    </row>
    <row r="738" spans="1:25">
      <c r="A738" t="s">
        <v>2774</v>
      </c>
      <c r="B738" t="s">
        <v>2775</v>
      </c>
      <c r="D738" t="s">
        <v>40</v>
      </c>
      <c r="E738" t="s">
        <v>41</v>
      </c>
      <c r="J738" t="s">
        <v>240</v>
      </c>
      <c r="K738" t="s">
        <v>241</v>
      </c>
      <c r="L738">
        <v>7</v>
      </c>
      <c r="M738" t="s">
        <v>2776</v>
      </c>
      <c r="N738" t="s">
        <v>76</v>
      </c>
      <c r="O738" t="s">
        <v>47</v>
      </c>
      <c r="P738" t="s">
        <v>47</v>
      </c>
      <c r="Y738" t="s">
        <v>2777</v>
      </c>
    </row>
    <row r="739" spans="1:25">
      <c r="A739" t="s">
        <v>2778</v>
      </c>
      <c r="B739" t="s">
        <v>2779</v>
      </c>
      <c r="D739" t="s">
        <v>40</v>
      </c>
      <c r="E739" t="s">
        <v>41</v>
      </c>
      <c r="H739" t="s">
        <v>2780</v>
      </c>
      <c r="J739" t="s">
        <v>240</v>
      </c>
      <c r="K739" t="s">
        <v>241</v>
      </c>
      <c r="L739">
        <v>7</v>
      </c>
      <c r="M739" t="s">
        <v>2781</v>
      </c>
      <c r="N739" t="s">
        <v>76</v>
      </c>
      <c r="O739" t="s">
        <v>47</v>
      </c>
      <c r="P739" t="s">
        <v>47</v>
      </c>
      <c r="Y739" t="s">
        <v>2780</v>
      </c>
    </row>
    <row r="740" spans="1:25">
      <c r="A740" t="s">
        <v>2782</v>
      </c>
      <c r="B740" t="s">
        <v>2783</v>
      </c>
      <c r="D740" t="s">
        <v>40</v>
      </c>
      <c r="E740" t="s">
        <v>41</v>
      </c>
      <c r="J740" t="s">
        <v>240</v>
      </c>
      <c r="K740" t="s">
        <v>241</v>
      </c>
      <c r="L740">
        <v>7</v>
      </c>
      <c r="M740" t="s">
        <v>2784</v>
      </c>
      <c r="N740" t="s">
        <v>76</v>
      </c>
      <c r="O740" t="s">
        <v>47</v>
      </c>
      <c r="P740" t="s">
        <v>47</v>
      </c>
      <c r="Y740" t="s">
        <v>2785</v>
      </c>
    </row>
    <row r="741" spans="1:25">
      <c r="A741" t="s">
        <v>2786</v>
      </c>
      <c r="B741" t="s">
        <v>2787</v>
      </c>
      <c r="D741" t="s">
        <v>40</v>
      </c>
      <c r="E741" t="s">
        <v>41</v>
      </c>
      <c r="J741" t="s">
        <v>168</v>
      </c>
      <c r="K741" t="s">
        <v>169</v>
      </c>
      <c r="L741">
        <v>7</v>
      </c>
      <c r="M741" t="s">
        <v>2788</v>
      </c>
      <c r="N741" t="s">
        <v>76</v>
      </c>
      <c r="O741" t="s">
        <v>47</v>
      </c>
      <c r="P741" t="s">
        <v>47</v>
      </c>
      <c r="Y741" t="s">
        <v>2789</v>
      </c>
    </row>
    <row r="742" spans="1:25">
      <c r="A742" t="s">
        <v>2790</v>
      </c>
      <c r="B742" t="s">
        <v>2791</v>
      </c>
      <c r="D742" t="s">
        <v>40</v>
      </c>
      <c r="E742" t="s">
        <v>41</v>
      </c>
      <c r="J742" t="s">
        <v>240</v>
      </c>
      <c r="K742" t="s">
        <v>241</v>
      </c>
      <c r="L742">
        <v>7</v>
      </c>
      <c r="M742" t="s">
        <v>2788</v>
      </c>
      <c r="N742" t="s">
        <v>76</v>
      </c>
      <c r="O742" t="s">
        <v>47</v>
      </c>
      <c r="P742" t="s">
        <v>47</v>
      </c>
      <c r="Y742" t="s">
        <v>2792</v>
      </c>
    </row>
    <row r="743" spans="1:25">
      <c r="A743" t="s">
        <v>2793</v>
      </c>
      <c r="B743" t="s">
        <v>2794</v>
      </c>
      <c r="D743" t="s">
        <v>40</v>
      </c>
      <c r="E743" t="s">
        <v>41</v>
      </c>
      <c r="J743" t="s">
        <v>190</v>
      </c>
      <c r="K743" t="s">
        <v>191</v>
      </c>
      <c r="L743">
        <v>7</v>
      </c>
      <c r="M743" t="s">
        <v>2788</v>
      </c>
      <c r="N743" t="s">
        <v>76</v>
      </c>
      <c r="O743" t="s">
        <v>47</v>
      </c>
      <c r="P743" t="s">
        <v>47</v>
      </c>
      <c r="Y743" t="s">
        <v>2795</v>
      </c>
    </row>
    <row r="744" spans="1:25">
      <c r="A744" t="s">
        <v>2796</v>
      </c>
      <c r="B744" t="s">
        <v>2797</v>
      </c>
      <c r="D744" t="s">
        <v>40</v>
      </c>
      <c r="E744" t="s">
        <v>41</v>
      </c>
      <c r="J744" t="s">
        <v>261</v>
      </c>
      <c r="K744" t="s">
        <v>262</v>
      </c>
      <c r="L744">
        <v>7</v>
      </c>
      <c r="M744" t="s">
        <v>2788</v>
      </c>
      <c r="N744" t="s">
        <v>76</v>
      </c>
      <c r="O744" t="s">
        <v>47</v>
      </c>
      <c r="P744" t="s">
        <v>47</v>
      </c>
      <c r="Y744" t="s">
        <v>2798</v>
      </c>
    </row>
    <row r="745" spans="1:25">
      <c r="A745" t="s">
        <v>2799</v>
      </c>
      <c r="B745" t="s">
        <v>2800</v>
      </c>
      <c r="D745" t="s">
        <v>40</v>
      </c>
      <c r="E745" t="s">
        <v>41</v>
      </c>
      <c r="J745" t="s">
        <v>240</v>
      </c>
      <c r="K745" t="s">
        <v>241</v>
      </c>
      <c r="L745">
        <v>7</v>
      </c>
      <c r="M745" t="s">
        <v>2801</v>
      </c>
      <c r="N745" t="s">
        <v>76</v>
      </c>
      <c r="O745" t="s">
        <v>47</v>
      </c>
      <c r="P745" t="s">
        <v>47</v>
      </c>
      <c r="Y745" t="s">
        <v>2802</v>
      </c>
    </row>
    <row r="746" spans="1:25">
      <c r="A746" t="s">
        <v>2803</v>
      </c>
      <c r="B746" t="s">
        <v>2804</v>
      </c>
      <c r="D746" t="s">
        <v>40</v>
      </c>
      <c r="E746" t="s">
        <v>41</v>
      </c>
      <c r="J746" t="s">
        <v>240</v>
      </c>
      <c r="K746" t="s">
        <v>241</v>
      </c>
      <c r="L746">
        <v>7</v>
      </c>
      <c r="M746" t="s">
        <v>2801</v>
      </c>
      <c r="N746" t="s">
        <v>76</v>
      </c>
      <c r="O746" t="s">
        <v>47</v>
      </c>
      <c r="P746" t="s">
        <v>47</v>
      </c>
      <c r="Y746" t="s">
        <v>2805</v>
      </c>
    </row>
    <row r="747" spans="1:25">
      <c r="A747" t="s">
        <v>2806</v>
      </c>
      <c r="B747" t="s">
        <v>2807</v>
      </c>
      <c r="D747" t="s">
        <v>40</v>
      </c>
      <c r="E747" t="s">
        <v>41</v>
      </c>
      <c r="J747" t="s">
        <v>240</v>
      </c>
      <c r="K747" t="s">
        <v>241</v>
      </c>
      <c r="L747">
        <v>7</v>
      </c>
      <c r="M747" t="s">
        <v>2801</v>
      </c>
      <c r="N747" t="s">
        <v>76</v>
      </c>
      <c r="O747" t="s">
        <v>47</v>
      </c>
      <c r="P747" t="s">
        <v>47</v>
      </c>
      <c r="Y747" t="s">
        <v>2808</v>
      </c>
    </row>
    <row r="748" spans="1:25">
      <c r="A748" t="s">
        <v>2809</v>
      </c>
      <c r="B748" t="s">
        <v>2810</v>
      </c>
      <c r="D748" t="s">
        <v>40</v>
      </c>
      <c r="E748" t="s">
        <v>41</v>
      </c>
      <c r="J748" t="s">
        <v>240</v>
      </c>
      <c r="K748" t="s">
        <v>241</v>
      </c>
      <c r="L748">
        <v>7</v>
      </c>
      <c r="M748" t="s">
        <v>2811</v>
      </c>
      <c r="N748" t="s">
        <v>76</v>
      </c>
      <c r="O748" t="s">
        <v>47</v>
      </c>
      <c r="P748" t="s">
        <v>47</v>
      </c>
      <c r="Y748" t="s">
        <v>2812</v>
      </c>
    </row>
    <row r="749" spans="1:25">
      <c r="A749" t="s">
        <v>2813</v>
      </c>
      <c r="B749" t="s">
        <v>2814</v>
      </c>
      <c r="D749" t="s">
        <v>40</v>
      </c>
      <c r="E749" t="s">
        <v>41</v>
      </c>
      <c r="J749" t="s">
        <v>240</v>
      </c>
      <c r="K749" t="s">
        <v>241</v>
      </c>
      <c r="L749">
        <v>7</v>
      </c>
      <c r="M749" t="s">
        <v>2811</v>
      </c>
      <c r="N749" t="s">
        <v>76</v>
      </c>
      <c r="O749" t="s">
        <v>47</v>
      </c>
      <c r="P749" t="s">
        <v>47</v>
      </c>
      <c r="Y749" t="s">
        <v>2815</v>
      </c>
    </row>
    <row r="750" spans="1:25">
      <c r="A750" t="s">
        <v>2816</v>
      </c>
      <c r="B750" t="s">
        <v>2817</v>
      </c>
      <c r="D750" t="s">
        <v>40</v>
      </c>
      <c r="E750" t="s">
        <v>41</v>
      </c>
      <c r="H750" t="s">
        <v>2818</v>
      </c>
      <c r="J750" t="s">
        <v>168</v>
      </c>
      <c r="K750" t="s">
        <v>169</v>
      </c>
      <c r="L750">
        <v>7</v>
      </c>
      <c r="M750" t="s">
        <v>2811</v>
      </c>
      <c r="N750" t="s">
        <v>76</v>
      </c>
      <c r="O750" t="s">
        <v>47</v>
      </c>
      <c r="P750" t="s">
        <v>47</v>
      </c>
      <c r="Y750" t="s">
        <v>2818</v>
      </c>
    </row>
    <row r="751" spans="1:25">
      <c r="A751" t="s">
        <v>2819</v>
      </c>
      <c r="B751" t="s">
        <v>2820</v>
      </c>
      <c r="D751" t="s">
        <v>40</v>
      </c>
      <c r="E751" t="s">
        <v>41</v>
      </c>
      <c r="J751" t="s">
        <v>240</v>
      </c>
      <c r="K751" t="s">
        <v>241</v>
      </c>
      <c r="L751">
        <v>7</v>
      </c>
      <c r="M751" t="s">
        <v>2821</v>
      </c>
      <c r="N751" t="s">
        <v>76</v>
      </c>
      <c r="O751" t="s">
        <v>47</v>
      </c>
      <c r="P751" t="s">
        <v>47</v>
      </c>
      <c r="Y751" t="s">
        <v>2822</v>
      </c>
    </row>
    <row r="752" spans="1:25">
      <c r="A752" t="s">
        <v>2823</v>
      </c>
      <c r="B752" t="s">
        <v>2824</v>
      </c>
      <c r="D752" t="s">
        <v>40</v>
      </c>
      <c r="E752" t="s">
        <v>41</v>
      </c>
      <c r="H752" t="s">
        <v>2825</v>
      </c>
      <c r="J752" t="s">
        <v>240</v>
      </c>
      <c r="K752" t="s">
        <v>241</v>
      </c>
      <c r="L752">
        <v>7</v>
      </c>
      <c r="M752" t="s">
        <v>2826</v>
      </c>
      <c r="N752" t="s">
        <v>76</v>
      </c>
      <c r="O752" t="s">
        <v>47</v>
      </c>
      <c r="P752" t="s">
        <v>47</v>
      </c>
      <c r="Y752" t="s">
        <v>2825</v>
      </c>
    </row>
    <row r="753" spans="1:25">
      <c r="A753" t="s">
        <v>2827</v>
      </c>
      <c r="B753" t="s">
        <v>2828</v>
      </c>
      <c r="D753" t="s">
        <v>40</v>
      </c>
      <c r="E753" t="s">
        <v>41</v>
      </c>
      <c r="J753" t="s">
        <v>190</v>
      </c>
      <c r="K753" t="s">
        <v>191</v>
      </c>
      <c r="L753">
        <v>7</v>
      </c>
      <c r="M753" t="s">
        <v>2829</v>
      </c>
      <c r="N753" t="s">
        <v>76</v>
      </c>
      <c r="O753" t="s">
        <v>47</v>
      </c>
      <c r="P753" t="s">
        <v>47</v>
      </c>
      <c r="Y753" t="s">
        <v>2830</v>
      </c>
    </row>
    <row r="754" spans="1:25">
      <c r="A754" t="s">
        <v>2831</v>
      </c>
      <c r="B754" t="s">
        <v>2832</v>
      </c>
      <c r="D754" t="s">
        <v>40</v>
      </c>
      <c r="E754" t="s">
        <v>41</v>
      </c>
      <c r="H754" t="s">
        <v>2833</v>
      </c>
      <c r="J754" t="s">
        <v>240</v>
      </c>
      <c r="K754" t="s">
        <v>241</v>
      </c>
      <c r="L754">
        <v>7</v>
      </c>
      <c r="M754" t="s">
        <v>2834</v>
      </c>
      <c r="N754" t="s">
        <v>76</v>
      </c>
      <c r="O754" t="s">
        <v>47</v>
      </c>
      <c r="P754" t="s">
        <v>47</v>
      </c>
      <c r="Y754" t="s">
        <v>2833</v>
      </c>
    </row>
    <row r="755" spans="1:25">
      <c r="A755" t="s">
        <v>2835</v>
      </c>
      <c r="B755" t="s">
        <v>2836</v>
      </c>
      <c r="D755" t="s">
        <v>40</v>
      </c>
      <c r="E755" t="s">
        <v>41</v>
      </c>
      <c r="J755" t="s">
        <v>190</v>
      </c>
      <c r="K755" t="s">
        <v>191</v>
      </c>
      <c r="L755">
        <v>7</v>
      </c>
      <c r="M755" t="s">
        <v>2834</v>
      </c>
      <c r="N755" t="s">
        <v>76</v>
      </c>
      <c r="O755" t="s">
        <v>47</v>
      </c>
      <c r="P755" t="s">
        <v>47</v>
      </c>
      <c r="Y755" t="s">
        <v>2837</v>
      </c>
    </row>
    <row r="756" spans="1:25">
      <c r="A756" t="s">
        <v>2838</v>
      </c>
      <c r="B756" t="s">
        <v>2839</v>
      </c>
      <c r="D756" t="s">
        <v>40</v>
      </c>
      <c r="E756" t="s">
        <v>41</v>
      </c>
      <c r="H756" t="s">
        <v>2840</v>
      </c>
      <c r="J756" t="s">
        <v>108</v>
      </c>
      <c r="K756" t="s">
        <v>109</v>
      </c>
      <c r="L756">
        <v>7</v>
      </c>
      <c r="M756" t="s">
        <v>2834</v>
      </c>
      <c r="N756" t="s">
        <v>80</v>
      </c>
      <c r="O756" t="s">
        <v>47</v>
      </c>
      <c r="P756" t="s">
        <v>47</v>
      </c>
      <c r="Y756" t="s">
        <v>2840</v>
      </c>
    </row>
    <row r="757" spans="1:25">
      <c r="A757" t="s">
        <v>2841</v>
      </c>
      <c r="B757" t="s">
        <v>2842</v>
      </c>
      <c r="D757" t="s">
        <v>40</v>
      </c>
      <c r="E757" t="s">
        <v>41</v>
      </c>
      <c r="J757" t="s">
        <v>240</v>
      </c>
      <c r="K757" t="s">
        <v>241</v>
      </c>
      <c r="L757">
        <v>7</v>
      </c>
      <c r="M757" t="s">
        <v>2843</v>
      </c>
      <c r="N757" t="s">
        <v>76</v>
      </c>
      <c r="O757" t="s">
        <v>47</v>
      </c>
      <c r="P757" t="s">
        <v>47</v>
      </c>
      <c r="Y757" t="s">
        <v>2844</v>
      </c>
    </row>
    <row r="758" spans="1:25">
      <c r="A758" t="s">
        <v>2845</v>
      </c>
      <c r="B758" t="s">
        <v>2846</v>
      </c>
      <c r="D758" t="s">
        <v>40</v>
      </c>
      <c r="E758" t="s">
        <v>41</v>
      </c>
      <c r="J758" t="s">
        <v>240</v>
      </c>
      <c r="K758" t="s">
        <v>241</v>
      </c>
      <c r="L758">
        <v>7</v>
      </c>
      <c r="M758" t="s">
        <v>2847</v>
      </c>
      <c r="N758" t="s">
        <v>76</v>
      </c>
      <c r="O758" t="s">
        <v>47</v>
      </c>
      <c r="P758" t="s">
        <v>47</v>
      </c>
      <c r="Y758" t="s">
        <v>2848</v>
      </c>
    </row>
    <row r="759" spans="1:25">
      <c r="A759" t="s">
        <v>2849</v>
      </c>
      <c r="B759" t="s">
        <v>2850</v>
      </c>
      <c r="D759" t="s">
        <v>40</v>
      </c>
      <c r="E759" t="s">
        <v>41</v>
      </c>
      <c r="J759" t="s">
        <v>240</v>
      </c>
      <c r="K759" t="s">
        <v>241</v>
      </c>
      <c r="L759">
        <v>7</v>
      </c>
      <c r="M759" t="s">
        <v>2847</v>
      </c>
      <c r="N759" t="s">
        <v>76</v>
      </c>
      <c r="O759" t="s">
        <v>47</v>
      </c>
      <c r="P759" t="s">
        <v>47</v>
      </c>
      <c r="Y759" t="s">
        <v>2851</v>
      </c>
    </row>
    <row r="760" spans="1:25">
      <c r="A760" t="s">
        <v>2852</v>
      </c>
      <c r="B760" t="s">
        <v>2853</v>
      </c>
      <c r="D760" t="s">
        <v>40</v>
      </c>
      <c r="E760" t="s">
        <v>41</v>
      </c>
      <c r="H760" t="s">
        <v>2854</v>
      </c>
      <c r="J760" t="s">
        <v>168</v>
      </c>
      <c r="K760" t="s">
        <v>169</v>
      </c>
      <c r="L760">
        <v>7</v>
      </c>
      <c r="M760" t="s">
        <v>2855</v>
      </c>
      <c r="N760" t="s">
        <v>76</v>
      </c>
      <c r="O760" t="s">
        <v>47</v>
      </c>
      <c r="P760" t="s">
        <v>47</v>
      </c>
      <c r="Y760" t="s">
        <v>2854</v>
      </c>
    </row>
    <row r="761" spans="1:25">
      <c r="A761" t="s">
        <v>2856</v>
      </c>
      <c r="B761" t="s">
        <v>2857</v>
      </c>
      <c r="D761" t="s">
        <v>40</v>
      </c>
      <c r="E761" t="s">
        <v>41</v>
      </c>
      <c r="J761" t="s">
        <v>240</v>
      </c>
      <c r="K761" t="s">
        <v>241</v>
      </c>
      <c r="L761">
        <v>7</v>
      </c>
      <c r="M761" t="s">
        <v>2858</v>
      </c>
      <c r="N761" t="s">
        <v>76</v>
      </c>
      <c r="O761" t="s">
        <v>47</v>
      </c>
      <c r="P761" t="s">
        <v>47</v>
      </c>
      <c r="Y761" t="s">
        <v>2859</v>
      </c>
    </row>
    <row r="762" spans="1:25">
      <c r="A762" t="s">
        <v>2860</v>
      </c>
      <c r="B762" t="s">
        <v>2861</v>
      </c>
      <c r="D762" t="s">
        <v>40</v>
      </c>
      <c r="E762" t="s">
        <v>41</v>
      </c>
      <c r="H762" t="s">
        <v>2862</v>
      </c>
      <c r="J762" t="s">
        <v>43</v>
      </c>
      <c r="K762" t="s">
        <v>44</v>
      </c>
      <c r="L762">
        <v>7</v>
      </c>
      <c r="M762" t="s">
        <v>2858</v>
      </c>
      <c r="N762" t="s">
        <v>80</v>
      </c>
      <c r="O762" t="s">
        <v>47</v>
      </c>
      <c r="P762" t="s">
        <v>47</v>
      </c>
      <c r="Y762" t="s">
        <v>2862</v>
      </c>
    </row>
    <row r="763" spans="1:25">
      <c r="A763" t="s">
        <v>2863</v>
      </c>
      <c r="B763" t="s">
        <v>2864</v>
      </c>
      <c r="D763" t="s">
        <v>40</v>
      </c>
      <c r="E763" t="s">
        <v>41</v>
      </c>
      <c r="J763" t="s">
        <v>240</v>
      </c>
      <c r="K763" t="s">
        <v>241</v>
      </c>
      <c r="L763">
        <v>7</v>
      </c>
      <c r="M763" t="s">
        <v>2858</v>
      </c>
      <c r="N763" t="s">
        <v>76</v>
      </c>
      <c r="O763" t="s">
        <v>47</v>
      </c>
      <c r="P763" t="s">
        <v>47</v>
      </c>
      <c r="Y763" t="s">
        <v>2865</v>
      </c>
    </row>
    <row r="764" spans="1:25">
      <c r="A764" t="s">
        <v>2866</v>
      </c>
      <c r="B764" t="s">
        <v>2867</v>
      </c>
      <c r="D764" t="s">
        <v>40</v>
      </c>
      <c r="E764" t="s">
        <v>41</v>
      </c>
      <c r="J764" t="s">
        <v>66</v>
      </c>
      <c r="K764" t="s">
        <v>67</v>
      </c>
      <c r="L764">
        <v>7</v>
      </c>
      <c r="M764" t="s">
        <v>2868</v>
      </c>
      <c r="N764" t="s">
        <v>80</v>
      </c>
      <c r="O764" t="s">
        <v>47</v>
      </c>
      <c r="P764" t="s">
        <v>47</v>
      </c>
      <c r="Y764" t="s">
        <v>2869</v>
      </c>
    </row>
    <row r="765" spans="1:25">
      <c r="A765" t="s">
        <v>2870</v>
      </c>
      <c r="B765" t="s">
        <v>2871</v>
      </c>
      <c r="D765" t="s">
        <v>40</v>
      </c>
      <c r="E765" t="s">
        <v>41</v>
      </c>
      <c r="J765" t="s">
        <v>168</v>
      </c>
      <c r="K765" t="s">
        <v>169</v>
      </c>
      <c r="L765">
        <v>7</v>
      </c>
      <c r="M765" t="s">
        <v>2872</v>
      </c>
      <c r="N765" t="s">
        <v>76</v>
      </c>
      <c r="O765" t="s">
        <v>47</v>
      </c>
      <c r="P765" t="s">
        <v>47</v>
      </c>
      <c r="Y765" t="s">
        <v>2873</v>
      </c>
    </row>
    <row r="766" spans="1:25">
      <c r="A766" t="s">
        <v>2874</v>
      </c>
      <c r="B766" t="s">
        <v>2875</v>
      </c>
      <c r="D766" t="s">
        <v>40</v>
      </c>
      <c r="E766" t="s">
        <v>41</v>
      </c>
      <c r="H766" t="s">
        <v>2876</v>
      </c>
      <c r="J766" t="s">
        <v>51</v>
      </c>
      <c r="K766" t="s">
        <v>52</v>
      </c>
      <c r="L766">
        <v>7</v>
      </c>
      <c r="M766" t="s">
        <v>2872</v>
      </c>
      <c r="N766" t="s">
        <v>46</v>
      </c>
      <c r="O766" t="s">
        <v>47</v>
      </c>
      <c r="P766" t="s">
        <v>47</v>
      </c>
      <c r="Y766" t="s">
        <v>2876</v>
      </c>
    </row>
    <row r="767" spans="1:25">
      <c r="A767" t="s">
        <v>2877</v>
      </c>
      <c r="B767" t="s">
        <v>2878</v>
      </c>
      <c r="D767" t="s">
        <v>40</v>
      </c>
      <c r="E767" t="s">
        <v>41</v>
      </c>
      <c r="J767" t="s">
        <v>318</v>
      </c>
      <c r="K767" t="s">
        <v>319</v>
      </c>
      <c r="L767">
        <v>7</v>
      </c>
      <c r="M767" t="s">
        <v>2879</v>
      </c>
      <c r="N767" t="s">
        <v>76</v>
      </c>
      <c r="O767" t="s">
        <v>47</v>
      </c>
      <c r="P767" t="s">
        <v>47</v>
      </c>
      <c r="Y767" t="s">
        <v>2880</v>
      </c>
    </row>
    <row r="768" spans="1:25">
      <c r="A768" t="s">
        <v>2881</v>
      </c>
      <c r="B768" t="s">
        <v>2882</v>
      </c>
      <c r="D768" t="s">
        <v>40</v>
      </c>
      <c r="E768" t="s">
        <v>41</v>
      </c>
      <c r="J768" t="s">
        <v>240</v>
      </c>
      <c r="K768" t="s">
        <v>241</v>
      </c>
      <c r="L768">
        <v>7</v>
      </c>
      <c r="M768" t="s">
        <v>2883</v>
      </c>
      <c r="N768" t="s">
        <v>76</v>
      </c>
      <c r="O768" t="s">
        <v>47</v>
      </c>
      <c r="P768" t="s">
        <v>47</v>
      </c>
      <c r="Y768" t="s">
        <v>2884</v>
      </c>
    </row>
    <row r="769" spans="1:25">
      <c r="A769" t="s">
        <v>2885</v>
      </c>
      <c r="B769" t="s">
        <v>2886</v>
      </c>
      <c r="D769" t="s">
        <v>40</v>
      </c>
      <c r="E769" t="s">
        <v>41</v>
      </c>
      <c r="J769" t="s">
        <v>190</v>
      </c>
      <c r="K769" t="s">
        <v>191</v>
      </c>
      <c r="L769">
        <v>7</v>
      </c>
      <c r="M769" t="s">
        <v>2883</v>
      </c>
      <c r="N769" t="s">
        <v>76</v>
      </c>
      <c r="O769" t="s">
        <v>47</v>
      </c>
      <c r="P769" t="s">
        <v>47</v>
      </c>
      <c r="Y769" t="s">
        <v>2887</v>
      </c>
    </row>
    <row r="770" spans="1:25">
      <c r="A770" t="s">
        <v>2888</v>
      </c>
      <c r="B770" t="s">
        <v>2889</v>
      </c>
      <c r="D770" t="s">
        <v>40</v>
      </c>
      <c r="E770" t="s">
        <v>41</v>
      </c>
      <c r="J770" t="s">
        <v>240</v>
      </c>
      <c r="K770" t="s">
        <v>241</v>
      </c>
      <c r="L770">
        <v>7</v>
      </c>
      <c r="M770" t="s">
        <v>2883</v>
      </c>
      <c r="N770" t="s">
        <v>76</v>
      </c>
      <c r="O770" t="s">
        <v>47</v>
      </c>
      <c r="P770" t="s">
        <v>47</v>
      </c>
      <c r="Y770" t="s">
        <v>2890</v>
      </c>
    </row>
    <row r="771" spans="1:25">
      <c r="A771" t="s">
        <v>2891</v>
      </c>
      <c r="B771" t="s">
        <v>2892</v>
      </c>
      <c r="D771" t="s">
        <v>40</v>
      </c>
      <c r="E771" t="s">
        <v>41</v>
      </c>
      <c r="J771" t="s">
        <v>190</v>
      </c>
      <c r="K771" t="s">
        <v>191</v>
      </c>
      <c r="L771">
        <v>7</v>
      </c>
      <c r="M771" t="s">
        <v>2893</v>
      </c>
      <c r="N771" t="s">
        <v>76</v>
      </c>
      <c r="O771" t="s">
        <v>47</v>
      </c>
      <c r="P771" t="s">
        <v>47</v>
      </c>
      <c r="Y771" t="s">
        <v>2894</v>
      </c>
    </row>
    <row r="772" spans="1:25">
      <c r="A772" t="s">
        <v>2895</v>
      </c>
      <c r="B772" t="s">
        <v>2896</v>
      </c>
      <c r="D772" t="s">
        <v>40</v>
      </c>
      <c r="E772" t="s">
        <v>41</v>
      </c>
      <c r="H772" t="s">
        <v>2897</v>
      </c>
      <c r="J772" t="s">
        <v>43</v>
      </c>
      <c r="K772" t="s">
        <v>44</v>
      </c>
      <c r="L772">
        <v>7</v>
      </c>
      <c r="M772" t="s">
        <v>2898</v>
      </c>
      <c r="N772" t="s">
        <v>80</v>
      </c>
      <c r="O772" t="s">
        <v>47</v>
      </c>
      <c r="P772" t="s">
        <v>47</v>
      </c>
      <c r="Y772" t="s">
        <v>2897</v>
      </c>
    </row>
    <row r="773" spans="1:25">
      <c r="A773" t="s">
        <v>2899</v>
      </c>
      <c r="B773" t="s">
        <v>2900</v>
      </c>
      <c r="D773" t="s">
        <v>40</v>
      </c>
      <c r="E773" t="s">
        <v>41</v>
      </c>
      <c r="J773" t="s">
        <v>190</v>
      </c>
      <c r="K773" t="s">
        <v>191</v>
      </c>
      <c r="L773">
        <v>7</v>
      </c>
      <c r="M773" t="s">
        <v>2898</v>
      </c>
      <c r="N773" t="s">
        <v>76</v>
      </c>
      <c r="O773" t="s">
        <v>47</v>
      </c>
      <c r="P773" t="s">
        <v>47</v>
      </c>
      <c r="Y773" t="s">
        <v>2901</v>
      </c>
    </row>
    <row r="774" spans="1:25">
      <c r="A774" t="s">
        <v>2902</v>
      </c>
      <c r="B774" t="s">
        <v>2903</v>
      </c>
      <c r="D774" t="s">
        <v>40</v>
      </c>
      <c r="E774" t="s">
        <v>41</v>
      </c>
      <c r="J774" t="s">
        <v>168</v>
      </c>
      <c r="K774" t="s">
        <v>169</v>
      </c>
      <c r="L774">
        <v>7</v>
      </c>
      <c r="M774" t="s">
        <v>2898</v>
      </c>
      <c r="N774" t="s">
        <v>76</v>
      </c>
      <c r="O774" t="s">
        <v>47</v>
      </c>
      <c r="P774" t="s">
        <v>47</v>
      </c>
      <c r="Y774" t="s">
        <v>2904</v>
      </c>
    </row>
    <row r="775" spans="1:25">
      <c r="A775" t="s">
        <v>2905</v>
      </c>
      <c r="B775" t="s">
        <v>2906</v>
      </c>
      <c r="D775" t="s">
        <v>40</v>
      </c>
      <c r="E775" t="s">
        <v>41</v>
      </c>
      <c r="J775" t="s">
        <v>240</v>
      </c>
      <c r="K775" t="s">
        <v>241</v>
      </c>
      <c r="L775">
        <v>7</v>
      </c>
      <c r="M775" t="s">
        <v>2898</v>
      </c>
      <c r="N775" t="s">
        <v>76</v>
      </c>
      <c r="O775" t="s">
        <v>47</v>
      </c>
      <c r="P775" t="s">
        <v>47</v>
      </c>
      <c r="Y775" t="s">
        <v>2907</v>
      </c>
    </row>
    <row r="776" spans="1:25">
      <c r="A776" t="s">
        <v>2908</v>
      </c>
      <c r="B776" t="s">
        <v>2909</v>
      </c>
      <c r="D776" t="s">
        <v>40</v>
      </c>
      <c r="E776" t="s">
        <v>41</v>
      </c>
      <c r="J776" t="s">
        <v>66</v>
      </c>
      <c r="K776" t="s">
        <v>67</v>
      </c>
      <c r="L776">
        <v>8</v>
      </c>
      <c r="M776" t="s">
        <v>2910</v>
      </c>
      <c r="N776" t="s">
        <v>46</v>
      </c>
      <c r="O776" t="s">
        <v>47</v>
      </c>
      <c r="P776" t="s">
        <v>47</v>
      </c>
      <c r="Y776" t="s">
        <v>2911</v>
      </c>
    </row>
    <row r="777" spans="1:25">
      <c r="A777" t="s">
        <v>2912</v>
      </c>
      <c r="B777" t="s">
        <v>2913</v>
      </c>
      <c r="D777" t="s">
        <v>40</v>
      </c>
      <c r="E777" t="s">
        <v>41</v>
      </c>
      <c r="H777" t="s">
        <v>2914</v>
      </c>
      <c r="J777" t="s">
        <v>168</v>
      </c>
      <c r="K777" t="s">
        <v>169</v>
      </c>
      <c r="L777">
        <v>7</v>
      </c>
      <c r="M777" t="s">
        <v>2915</v>
      </c>
      <c r="N777" t="s">
        <v>76</v>
      </c>
      <c r="O777" t="s">
        <v>47</v>
      </c>
      <c r="P777" t="s">
        <v>47</v>
      </c>
      <c r="Y777" t="s">
        <v>2914</v>
      </c>
    </row>
    <row r="778" spans="1:25">
      <c r="A778" t="s">
        <v>2916</v>
      </c>
      <c r="B778" t="s">
        <v>2917</v>
      </c>
      <c r="D778" t="s">
        <v>40</v>
      </c>
      <c r="E778" t="s">
        <v>41</v>
      </c>
      <c r="H778" t="s">
        <v>2918</v>
      </c>
      <c r="J778" t="s">
        <v>190</v>
      </c>
      <c r="K778" t="s">
        <v>191</v>
      </c>
      <c r="L778">
        <v>7</v>
      </c>
      <c r="M778" t="s">
        <v>2919</v>
      </c>
      <c r="N778" t="s">
        <v>76</v>
      </c>
      <c r="O778" t="s">
        <v>47</v>
      </c>
      <c r="P778" t="s">
        <v>47</v>
      </c>
      <c r="Y778" t="s">
        <v>2918</v>
      </c>
    </row>
    <row r="779" spans="1:25">
      <c r="A779" t="s">
        <v>2920</v>
      </c>
      <c r="B779" t="s">
        <v>2921</v>
      </c>
      <c r="D779" t="s">
        <v>40</v>
      </c>
      <c r="E779" t="s">
        <v>41</v>
      </c>
      <c r="H779" t="s">
        <v>2922</v>
      </c>
      <c r="J779" t="s">
        <v>190</v>
      </c>
      <c r="K779" t="s">
        <v>191</v>
      </c>
      <c r="L779">
        <v>7</v>
      </c>
      <c r="M779" t="s">
        <v>2919</v>
      </c>
      <c r="N779" t="s">
        <v>76</v>
      </c>
      <c r="O779" t="s">
        <v>47</v>
      </c>
      <c r="P779" t="s">
        <v>47</v>
      </c>
      <c r="Y779" t="s">
        <v>2922</v>
      </c>
    </row>
    <row r="780" spans="1:25">
      <c r="A780" t="s">
        <v>2923</v>
      </c>
      <c r="B780" t="s">
        <v>2924</v>
      </c>
      <c r="D780" t="s">
        <v>40</v>
      </c>
      <c r="E780" t="s">
        <v>41</v>
      </c>
      <c r="J780" t="s">
        <v>240</v>
      </c>
      <c r="K780" t="s">
        <v>241</v>
      </c>
      <c r="L780">
        <v>7</v>
      </c>
      <c r="M780" t="s">
        <v>2925</v>
      </c>
      <c r="N780" t="s">
        <v>76</v>
      </c>
      <c r="O780" t="s">
        <v>47</v>
      </c>
      <c r="P780" t="s">
        <v>47</v>
      </c>
      <c r="Y780" t="s">
        <v>2926</v>
      </c>
    </row>
    <row r="781" spans="1:25">
      <c r="A781" t="s">
        <v>2927</v>
      </c>
      <c r="B781" t="s">
        <v>2928</v>
      </c>
      <c r="D781" t="s">
        <v>40</v>
      </c>
      <c r="E781" t="s">
        <v>41</v>
      </c>
      <c r="J781" t="s">
        <v>318</v>
      </c>
      <c r="K781" t="s">
        <v>319</v>
      </c>
      <c r="L781">
        <v>7</v>
      </c>
      <c r="M781" t="s">
        <v>2929</v>
      </c>
      <c r="N781" t="s">
        <v>76</v>
      </c>
      <c r="O781" t="s">
        <v>47</v>
      </c>
      <c r="P781" t="s">
        <v>47</v>
      </c>
      <c r="Y781" t="s">
        <v>2930</v>
      </c>
    </row>
    <row r="782" spans="1:25">
      <c r="A782" t="s">
        <v>2931</v>
      </c>
      <c r="B782" t="s">
        <v>2932</v>
      </c>
      <c r="D782" t="s">
        <v>40</v>
      </c>
      <c r="E782" t="s">
        <v>41</v>
      </c>
      <c r="H782" t="s">
        <v>2933</v>
      </c>
      <c r="J782" t="s">
        <v>240</v>
      </c>
      <c r="K782" t="s">
        <v>241</v>
      </c>
      <c r="L782">
        <v>7</v>
      </c>
      <c r="M782" t="s">
        <v>2934</v>
      </c>
      <c r="N782" t="s">
        <v>76</v>
      </c>
      <c r="O782" t="s">
        <v>47</v>
      </c>
      <c r="P782" t="s">
        <v>47</v>
      </c>
      <c r="Y782" t="s">
        <v>2933</v>
      </c>
    </row>
    <row r="783" spans="1:25">
      <c r="A783" t="s">
        <v>2935</v>
      </c>
      <c r="B783" t="s">
        <v>2936</v>
      </c>
      <c r="D783" t="s">
        <v>40</v>
      </c>
      <c r="E783" t="s">
        <v>41</v>
      </c>
      <c r="J783" t="s">
        <v>240</v>
      </c>
      <c r="K783" t="s">
        <v>241</v>
      </c>
      <c r="L783">
        <v>7</v>
      </c>
      <c r="M783" t="s">
        <v>2937</v>
      </c>
      <c r="N783" t="s">
        <v>76</v>
      </c>
      <c r="O783" t="s">
        <v>47</v>
      </c>
      <c r="P783" t="s">
        <v>47</v>
      </c>
      <c r="Y783" t="s">
        <v>2938</v>
      </c>
    </row>
    <row r="784" spans="1:25">
      <c r="A784" t="s">
        <v>2939</v>
      </c>
      <c r="B784" t="s">
        <v>2940</v>
      </c>
      <c r="D784" t="s">
        <v>40</v>
      </c>
      <c r="E784" t="s">
        <v>41</v>
      </c>
      <c r="J784" t="s">
        <v>240</v>
      </c>
      <c r="K784" t="s">
        <v>241</v>
      </c>
      <c r="L784">
        <v>7</v>
      </c>
      <c r="M784" t="s">
        <v>2941</v>
      </c>
      <c r="N784" t="s">
        <v>76</v>
      </c>
      <c r="O784" t="s">
        <v>47</v>
      </c>
      <c r="P784" t="s">
        <v>47</v>
      </c>
      <c r="Y784" t="s">
        <v>2942</v>
      </c>
    </row>
    <row r="785" spans="1:25">
      <c r="A785" t="s">
        <v>2943</v>
      </c>
      <c r="B785" t="s">
        <v>2944</v>
      </c>
      <c r="D785" t="s">
        <v>40</v>
      </c>
      <c r="E785" t="s">
        <v>41</v>
      </c>
      <c r="J785" t="s">
        <v>240</v>
      </c>
      <c r="K785" t="s">
        <v>241</v>
      </c>
      <c r="L785">
        <v>7</v>
      </c>
      <c r="M785" t="s">
        <v>2945</v>
      </c>
      <c r="N785" t="s">
        <v>76</v>
      </c>
      <c r="O785" t="s">
        <v>47</v>
      </c>
      <c r="P785" t="s">
        <v>47</v>
      </c>
      <c r="Y785" t="s">
        <v>2946</v>
      </c>
    </row>
    <row r="786" spans="1:25">
      <c r="A786" t="s">
        <v>2947</v>
      </c>
      <c r="B786" t="s">
        <v>2948</v>
      </c>
      <c r="D786" t="s">
        <v>40</v>
      </c>
      <c r="E786" t="s">
        <v>41</v>
      </c>
      <c r="J786" t="s">
        <v>190</v>
      </c>
      <c r="K786" t="s">
        <v>191</v>
      </c>
      <c r="L786">
        <v>7</v>
      </c>
      <c r="M786" t="s">
        <v>2945</v>
      </c>
      <c r="N786" t="s">
        <v>76</v>
      </c>
      <c r="O786" t="s">
        <v>47</v>
      </c>
      <c r="P786" t="s">
        <v>47</v>
      </c>
      <c r="Y786" t="s">
        <v>2949</v>
      </c>
    </row>
    <row r="787" spans="1:25">
      <c r="A787" t="s">
        <v>2950</v>
      </c>
      <c r="B787" t="s">
        <v>2951</v>
      </c>
      <c r="D787" t="s">
        <v>40</v>
      </c>
      <c r="E787" t="s">
        <v>41</v>
      </c>
      <c r="H787" t="s">
        <v>2952</v>
      </c>
      <c r="J787" t="s">
        <v>190</v>
      </c>
      <c r="K787" t="s">
        <v>191</v>
      </c>
      <c r="L787">
        <v>7</v>
      </c>
      <c r="M787" t="s">
        <v>2953</v>
      </c>
      <c r="N787" t="s">
        <v>76</v>
      </c>
      <c r="O787" t="s">
        <v>47</v>
      </c>
      <c r="P787" t="s">
        <v>47</v>
      </c>
      <c r="Y787" t="s">
        <v>2952</v>
      </c>
    </row>
    <row r="788" spans="1:25">
      <c r="A788" t="s">
        <v>2954</v>
      </c>
      <c r="B788" t="s">
        <v>2955</v>
      </c>
      <c r="D788" t="s">
        <v>40</v>
      </c>
      <c r="E788" t="s">
        <v>41</v>
      </c>
      <c r="H788" t="s">
        <v>2956</v>
      </c>
      <c r="J788" t="s">
        <v>261</v>
      </c>
      <c r="K788" t="s">
        <v>262</v>
      </c>
      <c r="L788">
        <v>7</v>
      </c>
      <c r="M788" t="s">
        <v>2953</v>
      </c>
      <c r="N788" t="s">
        <v>76</v>
      </c>
      <c r="O788" t="s">
        <v>47</v>
      </c>
      <c r="P788" t="s">
        <v>47</v>
      </c>
      <c r="Y788" t="s">
        <v>2956</v>
      </c>
    </row>
    <row r="789" spans="1:25">
      <c r="A789" t="s">
        <v>2957</v>
      </c>
      <c r="B789" t="s">
        <v>2958</v>
      </c>
      <c r="D789" t="s">
        <v>40</v>
      </c>
      <c r="E789" t="s">
        <v>41</v>
      </c>
      <c r="H789" t="s">
        <v>2959</v>
      </c>
      <c r="J789" t="s">
        <v>240</v>
      </c>
      <c r="K789" t="s">
        <v>241</v>
      </c>
      <c r="L789">
        <v>7</v>
      </c>
      <c r="M789" t="s">
        <v>2960</v>
      </c>
      <c r="N789" t="s">
        <v>76</v>
      </c>
      <c r="O789" t="s">
        <v>47</v>
      </c>
      <c r="P789" t="s">
        <v>47</v>
      </c>
      <c r="Y789" t="s">
        <v>2959</v>
      </c>
    </row>
    <row r="790" spans="1:25">
      <c r="A790" t="s">
        <v>2961</v>
      </c>
      <c r="B790" t="s">
        <v>2962</v>
      </c>
      <c r="D790" t="s">
        <v>40</v>
      </c>
      <c r="E790" t="s">
        <v>41</v>
      </c>
      <c r="H790" t="s">
        <v>2963</v>
      </c>
      <c r="J790" t="s">
        <v>240</v>
      </c>
      <c r="K790" t="s">
        <v>241</v>
      </c>
      <c r="L790">
        <v>7</v>
      </c>
      <c r="M790" t="s">
        <v>2960</v>
      </c>
      <c r="N790" t="s">
        <v>76</v>
      </c>
      <c r="O790" t="s">
        <v>47</v>
      </c>
      <c r="P790" t="s">
        <v>47</v>
      </c>
      <c r="Y790" t="s">
        <v>2963</v>
      </c>
    </row>
    <row r="791" spans="1:25">
      <c r="A791" t="s">
        <v>2964</v>
      </c>
      <c r="B791" t="s">
        <v>2965</v>
      </c>
      <c r="D791" t="s">
        <v>40</v>
      </c>
      <c r="E791" t="s">
        <v>41</v>
      </c>
      <c r="J791" t="s">
        <v>240</v>
      </c>
      <c r="K791" t="s">
        <v>241</v>
      </c>
      <c r="L791">
        <v>7</v>
      </c>
      <c r="M791" t="s">
        <v>2966</v>
      </c>
      <c r="N791" t="s">
        <v>76</v>
      </c>
      <c r="O791" t="s">
        <v>47</v>
      </c>
      <c r="P791" t="s">
        <v>47</v>
      </c>
      <c r="Y791" t="s">
        <v>2967</v>
      </c>
    </row>
    <row r="792" spans="1:25">
      <c r="A792" t="s">
        <v>2968</v>
      </c>
      <c r="B792" t="s">
        <v>2969</v>
      </c>
      <c r="D792" t="s">
        <v>40</v>
      </c>
      <c r="E792" t="s">
        <v>41</v>
      </c>
      <c r="H792" t="s">
        <v>2970</v>
      </c>
      <c r="J792" t="s">
        <v>261</v>
      </c>
      <c r="K792" t="s">
        <v>262</v>
      </c>
      <c r="L792">
        <v>7</v>
      </c>
      <c r="M792" t="s">
        <v>2971</v>
      </c>
      <c r="N792" t="s">
        <v>76</v>
      </c>
      <c r="O792" t="s">
        <v>47</v>
      </c>
      <c r="P792" t="s">
        <v>47</v>
      </c>
      <c r="Y792" t="s">
        <v>2970</v>
      </c>
    </row>
    <row r="793" spans="1:25">
      <c r="A793" t="s">
        <v>2972</v>
      </c>
      <c r="B793" t="s">
        <v>2973</v>
      </c>
      <c r="D793" t="s">
        <v>40</v>
      </c>
      <c r="E793" t="s">
        <v>41</v>
      </c>
      <c r="J793" t="s">
        <v>108</v>
      </c>
      <c r="K793" t="s">
        <v>109</v>
      </c>
      <c r="L793">
        <v>7</v>
      </c>
      <c r="M793" t="s">
        <v>2974</v>
      </c>
      <c r="N793" t="s">
        <v>202</v>
      </c>
      <c r="O793" t="s">
        <v>47</v>
      </c>
      <c r="P793" t="s">
        <v>47</v>
      </c>
      <c r="Y793" t="s">
        <v>2975</v>
      </c>
    </row>
    <row r="794" spans="1:25">
      <c r="A794" t="s">
        <v>2976</v>
      </c>
      <c r="B794" t="s">
        <v>2977</v>
      </c>
      <c r="D794" t="s">
        <v>40</v>
      </c>
      <c r="E794" t="s">
        <v>41</v>
      </c>
      <c r="H794" t="s">
        <v>2978</v>
      </c>
      <c r="J794" t="s">
        <v>190</v>
      </c>
      <c r="K794" t="s">
        <v>191</v>
      </c>
      <c r="L794">
        <v>7</v>
      </c>
      <c r="M794" t="s">
        <v>2974</v>
      </c>
      <c r="N794" t="s">
        <v>76</v>
      </c>
      <c r="O794" t="s">
        <v>47</v>
      </c>
      <c r="P794" t="s">
        <v>47</v>
      </c>
      <c r="Y794" t="s">
        <v>2978</v>
      </c>
    </row>
    <row r="795" spans="1:25">
      <c r="A795" t="s">
        <v>2979</v>
      </c>
      <c r="B795" t="s">
        <v>2980</v>
      </c>
      <c r="D795" t="s">
        <v>40</v>
      </c>
      <c r="E795" t="s">
        <v>41</v>
      </c>
      <c r="H795" t="s">
        <v>2981</v>
      </c>
      <c r="J795" t="s">
        <v>190</v>
      </c>
      <c r="K795" t="s">
        <v>191</v>
      </c>
      <c r="L795">
        <v>7</v>
      </c>
      <c r="M795" t="s">
        <v>2982</v>
      </c>
      <c r="N795" t="s">
        <v>76</v>
      </c>
      <c r="O795" t="s">
        <v>47</v>
      </c>
      <c r="P795" t="s">
        <v>47</v>
      </c>
      <c r="Y795" t="s">
        <v>2981</v>
      </c>
    </row>
    <row r="796" spans="1:25">
      <c r="A796" t="s">
        <v>2983</v>
      </c>
      <c r="B796" t="s">
        <v>2984</v>
      </c>
      <c r="D796" t="s">
        <v>40</v>
      </c>
      <c r="E796" t="s">
        <v>41</v>
      </c>
      <c r="H796" t="s">
        <v>2985</v>
      </c>
      <c r="J796" t="s">
        <v>240</v>
      </c>
      <c r="K796" t="s">
        <v>241</v>
      </c>
      <c r="L796">
        <v>7</v>
      </c>
      <c r="M796" t="s">
        <v>2986</v>
      </c>
      <c r="N796" t="s">
        <v>76</v>
      </c>
      <c r="O796" t="s">
        <v>47</v>
      </c>
      <c r="P796" t="s">
        <v>47</v>
      </c>
      <c r="Y796" t="s">
        <v>2985</v>
      </c>
    </row>
    <row r="797" spans="1:25">
      <c r="A797" t="s">
        <v>2987</v>
      </c>
      <c r="B797" t="s">
        <v>2988</v>
      </c>
      <c r="D797" t="s">
        <v>40</v>
      </c>
      <c r="E797" t="s">
        <v>41</v>
      </c>
      <c r="J797" t="s">
        <v>190</v>
      </c>
      <c r="K797" t="s">
        <v>191</v>
      </c>
      <c r="L797">
        <v>7</v>
      </c>
      <c r="M797" t="s">
        <v>2986</v>
      </c>
      <c r="N797" t="s">
        <v>76</v>
      </c>
      <c r="O797" t="s">
        <v>47</v>
      </c>
      <c r="P797" t="s">
        <v>47</v>
      </c>
      <c r="Y797" t="s">
        <v>2989</v>
      </c>
    </row>
    <row r="798" spans="1:25">
      <c r="A798" t="s">
        <v>2990</v>
      </c>
      <c r="B798" t="s">
        <v>2991</v>
      </c>
      <c r="D798" t="s">
        <v>40</v>
      </c>
      <c r="E798" t="s">
        <v>41</v>
      </c>
      <c r="H798" t="s">
        <v>2992</v>
      </c>
      <c r="J798" t="s">
        <v>73</v>
      </c>
      <c r="K798" t="s">
        <v>74</v>
      </c>
      <c r="L798">
        <v>7</v>
      </c>
      <c r="M798" t="s">
        <v>2993</v>
      </c>
      <c r="N798" t="s">
        <v>76</v>
      </c>
      <c r="O798" t="s">
        <v>47</v>
      </c>
      <c r="P798" t="s">
        <v>47</v>
      </c>
      <c r="Y798" t="s">
        <v>2992</v>
      </c>
    </row>
    <row r="799" spans="1:25">
      <c r="A799" t="s">
        <v>2994</v>
      </c>
      <c r="B799" t="s">
        <v>2995</v>
      </c>
      <c r="D799" t="s">
        <v>40</v>
      </c>
      <c r="E799" t="s">
        <v>41</v>
      </c>
      <c r="J799" t="s">
        <v>240</v>
      </c>
      <c r="K799" t="s">
        <v>241</v>
      </c>
      <c r="L799">
        <v>7</v>
      </c>
      <c r="M799" t="s">
        <v>2996</v>
      </c>
      <c r="N799" t="s">
        <v>76</v>
      </c>
      <c r="O799" t="s">
        <v>47</v>
      </c>
      <c r="P799" t="s">
        <v>47</v>
      </c>
      <c r="Y799" t="s">
        <v>2997</v>
      </c>
    </row>
    <row r="800" spans="1:25">
      <c r="A800" t="s">
        <v>2998</v>
      </c>
      <c r="B800" t="s">
        <v>2999</v>
      </c>
      <c r="D800" t="s">
        <v>40</v>
      </c>
      <c r="E800" t="s">
        <v>41</v>
      </c>
      <c r="J800" t="s">
        <v>190</v>
      </c>
      <c r="K800" t="s">
        <v>191</v>
      </c>
      <c r="L800">
        <v>7</v>
      </c>
      <c r="M800" t="s">
        <v>3000</v>
      </c>
      <c r="N800" t="s">
        <v>76</v>
      </c>
      <c r="O800" t="s">
        <v>47</v>
      </c>
      <c r="P800" t="s">
        <v>47</v>
      </c>
      <c r="Y800" t="s">
        <v>3001</v>
      </c>
    </row>
    <row r="801" spans="1:25">
      <c r="A801" t="s">
        <v>3002</v>
      </c>
      <c r="B801" t="s">
        <v>3003</v>
      </c>
      <c r="D801" t="s">
        <v>40</v>
      </c>
      <c r="E801" t="s">
        <v>41</v>
      </c>
      <c r="H801" t="s">
        <v>3004</v>
      </c>
      <c r="J801" t="s">
        <v>190</v>
      </c>
      <c r="K801" t="s">
        <v>191</v>
      </c>
      <c r="L801">
        <v>7</v>
      </c>
      <c r="M801" t="s">
        <v>3005</v>
      </c>
      <c r="N801" t="s">
        <v>76</v>
      </c>
      <c r="O801" t="s">
        <v>47</v>
      </c>
      <c r="P801" t="s">
        <v>47</v>
      </c>
      <c r="Y801" t="s">
        <v>3004</v>
      </c>
    </row>
    <row r="802" spans="1:25">
      <c r="A802" t="s">
        <v>3006</v>
      </c>
      <c r="B802" t="s">
        <v>3007</v>
      </c>
      <c r="D802" t="s">
        <v>40</v>
      </c>
      <c r="E802" t="s">
        <v>41</v>
      </c>
      <c r="J802" t="s">
        <v>190</v>
      </c>
      <c r="K802" t="s">
        <v>191</v>
      </c>
      <c r="L802">
        <v>7</v>
      </c>
      <c r="M802" t="s">
        <v>3005</v>
      </c>
      <c r="N802" t="s">
        <v>76</v>
      </c>
      <c r="O802" t="s">
        <v>47</v>
      </c>
      <c r="P802" t="s">
        <v>47</v>
      </c>
      <c r="Y802" t="s">
        <v>3008</v>
      </c>
    </row>
    <row r="803" spans="1:25">
      <c r="A803" t="s">
        <v>3009</v>
      </c>
      <c r="B803" t="s">
        <v>3010</v>
      </c>
      <c r="D803" t="s">
        <v>40</v>
      </c>
      <c r="E803" t="s">
        <v>41</v>
      </c>
      <c r="H803" t="s">
        <v>3011</v>
      </c>
      <c r="J803" t="s">
        <v>240</v>
      </c>
      <c r="K803" t="s">
        <v>241</v>
      </c>
      <c r="L803">
        <v>7</v>
      </c>
      <c r="M803" t="s">
        <v>3012</v>
      </c>
      <c r="N803" t="s">
        <v>76</v>
      </c>
      <c r="O803" t="s">
        <v>47</v>
      </c>
      <c r="P803" t="s">
        <v>47</v>
      </c>
      <c r="Y803" t="s">
        <v>3011</v>
      </c>
    </row>
    <row r="804" spans="1:25">
      <c r="A804" t="s">
        <v>3013</v>
      </c>
      <c r="B804" t="s">
        <v>3014</v>
      </c>
      <c r="D804" t="s">
        <v>40</v>
      </c>
      <c r="E804" t="s">
        <v>41</v>
      </c>
      <c r="H804" t="s">
        <v>3015</v>
      </c>
      <c r="J804" t="s">
        <v>318</v>
      </c>
      <c r="K804" t="s">
        <v>319</v>
      </c>
      <c r="L804">
        <v>7</v>
      </c>
      <c r="M804" t="s">
        <v>3016</v>
      </c>
      <c r="N804" t="s">
        <v>76</v>
      </c>
      <c r="O804" t="s">
        <v>47</v>
      </c>
      <c r="P804" t="s">
        <v>47</v>
      </c>
      <c r="Y804" t="s">
        <v>3015</v>
      </c>
    </row>
    <row r="805" spans="1:25">
      <c r="A805" t="s">
        <v>3017</v>
      </c>
      <c r="B805" t="s">
        <v>3018</v>
      </c>
      <c r="D805" t="s">
        <v>40</v>
      </c>
      <c r="E805" t="s">
        <v>41</v>
      </c>
      <c r="H805" t="s">
        <v>3019</v>
      </c>
      <c r="J805" t="s">
        <v>240</v>
      </c>
      <c r="K805" t="s">
        <v>241</v>
      </c>
      <c r="L805">
        <v>7</v>
      </c>
      <c r="M805" t="s">
        <v>3020</v>
      </c>
      <c r="N805" t="s">
        <v>76</v>
      </c>
      <c r="O805" t="s">
        <v>47</v>
      </c>
      <c r="P805" t="s">
        <v>47</v>
      </c>
      <c r="Y805" t="s">
        <v>3019</v>
      </c>
    </row>
    <row r="806" spans="1:25">
      <c r="A806" t="s">
        <v>3021</v>
      </c>
      <c r="B806" t="s">
        <v>3022</v>
      </c>
      <c r="D806" t="s">
        <v>40</v>
      </c>
      <c r="E806" t="s">
        <v>41</v>
      </c>
      <c r="J806" t="s">
        <v>190</v>
      </c>
      <c r="K806" t="s">
        <v>191</v>
      </c>
      <c r="L806">
        <v>7</v>
      </c>
      <c r="M806" t="s">
        <v>3023</v>
      </c>
      <c r="N806" t="s">
        <v>76</v>
      </c>
      <c r="O806" t="s">
        <v>47</v>
      </c>
      <c r="P806" t="s">
        <v>47</v>
      </c>
      <c r="Y806" t="s">
        <v>3024</v>
      </c>
    </row>
    <row r="807" spans="1:25">
      <c r="A807" t="s">
        <v>3025</v>
      </c>
      <c r="B807" t="s">
        <v>3026</v>
      </c>
      <c r="D807" t="s">
        <v>40</v>
      </c>
      <c r="E807" t="s">
        <v>41</v>
      </c>
      <c r="H807" t="s">
        <v>3027</v>
      </c>
      <c r="J807" t="s">
        <v>108</v>
      </c>
      <c r="K807" t="s">
        <v>109</v>
      </c>
      <c r="L807">
        <v>7</v>
      </c>
      <c r="M807" t="s">
        <v>3028</v>
      </c>
      <c r="N807" t="s">
        <v>46</v>
      </c>
      <c r="O807" t="s">
        <v>47</v>
      </c>
      <c r="P807" t="s">
        <v>47</v>
      </c>
      <c r="Y807" t="s">
        <v>3027</v>
      </c>
    </row>
    <row r="808" spans="1:25">
      <c r="A808" t="s">
        <v>3029</v>
      </c>
      <c r="B808" t="s">
        <v>3030</v>
      </c>
      <c r="D808" t="s">
        <v>40</v>
      </c>
      <c r="E808" t="s">
        <v>41</v>
      </c>
      <c r="J808" t="s">
        <v>108</v>
      </c>
      <c r="K808" t="s">
        <v>109</v>
      </c>
      <c r="L808">
        <v>7</v>
      </c>
      <c r="M808" t="s">
        <v>3031</v>
      </c>
      <c r="N808" t="s">
        <v>80</v>
      </c>
      <c r="O808" t="s">
        <v>47</v>
      </c>
      <c r="P808" t="s">
        <v>47</v>
      </c>
      <c r="Y808" t="s">
        <v>3032</v>
      </c>
    </row>
    <row r="809" spans="1:25">
      <c r="A809" t="s">
        <v>3033</v>
      </c>
      <c r="B809" t="s">
        <v>3034</v>
      </c>
      <c r="D809" t="s">
        <v>40</v>
      </c>
      <c r="E809" t="s">
        <v>41</v>
      </c>
      <c r="J809" t="s">
        <v>3035</v>
      </c>
      <c r="K809" t="s">
        <v>3036</v>
      </c>
      <c r="L809">
        <v>6</v>
      </c>
      <c r="M809" t="s">
        <v>3037</v>
      </c>
      <c r="N809" t="s">
        <v>202</v>
      </c>
      <c r="O809" t="s">
        <v>47</v>
      </c>
      <c r="P809" t="s">
        <v>47</v>
      </c>
      <c r="Y809" t="s">
        <v>3038</v>
      </c>
    </row>
    <row r="810" spans="1:25">
      <c r="A810" t="s">
        <v>3039</v>
      </c>
      <c r="B810" t="s">
        <v>3040</v>
      </c>
      <c r="D810" t="s">
        <v>40</v>
      </c>
      <c r="E810" t="s">
        <v>41</v>
      </c>
      <c r="J810" t="s">
        <v>3041</v>
      </c>
      <c r="K810" t="s">
        <v>3042</v>
      </c>
      <c r="L810">
        <v>7</v>
      </c>
      <c r="M810" t="s">
        <v>3043</v>
      </c>
      <c r="N810" t="s">
        <v>76</v>
      </c>
      <c r="O810" t="s">
        <v>47</v>
      </c>
      <c r="P810" t="s">
        <v>47</v>
      </c>
      <c r="Y810" t="s">
        <v>3044</v>
      </c>
    </row>
    <row r="811" spans="1:25">
      <c r="A811" t="s">
        <v>3045</v>
      </c>
      <c r="B811" t="s">
        <v>3046</v>
      </c>
      <c r="D811" t="s">
        <v>40</v>
      </c>
      <c r="E811" t="s">
        <v>41</v>
      </c>
      <c r="H811" t="s">
        <v>3047</v>
      </c>
      <c r="J811" t="s">
        <v>897</v>
      </c>
      <c r="K811" t="s">
        <v>898</v>
      </c>
      <c r="L811">
        <v>5</v>
      </c>
      <c r="M811" t="s">
        <v>3048</v>
      </c>
      <c r="N811" t="s">
        <v>103</v>
      </c>
      <c r="O811" t="s">
        <v>47</v>
      </c>
      <c r="P811" t="s">
        <v>47</v>
      </c>
      <c r="Y811" t="s">
        <v>3047</v>
      </c>
    </row>
    <row r="812" spans="1:25">
      <c r="A812" t="s">
        <v>3049</v>
      </c>
      <c r="B812" t="s">
        <v>3050</v>
      </c>
      <c r="D812" t="s">
        <v>40</v>
      </c>
      <c r="E812" t="s">
        <v>41</v>
      </c>
      <c r="J812" t="s">
        <v>3051</v>
      </c>
      <c r="K812" t="s">
        <v>3052</v>
      </c>
      <c r="L812">
        <v>6</v>
      </c>
      <c r="M812" t="s">
        <v>3053</v>
      </c>
      <c r="N812" t="s">
        <v>202</v>
      </c>
      <c r="O812" t="s">
        <v>47</v>
      </c>
      <c r="P812" t="s">
        <v>47</v>
      </c>
      <c r="Y812" t="s">
        <v>3054</v>
      </c>
    </row>
    <row r="813" spans="1:25">
      <c r="A813" t="s">
        <v>3055</v>
      </c>
      <c r="B813" t="s">
        <v>3056</v>
      </c>
      <c r="D813" t="s">
        <v>40</v>
      </c>
      <c r="E813" t="s">
        <v>41</v>
      </c>
      <c r="H813" t="s">
        <v>3057</v>
      </c>
      <c r="J813" t="s">
        <v>117</v>
      </c>
      <c r="K813" t="s">
        <v>118</v>
      </c>
      <c r="L813">
        <v>6</v>
      </c>
      <c r="M813" t="s">
        <v>3058</v>
      </c>
      <c r="N813" t="s">
        <v>80</v>
      </c>
      <c r="O813" t="s">
        <v>47</v>
      </c>
      <c r="P813" t="s">
        <v>47</v>
      </c>
      <c r="Y813" t="s">
        <v>3057</v>
      </c>
    </row>
    <row r="814" spans="1:25">
      <c r="A814" t="s">
        <v>3059</v>
      </c>
      <c r="B814" t="s">
        <v>3060</v>
      </c>
      <c r="D814" t="s">
        <v>40</v>
      </c>
      <c r="E814" t="s">
        <v>41</v>
      </c>
      <c r="H814" t="s">
        <v>3061</v>
      </c>
      <c r="J814" t="s">
        <v>117</v>
      </c>
      <c r="K814" t="s">
        <v>118</v>
      </c>
      <c r="L814">
        <v>6</v>
      </c>
      <c r="M814" t="s">
        <v>3062</v>
      </c>
      <c r="N814" t="s">
        <v>80</v>
      </c>
      <c r="O814" t="s">
        <v>47</v>
      </c>
      <c r="P814" t="s">
        <v>47</v>
      </c>
      <c r="Y814" t="s">
        <v>3061</v>
      </c>
    </row>
    <row r="815" spans="1:25">
      <c r="A815" t="s">
        <v>3063</v>
      </c>
      <c r="B815" t="s">
        <v>3064</v>
      </c>
      <c r="D815" t="s">
        <v>40</v>
      </c>
      <c r="E815" t="s">
        <v>41</v>
      </c>
      <c r="H815" t="s">
        <v>3065</v>
      </c>
      <c r="J815" t="s">
        <v>897</v>
      </c>
      <c r="K815" t="s">
        <v>898</v>
      </c>
      <c r="L815">
        <v>6</v>
      </c>
      <c r="M815" t="s">
        <v>3066</v>
      </c>
      <c r="N815" t="s">
        <v>103</v>
      </c>
      <c r="O815" t="s">
        <v>47</v>
      </c>
      <c r="P815" t="s">
        <v>47</v>
      </c>
      <c r="Y815" t="s">
        <v>3065</v>
      </c>
    </row>
    <row r="816" spans="1:25">
      <c r="A816" t="s">
        <v>3067</v>
      </c>
      <c r="B816" t="s">
        <v>3068</v>
      </c>
      <c r="D816" t="s">
        <v>40</v>
      </c>
      <c r="E816" t="s">
        <v>41</v>
      </c>
      <c r="H816" t="s">
        <v>3069</v>
      </c>
      <c r="J816" t="s">
        <v>279</v>
      </c>
      <c r="K816" t="s">
        <v>280</v>
      </c>
      <c r="L816">
        <v>6</v>
      </c>
      <c r="M816" t="s">
        <v>3070</v>
      </c>
      <c r="N816" t="s">
        <v>46</v>
      </c>
      <c r="O816" t="s">
        <v>47</v>
      </c>
      <c r="P816" t="s">
        <v>47</v>
      </c>
      <c r="Y816" t="s">
        <v>3069</v>
      </c>
    </row>
    <row r="817" spans="1:25">
      <c r="A817" t="s">
        <v>3071</v>
      </c>
      <c r="B817" t="s">
        <v>3072</v>
      </c>
      <c r="D817" t="s">
        <v>40</v>
      </c>
      <c r="E817" t="s">
        <v>41</v>
      </c>
      <c r="J817" t="s">
        <v>3073</v>
      </c>
      <c r="K817" t="s">
        <v>3074</v>
      </c>
      <c r="L817">
        <v>6</v>
      </c>
      <c r="M817" t="s">
        <v>3075</v>
      </c>
      <c r="N817" t="s">
        <v>46</v>
      </c>
      <c r="O817" t="s">
        <v>47</v>
      </c>
      <c r="P817" t="s">
        <v>47</v>
      </c>
      <c r="Y817" t="s">
        <v>3076</v>
      </c>
    </row>
    <row r="818" spans="1:25">
      <c r="A818" t="s">
        <v>3077</v>
      </c>
      <c r="B818" t="s">
        <v>3078</v>
      </c>
      <c r="D818" t="s">
        <v>40</v>
      </c>
      <c r="E818" t="s">
        <v>41</v>
      </c>
      <c r="H818" t="s">
        <v>3079</v>
      </c>
      <c r="J818" t="s">
        <v>279</v>
      </c>
      <c r="K818" t="s">
        <v>280</v>
      </c>
      <c r="L818">
        <v>6</v>
      </c>
      <c r="M818" t="s">
        <v>3080</v>
      </c>
      <c r="N818" t="s">
        <v>103</v>
      </c>
      <c r="O818" t="s">
        <v>47</v>
      </c>
      <c r="P818" t="s">
        <v>47</v>
      </c>
      <c r="Y818" t="s">
        <v>3079</v>
      </c>
    </row>
    <row r="819" spans="1:25">
      <c r="A819" t="s">
        <v>3081</v>
      </c>
      <c r="B819" t="s">
        <v>3082</v>
      </c>
      <c r="D819" t="s">
        <v>40</v>
      </c>
      <c r="E819" t="s">
        <v>41</v>
      </c>
      <c r="H819" t="s">
        <v>3083</v>
      </c>
      <c r="J819" t="s">
        <v>108</v>
      </c>
      <c r="K819" t="s">
        <v>109</v>
      </c>
      <c r="L819">
        <v>7</v>
      </c>
      <c r="M819" t="s">
        <v>3084</v>
      </c>
      <c r="N819" t="s">
        <v>202</v>
      </c>
      <c r="O819" t="s">
        <v>47</v>
      </c>
      <c r="P819" t="s">
        <v>47</v>
      </c>
      <c r="Y819" t="s">
        <v>3083</v>
      </c>
    </row>
    <row r="820" spans="1:25">
      <c r="A820" t="s">
        <v>3085</v>
      </c>
      <c r="B820" t="s">
        <v>3086</v>
      </c>
      <c r="D820" t="s">
        <v>40</v>
      </c>
      <c r="E820" t="s">
        <v>41</v>
      </c>
      <c r="H820" t="s">
        <v>3087</v>
      </c>
      <c r="J820" t="s">
        <v>108</v>
      </c>
      <c r="K820" t="s">
        <v>109</v>
      </c>
      <c r="L820">
        <v>8</v>
      </c>
      <c r="M820" t="s">
        <v>3088</v>
      </c>
      <c r="N820" t="s">
        <v>46</v>
      </c>
      <c r="O820" t="s">
        <v>47</v>
      </c>
      <c r="P820" t="s">
        <v>47</v>
      </c>
      <c r="Y820" t="s">
        <v>3087</v>
      </c>
    </row>
    <row r="821" spans="1:25">
      <c r="A821" t="s">
        <v>3089</v>
      </c>
      <c r="B821" t="s">
        <v>3090</v>
      </c>
      <c r="D821" t="s">
        <v>40</v>
      </c>
      <c r="E821" t="s">
        <v>41</v>
      </c>
      <c r="J821" t="s">
        <v>897</v>
      </c>
      <c r="K821" t="s">
        <v>898</v>
      </c>
      <c r="L821">
        <v>6</v>
      </c>
      <c r="M821" t="s">
        <v>3091</v>
      </c>
      <c r="N821" t="s">
        <v>103</v>
      </c>
      <c r="O821" t="s">
        <v>47</v>
      </c>
      <c r="P821" t="s">
        <v>47</v>
      </c>
      <c r="Y821" t="s">
        <v>3092</v>
      </c>
    </row>
    <row r="822" spans="1:25">
      <c r="A822" t="s">
        <v>3093</v>
      </c>
      <c r="B822" t="s">
        <v>3094</v>
      </c>
      <c r="D822" t="s">
        <v>40</v>
      </c>
      <c r="E822" t="s">
        <v>41</v>
      </c>
      <c r="H822" t="s">
        <v>3095</v>
      </c>
      <c r="J822" t="s">
        <v>897</v>
      </c>
      <c r="K822" t="s">
        <v>898</v>
      </c>
      <c r="L822">
        <v>6</v>
      </c>
      <c r="M822" t="s">
        <v>3096</v>
      </c>
      <c r="N822" t="s">
        <v>103</v>
      </c>
      <c r="O822" t="s">
        <v>47</v>
      </c>
      <c r="P822" t="s">
        <v>47</v>
      </c>
      <c r="Y822" t="s">
        <v>3095</v>
      </c>
    </row>
    <row r="823" spans="1:25">
      <c r="A823" t="s">
        <v>3097</v>
      </c>
      <c r="B823" t="s">
        <v>3098</v>
      </c>
      <c r="D823" t="s">
        <v>40</v>
      </c>
      <c r="E823" t="s">
        <v>41</v>
      </c>
      <c r="H823" t="s">
        <v>3099</v>
      </c>
      <c r="J823" t="s">
        <v>161</v>
      </c>
      <c r="K823" t="s">
        <v>162</v>
      </c>
      <c r="L823">
        <v>6</v>
      </c>
      <c r="M823" t="s">
        <v>3100</v>
      </c>
      <c r="N823" t="s">
        <v>80</v>
      </c>
      <c r="O823" t="s">
        <v>47</v>
      </c>
      <c r="P823" t="s">
        <v>47</v>
      </c>
      <c r="Y823" t="s">
        <v>3099</v>
      </c>
    </row>
    <row r="824" spans="1:25">
      <c r="A824" t="s">
        <v>3101</v>
      </c>
      <c r="B824" t="s">
        <v>3102</v>
      </c>
      <c r="D824" t="s">
        <v>40</v>
      </c>
      <c r="E824" t="s">
        <v>41</v>
      </c>
      <c r="J824" t="s">
        <v>279</v>
      </c>
      <c r="K824" t="s">
        <v>280</v>
      </c>
      <c r="L824">
        <v>6</v>
      </c>
      <c r="M824" t="s">
        <v>3103</v>
      </c>
      <c r="N824" t="s">
        <v>46</v>
      </c>
      <c r="O824" t="s">
        <v>47</v>
      </c>
      <c r="P824" t="s">
        <v>47</v>
      </c>
      <c r="Y824" t="s">
        <v>3104</v>
      </c>
    </row>
    <row r="825" spans="1:25">
      <c r="A825" t="s">
        <v>3105</v>
      </c>
      <c r="B825" t="s">
        <v>3106</v>
      </c>
      <c r="D825" t="s">
        <v>40</v>
      </c>
      <c r="E825" t="s">
        <v>41</v>
      </c>
      <c r="H825" t="s">
        <v>3107</v>
      </c>
      <c r="J825" t="s">
        <v>3041</v>
      </c>
      <c r="K825" t="s">
        <v>3042</v>
      </c>
      <c r="L825">
        <v>7</v>
      </c>
      <c r="M825" t="s">
        <v>3108</v>
      </c>
      <c r="N825" t="s">
        <v>76</v>
      </c>
      <c r="O825" t="s">
        <v>47</v>
      </c>
      <c r="P825" t="s">
        <v>47</v>
      </c>
      <c r="Y825" t="s">
        <v>3107</v>
      </c>
    </row>
    <row r="826" spans="1:25">
      <c r="A826" t="s">
        <v>3109</v>
      </c>
      <c r="B826" t="s">
        <v>3110</v>
      </c>
      <c r="D826" t="s">
        <v>40</v>
      </c>
      <c r="E826" t="s">
        <v>41</v>
      </c>
      <c r="J826" t="s">
        <v>897</v>
      </c>
      <c r="K826" t="s">
        <v>898</v>
      </c>
      <c r="L826">
        <v>6</v>
      </c>
      <c r="M826" t="s">
        <v>3111</v>
      </c>
      <c r="N826" t="s">
        <v>202</v>
      </c>
      <c r="O826" t="s">
        <v>47</v>
      </c>
      <c r="P826" t="s">
        <v>47</v>
      </c>
      <c r="Y826" t="s">
        <v>3112</v>
      </c>
    </row>
    <row r="827" spans="1:25">
      <c r="A827" t="s">
        <v>3113</v>
      </c>
      <c r="B827" t="s">
        <v>3114</v>
      </c>
      <c r="D827" t="s">
        <v>40</v>
      </c>
      <c r="E827" t="s">
        <v>41</v>
      </c>
      <c r="H827" t="s">
        <v>3115</v>
      </c>
      <c r="J827" t="s">
        <v>701</v>
      </c>
      <c r="K827" t="s">
        <v>702</v>
      </c>
      <c r="L827">
        <v>4</v>
      </c>
      <c r="M827" t="s">
        <v>3116</v>
      </c>
      <c r="N827" t="s">
        <v>202</v>
      </c>
      <c r="O827" t="s">
        <v>47</v>
      </c>
      <c r="P827" t="s">
        <v>47</v>
      </c>
      <c r="Y827" t="s">
        <v>3115</v>
      </c>
    </row>
    <row r="828" spans="1:25">
      <c r="A828" t="s">
        <v>3117</v>
      </c>
      <c r="B828" t="s">
        <v>3118</v>
      </c>
      <c r="D828" t="s">
        <v>40</v>
      </c>
      <c r="E828" t="s">
        <v>41</v>
      </c>
      <c r="J828" t="s">
        <v>701</v>
      </c>
      <c r="K828" t="s">
        <v>702</v>
      </c>
      <c r="L828">
        <v>6</v>
      </c>
      <c r="M828" t="s">
        <v>3119</v>
      </c>
      <c r="N828" t="s">
        <v>202</v>
      </c>
      <c r="O828" t="s">
        <v>47</v>
      </c>
      <c r="P828" t="s">
        <v>47</v>
      </c>
      <c r="Y828" t="s">
        <v>3120</v>
      </c>
    </row>
    <row r="829" spans="1:25">
      <c r="A829" t="s">
        <v>3121</v>
      </c>
      <c r="B829" t="s">
        <v>3122</v>
      </c>
      <c r="D829" t="s">
        <v>40</v>
      </c>
      <c r="E829" t="s">
        <v>41</v>
      </c>
      <c r="H829" t="s">
        <v>3123</v>
      </c>
      <c r="J829" t="s">
        <v>56</v>
      </c>
      <c r="K829" t="s">
        <v>57</v>
      </c>
      <c r="L829">
        <v>5</v>
      </c>
      <c r="M829" t="s">
        <v>3124</v>
      </c>
      <c r="N829" t="s">
        <v>46</v>
      </c>
      <c r="O829" t="s">
        <v>47</v>
      </c>
      <c r="P829" t="s">
        <v>47</v>
      </c>
      <c r="Y829" t="s">
        <v>3123</v>
      </c>
    </row>
    <row r="830" spans="1:25">
      <c r="A830" t="s">
        <v>3125</v>
      </c>
      <c r="B830" t="s">
        <v>3126</v>
      </c>
      <c r="D830" t="s">
        <v>40</v>
      </c>
      <c r="E830" t="s">
        <v>41</v>
      </c>
      <c r="J830" t="s">
        <v>3127</v>
      </c>
      <c r="K830" t="s">
        <v>3128</v>
      </c>
      <c r="L830">
        <v>6</v>
      </c>
      <c r="M830" t="s">
        <v>3129</v>
      </c>
      <c r="N830" t="s">
        <v>80</v>
      </c>
      <c r="O830" t="s">
        <v>47</v>
      </c>
      <c r="P830" t="s">
        <v>47</v>
      </c>
      <c r="Y830" t="s">
        <v>3130</v>
      </c>
    </row>
    <row r="831" spans="1:25">
      <c r="A831" t="s">
        <v>3131</v>
      </c>
      <c r="B831" t="s">
        <v>3132</v>
      </c>
      <c r="D831" t="s">
        <v>40</v>
      </c>
      <c r="E831" t="s">
        <v>41</v>
      </c>
      <c r="J831" t="s">
        <v>279</v>
      </c>
      <c r="K831" t="s">
        <v>280</v>
      </c>
      <c r="L831">
        <v>6</v>
      </c>
      <c r="M831" t="s">
        <v>3133</v>
      </c>
      <c r="N831" t="s">
        <v>46</v>
      </c>
      <c r="O831" t="s">
        <v>47</v>
      </c>
      <c r="P831" t="s">
        <v>47</v>
      </c>
      <c r="Y831" t="s">
        <v>3134</v>
      </c>
    </row>
    <row r="832" spans="1:25">
      <c r="A832" t="s">
        <v>3135</v>
      </c>
      <c r="B832" t="s">
        <v>3136</v>
      </c>
      <c r="D832" t="s">
        <v>40</v>
      </c>
      <c r="E832" t="s">
        <v>41</v>
      </c>
      <c r="J832" t="s">
        <v>3137</v>
      </c>
      <c r="K832" t="s">
        <v>3138</v>
      </c>
      <c r="L832">
        <v>6</v>
      </c>
      <c r="M832" t="s">
        <v>3139</v>
      </c>
      <c r="N832" t="s">
        <v>46</v>
      </c>
      <c r="O832" t="s">
        <v>47</v>
      </c>
      <c r="P832" t="s">
        <v>47</v>
      </c>
      <c r="Y832" t="s">
        <v>3140</v>
      </c>
    </row>
    <row r="833" spans="1:25">
      <c r="A833" t="s">
        <v>3141</v>
      </c>
      <c r="B833" t="s">
        <v>3142</v>
      </c>
      <c r="D833" t="s">
        <v>40</v>
      </c>
      <c r="E833" t="s">
        <v>41</v>
      </c>
      <c r="H833" t="s">
        <v>3143</v>
      </c>
      <c r="J833" t="s">
        <v>117</v>
      </c>
      <c r="K833" t="s">
        <v>118</v>
      </c>
      <c r="L833">
        <v>7</v>
      </c>
      <c r="M833" t="s">
        <v>3144</v>
      </c>
      <c r="N833" t="s">
        <v>46</v>
      </c>
      <c r="O833" t="s">
        <v>47</v>
      </c>
      <c r="P833" t="s">
        <v>47</v>
      </c>
      <c r="Y833" t="s">
        <v>3143</v>
      </c>
    </row>
    <row r="834" spans="1:25">
      <c r="A834" t="s">
        <v>3145</v>
      </c>
      <c r="B834" t="s">
        <v>3146</v>
      </c>
      <c r="D834" t="s">
        <v>40</v>
      </c>
      <c r="E834" t="s">
        <v>41</v>
      </c>
      <c r="H834" t="s">
        <v>3147</v>
      </c>
      <c r="J834" t="s">
        <v>3051</v>
      </c>
      <c r="K834" t="s">
        <v>3052</v>
      </c>
      <c r="L834">
        <v>6</v>
      </c>
      <c r="M834" t="s">
        <v>3148</v>
      </c>
      <c r="N834" t="s">
        <v>202</v>
      </c>
      <c r="O834" t="s">
        <v>47</v>
      </c>
      <c r="P834" t="s">
        <v>47</v>
      </c>
      <c r="Y834" t="s">
        <v>3147</v>
      </c>
    </row>
    <row r="835" spans="1:25">
      <c r="A835" t="s">
        <v>3149</v>
      </c>
      <c r="B835" t="s">
        <v>3150</v>
      </c>
      <c r="D835" t="s">
        <v>40</v>
      </c>
      <c r="E835" t="s">
        <v>41</v>
      </c>
      <c r="J835" t="s">
        <v>279</v>
      </c>
      <c r="K835" t="s">
        <v>280</v>
      </c>
      <c r="L835">
        <v>6</v>
      </c>
      <c r="M835" t="s">
        <v>3151</v>
      </c>
      <c r="N835" t="s">
        <v>46</v>
      </c>
      <c r="O835" t="s">
        <v>47</v>
      </c>
      <c r="P835" t="s">
        <v>47</v>
      </c>
      <c r="Y835" t="s">
        <v>3152</v>
      </c>
    </row>
    <row r="836" spans="1:25">
      <c r="A836" t="s">
        <v>3153</v>
      </c>
      <c r="B836" t="s">
        <v>3154</v>
      </c>
      <c r="D836" t="s">
        <v>40</v>
      </c>
      <c r="E836" t="s">
        <v>41</v>
      </c>
      <c r="J836" t="s">
        <v>3137</v>
      </c>
      <c r="K836" t="s">
        <v>3138</v>
      </c>
      <c r="L836">
        <v>6</v>
      </c>
      <c r="M836" t="s">
        <v>3155</v>
      </c>
      <c r="N836" t="s">
        <v>46</v>
      </c>
      <c r="O836" t="s">
        <v>47</v>
      </c>
      <c r="P836" t="s">
        <v>47</v>
      </c>
      <c r="Y836" t="s">
        <v>3156</v>
      </c>
    </row>
    <row r="837" spans="1:25">
      <c r="A837" t="s">
        <v>3157</v>
      </c>
      <c r="B837" t="s">
        <v>3158</v>
      </c>
      <c r="D837" t="s">
        <v>40</v>
      </c>
      <c r="E837" t="s">
        <v>41</v>
      </c>
      <c r="J837" t="s">
        <v>590</v>
      </c>
      <c r="K837" t="s">
        <v>591</v>
      </c>
      <c r="L837">
        <v>6</v>
      </c>
      <c r="M837" t="s">
        <v>3159</v>
      </c>
      <c r="N837" t="s">
        <v>80</v>
      </c>
      <c r="O837" t="s">
        <v>47</v>
      </c>
      <c r="P837" t="s">
        <v>47</v>
      </c>
      <c r="Y837" t="s">
        <v>3160</v>
      </c>
    </row>
    <row r="838" spans="1:25">
      <c r="A838" t="s">
        <v>3161</v>
      </c>
      <c r="B838" t="s">
        <v>3162</v>
      </c>
      <c r="D838" t="s">
        <v>40</v>
      </c>
      <c r="E838" t="s">
        <v>41</v>
      </c>
      <c r="H838" t="s">
        <v>3163</v>
      </c>
      <c r="J838" t="s">
        <v>318</v>
      </c>
      <c r="K838" t="s">
        <v>319</v>
      </c>
      <c r="L838">
        <v>7</v>
      </c>
      <c r="M838" t="s">
        <v>3164</v>
      </c>
      <c r="N838" t="s">
        <v>76</v>
      </c>
      <c r="O838" t="s">
        <v>47</v>
      </c>
      <c r="P838" t="s">
        <v>47</v>
      </c>
      <c r="Y838" t="s">
        <v>3163</v>
      </c>
    </row>
    <row r="839" spans="1:25">
      <c r="A839" t="s">
        <v>3165</v>
      </c>
      <c r="B839" t="s">
        <v>3166</v>
      </c>
      <c r="D839" t="s">
        <v>40</v>
      </c>
      <c r="E839" t="s">
        <v>41</v>
      </c>
      <c r="J839" t="s">
        <v>318</v>
      </c>
      <c r="K839" t="s">
        <v>319</v>
      </c>
      <c r="L839">
        <v>7</v>
      </c>
      <c r="M839" t="s">
        <v>3167</v>
      </c>
      <c r="N839" t="s">
        <v>76</v>
      </c>
      <c r="O839" t="s">
        <v>47</v>
      </c>
      <c r="P839" t="s">
        <v>47</v>
      </c>
      <c r="Y839" t="s">
        <v>3168</v>
      </c>
    </row>
    <row r="840" spans="1:25">
      <c r="A840" t="s">
        <v>3169</v>
      </c>
      <c r="B840" t="s">
        <v>3170</v>
      </c>
      <c r="D840" t="s">
        <v>40</v>
      </c>
      <c r="E840" t="s">
        <v>41</v>
      </c>
      <c r="J840" t="s">
        <v>117</v>
      </c>
      <c r="K840" t="s">
        <v>118</v>
      </c>
      <c r="L840">
        <v>4</v>
      </c>
      <c r="M840" t="s">
        <v>3171</v>
      </c>
      <c r="N840" t="s">
        <v>80</v>
      </c>
      <c r="O840" t="s">
        <v>47</v>
      </c>
      <c r="P840" t="s">
        <v>47</v>
      </c>
      <c r="Y840" t="s">
        <v>3172</v>
      </c>
    </row>
    <row r="841" spans="1:25">
      <c r="A841" t="s">
        <v>3173</v>
      </c>
      <c r="B841" t="s">
        <v>3174</v>
      </c>
      <c r="D841" t="s">
        <v>40</v>
      </c>
      <c r="E841" t="s">
        <v>41</v>
      </c>
      <c r="J841" t="s">
        <v>590</v>
      </c>
      <c r="K841" t="s">
        <v>591</v>
      </c>
      <c r="L841">
        <v>4</v>
      </c>
      <c r="M841" t="s">
        <v>3175</v>
      </c>
      <c r="N841" t="s">
        <v>80</v>
      </c>
      <c r="O841" t="s">
        <v>47</v>
      </c>
      <c r="P841" t="s">
        <v>47</v>
      </c>
      <c r="Y841" t="s">
        <v>3176</v>
      </c>
    </row>
    <row r="842" spans="1:25">
      <c r="A842" t="s">
        <v>3177</v>
      </c>
      <c r="B842" t="s">
        <v>3178</v>
      </c>
      <c r="D842" t="s">
        <v>40</v>
      </c>
      <c r="E842" t="s">
        <v>41</v>
      </c>
      <c r="H842" t="s">
        <v>3179</v>
      </c>
      <c r="J842" t="s">
        <v>3051</v>
      </c>
      <c r="K842" t="s">
        <v>3052</v>
      </c>
      <c r="L842">
        <v>5</v>
      </c>
      <c r="M842" t="s">
        <v>3180</v>
      </c>
      <c r="N842" t="s">
        <v>202</v>
      </c>
      <c r="O842" t="s">
        <v>47</v>
      </c>
      <c r="P842" t="s">
        <v>47</v>
      </c>
      <c r="Y842" t="s">
        <v>3179</v>
      </c>
    </row>
    <row r="843" spans="1:25">
      <c r="A843" t="s">
        <v>3181</v>
      </c>
      <c r="B843" t="s">
        <v>3182</v>
      </c>
      <c r="D843" t="s">
        <v>40</v>
      </c>
      <c r="E843" t="s">
        <v>41</v>
      </c>
      <c r="J843" t="s">
        <v>3137</v>
      </c>
      <c r="K843" t="s">
        <v>3138</v>
      </c>
      <c r="L843">
        <v>4</v>
      </c>
      <c r="M843" t="s">
        <v>3183</v>
      </c>
      <c r="N843" t="s">
        <v>46</v>
      </c>
      <c r="O843" t="s">
        <v>47</v>
      </c>
      <c r="P843" t="s">
        <v>47</v>
      </c>
      <c r="Y843" t="s">
        <v>3184</v>
      </c>
    </row>
    <row r="844" spans="1:25">
      <c r="A844" t="s">
        <v>3185</v>
      </c>
      <c r="B844" t="s">
        <v>3186</v>
      </c>
      <c r="D844" t="s">
        <v>40</v>
      </c>
      <c r="E844" t="s">
        <v>41</v>
      </c>
      <c r="J844" t="s">
        <v>3187</v>
      </c>
      <c r="K844" t="s">
        <v>3188</v>
      </c>
      <c r="L844">
        <v>4</v>
      </c>
      <c r="M844" t="s">
        <v>3189</v>
      </c>
      <c r="N844" t="s">
        <v>80</v>
      </c>
      <c r="O844" t="s">
        <v>47</v>
      </c>
      <c r="P844" t="s">
        <v>47</v>
      </c>
      <c r="Y844" t="s">
        <v>3190</v>
      </c>
    </row>
    <row r="845" spans="1:25">
      <c r="A845" t="s">
        <v>3191</v>
      </c>
      <c r="B845" t="s">
        <v>3192</v>
      </c>
      <c r="D845" t="s">
        <v>40</v>
      </c>
      <c r="E845" t="s">
        <v>41</v>
      </c>
      <c r="J845" t="s">
        <v>3051</v>
      </c>
      <c r="K845" t="s">
        <v>3052</v>
      </c>
      <c r="L845">
        <v>4</v>
      </c>
      <c r="M845" t="s">
        <v>3193</v>
      </c>
      <c r="N845" t="s">
        <v>202</v>
      </c>
      <c r="O845" t="s">
        <v>47</v>
      </c>
      <c r="P845" t="s">
        <v>47</v>
      </c>
      <c r="Y845" t="s">
        <v>3194</v>
      </c>
    </row>
    <row r="846" spans="1:25">
      <c r="A846" t="s">
        <v>3195</v>
      </c>
      <c r="B846" t="s">
        <v>3196</v>
      </c>
      <c r="D846" t="s">
        <v>40</v>
      </c>
      <c r="E846" t="s">
        <v>41</v>
      </c>
      <c r="J846" t="s">
        <v>3137</v>
      </c>
      <c r="K846" t="s">
        <v>3138</v>
      </c>
      <c r="L846">
        <v>4</v>
      </c>
      <c r="M846" t="s">
        <v>3197</v>
      </c>
      <c r="N846" t="s">
        <v>46</v>
      </c>
      <c r="O846" t="s">
        <v>47</v>
      </c>
      <c r="P846" t="s">
        <v>47</v>
      </c>
      <c r="Y846" t="s">
        <v>3198</v>
      </c>
    </row>
    <row r="847" spans="1:25">
      <c r="A847" t="s">
        <v>3199</v>
      </c>
      <c r="B847" t="s">
        <v>3200</v>
      </c>
      <c r="D847" t="s">
        <v>40</v>
      </c>
      <c r="E847" t="s">
        <v>41</v>
      </c>
      <c r="H847" t="s">
        <v>3201</v>
      </c>
      <c r="J847" t="s">
        <v>117</v>
      </c>
      <c r="K847" t="s">
        <v>118</v>
      </c>
      <c r="L847">
        <v>5</v>
      </c>
      <c r="M847" t="s">
        <v>3202</v>
      </c>
      <c r="N847" t="s">
        <v>80</v>
      </c>
      <c r="O847" t="s">
        <v>47</v>
      </c>
      <c r="P847" t="s">
        <v>47</v>
      </c>
      <c r="Y847" t="s">
        <v>3201</v>
      </c>
    </row>
    <row r="848" spans="1:25">
      <c r="A848" t="s">
        <v>3203</v>
      </c>
      <c r="B848" t="s">
        <v>3204</v>
      </c>
      <c r="D848" t="s">
        <v>40</v>
      </c>
      <c r="E848" t="s">
        <v>41</v>
      </c>
      <c r="J848" t="s">
        <v>279</v>
      </c>
      <c r="K848" t="s">
        <v>280</v>
      </c>
      <c r="L848">
        <v>4</v>
      </c>
      <c r="M848" t="s">
        <v>3205</v>
      </c>
      <c r="N848" t="s">
        <v>46</v>
      </c>
      <c r="O848" t="s">
        <v>47</v>
      </c>
      <c r="P848" t="s">
        <v>47</v>
      </c>
      <c r="Y848" t="s">
        <v>3206</v>
      </c>
    </row>
    <row r="849" spans="1:25">
      <c r="A849" t="s">
        <v>3207</v>
      </c>
      <c r="B849" t="s">
        <v>3208</v>
      </c>
      <c r="D849" t="s">
        <v>40</v>
      </c>
      <c r="E849" t="s">
        <v>41</v>
      </c>
      <c r="J849" t="s">
        <v>897</v>
      </c>
      <c r="K849" t="s">
        <v>898</v>
      </c>
      <c r="L849">
        <v>4</v>
      </c>
      <c r="M849" t="s">
        <v>3209</v>
      </c>
      <c r="N849" t="s">
        <v>80</v>
      </c>
      <c r="O849" t="s">
        <v>47</v>
      </c>
      <c r="P849" t="s">
        <v>47</v>
      </c>
      <c r="Y849" t="s">
        <v>3210</v>
      </c>
    </row>
    <row r="850" spans="1:25">
      <c r="A850" t="s">
        <v>3211</v>
      </c>
      <c r="B850" t="s">
        <v>3212</v>
      </c>
      <c r="D850" t="s">
        <v>40</v>
      </c>
      <c r="E850" t="s">
        <v>41</v>
      </c>
      <c r="J850" t="s">
        <v>279</v>
      </c>
      <c r="K850" t="s">
        <v>280</v>
      </c>
      <c r="L850">
        <v>4</v>
      </c>
      <c r="M850" t="s">
        <v>3213</v>
      </c>
      <c r="N850" t="s">
        <v>103</v>
      </c>
      <c r="O850" t="s">
        <v>47</v>
      </c>
      <c r="P850" t="s">
        <v>47</v>
      </c>
      <c r="Y850" t="s">
        <v>3214</v>
      </c>
    </row>
    <row r="851" spans="1:25">
      <c r="A851" t="s">
        <v>3215</v>
      </c>
      <c r="B851" t="s">
        <v>3216</v>
      </c>
      <c r="D851" t="s">
        <v>40</v>
      </c>
      <c r="E851" t="s">
        <v>41</v>
      </c>
      <c r="H851" t="s">
        <v>3217</v>
      </c>
      <c r="J851" t="s">
        <v>590</v>
      </c>
      <c r="K851" t="s">
        <v>591</v>
      </c>
      <c r="L851">
        <v>4</v>
      </c>
      <c r="M851" t="s">
        <v>3218</v>
      </c>
      <c r="N851" t="s">
        <v>80</v>
      </c>
      <c r="O851" t="s">
        <v>47</v>
      </c>
      <c r="P851" t="s">
        <v>47</v>
      </c>
      <c r="Y851" t="s">
        <v>3217</v>
      </c>
    </row>
    <row r="852" spans="1:25">
      <c r="A852" t="s">
        <v>3219</v>
      </c>
      <c r="B852" t="s">
        <v>3220</v>
      </c>
      <c r="D852" t="s">
        <v>40</v>
      </c>
      <c r="E852" t="s">
        <v>41</v>
      </c>
      <c r="J852" t="s">
        <v>279</v>
      </c>
      <c r="K852" t="s">
        <v>280</v>
      </c>
      <c r="L852">
        <v>4</v>
      </c>
      <c r="M852" t="s">
        <v>3221</v>
      </c>
      <c r="N852" t="s">
        <v>103</v>
      </c>
      <c r="O852" t="s">
        <v>47</v>
      </c>
      <c r="P852" t="s">
        <v>47</v>
      </c>
      <c r="Y852" t="s">
        <v>3222</v>
      </c>
    </row>
    <row r="853" spans="1:25">
      <c r="A853" t="s">
        <v>3223</v>
      </c>
      <c r="B853" t="s">
        <v>3224</v>
      </c>
      <c r="D853" t="s">
        <v>40</v>
      </c>
      <c r="E853" t="s">
        <v>41</v>
      </c>
      <c r="J853" t="s">
        <v>279</v>
      </c>
      <c r="K853" t="s">
        <v>280</v>
      </c>
      <c r="L853">
        <v>4</v>
      </c>
      <c r="M853" t="s">
        <v>3225</v>
      </c>
      <c r="N853" t="s">
        <v>103</v>
      </c>
      <c r="O853" t="s">
        <v>47</v>
      </c>
      <c r="P853" t="s">
        <v>47</v>
      </c>
      <c r="Y853" t="s">
        <v>3226</v>
      </c>
    </row>
    <row r="854" spans="1:25">
      <c r="A854" t="s">
        <v>3227</v>
      </c>
      <c r="B854" t="s">
        <v>3228</v>
      </c>
      <c r="D854" t="s">
        <v>40</v>
      </c>
      <c r="E854" t="s">
        <v>41</v>
      </c>
      <c r="J854" t="s">
        <v>3137</v>
      </c>
      <c r="K854" t="s">
        <v>3138</v>
      </c>
      <c r="L854">
        <v>4</v>
      </c>
      <c r="M854" t="s">
        <v>3229</v>
      </c>
      <c r="N854" t="s">
        <v>46</v>
      </c>
      <c r="O854" t="s">
        <v>47</v>
      </c>
      <c r="P854" t="s">
        <v>47</v>
      </c>
      <c r="Y854" t="s">
        <v>3230</v>
      </c>
    </row>
    <row r="855" spans="1:25">
      <c r="A855" t="s">
        <v>3231</v>
      </c>
      <c r="B855" t="s">
        <v>3232</v>
      </c>
      <c r="D855" t="s">
        <v>40</v>
      </c>
      <c r="E855" t="s">
        <v>41</v>
      </c>
      <c r="J855" t="s">
        <v>897</v>
      </c>
      <c r="K855" t="s">
        <v>898</v>
      </c>
      <c r="L855">
        <v>4</v>
      </c>
      <c r="M855" t="s">
        <v>3233</v>
      </c>
      <c r="N855" t="s">
        <v>80</v>
      </c>
      <c r="O855" t="s">
        <v>47</v>
      </c>
      <c r="P855" t="s">
        <v>47</v>
      </c>
      <c r="Y855" t="s">
        <v>3234</v>
      </c>
    </row>
    <row r="856" spans="1:25">
      <c r="A856" t="s">
        <v>3235</v>
      </c>
      <c r="B856" t="s">
        <v>3236</v>
      </c>
      <c r="D856" t="s">
        <v>40</v>
      </c>
      <c r="E856" t="s">
        <v>41</v>
      </c>
      <c r="H856" t="s">
        <v>3237</v>
      </c>
      <c r="J856" t="s">
        <v>701</v>
      </c>
      <c r="K856" t="s">
        <v>702</v>
      </c>
      <c r="L856">
        <v>4</v>
      </c>
      <c r="M856" t="s">
        <v>3238</v>
      </c>
      <c r="N856" t="s">
        <v>80</v>
      </c>
      <c r="O856" t="s">
        <v>47</v>
      </c>
      <c r="P856" t="s">
        <v>47</v>
      </c>
      <c r="Y856" t="s">
        <v>3237</v>
      </c>
    </row>
    <row r="857" spans="1:25">
      <c r="A857" t="s">
        <v>3239</v>
      </c>
      <c r="B857" t="s">
        <v>3240</v>
      </c>
      <c r="D857" t="s">
        <v>40</v>
      </c>
      <c r="E857" t="s">
        <v>41</v>
      </c>
      <c r="J857" t="s">
        <v>56</v>
      </c>
      <c r="K857" t="s">
        <v>57</v>
      </c>
      <c r="L857">
        <v>4</v>
      </c>
      <c r="M857" t="s">
        <v>3241</v>
      </c>
      <c r="N857" t="s">
        <v>80</v>
      </c>
      <c r="O857" t="s">
        <v>47</v>
      </c>
      <c r="P857" t="s">
        <v>47</v>
      </c>
      <c r="Y857" t="s">
        <v>3242</v>
      </c>
    </row>
    <row r="858" spans="1:25">
      <c r="A858" t="s">
        <v>3243</v>
      </c>
      <c r="B858" t="s">
        <v>3244</v>
      </c>
      <c r="D858" t="s">
        <v>40</v>
      </c>
      <c r="E858" t="s">
        <v>41</v>
      </c>
      <c r="H858" t="s">
        <v>3245</v>
      </c>
      <c r="J858" t="s">
        <v>117</v>
      </c>
      <c r="K858" t="s">
        <v>118</v>
      </c>
      <c r="L858">
        <v>4</v>
      </c>
      <c r="M858" t="s">
        <v>3246</v>
      </c>
      <c r="N858" t="s">
        <v>80</v>
      </c>
      <c r="O858" t="s">
        <v>47</v>
      </c>
      <c r="P858" t="s">
        <v>47</v>
      </c>
      <c r="Y858" t="s">
        <v>3245</v>
      </c>
    </row>
    <row r="859" spans="1:25">
      <c r="A859" t="s">
        <v>3247</v>
      </c>
      <c r="B859" t="s">
        <v>3248</v>
      </c>
      <c r="D859" t="s">
        <v>40</v>
      </c>
      <c r="E859" t="s">
        <v>41</v>
      </c>
      <c r="J859" t="s">
        <v>3127</v>
      </c>
      <c r="K859" t="s">
        <v>3128</v>
      </c>
      <c r="L859">
        <v>4</v>
      </c>
      <c r="M859" t="s">
        <v>3249</v>
      </c>
      <c r="N859" t="s">
        <v>80</v>
      </c>
      <c r="O859" t="s">
        <v>47</v>
      </c>
      <c r="P859" t="s">
        <v>47</v>
      </c>
      <c r="Y859" t="s">
        <v>3250</v>
      </c>
    </row>
    <row r="860" spans="1:25">
      <c r="A860" t="s">
        <v>3251</v>
      </c>
      <c r="B860" t="s">
        <v>3252</v>
      </c>
      <c r="D860" t="s">
        <v>40</v>
      </c>
      <c r="E860" t="s">
        <v>41</v>
      </c>
      <c r="J860" t="s">
        <v>279</v>
      </c>
      <c r="K860" t="s">
        <v>280</v>
      </c>
      <c r="L860">
        <v>4</v>
      </c>
      <c r="M860" t="s">
        <v>3253</v>
      </c>
      <c r="N860" t="s">
        <v>80</v>
      </c>
      <c r="O860" t="s">
        <v>47</v>
      </c>
      <c r="P860" t="s">
        <v>47</v>
      </c>
      <c r="Y860" t="s">
        <v>3254</v>
      </c>
    </row>
    <row r="861" spans="1:25">
      <c r="A861" t="s">
        <v>3255</v>
      </c>
      <c r="B861" t="s">
        <v>3256</v>
      </c>
      <c r="D861" t="s">
        <v>40</v>
      </c>
      <c r="E861" t="s">
        <v>41</v>
      </c>
      <c r="H861" t="s">
        <v>3257</v>
      </c>
      <c r="J861" t="s">
        <v>279</v>
      </c>
      <c r="K861" t="s">
        <v>280</v>
      </c>
      <c r="L861">
        <v>4</v>
      </c>
      <c r="M861" t="s">
        <v>3258</v>
      </c>
      <c r="N861" t="s">
        <v>103</v>
      </c>
      <c r="O861" t="s">
        <v>47</v>
      </c>
      <c r="P861" t="s">
        <v>47</v>
      </c>
      <c r="Y861" t="s">
        <v>3257</v>
      </c>
    </row>
    <row r="862" spans="1:25">
      <c r="A862" t="s">
        <v>3259</v>
      </c>
      <c r="B862" t="s">
        <v>3260</v>
      </c>
      <c r="D862" t="s">
        <v>40</v>
      </c>
      <c r="E862" t="s">
        <v>41</v>
      </c>
      <c r="J862" t="s">
        <v>117</v>
      </c>
      <c r="K862" t="s">
        <v>118</v>
      </c>
      <c r="L862">
        <v>4</v>
      </c>
      <c r="M862" t="s">
        <v>3261</v>
      </c>
      <c r="N862" t="s">
        <v>80</v>
      </c>
      <c r="O862" t="s">
        <v>47</v>
      </c>
      <c r="P862" t="s">
        <v>47</v>
      </c>
      <c r="Y862" t="s">
        <v>3262</v>
      </c>
    </row>
    <row r="863" spans="1:25">
      <c r="A863" t="s">
        <v>3263</v>
      </c>
      <c r="B863" t="s">
        <v>3264</v>
      </c>
      <c r="D863" t="s">
        <v>40</v>
      </c>
      <c r="E863" t="s">
        <v>41</v>
      </c>
      <c r="H863" t="s">
        <v>3265</v>
      </c>
      <c r="J863" t="s">
        <v>3035</v>
      </c>
      <c r="K863" t="s">
        <v>3036</v>
      </c>
      <c r="L863">
        <v>4</v>
      </c>
      <c r="M863" t="s">
        <v>3266</v>
      </c>
      <c r="N863" t="s">
        <v>80</v>
      </c>
      <c r="O863" t="s">
        <v>47</v>
      </c>
      <c r="P863" t="s">
        <v>47</v>
      </c>
      <c r="Y863" t="s">
        <v>3265</v>
      </c>
    </row>
    <row r="864" spans="1:25">
      <c r="A864" t="s">
        <v>3267</v>
      </c>
      <c r="B864" t="s">
        <v>3268</v>
      </c>
      <c r="D864" t="s">
        <v>40</v>
      </c>
      <c r="E864" t="s">
        <v>41</v>
      </c>
      <c r="H864" t="s">
        <v>3269</v>
      </c>
      <c r="J864" t="s">
        <v>279</v>
      </c>
      <c r="K864" t="s">
        <v>280</v>
      </c>
      <c r="L864">
        <v>4</v>
      </c>
      <c r="M864" t="s">
        <v>3270</v>
      </c>
      <c r="N864" t="s">
        <v>103</v>
      </c>
      <c r="O864" t="s">
        <v>47</v>
      </c>
      <c r="P864" t="s">
        <v>47</v>
      </c>
      <c r="Y864" t="s">
        <v>3269</v>
      </c>
    </row>
    <row r="865" spans="1:25">
      <c r="A865" t="s">
        <v>3271</v>
      </c>
      <c r="B865" t="s">
        <v>3272</v>
      </c>
      <c r="D865" t="s">
        <v>40</v>
      </c>
      <c r="E865" t="s">
        <v>41</v>
      </c>
      <c r="J865" t="s">
        <v>701</v>
      </c>
      <c r="K865" t="s">
        <v>702</v>
      </c>
      <c r="L865">
        <v>4</v>
      </c>
      <c r="M865" t="s">
        <v>3273</v>
      </c>
      <c r="N865" t="s">
        <v>202</v>
      </c>
      <c r="O865" t="s">
        <v>47</v>
      </c>
      <c r="P865" t="s">
        <v>47</v>
      </c>
      <c r="Y865" t="s">
        <v>3274</v>
      </c>
    </row>
    <row r="866" spans="1:25">
      <c r="A866" t="s">
        <v>3275</v>
      </c>
      <c r="B866" t="s">
        <v>3276</v>
      </c>
      <c r="D866" t="s">
        <v>40</v>
      </c>
      <c r="E866" t="s">
        <v>41</v>
      </c>
      <c r="J866" t="s">
        <v>701</v>
      </c>
      <c r="K866" t="s">
        <v>702</v>
      </c>
      <c r="L866">
        <v>4</v>
      </c>
      <c r="M866" t="s">
        <v>3277</v>
      </c>
      <c r="N866" t="s">
        <v>80</v>
      </c>
      <c r="O866" t="s">
        <v>47</v>
      </c>
      <c r="P866" t="s">
        <v>47</v>
      </c>
      <c r="Y866" t="s">
        <v>3278</v>
      </c>
    </row>
    <row r="867" spans="1:25">
      <c r="A867" t="s">
        <v>3279</v>
      </c>
      <c r="B867" t="s">
        <v>3280</v>
      </c>
      <c r="D867" t="s">
        <v>40</v>
      </c>
      <c r="E867" t="s">
        <v>41</v>
      </c>
      <c r="J867" t="s">
        <v>117</v>
      </c>
      <c r="K867" t="s">
        <v>118</v>
      </c>
      <c r="L867">
        <v>4</v>
      </c>
      <c r="M867" t="s">
        <v>3281</v>
      </c>
      <c r="N867" t="s">
        <v>80</v>
      </c>
      <c r="O867" t="s">
        <v>47</v>
      </c>
      <c r="P867" t="s">
        <v>47</v>
      </c>
      <c r="Y867" t="s">
        <v>3282</v>
      </c>
    </row>
    <row r="868" spans="1:25">
      <c r="A868" t="s">
        <v>3283</v>
      </c>
      <c r="B868" t="s">
        <v>3284</v>
      </c>
      <c r="D868" t="s">
        <v>40</v>
      </c>
      <c r="E868" t="s">
        <v>41</v>
      </c>
      <c r="J868" t="s">
        <v>3035</v>
      </c>
      <c r="K868" t="s">
        <v>3036</v>
      </c>
      <c r="L868">
        <v>4</v>
      </c>
      <c r="M868" t="s">
        <v>3285</v>
      </c>
      <c r="N868" t="s">
        <v>202</v>
      </c>
      <c r="O868" t="s">
        <v>47</v>
      </c>
      <c r="P868" t="s">
        <v>47</v>
      </c>
      <c r="Y868" t="s">
        <v>3286</v>
      </c>
    </row>
    <row r="869" spans="1:25">
      <c r="A869" t="s">
        <v>3287</v>
      </c>
      <c r="B869" t="s">
        <v>3288</v>
      </c>
      <c r="D869" t="s">
        <v>40</v>
      </c>
      <c r="E869" t="s">
        <v>41</v>
      </c>
      <c r="J869" t="s">
        <v>3035</v>
      </c>
      <c r="K869" t="s">
        <v>3036</v>
      </c>
      <c r="L869">
        <v>4</v>
      </c>
      <c r="M869" t="s">
        <v>3289</v>
      </c>
      <c r="N869" t="s">
        <v>202</v>
      </c>
      <c r="O869" t="s">
        <v>47</v>
      </c>
      <c r="P869" t="s">
        <v>47</v>
      </c>
      <c r="Y869" t="s">
        <v>3290</v>
      </c>
    </row>
    <row r="870" spans="1:25">
      <c r="A870" t="s">
        <v>3291</v>
      </c>
      <c r="B870" t="s">
        <v>3292</v>
      </c>
      <c r="D870" t="s">
        <v>40</v>
      </c>
      <c r="E870" t="s">
        <v>41</v>
      </c>
      <c r="H870" t="s">
        <v>3293</v>
      </c>
      <c r="J870" t="s">
        <v>3127</v>
      </c>
      <c r="K870" t="s">
        <v>3128</v>
      </c>
      <c r="L870">
        <v>4</v>
      </c>
      <c r="M870" t="s">
        <v>3294</v>
      </c>
      <c r="N870" t="s">
        <v>202</v>
      </c>
      <c r="O870" t="s">
        <v>47</v>
      </c>
      <c r="P870" t="s">
        <v>47</v>
      </c>
      <c r="Y870" t="s">
        <v>3293</v>
      </c>
    </row>
    <row r="871" spans="1:25">
      <c r="A871" t="s">
        <v>3295</v>
      </c>
      <c r="B871" t="s">
        <v>3296</v>
      </c>
      <c r="D871" t="s">
        <v>40</v>
      </c>
      <c r="E871" t="s">
        <v>41</v>
      </c>
      <c r="J871" t="s">
        <v>897</v>
      </c>
      <c r="K871" t="s">
        <v>898</v>
      </c>
      <c r="L871">
        <v>4</v>
      </c>
      <c r="M871" t="s">
        <v>3297</v>
      </c>
      <c r="N871" t="s">
        <v>202</v>
      </c>
      <c r="O871" t="s">
        <v>47</v>
      </c>
      <c r="P871" t="s">
        <v>47</v>
      </c>
      <c r="Y871" t="s">
        <v>3298</v>
      </c>
    </row>
    <row r="872" spans="1:25">
      <c r="A872" t="s">
        <v>3299</v>
      </c>
      <c r="B872" t="s">
        <v>3300</v>
      </c>
      <c r="D872" t="s">
        <v>40</v>
      </c>
      <c r="E872" t="s">
        <v>41</v>
      </c>
      <c r="H872" t="s">
        <v>3301</v>
      </c>
      <c r="J872" t="s">
        <v>897</v>
      </c>
      <c r="K872" t="s">
        <v>898</v>
      </c>
      <c r="L872">
        <v>4</v>
      </c>
      <c r="M872" t="s">
        <v>3302</v>
      </c>
      <c r="N872" t="s">
        <v>202</v>
      </c>
      <c r="O872" t="s">
        <v>47</v>
      </c>
      <c r="P872" t="s">
        <v>47</v>
      </c>
      <c r="Y872" t="s">
        <v>3301</v>
      </c>
    </row>
    <row r="873" spans="1:25">
      <c r="A873" t="s">
        <v>3303</v>
      </c>
      <c r="B873" t="s">
        <v>3304</v>
      </c>
      <c r="D873" t="s">
        <v>40</v>
      </c>
      <c r="E873" t="s">
        <v>41</v>
      </c>
      <c r="J873" t="s">
        <v>701</v>
      </c>
      <c r="K873" t="s">
        <v>702</v>
      </c>
      <c r="L873">
        <v>4</v>
      </c>
      <c r="M873" t="s">
        <v>3305</v>
      </c>
      <c r="N873" t="s">
        <v>80</v>
      </c>
      <c r="O873" t="s">
        <v>47</v>
      </c>
      <c r="P873" t="s">
        <v>47</v>
      </c>
      <c r="Y873" t="s">
        <v>3306</v>
      </c>
    </row>
    <row r="874" spans="1:25">
      <c r="A874" t="s">
        <v>3307</v>
      </c>
      <c r="B874" t="s">
        <v>3308</v>
      </c>
      <c r="D874" t="s">
        <v>40</v>
      </c>
      <c r="E874" t="s">
        <v>41</v>
      </c>
      <c r="J874" t="s">
        <v>279</v>
      </c>
      <c r="K874" t="s">
        <v>280</v>
      </c>
      <c r="L874">
        <v>3</v>
      </c>
      <c r="M874" t="s">
        <v>3309</v>
      </c>
      <c r="N874" t="s">
        <v>103</v>
      </c>
      <c r="O874" t="s">
        <v>47</v>
      </c>
      <c r="P874" t="s">
        <v>47</v>
      </c>
      <c r="Y874" t="s">
        <v>3310</v>
      </c>
    </row>
    <row r="875" spans="1:25">
      <c r="A875" t="s">
        <v>3311</v>
      </c>
      <c r="B875" t="s">
        <v>3312</v>
      </c>
      <c r="D875" t="s">
        <v>40</v>
      </c>
      <c r="E875" t="s">
        <v>41</v>
      </c>
      <c r="J875" t="s">
        <v>43</v>
      </c>
      <c r="K875" t="s">
        <v>44</v>
      </c>
      <c r="L875">
        <v>9</v>
      </c>
      <c r="M875" t="s">
        <v>3313</v>
      </c>
      <c r="N875" t="s">
        <v>202</v>
      </c>
      <c r="O875" t="s">
        <v>47</v>
      </c>
      <c r="P875" t="s">
        <v>47</v>
      </c>
      <c r="Y875" t="s">
        <v>3314</v>
      </c>
    </row>
    <row r="876" spans="1:25">
      <c r="A876" t="s">
        <v>3315</v>
      </c>
      <c r="B876" t="s">
        <v>3316</v>
      </c>
      <c r="D876" t="s">
        <v>40</v>
      </c>
      <c r="E876" t="s">
        <v>41</v>
      </c>
      <c r="H876" t="s">
        <v>3317</v>
      </c>
      <c r="J876" t="s">
        <v>701</v>
      </c>
      <c r="K876" t="s">
        <v>702</v>
      </c>
      <c r="L876">
        <v>3</v>
      </c>
      <c r="M876" t="s">
        <v>3318</v>
      </c>
      <c r="N876" t="s">
        <v>80</v>
      </c>
      <c r="O876" t="s">
        <v>47</v>
      </c>
      <c r="P876" t="s">
        <v>47</v>
      </c>
      <c r="Y876" t="s">
        <v>3317</v>
      </c>
    </row>
    <row r="877" spans="1:25">
      <c r="A877" t="s">
        <v>3319</v>
      </c>
      <c r="B877" t="s">
        <v>3320</v>
      </c>
      <c r="D877" t="s">
        <v>40</v>
      </c>
      <c r="E877" t="s">
        <v>41</v>
      </c>
      <c r="J877" t="s">
        <v>117</v>
      </c>
      <c r="K877" t="s">
        <v>118</v>
      </c>
      <c r="L877">
        <v>3</v>
      </c>
      <c r="M877" t="s">
        <v>3321</v>
      </c>
      <c r="N877" t="s">
        <v>80</v>
      </c>
      <c r="O877" t="s">
        <v>47</v>
      </c>
      <c r="P877" t="s">
        <v>47</v>
      </c>
      <c r="Y877" t="s">
        <v>3322</v>
      </c>
    </row>
    <row r="878" spans="1:25">
      <c r="A878" t="s">
        <v>3323</v>
      </c>
      <c r="B878" t="s">
        <v>3324</v>
      </c>
      <c r="D878" t="s">
        <v>40</v>
      </c>
      <c r="E878" t="s">
        <v>41</v>
      </c>
      <c r="J878" t="s">
        <v>117</v>
      </c>
      <c r="K878" t="s">
        <v>118</v>
      </c>
      <c r="L878">
        <v>3</v>
      </c>
      <c r="M878" t="s">
        <v>3325</v>
      </c>
      <c r="N878" t="s">
        <v>80</v>
      </c>
      <c r="O878" t="s">
        <v>47</v>
      </c>
      <c r="P878" t="s">
        <v>47</v>
      </c>
      <c r="Y878" t="s">
        <v>3326</v>
      </c>
    </row>
    <row r="879" spans="1:25">
      <c r="A879" t="s">
        <v>3327</v>
      </c>
      <c r="B879" t="s">
        <v>3328</v>
      </c>
      <c r="D879" t="s">
        <v>40</v>
      </c>
      <c r="E879" t="s">
        <v>41</v>
      </c>
      <c r="J879" t="s">
        <v>701</v>
      </c>
      <c r="K879" t="s">
        <v>702</v>
      </c>
      <c r="L879">
        <v>3</v>
      </c>
      <c r="M879" t="s">
        <v>3329</v>
      </c>
      <c r="N879" t="s">
        <v>103</v>
      </c>
      <c r="O879" t="s">
        <v>47</v>
      </c>
      <c r="P879" t="s">
        <v>47</v>
      </c>
      <c r="Y879" t="s">
        <v>3330</v>
      </c>
    </row>
    <row r="880" spans="1:25">
      <c r="A880" t="s">
        <v>3331</v>
      </c>
      <c r="B880" t="s">
        <v>3332</v>
      </c>
      <c r="D880" t="s">
        <v>40</v>
      </c>
      <c r="E880" t="s">
        <v>41</v>
      </c>
      <c r="H880" t="s">
        <v>3333</v>
      </c>
      <c r="J880" t="s">
        <v>897</v>
      </c>
      <c r="K880" t="s">
        <v>898</v>
      </c>
      <c r="L880">
        <v>3</v>
      </c>
      <c r="M880" t="s">
        <v>3334</v>
      </c>
      <c r="N880" t="s">
        <v>202</v>
      </c>
      <c r="O880" t="s">
        <v>47</v>
      </c>
      <c r="P880" t="s">
        <v>47</v>
      </c>
      <c r="Y880" t="s">
        <v>3333</v>
      </c>
    </row>
    <row r="881" spans="1:25">
      <c r="A881" t="s">
        <v>3335</v>
      </c>
      <c r="B881" t="s">
        <v>3336</v>
      </c>
      <c r="D881" t="s">
        <v>40</v>
      </c>
      <c r="E881" t="s">
        <v>41</v>
      </c>
      <c r="J881" t="s">
        <v>117</v>
      </c>
      <c r="K881" t="s">
        <v>118</v>
      </c>
      <c r="L881">
        <v>3</v>
      </c>
      <c r="M881" t="s">
        <v>3337</v>
      </c>
      <c r="N881" t="s">
        <v>103</v>
      </c>
      <c r="O881" t="s">
        <v>47</v>
      </c>
      <c r="P881" t="s">
        <v>47</v>
      </c>
      <c r="Y881" t="s">
        <v>3338</v>
      </c>
    </row>
    <row r="882" spans="1:25">
      <c r="A882" t="s">
        <v>3339</v>
      </c>
      <c r="B882" t="s">
        <v>3340</v>
      </c>
      <c r="D882" t="s">
        <v>40</v>
      </c>
      <c r="E882" t="s">
        <v>41</v>
      </c>
      <c r="J882" t="s">
        <v>701</v>
      </c>
      <c r="K882" t="s">
        <v>702</v>
      </c>
      <c r="L882">
        <v>3</v>
      </c>
      <c r="M882" t="s">
        <v>3341</v>
      </c>
      <c r="N882" t="s">
        <v>103</v>
      </c>
      <c r="O882" t="s">
        <v>47</v>
      </c>
      <c r="P882" t="s">
        <v>47</v>
      </c>
      <c r="Y882" t="s">
        <v>3342</v>
      </c>
    </row>
    <row r="883" spans="1:25">
      <c r="A883" t="s">
        <v>3343</v>
      </c>
      <c r="B883" t="s">
        <v>3344</v>
      </c>
      <c r="D883" t="s">
        <v>40</v>
      </c>
      <c r="E883" t="s">
        <v>41</v>
      </c>
      <c r="H883" t="s">
        <v>3345</v>
      </c>
      <c r="J883" t="s">
        <v>701</v>
      </c>
      <c r="K883" t="s">
        <v>702</v>
      </c>
      <c r="L883">
        <v>3</v>
      </c>
      <c r="M883" t="s">
        <v>3346</v>
      </c>
      <c r="N883" t="s">
        <v>103</v>
      </c>
      <c r="O883" t="s">
        <v>47</v>
      </c>
      <c r="P883" t="s">
        <v>47</v>
      </c>
      <c r="Y883" t="s">
        <v>3345</v>
      </c>
    </row>
    <row r="884" spans="1:25">
      <c r="A884" t="s">
        <v>3347</v>
      </c>
      <c r="B884" t="s">
        <v>3348</v>
      </c>
      <c r="D884" t="s">
        <v>40</v>
      </c>
      <c r="E884" t="s">
        <v>41</v>
      </c>
      <c r="H884" t="s">
        <v>3349</v>
      </c>
      <c r="J884" t="s">
        <v>161</v>
      </c>
      <c r="K884" t="s">
        <v>162</v>
      </c>
      <c r="L884">
        <v>3</v>
      </c>
      <c r="M884" t="s">
        <v>3350</v>
      </c>
      <c r="N884" t="s">
        <v>80</v>
      </c>
      <c r="O884" t="s">
        <v>47</v>
      </c>
      <c r="P884" t="s">
        <v>47</v>
      </c>
      <c r="Y884" t="s">
        <v>3349</v>
      </c>
    </row>
    <row r="885" spans="1:25">
      <c r="A885" t="s">
        <v>3351</v>
      </c>
      <c r="B885" t="s">
        <v>3352</v>
      </c>
      <c r="D885" t="s">
        <v>40</v>
      </c>
      <c r="E885" t="s">
        <v>41</v>
      </c>
      <c r="J885" t="s">
        <v>701</v>
      </c>
      <c r="K885" t="s">
        <v>702</v>
      </c>
      <c r="L885">
        <v>3</v>
      </c>
      <c r="M885" t="s">
        <v>3353</v>
      </c>
      <c r="N885" t="s">
        <v>80</v>
      </c>
      <c r="O885" t="s">
        <v>47</v>
      </c>
      <c r="P885" t="s">
        <v>47</v>
      </c>
      <c r="Y885" t="s">
        <v>3354</v>
      </c>
    </row>
    <row r="886" spans="1:25">
      <c r="A886" t="s">
        <v>3355</v>
      </c>
      <c r="B886" t="s">
        <v>3356</v>
      </c>
      <c r="D886" t="s">
        <v>40</v>
      </c>
      <c r="E886" t="s">
        <v>41</v>
      </c>
      <c r="J886" t="s">
        <v>117</v>
      </c>
      <c r="K886" t="s">
        <v>118</v>
      </c>
      <c r="L886">
        <v>3</v>
      </c>
      <c r="M886" t="s">
        <v>3357</v>
      </c>
      <c r="N886" t="s">
        <v>80</v>
      </c>
      <c r="O886" t="s">
        <v>47</v>
      </c>
      <c r="P886" t="s">
        <v>47</v>
      </c>
      <c r="Y886" t="s">
        <v>3358</v>
      </c>
    </row>
    <row r="887" spans="1:25">
      <c r="A887" t="s">
        <v>3359</v>
      </c>
      <c r="B887" t="s">
        <v>3360</v>
      </c>
      <c r="D887" t="s">
        <v>40</v>
      </c>
      <c r="E887" t="s">
        <v>41</v>
      </c>
      <c r="J887" t="s">
        <v>701</v>
      </c>
      <c r="K887" t="s">
        <v>702</v>
      </c>
      <c r="L887">
        <v>3</v>
      </c>
      <c r="M887" t="s">
        <v>3361</v>
      </c>
      <c r="N887" t="s">
        <v>80</v>
      </c>
      <c r="O887" t="s">
        <v>47</v>
      </c>
      <c r="P887" t="s">
        <v>47</v>
      </c>
      <c r="Y887" t="s">
        <v>3362</v>
      </c>
    </row>
    <row r="888" spans="1:25">
      <c r="A888" t="s">
        <v>3363</v>
      </c>
      <c r="B888" t="s">
        <v>3364</v>
      </c>
      <c r="D888" t="s">
        <v>40</v>
      </c>
      <c r="E888" t="s">
        <v>41</v>
      </c>
      <c r="J888" t="s">
        <v>701</v>
      </c>
      <c r="K888" t="s">
        <v>702</v>
      </c>
      <c r="L888">
        <v>3</v>
      </c>
      <c r="M888" t="s">
        <v>3365</v>
      </c>
      <c r="N888" t="s">
        <v>80</v>
      </c>
      <c r="O888" t="s">
        <v>47</v>
      </c>
      <c r="P888" t="s">
        <v>47</v>
      </c>
      <c r="Y888" t="s">
        <v>3366</v>
      </c>
    </row>
    <row r="889" spans="1:25">
      <c r="A889" t="s">
        <v>3367</v>
      </c>
      <c r="B889" t="s">
        <v>3368</v>
      </c>
      <c r="D889" t="s">
        <v>40</v>
      </c>
      <c r="E889" t="s">
        <v>41</v>
      </c>
      <c r="H889" t="s">
        <v>3369</v>
      </c>
      <c r="J889" t="s">
        <v>897</v>
      </c>
      <c r="K889" t="s">
        <v>898</v>
      </c>
      <c r="L889">
        <v>3</v>
      </c>
      <c r="M889" t="s">
        <v>3370</v>
      </c>
      <c r="N889" t="s">
        <v>103</v>
      </c>
      <c r="O889" t="s">
        <v>47</v>
      </c>
      <c r="P889" t="s">
        <v>47</v>
      </c>
      <c r="Y889" t="s">
        <v>3369</v>
      </c>
    </row>
    <row r="890" spans="1:25">
      <c r="A890" t="s">
        <v>3371</v>
      </c>
      <c r="B890" t="s">
        <v>3372</v>
      </c>
      <c r="D890" t="s">
        <v>40</v>
      </c>
      <c r="E890" t="s">
        <v>41</v>
      </c>
      <c r="J890" t="s">
        <v>56</v>
      </c>
      <c r="K890" t="s">
        <v>57</v>
      </c>
      <c r="L890">
        <v>3</v>
      </c>
      <c r="M890" t="s">
        <v>3373</v>
      </c>
      <c r="N890" t="s">
        <v>202</v>
      </c>
      <c r="O890" t="s">
        <v>47</v>
      </c>
      <c r="P890" t="s">
        <v>47</v>
      </c>
      <c r="Y890" t="s">
        <v>3374</v>
      </c>
    </row>
    <row r="891" spans="1:25">
      <c r="A891" t="s">
        <v>3375</v>
      </c>
      <c r="B891" t="s">
        <v>3376</v>
      </c>
      <c r="D891" t="s">
        <v>40</v>
      </c>
      <c r="E891" t="s">
        <v>41</v>
      </c>
      <c r="J891" t="s">
        <v>701</v>
      </c>
      <c r="K891" t="s">
        <v>702</v>
      </c>
      <c r="L891">
        <v>3</v>
      </c>
      <c r="M891" t="s">
        <v>3377</v>
      </c>
      <c r="N891" t="s">
        <v>202</v>
      </c>
      <c r="O891" t="s">
        <v>47</v>
      </c>
      <c r="P891" t="s">
        <v>47</v>
      </c>
      <c r="Y891" t="s">
        <v>3378</v>
      </c>
    </row>
    <row r="892" spans="1:25">
      <c r="A892" t="s">
        <v>3379</v>
      </c>
      <c r="B892" t="s">
        <v>3380</v>
      </c>
      <c r="D892" t="s">
        <v>40</v>
      </c>
      <c r="E892" t="s">
        <v>41</v>
      </c>
      <c r="H892" t="s">
        <v>3381</v>
      </c>
      <c r="J892" t="s">
        <v>701</v>
      </c>
      <c r="K892" t="s">
        <v>702</v>
      </c>
      <c r="L892">
        <v>3</v>
      </c>
      <c r="M892" t="s">
        <v>3382</v>
      </c>
      <c r="N892" t="s">
        <v>80</v>
      </c>
      <c r="O892" t="s">
        <v>47</v>
      </c>
      <c r="P892" t="s">
        <v>47</v>
      </c>
      <c r="Y892" t="s">
        <v>3381</v>
      </c>
    </row>
    <row r="893" spans="1:25">
      <c r="A893" t="s">
        <v>3383</v>
      </c>
      <c r="B893" t="s">
        <v>3384</v>
      </c>
      <c r="D893" t="s">
        <v>40</v>
      </c>
      <c r="E893" t="s">
        <v>41</v>
      </c>
      <c r="J893" t="s">
        <v>148</v>
      </c>
      <c r="K893" t="s">
        <v>149</v>
      </c>
      <c r="L893">
        <v>4</v>
      </c>
      <c r="M893" t="s">
        <v>3385</v>
      </c>
      <c r="N893" t="s">
        <v>103</v>
      </c>
      <c r="O893" t="s">
        <v>47</v>
      </c>
      <c r="P893" t="s">
        <v>47</v>
      </c>
      <c r="Y893" t="s">
        <v>3386</v>
      </c>
    </row>
    <row r="894" spans="1:25">
      <c r="A894" t="s">
        <v>3387</v>
      </c>
      <c r="B894" t="s">
        <v>3388</v>
      </c>
      <c r="D894" t="s">
        <v>40</v>
      </c>
      <c r="E894" t="s">
        <v>41</v>
      </c>
      <c r="J894" t="s">
        <v>279</v>
      </c>
      <c r="K894" t="s">
        <v>280</v>
      </c>
      <c r="L894">
        <v>3</v>
      </c>
      <c r="M894" t="s">
        <v>3389</v>
      </c>
      <c r="N894" t="s">
        <v>80</v>
      </c>
      <c r="O894" t="s">
        <v>47</v>
      </c>
      <c r="P894" t="s">
        <v>47</v>
      </c>
      <c r="Y894" t="s">
        <v>3390</v>
      </c>
    </row>
    <row r="895" spans="1:25">
      <c r="A895" t="s">
        <v>3391</v>
      </c>
      <c r="B895" t="s">
        <v>3392</v>
      </c>
      <c r="D895" t="s">
        <v>40</v>
      </c>
      <c r="E895" t="s">
        <v>41</v>
      </c>
      <c r="H895" t="s">
        <v>3393</v>
      </c>
      <c r="J895" t="s">
        <v>701</v>
      </c>
      <c r="K895" t="s">
        <v>702</v>
      </c>
      <c r="L895">
        <v>3</v>
      </c>
      <c r="M895" t="s">
        <v>3394</v>
      </c>
      <c r="N895" t="s">
        <v>202</v>
      </c>
      <c r="O895" t="s">
        <v>47</v>
      </c>
      <c r="P895" t="s">
        <v>47</v>
      </c>
      <c r="Y895" t="s">
        <v>3393</v>
      </c>
    </row>
    <row r="896" spans="1:25">
      <c r="A896" t="s">
        <v>3395</v>
      </c>
      <c r="B896" t="s">
        <v>3396</v>
      </c>
      <c r="D896" t="s">
        <v>40</v>
      </c>
      <c r="E896" t="s">
        <v>41</v>
      </c>
      <c r="J896" t="s">
        <v>117</v>
      </c>
      <c r="K896" t="s">
        <v>118</v>
      </c>
      <c r="L896">
        <v>3</v>
      </c>
      <c r="M896" t="s">
        <v>3397</v>
      </c>
      <c r="N896" t="s">
        <v>80</v>
      </c>
      <c r="O896" t="s">
        <v>47</v>
      </c>
      <c r="P896" t="s">
        <v>47</v>
      </c>
      <c r="Y896" t="s">
        <v>3398</v>
      </c>
    </row>
    <row r="897" spans="1:25">
      <c r="A897" t="s">
        <v>3399</v>
      </c>
      <c r="B897" t="s">
        <v>3400</v>
      </c>
      <c r="D897" t="s">
        <v>40</v>
      </c>
      <c r="E897" t="s">
        <v>41</v>
      </c>
      <c r="H897" t="s">
        <v>3401</v>
      </c>
      <c r="J897" t="s">
        <v>701</v>
      </c>
      <c r="K897" t="s">
        <v>702</v>
      </c>
      <c r="L897">
        <v>3</v>
      </c>
      <c r="M897" t="s">
        <v>3402</v>
      </c>
      <c r="N897" t="s">
        <v>80</v>
      </c>
      <c r="O897" t="s">
        <v>47</v>
      </c>
      <c r="P897" t="s">
        <v>47</v>
      </c>
      <c r="Y897" t="s">
        <v>3401</v>
      </c>
    </row>
    <row r="898" spans="1:25">
      <c r="A898" t="s">
        <v>3403</v>
      </c>
      <c r="B898" t="s">
        <v>3404</v>
      </c>
      <c r="D898" t="s">
        <v>40</v>
      </c>
      <c r="E898" t="s">
        <v>41</v>
      </c>
      <c r="J898" t="s">
        <v>701</v>
      </c>
      <c r="K898" t="s">
        <v>702</v>
      </c>
      <c r="L898">
        <v>3</v>
      </c>
      <c r="M898" t="s">
        <v>3405</v>
      </c>
      <c r="N898" t="s">
        <v>80</v>
      </c>
      <c r="O898" t="s">
        <v>47</v>
      </c>
      <c r="P898" t="s">
        <v>47</v>
      </c>
      <c r="Y898" t="s">
        <v>3406</v>
      </c>
    </row>
    <row r="899" spans="1:25">
      <c r="A899" t="s">
        <v>3407</v>
      </c>
      <c r="B899" t="s">
        <v>3408</v>
      </c>
      <c r="D899" t="s">
        <v>40</v>
      </c>
      <c r="E899" t="s">
        <v>41</v>
      </c>
      <c r="H899" t="s">
        <v>3409</v>
      </c>
      <c r="J899" t="s">
        <v>701</v>
      </c>
      <c r="K899" t="s">
        <v>702</v>
      </c>
      <c r="L899">
        <v>4</v>
      </c>
      <c r="M899" t="s">
        <v>3410</v>
      </c>
      <c r="N899" t="s">
        <v>80</v>
      </c>
      <c r="O899" t="s">
        <v>47</v>
      </c>
      <c r="P899" t="s">
        <v>47</v>
      </c>
      <c r="Y899" t="s">
        <v>3409</v>
      </c>
    </row>
    <row r="900" spans="1:25">
      <c r="A900" t="s">
        <v>3411</v>
      </c>
      <c r="B900" t="s">
        <v>3412</v>
      </c>
      <c r="D900" t="s">
        <v>40</v>
      </c>
      <c r="E900" t="s">
        <v>41</v>
      </c>
      <c r="J900" t="s">
        <v>701</v>
      </c>
      <c r="K900" t="s">
        <v>702</v>
      </c>
      <c r="L900">
        <v>3</v>
      </c>
      <c r="M900" t="s">
        <v>3413</v>
      </c>
      <c r="N900" t="s">
        <v>103</v>
      </c>
      <c r="O900" t="s">
        <v>47</v>
      </c>
      <c r="P900" t="s">
        <v>47</v>
      </c>
      <c r="Y900" t="s">
        <v>3414</v>
      </c>
    </row>
    <row r="901" spans="1:25">
      <c r="A901" t="s">
        <v>3415</v>
      </c>
      <c r="B901" t="s">
        <v>3416</v>
      </c>
      <c r="D901" t="s">
        <v>40</v>
      </c>
      <c r="E901" t="s">
        <v>41</v>
      </c>
      <c r="H901" t="s">
        <v>3417</v>
      </c>
      <c r="J901" t="s">
        <v>701</v>
      </c>
      <c r="K901" t="s">
        <v>702</v>
      </c>
      <c r="L901">
        <v>3</v>
      </c>
      <c r="M901" t="s">
        <v>3418</v>
      </c>
      <c r="N901" t="s">
        <v>80</v>
      </c>
      <c r="O901" t="s">
        <v>47</v>
      </c>
      <c r="P901" t="s">
        <v>47</v>
      </c>
      <c r="Y901" t="s">
        <v>3417</v>
      </c>
    </row>
    <row r="902" spans="1:25">
      <c r="A902" t="s">
        <v>3419</v>
      </c>
      <c r="B902" t="s">
        <v>3420</v>
      </c>
      <c r="D902" t="s">
        <v>40</v>
      </c>
      <c r="E902" t="s">
        <v>41</v>
      </c>
      <c r="J902" t="s">
        <v>701</v>
      </c>
      <c r="K902" t="s">
        <v>702</v>
      </c>
      <c r="L902">
        <v>3</v>
      </c>
      <c r="M902" t="s">
        <v>3421</v>
      </c>
      <c r="N902" t="s">
        <v>80</v>
      </c>
      <c r="O902" t="s">
        <v>47</v>
      </c>
      <c r="P902" t="s">
        <v>47</v>
      </c>
      <c r="Y902" t="s">
        <v>3422</v>
      </c>
    </row>
    <row r="903" spans="1:25">
      <c r="A903" t="s">
        <v>3423</v>
      </c>
      <c r="B903" t="s">
        <v>3424</v>
      </c>
      <c r="D903" t="s">
        <v>40</v>
      </c>
      <c r="E903" t="s">
        <v>41</v>
      </c>
      <c r="H903" t="s">
        <v>3425</v>
      </c>
      <c r="J903" t="s">
        <v>117</v>
      </c>
      <c r="K903" t="s">
        <v>118</v>
      </c>
      <c r="L903">
        <v>3</v>
      </c>
      <c r="M903" t="s">
        <v>3426</v>
      </c>
      <c r="N903" t="s">
        <v>80</v>
      </c>
      <c r="O903" t="s">
        <v>47</v>
      </c>
      <c r="P903" t="s">
        <v>47</v>
      </c>
      <c r="Y903" t="s">
        <v>3425</v>
      </c>
    </row>
    <row r="904" spans="1:25">
      <c r="A904" t="s">
        <v>3427</v>
      </c>
      <c r="B904" t="s">
        <v>3428</v>
      </c>
      <c r="D904" t="s">
        <v>40</v>
      </c>
      <c r="E904" t="s">
        <v>41</v>
      </c>
      <c r="J904" t="s">
        <v>897</v>
      </c>
      <c r="K904" t="s">
        <v>898</v>
      </c>
      <c r="L904">
        <v>3</v>
      </c>
      <c r="M904" t="s">
        <v>3429</v>
      </c>
      <c r="N904" t="s">
        <v>202</v>
      </c>
      <c r="O904" t="s">
        <v>47</v>
      </c>
      <c r="P904" t="s">
        <v>47</v>
      </c>
      <c r="Y904" t="s">
        <v>3430</v>
      </c>
    </row>
    <row r="905" spans="1:25">
      <c r="A905" t="s">
        <v>3431</v>
      </c>
      <c r="B905" t="s">
        <v>3432</v>
      </c>
      <c r="D905" t="s">
        <v>40</v>
      </c>
      <c r="E905" t="s">
        <v>41</v>
      </c>
      <c r="J905" t="s">
        <v>701</v>
      </c>
      <c r="K905" t="s">
        <v>702</v>
      </c>
      <c r="L905">
        <v>3</v>
      </c>
      <c r="M905" t="s">
        <v>3433</v>
      </c>
      <c r="N905" t="s">
        <v>202</v>
      </c>
      <c r="O905" t="s">
        <v>47</v>
      </c>
      <c r="P905" t="s">
        <v>47</v>
      </c>
      <c r="Y905" t="s">
        <v>3434</v>
      </c>
    </row>
    <row r="906" spans="1:25">
      <c r="A906" t="s">
        <v>3435</v>
      </c>
      <c r="B906" t="s">
        <v>3436</v>
      </c>
      <c r="D906" t="s">
        <v>40</v>
      </c>
      <c r="E906" t="s">
        <v>41</v>
      </c>
      <c r="H906" t="s">
        <v>3437</v>
      </c>
      <c r="J906" t="s">
        <v>117</v>
      </c>
      <c r="K906" t="s">
        <v>118</v>
      </c>
      <c r="L906">
        <v>4</v>
      </c>
      <c r="M906" t="s">
        <v>3438</v>
      </c>
      <c r="N906" t="s">
        <v>80</v>
      </c>
      <c r="O906" t="s">
        <v>47</v>
      </c>
      <c r="P906" t="s">
        <v>47</v>
      </c>
      <c r="Y906" t="s">
        <v>3437</v>
      </c>
    </row>
    <row r="907" spans="1:25">
      <c r="A907" t="s">
        <v>3439</v>
      </c>
      <c r="B907" t="s">
        <v>3440</v>
      </c>
      <c r="D907" t="s">
        <v>40</v>
      </c>
      <c r="E907" t="s">
        <v>41</v>
      </c>
      <c r="J907" t="s">
        <v>3041</v>
      </c>
      <c r="K907" t="s">
        <v>3042</v>
      </c>
      <c r="L907">
        <v>4</v>
      </c>
      <c r="M907" t="s">
        <v>3441</v>
      </c>
      <c r="N907" t="s">
        <v>76</v>
      </c>
      <c r="O907" t="s">
        <v>47</v>
      </c>
      <c r="P907" t="s">
        <v>47</v>
      </c>
      <c r="Y907" t="s">
        <v>3442</v>
      </c>
    </row>
    <row r="908" spans="1:25">
      <c r="A908" t="s">
        <v>3443</v>
      </c>
      <c r="B908" t="s">
        <v>3444</v>
      </c>
      <c r="D908" t="s">
        <v>40</v>
      </c>
      <c r="E908" t="s">
        <v>41</v>
      </c>
      <c r="J908" t="s">
        <v>117</v>
      </c>
      <c r="K908" t="s">
        <v>118</v>
      </c>
      <c r="L908">
        <v>3</v>
      </c>
      <c r="M908" t="s">
        <v>3445</v>
      </c>
      <c r="N908" t="s">
        <v>80</v>
      </c>
      <c r="O908" t="s">
        <v>47</v>
      </c>
      <c r="P908" t="s">
        <v>47</v>
      </c>
      <c r="Y908" t="s">
        <v>3446</v>
      </c>
    </row>
    <row r="909" spans="1:25">
      <c r="A909" t="s">
        <v>3447</v>
      </c>
      <c r="B909" t="s">
        <v>3448</v>
      </c>
      <c r="D909" t="s">
        <v>40</v>
      </c>
      <c r="E909" t="s">
        <v>41</v>
      </c>
      <c r="J909" t="s">
        <v>279</v>
      </c>
      <c r="K909" t="s">
        <v>280</v>
      </c>
      <c r="L909">
        <v>2</v>
      </c>
      <c r="M909" t="s">
        <v>3449</v>
      </c>
      <c r="N909" t="s">
        <v>80</v>
      </c>
      <c r="O909" t="s">
        <v>47</v>
      </c>
      <c r="P909" t="s">
        <v>47</v>
      </c>
      <c r="Y909" t="s">
        <v>3450</v>
      </c>
    </row>
    <row r="910" spans="1:25">
      <c r="A910" t="s">
        <v>3451</v>
      </c>
      <c r="B910" t="s">
        <v>3452</v>
      </c>
      <c r="D910" t="s">
        <v>40</v>
      </c>
      <c r="E910" t="s">
        <v>41</v>
      </c>
      <c r="H910" t="s">
        <v>3453</v>
      </c>
      <c r="J910" t="s">
        <v>701</v>
      </c>
      <c r="K910" t="s">
        <v>702</v>
      </c>
      <c r="L910">
        <v>2</v>
      </c>
      <c r="M910" t="s">
        <v>3454</v>
      </c>
      <c r="N910" t="s">
        <v>80</v>
      </c>
      <c r="O910" t="s">
        <v>47</v>
      </c>
      <c r="P910" t="s">
        <v>47</v>
      </c>
      <c r="Y910" t="s">
        <v>3453</v>
      </c>
    </row>
    <row r="911" spans="1:25">
      <c r="A911" t="s">
        <v>3455</v>
      </c>
      <c r="B911" t="s">
        <v>3456</v>
      </c>
      <c r="D911" t="s">
        <v>40</v>
      </c>
      <c r="E911" t="s">
        <v>41</v>
      </c>
      <c r="J911" t="s">
        <v>701</v>
      </c>
      <c r="K911" t="s">
        <v>702</v>
      </c>
      <c r="L911">
        <v>2</v>
      </c>
      <c r="M911" t="s">
        <v>3457</v>
      </c>
      <c r="N911" t="s">
        <v>80</v>
      </c>
      <c r="O911" t="s">
        <v>47</v>
      </c>
      <c r="P911" t="s">
        <v>47</v>
      </c>
      <c r="Y911" t="s">
        <v>3458</v>
      </c>
    </row>
    <row r="912" spans="1:25">
      <c r="A912" t="s">
        <v>3459</v>
      </c>
      <c r="B912" t="s">
        <v>3460</v>
      </c>
      <c r="D912" t="s">
        <v>40</v>
      </c>
      <c r="E912" t="s">
        <v>41</v>
      </c>
      <c r="H912" t="s">
        <v>3461</v>
      </c>
      <c r="J912" t="s">
        <v>117</v>
      </c>
      <c r="K912" t="s">
        <v>118</v>
      </c>
      <c r="L912">
        <v>2</v>
      </c>
      <c r="M912" t="s">
        <v>3462</v>
      </c>
      <c r="N912" t="s">
        <v>80</v>
      </c>
      <c r="O912" t="s">
        <v>47</v>
      </c>
      <c r="P912" t="s">
        <v>47</v>
      </c>
      <c r="Y912" t="s">
        <v>3461</v>
      </c>
    </row>
    <row r="913" spans="1:25">
      <c r="A913" t="s">
        <v>3463</v>
      </c>
      <c r="B913" t="s">
        <v>3464</v>
      </c>
      <c r="D913" t="s">
        <v>40</v>
      </c>
      <c r="E913" t="s">
        <v>41</v>
      </c>
      <c r="H913" t="s">
        <v>3465</v>
      </c>
      <c r="J913" t="s">
        <v>701</v>
      </c>
      <c r="K913" t="s">
        <v>702</v>
      </c>
      <c r="L913">
        <v>2</v>
      </c>
      <c r="M913" t="s">
        <v>3466</v>
      </c>
      <c r="N913" t="s">
        <v>80</v>
      </c>
      <c r="O913" t="s">
        <v>47</v>
      </c>
      <c r="P913" t="s">
        <v>47</v>
      </c>
      <c r="Y913" t="s">
        <v>3465</v>
      </c>
    </row>
    <row r="914" spans="1:25">
      <c r="A914" t="s">
        <v>3467</v>
      </c>
      <c r="B914" t="s">
        <v>3468</v>
      </c>
      <c r="D914" t="s">
        <v>40</v>
      </c>
      <c r="E914" t="s">
        <v>41</v>
      </c>
      <c r="H914" t="s">
        <v>3469</v>
      </c>
      <c r="J914" t="s">
        <v>701</v>
      </c>
      <c r="K914" t="s">
        <v>702</v>
      </c>
      <c r="L914">
        <v>2</v>
      </c>
      <c r="M914" t="s">
        <v>3470</v>
      </c>
      <c r="N914" t="s">
        <v>202</v>
      </c>
      <c r="O914" t="s">
        <v>47</v>
      </c>
      <c r="P914" t="s">
        <v>47</v>
      </c>
      <c r="Y914" t="s">
        <v>3469</v>
      </c>
    </row>
    <row r="915" spans="1:25">
      <c r="A915" t="s">
        <v>3471</v>
      </c>
      <c r="B915" t="s">
        <v>3472</v>
      </c>
      <c r="D915" t="s">
        <v>40</v>
      </c>
      <c r="E915" t="s">
        <v>41</v>
      </c>
      <c r="J915" t="s">
        <v>897</v>
      </c>
      <c r="K915" t="s">
        <v>898</v>
      </c>
      <c r="L915">
        <v>2</v>
      </c>
      <c r="M915" t="s">
        <v>3473</v>
      </c>
      <c r="N915" t="s">
        <v>202</v>
      </c>
      <c r="O915" t="s">
        <v>47</v>
      </c>
      <c r="P915" t="s">
        <v>47</v>
      </c>
      <c r="Y915" t="s">
        <v>3474</v>
      </c>
    </row>
    <row r="916" spans="1:25">
      <c r="A916" t="s">
        <v>3475</v>
      </c>
      <c r="B916" t="s">
        <v>3476</v>
      </c>
      <c r="D916" t="s">
        <v>40</v>
      </c>
      <c r="E916" t="s">
        <v>41</v>
      </c>
      <c r="J916" t="s">
        <v>701</v>
      </c>
      <c r="K916" t="s">
        <v>702</v>
      </c>
      <c r="L916">
        <v>2</v>
      </c>
      <c r="M916" t="s">
        <v>3477</v>
      </c>
      <c r="N916" t="s">
        <v>80</v>
      </c>
      <c r="O916" t="s">
        <v>47</v>
      </c>
      <c r="P916" t="s">
        <v>47</v>
      </c>
      <c r="Y916" t="s">
        <v>3478</v>
      </c>
    </row>
    <row r="917" spans="1:25">
      <c r="A917" t="s">
        <v>3479</v>
      </c>
      <c r="B917" t="s">
        <v>3480</v>
      </c>
      <c r="D917" t="s">
        <v>40</v>
      </c>
      <c r="E917" t="s">
        <v>41</v>
      </c>
      <c r="H917" t="s">
        <v>3481</v>
      </c>
      <c r="J917" t="s">
        <v>279</v>
      </c>
      <c r="K917" t="s">
        <v>280</v>
      </c>
      <c r="L917">
        <v>2</v>
      </c>
      <c r="M917" t="s">
        <v>3482</v>
      </c>
      <c r="N917" t="s">
        <v>80</v>
      </c>
      <c r="O917" t="s">
        <v>47</v>
      </c>
      <c r="P917" t="s">
        <v>47</v>
      </c>
      <c r="Y917" t="s">
        <v>3481</v>
      </c>
    </row>
    <row r="918" spans="1:25">
      <c r="A918" t="s">
        <v>3483</v>
      </c>
      <c r="B918" t="s">
        <v>3484</v>
      </c>
      <c r="D918" t="s">
        <v>40</v>
      </c>
      <c r="E918" t="s">
        <v>41</v>
      </c>
      <c r="J918" t="s">
        <v>701</v>
      </c>
      <c r="K918" t="s">
        <v>702</v>
      </c>
      <c r="L918">
        <v>2</v>
      </c>
      <c r="M918" t="s">
        <v>3485</v>
      </c>
      <c r="N918" t="s">
        <v>202</v>
      </c>
      <c r="O918" t="s">
        <v>47</v>
      </c>
      <c r="P918" t="s">
        <v>47</v>
      </c>
      <c r="Y918" t="s">
        <v>3486</v>
      </c>
    </row>
    <row r="919" spans="1:25">
      <c r="A919" t="s">
        <v>3487</v>
      </c>
      <c r="B919" t="s">
        <v>3488</v>
      </c>
      <c r="D919" t="s">
        <v>40</v>
      </c>
      <c r="E919" t="s">
        <v>41</v>
      </c>
      <c r="J919" t="s">
        <v>897</v>
      </c>
      <c r="K919" t="s">
        <v>898</v>
      </c>
      <c r="L919">
        <v>2</v>
      </c>
      <c r="M919" t="s">
        <v>3489</v>
      </c>
      <c r="N919" t="s">
        <v>202</v>
      </c>
      <c r="O919" t="s">
        <v>47</v>
      </c>
      <c r="P919" t="s">
        <v>47</v>
      </c>
      <c r="Y919" t="s">
        <v>3490</v>
      </c>
    </row>
    <row r="920" spans="1:25">
      <c r="A920" t="s">
        <v>3491</v>
      </c>
      <c r="B920" t="s">
        <v>3492</v>
      </c>
      <c r="D920" t="s">
        <v>40</v>
      </c>
      <c r="E920" t="s">
        <v>41</v>
      </c>
      <c r="J920" t="s">
        <v>701</v>
      </c>
      <c r="K920" t="s">
        <v>702</v>
      </c>
      <c r="L920">
        <v>2</v>
      </c>
      <c r="M920" t="s">
        <v>3493</v>
      </c>
      <c r="N920" t="s">
        <v>80</v>
      </c>
      <c r="O920" t="s">
        <v>47</v>
      </c>
      <c r="P920" t="s">
        <v>47</v>
      </c>
      <c r="Y920" t="s">
        <v>3494</v>
      </c>
    </row>
    <row r="921" spans="1:25">
      <c r="A921" t="s">
        <v>3495</v>
      </c>
      <c r="B921" t="s">
        <v>3496</v>
      </c>
      <c r="D921" t="s">
        <v>40</v>
      </c>
      <c r="E921" t="s">
        <v>41</v>
      </c>
      <c r="H921" t="s">
        <v>3497</v>
      </c>
      <c r="J921" t="s">
        <v>701</v>
      </c>
      <c r="K921" t="s">
        <v>702</v>
      </c>
      <c r="L921">
        <v>2</v>
      </c>
      <c r="M921" t="s">
        <v>3498</v>
      </c>
      <c r="N921" t="s">
        <v>80</v>
      </c>
      <c r="O921" t="s">
        <v>47</v>
      </c>
      <c r="P921" t="s">
        <v>47</v>
      </c>
      <c r="Y921" t="s">
        <v>3497</v>
      </c>
    </row>
    <row r="922" spans="1:25">
      <c r="A922" t="s">
        <v>3499</v>
      </c>
      <c r="B922" t="s">
        <v>3500</v>
      </c>
      <c r="D922" t="s">
        <v>40</v>
      </c>
      <c r="E922" t="s">
        <v>41</v>
      </c>
      <c r="H922" t="s">
        <v>3501</v>
      </c>
      <c r="J922" t="s">
        <v>701</v>
      </c>
      <c r="K922" t="s">
        <v>702</v>
      </c>
      <c r="L922">
        <v>2</v>
      </c>
      <c r="M922" t="s">
        <v>3502</v>
      </c>
      <c r="N922" t="s">
        <v>202</v>
      </c>
      <c r="O922" t="s">
        <v>47</v>
      </c>
      <c r="P922" t="s">
        <v>47</v>
      </c>
      <c r="Y922" t="s">
        <v>3501</v>
      </c>
    </row>
    <row r="923" spans="1:25">
      <c r="A923" t="s">
        <v>3503</v>
      </c>
      <c r="B923" t="s">
        <v>3504</v>
      </c>
      <c r="D923" t="s">
        <v>40</v>
      </c>
      <c r="E923" t="s">
        <v>41</v>
      </c>
      <c r="J923" t="s">
        <v>701</v>
      </c>
      <c r="K923" t="s">
        <v>702</v>
      </c>
      <c r="L923">
        <v>2</v>
      </c>
      <c r="M923" t="s">
        <v>3505</v>
      </c>
      <c r="N923" t="s">
        <v>80</v>
      </c>
      <c r="O923" t="s">
        <v>47</v>
      </c>
      <c r="P923" t="s">
        <v>47</v>
      </c>
      <c r="Y923" t="s">
        <v>3506</v>
      </c>
    </row>
    <row r="924" spans="1:25">
      <c r="A924" t="s">
        <v>3507</v>
      </c>
      <c r="B924" t="s">
        <v>3508</v>
      </c>
      <c r="D924" t="s">
        <v>40</v>
      </c>
      <c r="E924" t="s">
        <v>41</v>
      </c>
      <c r="H924" t="s">
        <v>3509</v>
      </c>
      <c r="J924" t="s">
        <v>3051</v>
      </c>
      <c r="K924" t="s">
        <v>3052</v>
      </c>
      <c r="L924">
        <v>2</v>
      </c>
      <c r="M924" t="s">
        <v>3510</v>
      </c>
      <c r="N924" t="s">
        <v>80</v>
      </c>
      <c r="O924" t="s">
        <v>47</v>
      </c>
      <c r="P924" t="s">
        <v>47</v>
      </c>
      <c r="Y924" t="s">
        <v>3509</v>
      </c>
    </row>
    <row r="925" spans="1:25">
      <c r="A925" t="s">
        <v>3511</v>
      </c>
      <c r="B925" t="s">
        <v>3512</v>
      </c>
      <c r="D925" t="s">
        <v>40</v>
      </c>
      <c r="E925" t="s">
        <v>41</v>
      </c>
      <c r="J925" t="s">
        <v>590</v>
      </c>
      <c r="K925" t="s">
        <v>591</v>
      </c>
      <c r="L925">
        <v>2</v>
      </c>
      <c r="M925" t="s">
        <v>3513</v>
      </c>
      <c r="N925" t="s">
        <v>80</v>
      </c>
      <c r="O925" t="s">
        <v>47</v>
      </c>
      <c r="P925" t="s">
        <v>47</v>
      </c>
      <c r="Y925" t="s">
        <v>3514</v>
      </c>
    </row>
    <row r="926" spans="1:25">
      <c r="A926" t="s">
        <v>3515</v>
      </c>
      <c r="B926" t="s">
        <v>3516</v>
      </c>
      <c r="D926" t="s">
        <v>40</v>
      </c>
      <c r="E926" t="s">
        <v>41</v>
      </c>
      <c r="J926" t="s">
        <v>3127</v>
      </c>
      <c r="K926" t="s">
        <v>3128</v>
      </c>
      <c r="L926">
        <v>2</v>
      </c>
      <c r="M926" t="s">
        <v>3517</v>
      </c>
      <c r="N926" t="s">
        <v>80</v>
      </c>
      <c r="O926" t="s">
        <v>47</v>
      </c>
      <c r="P926" t="s">
        <v>47</v>
      </c>
      <c r="Y926" t="s">
        <v>3518</v>
      </c>
    </row>
    <row r="927" spans="1:25">
      <c r="A927" t="s">
        <v>3519</v>
      </c>
      <c r="B927" t="s">
        <v>3520</v>
      </c>
      <c r="D927" t="s">
        <v>40</v>
      </c>
      <c r="E927" t="s">
        <v>41</v>
      </c>
      <c r="J927" t="s">
        <v>701</v>
      </c>
      <c r="K927" t="s">
        <v>702</v>
      </c>
      <c r="L927">
        <v>2</v>
      </c>
      <c r="M927" t="s">
        <v>3521</v>
      </c>
      <c r="N927" t="s">
        <v>80</v>
      </c>
      <c r="O927" t="s">
        <v>47</v>
      </c>
      <c r="P927" t="s">
        <v>47</v>
      </c>
      <c r="Y927" t="s">
        <v>3522</v>
      </c>
    </row>
    <row r="928" spans="1:25">
      <c r="A928" t="s">
        <v>3523</v>
      </c>
      <c r="B928" t="s">
        <v>3524</v>
      </c>
      <c r="D928" t="s">
        <v>40</v>
      </c>
      <c r="E928" t="s">
        <v>41</v>
      </c>
      <c r="H928" t="s">
        <v>3525</v>
      </c>
      <c r="J928" t="s">
        <v>279</v>
      </c>
      <c r="K928" t="s">
        <v>280</v>
      </c>
      <c r="L928">
        <v>2</v>
      </c>
      <c r="M928" t="s">
        <v>3526</v>
      </c>
      <c r="N928" t="s">
        <v>80</v>
      </c>
      <c r="O928" t="s">
        <v>47</v>
      </c>
      <c r="P928" t="s">
        <v>47</v>
      </c>
      <c r="Y928" t="s">
        <v>3525</v>
      </c>
    </row>
    <row r="929" spans="1:25">
      <c r="A929" t="s">
        <v>3527</v>
      </c>
      <c r="B929" t="s">
        <v>3528</v>
      </c>
      <c r="D929" t="s">
        <v>40</v>
      </c>
      <c r="E929" t="s">
        <v>41</v>
      </c>
      <c r="J929" t="s">
        <v>897</v>
      </c>
      <c r="K929" t="s">
        <v>898</v>
      </c>
      <c r="L929">
        <v>2</v>
      </c>
      <c r="M929" t="s">
        <v>3529</v>
      </c>
      <c r="N929" t="s">
        <v>80</v>
      </c>
      <c r="O929" t="s">
        <v>47</v>
      </c>
      <c r="P929" t="s">
        <v>47</v>
      </c>
      <c r="Y929" t="s">
        <v>3530</v>
      </c>
    </row>
    <row r="930" spans="1:25">
      <c r="A930" t="s">
        <v>3531</v>
      </c>
      <c r="B930" t="s">
        <v>3532</v>
      </c>
      <c r="D930" t="s">
        <v>40</v>
      </c>
      <c r="E930" t="s">
        <v>41</v>
      </c>
      <c r="J930" t="s">
        <v>3127</v>
      </c>
      <c r="K930" t="s">
        <v>3128</v>
      </c>
      <c r="L930">
        <v>2</v>
      </c>
      <c r="M930" t="s">
        <v>3533</v>
      </c>
      <c r="N930" t="s">
        <v>202</v>
      </c>
      <c r="O930" t="s">
        <v>47</v>
      </c>
      <c r="P930" t="s">
        <v>47</v>
      </c>
      <c r="Y930" t="s">
        <v>3534</v>
      </c>
    </row>
    <row r="931" spans="1:25">
      <c r="A931" t="s">
        <v>3535</v>
      </c>
      <c r="B931" t="s">
        <v>3536</v>
      </c>
      <c r="D931" t="s">
        <v>40</v>
      </c>
      <c r="E931" t="s">
        <v>41</v>
      </c>
      <c r="H931" t="s">
        <v>3537</v>
      </c>
      <c r="J931" t="s">
        <v>701</v>
      </c>
      <c r="K931" t="s">
        <v>702</v>
      </c>
      <c r="L931">
        <v>2</v>
      </c>
      <c r="M931" t="s">
        <v>3538</v>
      </c>
      <c r="N931" t="s">
        <v>202</v>
      </c>
      <c r="O931" t="s">
        <v>47</v>
      </c>
      <c r="P931" t="s">
        <v>47</v>
      </c>
      <c r="Y931" t="s">
        <v>3537</v>
      </c>
    </row>
    <row r="932" spans="1:25">
      <c r="A932" t="s">
        <v>3539</v>
      </c>
      <c r="B932" t="s">
        <v>3540</v>
      </c>
      <c r="D932" t="s">
        <v>40</v>
      </c>
      <c r="E932" t="s">
        <v>41</v>
      </c>
      <c r="J932" t="s">
        <v>701</v>
      </c>
      <c r="K932" t="s">
        <v>702</v>
      </c>
      <c r="L932">
        <v>2</v>
      </c>
      <c r="M932" t="s">
        <v>3541</v>
      </c>
      <c r="N932" t="s">
        <v>80</v>
      </c>
      <c r="O932" t="s">
        <v>47</v>
      </c>
      <c r="P932" t="s">
        <v>47</v>
      </c>
      <c r="Y932" t="s">
        <v>3542</v>
      </c>
    </row>
    <row r="933" spans="1:25">
      <c r="A933" t="s">
        <v>3543</v>
      </c>
      <c r="B933" t="s">
        <v>3544</v>
      </c>
      <c r="D933" t="s">
        <v>40</v>
      </c>
      <c r="E933" t="s">
        <v>41</v>
      </c>
      <c r="J933" t="s">
        <v>701</v>
      </c>
      <c r="K933" t="s">
        <v>702</v>
      </c>
      <c r="L933">
        <v>2</v>
      </c>
      <c r="M933" t="s">
        <v>3545</v>
      </c>
      <c r="N933" t="s">
        <v>80</v>
      </c>
      <c r="O933" t="s">
        <v>47</v>
      </c>
      <c r="P933" t="s">
        <v>47</v>
      </c>
      <c r="Y933" t="s">
        <v>3546</v>
      </c>
    </row>
    <row r="934" spans="1:25">
      <c r="A934" t="s">
        <v>3547</v>
      </c>
      <c r="B934" t="s">
        <v>3548</v>
      </c>
      <c r="D934" t="s">
        <v>40</v>
      </c>
      <c r="E934" t="s">
        <v>41</v>
      </c>
      <c r="J934" t="s">
        <v>279</v>
      </c>
      <c r="K934" t="s">
        <v>280</v>
      </c>
      <c r="L934">
        <v>2</v>
      </c>
      <c r="M934" t="s">
        <v>3549</v>
      </c>
      <c r="N934" t="s">
        <v>103</v>
      </c>
      <c r="O934" t="s">
        <v>47</v>
      </c>
      <c r="P934" t="s">
        <v>47</v>
      </c>
      <c r="Y934" t="s">
        <v>3550</v>
      </c>
    </row>
    <row r="935" spans="1:25">
      <c r="A935" t="s">
        <v>3551</v>
      </c>
      <c r="B935" t="s">
        <v>3552</v>
      </c>
      <c r="D935" t="s">
        <v>40</v>
      </c>
      <c r="E935" t="s">
        <v>41</v>
      </c>
      <c r="J935" t="s">
        <v>3041</v>
      </c>
      <c r="K935" t="s">
        <v>3042</v>
      </c>
      <c r="L935">
        <v>3</v>
      </c>
      <c r="M935" t="s">
        <v>3553</v>
      </c>
      <c r="N935" t="s">
        <v>76</v>
      </c>
      <c r="O935" t="s">
        <v>47</v>
      </c>
      <c r="P935" t="s">
        <v>47</v>
      </c>
      <c r="Y935" t="s">
        <v>3554</v>
      </c>
    </row>
    <row r="936" spans="1:25">
      <c r="A936" t="s">
        <v>3555</v>
      </c>
      <c r="B936" t="s">
        <v>3556</v>
      </c>
      <c r="D936" t="s">
        <v>40</v>
      </c>
      <c r="E936" t="s">
        <v>41</v>
      </c>
      <c r="J936" t="s">
        <v>701</v>
      </c>
      <c r="K936" t="s">
        <v>702</v>
      </c>
      <c r="L936">
        <v>2</v>
      </c>
      <c r="M936" t="s">
        <v>3557</v>
      </c>
      <c r="N936" t="s">
        <v>80</v>
      </c>
      <c r="O936" t="s">
        <v>47</v>
      </c>
      <c r="P936" t="s">
        <v>47</v>
      </c>
      <c r="Y936" t="s">
        <v>3558</v>
      </c>
    </row>
    <row r="937" spans="1:25">
      <c r="A937" t="s">
        <v>3559</v>
      </c>
      <c r="B937" t="s">
        <v>3560</v>
      </c>
      <c r="D937" t="s">
        <v>40</v>
      </c>
      <c r="E937" t="s">
        <v>41</v>
      </c>
      <c r="J937" t="s">
        <v>117</v>
      </c>
      <c r="K937" t="s">
        <v>118</v>
      </c>
      <c r="L937">
        <v>2</v>
      </c>
      <c r="M937" t="s">
        <v>3561</v>
      </c>
      <c r="N937" t="s">
        <v>80</v>
      </c>
      <c r="O937" t="s">
        <v>47</v>
      </c>
      <c r="P937" t="s">
        <v>47</v>
      </c>
      <c r="Y937" t="s">
        <v>3562</v>
      </c>
    </row>
    <row r="938" spans="1:25">
      <c r="A938" t="s">
        <v>3563</v>
      </c>
      <c r="B938" t="s">
        <v>3564</v>
      </c>
      <c r="D938" t="s">
        <v>40</v>
      </c>
      <c r="E938" t="s">
        <v>41</v>
      </c>
      <c r="J938" t="s">
        <v>701</v>
      </c>
      <c r="K938" t="s">
        <v>702</v>
      </c>
      <c r="L938">
        <v>2</v>
      </c>
      <c r="M938" t="s">
        <v>3565</v>
      </c>
      <c r="N938" t="s">
        <v>80</v>
      </c>
      <c r="O938" t="s">
        <v>47</v>
      </c>
      <c r="P938" t="s">
        <v>47</v>
      </c>
      <c r="Y938" t="s">
        <v>3566</v>
      </c>
    </row>
    <row r="939" spans="1:25">
      <c r="A939" t="s">
        <v>3567</v>
      </c>
      <c r="B939" t="s">
        <v>3568</v>
      </c>
      <c r="D939" t="s">
        <v>40</v>
      </c>
      <c r="E939" t="s">
        <v>41</v>
      </c>
      <c r="J939" t="s">
        <v>701</v>
      </c>
      <c r="K939" t="s">
        <v>702</v>
      </c>
      <c r="L939">
        <v>2</v>
      </c>
      <c r="M939" t="s">
        <v>3569</v>
      </c>
      <c r="N939" t="s">
        <v>80</v>
      </c>
      <c r="O939" t="s">
        <v>47</v>
      </c>
      <c r="P939" t="s">
        <v>47</v>
      </c>
      <c r="Y939" t="s">
        <v>3570</v>
      </c>
    </row>
    <row r="940" spans="1:25">
      <c r="A940" t="s">
        <v>3571</v>
      </c>
      <c r="B940" t="s">
        <v>3572</v>
      </c>
      <c r="D940" t="s">
        <v>40</v>
      </c>
      <c r="E940" t="s">
        <v>41</v>
      </c>
      <c r="J940" t="s">
        <v>3041</v>
      </c>
      <c r="K940" t="s">
        <v>3042</v>
      </c>
      <c r="L940">
        <v>3</v>
      </c>
      <c r="M940" t="s">
        <v>3573</v>
      </c>
      <c r="N940" t="s">
        <v>76</v>
      </c>
      <c r="O940" t="s">
        <v>47</v>
      </c>
      <c r="P940" t="s">
        <v>47</v>
      </c>
      <c r="Y940" t="s">
        <v>3574</v>
      </c>
    </row>
    <row r="941" spans="1:25">
      <c r="A941" t="s">
        <v>3575</v>
      </c>
      <c r="B941" t="s">
        <v>3576</v>
      </c>
      <c r="D941" t="s">
        <v>40</v>
      </c>
      <c r="E941" t="s">
        <v>41</v>
      </c>
      <c r="J941" t="s">
        <v>897</v>
      </c>
      <c r="K941" t="s">
        <v>898</v>
      </c>
      <c r="L941">
        <v>2</v>
      </c>
      <c r="M941" t="s">
        <v>3573</v>
      </c>
      <c r="N941" t="s">
        <v>80</v>
      </c>
      <c r="O941" t="s">
        <v>47</v>
      </c>
      <c r="P941" t="s">
        <v>47</v>
      </c>
      <c r="Y941" t="s">
        <v>3577</v>
      </c>
    </row>
    <row r="942" spans="1:25">
      <c r="A942" t="s">
        <v>3578</v>
      </c>
      <c r="B942" t="s">
        <v>3579</v>
      </c>
      <c r="D942" t="s">
        <v>40</v>
      </c>
      <c r="E942" t="s">
        <v>41</v>
      </c>
      <c r="J942" t="s">
        <v>279</v>
      </c>
      <c r="K942" t="s">
        <v>280</v>
      </c>
      <c r="L942">
        <v>2</v>
      </c>
      <c r="M942" t="s">
        <v>3580</v>
      </c>
      <c r="N942" t="s">
        <v>46</v>
      </c>
      <c r="O942" t="s">
        <v>47</v>
      </c>
      <c r="P942" t="s">
        <v>47</v>
      </c>
      <c r="Y942" t="s">
        <v>3581</v>
      </c>
    </row>
    <row r="943" spans="1:25">
      <c r="A943" t="s">
        <v>3582</v>
      </c>
      <c r="B943" t="s">
        <v>3583</v>
      </c>
      <c r="D943" t="s">
        <v>40</v>
      </c>
      <c r="E943" t="s">
        <v>41</v>
      </c>
      <c r="J943" t="s">
        <v>3041</v>
      </c>
      <c r="K943" t="s">
        <v>3042</v>
      </c>
      <c r="L943">
        <v>2</v>
      </c>
      <c r="M943" t="s">
        <v>3584</v>
      </c>
      <c r="N943" t="s">
        <v>76</v>
      </c>
      <c r="O943" t="s">
        <v>47</v>
      </c>
      <c r="P943" t="s">
        <v>47</v>
      </c>
      <c r="Y943" t="s">
        <v>3585</v>
      </c>
    </row>
    <row r="944" spans="1:25">
      <c r="A944" t="s">
        <v>3586</v>
      </c>
      <c r="B944" t="s">
        <v>3587</v>
      </c>
      <c r="D944" t="s">
        <v>40</v>
      </c>
      <c r="E944" t="s">
        <v>41</v>
      </c>
      <c r="J944" t="s">
        <v>701</v>
      </c>
      <c r="K944" t="s">
        <v>702</v>
      </c>
      <c r="L944">
        <v>1</v>
      </c>
      <c r="M944" t="s">
        <v>3584</v>
      </c>
      <c r="N944" t="s">
        <v>80</v>
      </c>
      <c r="O944" t="s">
        <v>47</v>
      </c>
      <c r="P944" t="s">
        <v>47</v>
      </c>
      <c r="Y944" t="s">
        <v>3588</v>
      </c>
    </row>
    <row r="945" spans="1:25">
      <c r="A945" t="s">
        <v>3589</v>
      </c>
      <c r="B945" t="s">
        <v>3590</v>
      </c>
      <c r="D945" t="s">
        <v>40</v>
      </c>
      <c r="E945" t="s">
        <v>41</v>
      </c>
      <c r="J945" t="s">
        <v>279</v>
      </c>
      <c r="K945" t="s">
        <v>280</v>
      </c>
      <c r="L945">
        <v>1</v>
      </c>
      <c r="M945" t="s">
        <v>3591</v>
      </c>
      <c r="N945" t="s">
        <v>46</v>
      </c>
      <c r="O945" t="s">
        <v>47</v>
      </c>
      <c r="P945" t="s">
        <v>47</v>
      </c>
      <c r="Y945" t="s">
        <v>3592</v>
      </c>
    </row>
    <row r="946" spans="1:25">
      <c r="A946" t="s">
        <v>3593</v>
      </c>
      <c r="B946" t="s">
        <v>3594</v>
      </c>
      <c r="D946" t="s">
        <v>40</v>
      </c>
      <c r="E946" t="s">
        <v>41</v>
      </c>
      <c r="H946" t="s">
        <v>3595</v>
      </c>
      <c r="J946" t="s">
        <v>279</v>
      </c>
      <c r="K946" t="s">
        <v>280</v>
      </c>
      <c r="L946">
        <v>1</v>
      </c>
      <c r="M946" t="s">
        <v>3596</v>
      </c>
      <c r="N946" t="s">
        <v>46</v>
      </c>
      <c r="O946" t="s">
        <v>47</v>
      </c>
      <c r="P946" t="s">
        <v>47</v>
      </c>
      <c r="Y946" t="s">
        <v>3595</v>
      </c>
    </row>
    <row r="947" spans="1:25">
      <c r="A947" t="s">
        <v>3597</v>
      </c>
      <c r="B947" t="s">
        <v>3598</v>
      </c>
      <c r="D947" t="s">
        <v>40</v>
      </c>
      <c r="E947" t="s">
        <v>41</v>
      </c>
      <c r="J947" t="s">
        <v>279</v>
      </c>
      <c r="K947" t="s">
        <v>280</v>
      </c>
      <c r="L947">
        <v>1</v>
      </c>
      <c r="M947" t="s">
        <v>3599</v>
      </c>
      <c r="N947" t="s">
        <v>46</v>
      </c>
      <c r="O947" t="s">
        <v>47</v>
      </c>
      <c r="P947" t="s">
        <v>47</v>
      </c>
      <c r="Y947" t="s">
        <v>3600</v>
      </c>
    </row>
    <row r="948" spans="1:25">
      <c r="A948" t="s">
        <v>231</v>
      </c>
      <c r="B948" t="s">
        <v>3601</v>
      </c>
      <c r="D948" t="s">
        <v>40</v>
      </c>
      <c r="E948" t="s">
        <v>41</v>
      </c>
      <c r="J948" t="s">
        <v>897</v>
      </c>
      <c r="K948" t="s">
        <v>898</v>
      </c>
      <c r="L948">
        <v>1</v>
      </c>
      <c r="M948" t="s">
        <v>3602</v>
      </c>
      <c r="N948" t="s">
        <v>103</v>
      </c>
      <c r="O948" t="s">
        <v>47</v>
      </c>
      <c r="P948" t="s">
        <v>47</v>
      </c>
      <c r="Y948" t="s">
        <v>3603</v>
      </c>
    </row>
    <row r="949" spans="1:25">
      <c r="A949" t="s">
        <v>3604</v>
      </c>
      <c r="B949" t="s">
        <v>3605</v>
      </c>
      <c r="D949" t="s">
        <v>40</v>
      </c>
      <c r="E949" t="s">
        <v>41</v>
      </c>
      <c r="J949" t="s">
        <v>279</v>
      </c>
      <c r="K949" t="s">
        <v>280</v>
      </c>
      <c r="L949">
        <v>1</v>
      </c>
      <c r="M949" t="s">
        <v>3606</v>
      </c>
      <c r="N949" t="s">
        <v>103</v>
      </c>
      <c r="O949" t="s">
        <v>47</v>
      </c>
      <c r="P949" t="s">
        <v>47</v>
      </c>
      <c r="Y949" t="s">
        <v>3607</v>
      </c>
    </row>
    <row r="950" spans="1:25">
      <c r="A950" t="s">
        <v>3608</v>
      </c>
      <c r="B950" t="s">
        <v>3609</v>
      </c>
      <c r="D950" t="s">
        <v>40</v>
      </c>
      <c r="E950" t="s">
        <v>41</v>
      </c>
      <c r="J950" t="s">
        <v>279</v>
      </c>
      <c r="K950" t="s">
        <v>280</v>
      </c>
      <c r="L950">
        <v>1</v>
      </c>
      <c r="M950" t="s">
        <v>3610</v>
      </c>
      <c r="N950" t="s">
        <v>80</v>
      </c>
      <c r="O950" t="s">
        <v>47</v>
      </c>
      <c r="P950" t="s">
        <v>47</v>
      </c>
      <c r="Y950" t="s">
        <v>3611</v>
      </c>
    </row>
    <row r="951" spans="1:25">
      <c r="A951" t="s">
        <v>3612</v>
      </c>
      <c r="B951" t="s">
        <v>3613</v>
      </c>
      <c r="D951" t="s">
        <v>40</v>
      </c>
      <c r="E951" t="s">
        <v>41</v>
      </c>
      <c r="J951" t="s">
        <v>701</v>
      </c>
      <c r="K951" t="s">
        <v>702</v>
      </c>
      <c r="L951">
        <v>1</v>
      </c>
      <c r="M951" t="s">
        <v>3614</v>
      </c>
      <c r="N951" t="s">
        <v>3615</v>
      </c>
      <c r="O951" t="s">
        <v>47</v>
      </c>
      <c r="P951" t="s">
        <v>47</v>
      </c>
      <c r="Y951" t="s">
        <v>3616</v>
      </c>
    </row>
    <row r="952" spans="1:25">
      <c r="A952" t="s">
        <v>3617</v>
      </c>
      <c r="B952" t="s">
        <v>3618</v>
      </c>
      <c r="D952" t="s">
        <v>40</v>
      </c>
      <c r="E952" t="s">
        <v>41</v>
      </c>
      <c r="J952" t="s">
        <v>279</v>
      </c>
      <c r="K952" t="s">
        <v>280</v>
      </c>
      <c r="L952">
        <v>1</v>
      </c>
      <c r="M952" t="s">
        <v>3619</v>
      </c>
      <c r="N952" t="s">
        <v>3615</v>
      </c>
      <c r="O952" t="s">
        <v>47</v>
      </c>
      <c r="P952" t="s">
        <v>47</v>
      </c>
      <c r="Y952" t="s">
        <v>3620</v>
      </c>
    </row>
    <row r="953" spans="1:25">
      <c r="A953" t="s">
        <v>3621</v>
      </c>
      <c r="B953" t="s">
        <v>3622</v>
      </c>
      <c r="D953" t="s">
        <v>40</v>
      </c>
      <c r="E953" t="s">
        <v>41</v>
      </c>
      <c r="J953" t="s">
        <v>279</v>
      </c>
      <c r="K953" t="s">
        <v>280</v>
      </c>
      <c r="L953">
        <v>1</v>
      </c>
      <c r="M953" t="s">
        <v>3619</v>
      </c>
      <c r="N953" t="s">
        <v>103</v>
      </c>
      <c r="O953" t="s">
        <v>47</v>
      </c>
      <c r="P953" t="s">
        <v>47</v>
      </c>
      <c r="Y953" t="s">
        <v>3623</v>
      </c>
    </row>
    <row r="954" spans="1:25">
      <c r="A954" t="s">
        <v>3624</v>
      </c>
      <c r="B954" t="s">
        <v>3625</v>
      </c>
      <c r="D954" t="s">
        <v>40</v>
      </c>
      <c r="E954" t="s">
        <v>41</v>
      </c>
      <c r="J954" t="s">
        <v>701</v>
      </c>
      <c r="K954" t="s">
        <v>702</v>
      </c>
      <c r="L954">
        <v>1</v>
      </c>
      <c r="M954" t="s">
        <v>3626</v>
      </c>
      <c r="N954" t="s">
        <v>80</v>
      </c>
      <c r="O954" t="s">
        <v>47</v>
      </c>
      <c r="P954" t="s">
        <v>47</v>
      </c>
      <c r="Y954" t="s">
        <v>3627</v>
      </c>
    </row>
    <row r="955" spans="1:25">
      <c r="A955" t="s">
        <v>3628</v>
      </c>
      <c r="B955" t="s">
        <v>3629</v>
      </c>
      <c r="D955" t="s">
        <v>40</v>
      </c>
      <c r="E955" t="s">
        <v>41</v>
      </c>
      <c r="J955" t="s">
        <v>701</v>
      </c>
      <c r="K955" t="s">
        <v>702</v>
      </c>
      <c r="L955">
        <v>1</v>
      </c>
      <c r="M955" t="s">
        <v>3630</v>
      </c>
      <c r="N955" t="s">
        <v>3631</v>
      </c>
      <c r="O955" t="s">
        <v>47</v>
      </c>
      <c r="P955" t="s">
        <v>47</v>
      </c>
      <c r="Y955" t="s">
        <v>3632</v>
      </c>
    </row>
    <row r="956" spans="1:25">
      <c r="A956" t="s">
        <v>3633</v>
      </c>
      <c r="B956" t="s">
        <v>3634</v>
      </c>
      <c r="D956" t="s">
        <v>40</v>
      </c>
      <c r="E956" t="s">
        <v>41</v>
      </c>
      <c r="J956" t="s">
        <v>701</v>
      </c>
      <c r="K956" t="s">
        <v>702</v>
      </c>
      <c r="L956">
        <v>1</v>
      </c>
      <c r="M956" t="s">
        <v>3635</v>
      </c>
      <c r="N956" t="s">
        <v>80</v>
      </c>
      <c r="O956" t="s">
        <v>47</v>
      </c>
      <c r="P956" t="s">
        <v>47</v>
      </c>
      <c r="Y956" t="s">
        <v>3636</v>
      </c>
    </row>
    <row r="957" spans="1:25">
      <c r="A957" t="s">
        <v>3637</v>
      </c>
      <c r="B957" t="s">
        <v>3638</v>
      </c>
      <c r="D957" t="s">
        <v>40</v>
      </c>
      <c r="E957" t="s">
        <v>41</v>
      </c>
      <c r="H957" t="s">
        <v>3639</v>
      </c>
      <c r="J957" t="s">
        <v>117</v>
      </c>
      <c r="K957" t="s">
        <v>118</v>
      </c>
      <c r="L957">
        <v>2</v>
      </c>
      <c r="M957" t="s">
        <v>3640</v>
      </c>
      <c r="N957" t="s">
        <v>80</v>
      </c>
      <c r="O957" t="s">
        <v>47</v>
      </c>
      <c r="P957" t="s">
        <v>47</v>
      </c>
      <c r="Y957" t="s">
        <v>3639</v>
      </c>
    </row>
    <row r="958" spans="1:25">
      <c r="A958" t="s">
        <v>3641</v>
      </c>
      <c r="B958" t="s">
        <v>3642</v>
      </c>
      <c r="D958" t="s">
        <v>40</v>
      </c>
      <c r="E958" t="s">
        <v>41</v>
      </c>
      <c r="J958" t="s">
        <v>279</v>
      </c>
      <c r="K958" t="s">
        <v>280</v>
      </c>
      <c r="L958">
        <v>1</v>
      </c>
      <c r="M958" t="s">
        <v>3643</v>
      </c>
      <c r="N958" t="s">
        <v>46</v>
      </c>
      <c r="O958" t="s">
        <v>47</v>
      </c>
      <c r="P958" t="s">
        <v>47</v>
      </c>
      <c r="Y958" t="s">
        <v>3644</v>
      </c>
    </row>
    <row r="959" spans="1:25">
      <c r="A959" t="s">
        <v>3645</v>
      </c>
      <c r="B959" t="s">
        <v>3646</v>
      </c>
      <c r="D959" t="s">
        <v>40</v>
      </c>
      <c r="E959" t="s">
        <v>41</v>
      </c>
      <c r="J959" t="s">
        <v>701</v>
      </c>
      <c r="K959" t="s">
        <v>702</v>
      </c>
      <c r="L959">
        <v>1</v>
      </c>
      <c r="M959" t="s">
        <v>3647</v>
      </c>
      <c r="N959" t="s">
        <v>80</v>
      </c>
      <c r="O959" t="s">
        <v>47</v>
      </c>
      <c r="P959" t="s">
        <v>47</v>
      </c>
      <c r="Y959" t="s">
        <v>3648</v>
      </c>
    </row>
    <row r="960" spans="1:25">
      <c r="A960" t="s">
        <v>3649</v>
      </c>
      <c r="B960" t="s">
        <v>3650</v>
      </c>
      <c r="D960" t="s">
        <v>40</v>
      </c>
      <c r="E960" t="s">
        <v>41</v>
      </c>
      <c r="J960" t="s">
        <v>701</v>
      </c>
      <c r="K960" t="s">
        <v>702</v>
      </c>
      <c r="L960">
        <v>1</v>
      </c>
      <c r="M960" t="s">
        <v>3651</v>
      </c>
      <c r="N960" t="s">
        <v>80</v>
      </c>
      <c r="O960" t="s">
        <v>47</v>
      </c>
      <c r="P960" t="s">
        <v>47</v>
      </c>
      <c r="Y960" t="s">
        <v>3652</v>
      </c>
    </row>
    <row r="961" spans="1:25">
      <c r="A961" t="s">
        <v>3653</v>
      </c>
      <c r="B961" t="s">
        <v>3654</v>
      </c>
      <c r="D961" t="s">
        <v>40</v>
      </c>
      <c r="E961" t="s">
        <v>41</v>
      </c>
      <c r="J961" t="s">
        <v>3187</v>
      </c>
      <c r="K961" t="s">
        <v>3188</v>
      </c>
      <c r="L961">
        <v>1</v>
      </c>
      <c r="M961" t="s">
        <v>3655</v>
      </c>
      <c r="N961" t="s">
        <v>80</v>
      </c>
      <c r="O961" t="s">
        <v>47</v>
      </c>
      <c r="P961" t="s">
        <v>47</v>
      </c>
      <c r="Y961" t="s">
        <v>3656</v>
      </c>
    </row>
    <row r="962" spans="1:25">
      <c r="A962" t="s">
        <v>3657</v>
      </c>
      <c r="B962" t="s">
        <v>3658</v>
      </c>
      <c r="D962" t="s">
        <v>40</v>
      </c>
      <c r="E962" t="s">
        <v>41</v>
      </c>
      <c r="J962" t="s">
        <v>701</v>
      </c>
      <c r="K962" t="s">
        <v>702</v>
      </c>
      <c r="L962">
        <v>1</v>
      </c>
      <c r="M962" t="s">
        <v>3659</v>
      </c>
      <c r="N962" t="s">
        <v>80</v>
      </c>
      <c r="O962" t="s">
        <v>47</v>
      </c>
      <c r="P962" t="s">
        <v>47</v>
      </c>
      <c r="Y962" t="s">
        <v>3660</v>
      </c>
    </row>
    <row r="963" spans="1:25">
      <c r="A963" t="s">
        <v>3661</v>
      </c>
      <c r="B963" t="s">
        <v>3662</v>
      </c>
      <c r="D963" t="s">
        <v>40</v>
      </c>
      <c r="E963" t="s">
        <v>41</v>
      </c>
      <c r="J963" t="s">
        <v>279</v>
      </c>
      <c r="K963" t="s">
        <v>280</v>
      </c>
      <c r="L963">
        <v>1</v>
      </c>
      <c r="M963" t="s">
        <v>3663</v>
      </c>
      <c r="N963" t="s">
        <v>103</v>
      </c>
      <c r="O963" t="s">
        <v>47</v>
      </c>
      <c r="P963" t="s">
        <v>47</v>
      </c>
      <c r="Y963" t="s">
        <v>3664</v>
      </c>
    </row>
    <row r="964" spans="1:25">
      <c r="A964" t="s">
        <v>3665</v>
      </c>
      <c r="B964" t="s">
        <v>3666</v>
      </c>
      <c r="D964" t="s">
        <v>40</v>
      </c>
      <c r="E964" t="s">
        <v>41</v>
      </c>
      <c r="J964" t="s">
        <v>279</v>
      </c>
      <c r="K964" t="s">
        <v>280</v>
      </c>
      <c r="L964">
        <v>1</v>
      </c>
      <c r="M964" t="s">
        <v>3667</v>
      </c>
      <c r="N964" t="s">
        <v>80</v>
      </c>
      <c r="O964" t="s">
        <v>47</v>
      </c>
      <c r="P964" t="s">
        <v>47</v>
      </c>
      <c r="Y964" t="s">
        <v>3668</v>
      </c>
    </row>
    <row r="965" spans="1:25">
      <c r="A965" t="s">
        <v>3669</v>
      </c>
      <c r="B965" t="s">
        <v>3670</v>
      </c>
      <c r="D965" t="s">
        <v>40</v>
      </c>
      <c r="E965" t="s">
        <v>41</v>
      </c>
      <c r="J965" t="s">
        <v>3187</v>
      </c>
      <c r="K965" t="s">
        <v>3188</v>
      </c>
      <c r="L965">
        <v>1</v>
      </c>
      <c r="M965" t="s">
        <v>3671</v>
      </c>
      <c r="N965" t="s">
        <v>80</v>
      </c>
      <c r="O965" t="s">
        <v>47</v>
      </c>
      <c r="P965" t="s">
        <v>47</v>
      </c>
      <c r="Y965" t="s">
        <v>3672</v>
      </c>
    </row>
    <row r="966" spans="1:25">
      <c r="A966" t="s">
        <v>3673</v>
      </c>
      <c r="B966" t="s">
        <v>3674</v>
      </c>
      <c r="D966" t="s">
        <v>40</v>
      </c>
      <c r="E966" t="s">
        <v>41</v>
      </c>
      <c r="J966" t="s">
        <v>701</v>
      </c>
      <c r="K966" t="s">
        <v>702</v>
      </c>
      <c r="L966">
        <v>1</v>
      </c>
      <c r="M966" t="s">
        <v>3675</v>
      </c>
      <c r="N966" t="s">
        <v>80</v>
      </c>
      <c r="O966" t="s">
        <v>47</v>
      </c>
      <c r="P966" t="s">
        <v>47</v>
      </c>
      <c r="Y966" t="s">
        <v>3676</v>
      </c>
    </row>
    <row r="967" spans="1:25">
      <c r="A967" t="s">
        <v>3677</v>
      </c>
      <c r="B967" t="s">
        <v>3678</v>
      </c>
      <c r="D967" t="s">
        <v>40</v>
      </c>
      <c r="E967" t="s">
        <v>41</v>
      </c>
      <c r="H967" t="s">
        <v>3679</v>
      </c>
      <c r="J967" t="s">
        <v>279</v>
      </c>
      <c r="K967" t="s">
        <v>280</v>
      </c>
      <c r="L967">
        <v>2</v>
      </c>
      <c r="M967" t="s">
        <v>3680</v>
      </c>
      <c r="N967" t="s">
        <v>103</v>
      </c>
      <c r="O967" t="s">
        <v>47</v>
      </c>
      <c r="P967" t="s">
        <v>47</v>
      </c>
      <c r="Y967" t="s">
        <v>3679</v>
      </c>
    </row>
    <row r="968" spans="1:25">
      <c r="A968" t="s">
        <v>3681</v>
      </c>
      <c r="B968" t="s">
        <v>3682</v>
      </c>
      <c r="D968" t="s">
        <v>40</v>
      </c>
      <c r="E968" t="s">
        <v>41</v>
      </c>
      <c r="J968" t="s">
        <v>701</v>
      </c>
      <c r="K968" t="s">
        <v>702</v>
      </c>
      <c r="L968">
        <v>1</v>
      </c>
      <c r="M968" t="s">
        <v>3683</v>
      </c>
      <c r="N968" t="s">
        <v>103</v>
      </c>
      <c r="O968" t="s">
        <v>47</v>
      </c>
      <c r="P968" t="s">
        <v>47</v>
      </c>
      <c r="Y968" t="s">
        <v>3684</v>
      </c>
    </row>
    <row r="969" spans="1:25">
      <c r="A969" t="s">
        <v>3685</v>
      </c>
      <c r="B969" t="s">
        <v>3686</v>
      </c>
      <c r="D969" t="s">
        <v>40</v>
      </c>
      <c r="E969" t="s">
        <v>41</v>
      </c>
      <c r="J969" t="s">
        <v>279</v>
      </c>
      <c r="K969" t="s">
        <v>280</v>
      </c>
      <c r="L969">
        <v>1</v>
      </c>
      <c r="M969" t="s">
        <v>3687</v>
      </c>
      <c r="N969" t="s">
        <v>103</v>
      </c>
      <c r="O969" t="s">
        <v>47</v>
      </c>
      <c r="P969" t="s">
        <v>47</v>
      </c>
      <c r="Y969" t="s">
        <v>3688</v>
      </c>
    </row>
    <row r="970" spans="1:25">
      <c r="A970" t="s">
        <v>3689</v>
      </c>
      <c r="B970" t="s">
        <v>3690</v>
      </c>
      <c r="D970" t="s">
        <v>40</v>
      </c>
      <c r="E970" t="s">
        <v>41</v>
      </c>
      <c r="J970" t="s">
        <v>590</v>
      </c>
      <c r="K970" t="s">
        <v>591</v>
      </c>
      <c r="L970">
        <v>1</v>
      </c>
      <c r="M970" t="s">
        <v>3687</v>
      </c>
      <c r="N970" t="s">
        <v>80</v>
      </c>
      <c r="O970" t="s">
        <v>47</v>
      </c>
      <c r="P970" t="s">
        <v>47</v>
      </c>
      <c r="Y970" t="s">
        <v>3691</v>
      </c>
    </row>
    <row r="971" spans="1:25">
      <c r="A971" t="s">
        <v>3692</v>
      </c>
      <c r="B971" t="s">
        <v>3693</v>
      </c>
      <c r="D971" t="s">
        <v>40</v>
      </c>
      <c r="E971" t="s">
        <v>41</v>
      </c>
      <c r="J971" t="s">
        <v>279</v>
      </c>
      <c r="K971" t="s">
        <v>280</v>
      </c>
      <c r="L971">
        <v>1</v>
      </c>
      <c r="M971" t="s">
        <v>3694</v>
      </c>
      <c r="N971" t="s">
        <v>103</v>
      </c>
      <c r="O971" t="s">
        <v>47</v>
      </c>
      <c r="P971" t="s">
        <v>47</v>
      </c>
      <c r="Y971" t="s">
        <v>3695</v>
      </c>
    </row>
    <row r="972" spans="1:25">
      <c r="A972" t="s">
        <v>3696</v>
      </c>
      <c r="B972" t="s">
        <v>3697</v>
      </c>
      <c r="D972" t="s">
        <v>40</v>
      </c>
      <c r="E972" t="s">
        <v>41</v>
      </c>
      <c r="H972" t="s">
        <v>3698</v>
      </c>
      <c r="J972" t="s">
        <v>3187</v>
      </c>
      <c r="K972" t="s">
        <v>3188</v>
      </c>
      <c r="L972">
        <v>2</v>
      </c>
      <c r="M972" t="s">
        <v>3699</v>
      </c>
      <c r="N972" t="s">
        <v>80</v>
      </c>
      <c r="O972" t="s">
        <v>47</v>
      </c>
      <c r="P972" t="s">
        <v>47</v>
      </c>
      <c r="Y972" t="s">
        <v>3698</v>
      </c>
    </row>
    <row r="973" spans="1:25">
      <c r="A973" t="s">
        <v>3700</v>
      </c>
      <c r="B973" t="s">
        <v>3701</v>
      </c>
      <c r="D973" t="s">
        <v>40</v>
      </c>
      <c r="E973" t="s">
        <v>41</v>
      </c>
      <c r="J973" t="s">
        <v>701</v>
      </c>
      <c r="K973" t="s">
        <v>702</v>
      </c>
      <c r="L973">
        <v>1</v>
      </c>
      <c r="M973" t="s">
        <v>3702</v>
      </c>
      <c r="N973" t="s">
        <v>80</v>
      </c>
      <c r="O973" t="s">
        <v>47</v>
      </c>
      <c r="P973" t="s">
        <v>47</v>
      </c>
      <c r="Y973" t="s">
        <v>3703</v>
      </c>
    </row>
    <row r="974" spans="1:25">
      <c r="A974" t="s">
        <v>3704</v>
      </c>
      <c r="B974" t="s">
        <v>3705</v>
      </c>
      <c r="D974" t="s">
        <v>40</v>
      </c>
      <c r="E974" t="s">
        <v>41</v>
      </c>
      <c r="J974" t="s">
        <v>701</v>
      </c>
      <c r="K974" t="s">
        <v>702</v>
      </c>
      <c r="L974">
        <v>1</v>
      </c>
      <c r="M974" t="s">
        <v>3706</v>
      </c>
      <c r="N974" t="s">
        <v>80</v>
      </c>
      <c r="O974" t="s">
        <v>47</v>
      </c>
      <c r="P974" t="s">
        <v>47</v>
      </c>
      <c r="Y974" t="s">
        <v>3707</v>
      </c>
    </row>
    <row r="975" spans="1:25">
      <c r="A975" t="s">
        <v>231</v>
      </c>
      <c r="B975" t="s">
        <v>3708</v>
      </c>
      <c r="D975" t="s">
        <v>40</v>
      </c>
      <c r="E975" t="s">
        <v>41</v>
      </c>
      <c r="J975" t="s">
        <v>701</v>
      </c>
      <c r="K975" t="s">
        <v>702</v>
      </c>
      <c r="L975">
        <v>1</v>
      </c>
      <c r="M975" t="s">
        <v>3709</v>
      </c>
      <c r="N975" t="s">
        <v>80</v>
      </c>
      <c r="O975" t="s">
        <v>47</v>
      </c>
      <c r="P975" t="s">
        <v>47</v>
      </c>
      <c r="Y975" t="s">
        <v>3710</v>
      </c>
    </row>
    <row r="976" spans="1:25">
      <c r="A976" t="s">
        <v>3711</v>
      </c>
      <c r="B976" t="s">
        <v>3712</v>
      </c>
      <c r="D976" t="s">
        <v>40</v>
      </c>
      <c r="E976" t="s">
        <v>41</v>
      </c>
      <c r="J976" t="s">
        <v>279</v>
      </c>
      <c r="K976" t="s">
        <v>280</v>
      </c>
      <c r="L976">
        <v>1</v>
      </c>
      <c r="M976" t="s">
        <v>3713</v>
      </c>
      <c r="N976" t="s">
        <v>80</v>
      </c>
      <c r="O976" t="s">
        <v>47</v>
      </c>
      <c r="P976" t="s">
        <v>47</v>
      </c>
      <c r="Y976" t="s">
        <v>3714</v>
      </c>
    </row>
    <row r="977" spans="1:25">
      <c r="A977" t="s">
        <v>3715</v>
      </c>
      <c r="B977" t="s">
        <v>3716</v>
      </c>
      <c r="D977" t="s">
        <v>40</v>
      </c>
      <c r="E977" t="s">
        <v>41</v>
      </c>
      <c r="J977" t="s">
        <v>279</v>
      </c>
      <c r="K977" t="s">
        <v>280</v>
      </c>
      <c r="L977">
        <v>1</v>
      </c>
      <c r="M977" t="s">
        <v>3717</v>
      </c>
      <c r="N977" t="s">
        <v>80</v>
      </c>
      <c r="O977" t="s">
        <v>47</v>
      </c>
      <c r="P977" t="s">
        <v>47</v>
      </c>
      <c r="Y977" t="s">
        <v>3718</v>
      </c>
    </row>
    <row r="978" spans="1:25">
      <c r="A978" t="s">
        <v>3719</v>
      </c>
      <c r="B978" t="s">
        <v>3720</v>
      </c>
      <c r="D978" t="s">
        <v>40</v>
      </c>
      <c r="E978" t="s">
        <v>41</v>
      </c>
      <c r="J978" t="s">
        <v>279</v>
      </c>
      <c r="K978" t="s">
        <v>280</v>
      </c>
      <c r="L978">
        <v>1</v>
      </c>
      <c r="M978" t="s">
        <v>3721</v>
      </c>
      <c r="N978" t="s">
        <v>80</v>
      </c>
      <c r="O978" t="s">
        <v>47</v>
      </c>
      <c r="P978" t="s">
        <v>47</v>
      </c>
      <c r="Y978" t="s">
        <v>3722</v>
      </c>
    </row>
    <row r="979" spans="1:25">
      <c r="A979" t="s">
        <v>3723</v>
      </c>
      <c r="B979" t="s">
        <v>3724</v>
      </c>
      <c r="D979" t="s">
        <v>40</v>
      </c>
      <c r="E979" t="s">
        <v>41</v>
      </c>
      <c r="J979" t="s">
        <v>701</v>
      </c>
      <c r="K979" t="s">
        <v>702</v>
      </c>
      <c r="L979">
        <v>1</v>
      </c>
      <c r="M979" t="s">
        <v>3725</v>
      </c>
      <c r="N979" t="s">
        <v>80</v>
      </c>
      <c r="O979" t="s">
        <v>47</v>
      </c>
      <c r="P979" t="s">
        <v>47</v>
      </c>
      <c r="Y979" t="s">
        <v>3726</v>
      </c>
    </row>
    <row r="980" spans="1:25">
      <c r="A980" t="s">
        <v>3727</v>
      </c>
      <c r="B980" t="s">
        <v>3728</v>
      </c>
      <c r="D980" t="s">
        <v>40</v>
      </c>
      <c r="E980" t="s">
        <v>41</v>
      </c>
      <c r="J980" t="s">
        <v>701</v>
      </c>
      <c r="K980" t="s">
        <v>702</v>
      </c>
      <c r="L980">
        <v>1</v>
      </c>
      <c r="M980" t="s">
        <v>3729</v>
      </c>
      <c r="N980" t="s">
        <v>80</v>
      </c>
      <c r="O980" t="s">
        <v>47</v>
      </c>
      <c r="P980" t="s">
        <v>47</v>
      </c>
      <c r="Y980" t="s">
        <v>3730</v>
      </c>
    </row>
    <row r="981" spans="1:25">
      <c r="A981" t="s">
        <v>3731</v>
      </c>
      <c r="B981" t="s">
        <v>3732</v>
      </c>
      <c r="D981" t="s">
        <v>40</v>
      </c>
      <c r="E981" t="s">
        <v>41</v>
      </c>
      <c r="J981" t="s">
        <v>701</v>
      </c>
      <c r="K981" t="s">
        <v>702</v>
      </c>
      <c r="L981">
        <v>1</v>
      </c>
      <c r="M981" t="s">
        <v>3733</v>
      </c>
      <c r="N981" t="s">
        <v>80</v>
      </c>
      <c r="O981" t="s">
        <v>47</v>
      </c>
      <c r="P981" t="s">
        <v>47</v>
      </c>
      <c r="Y981" t="s">
        <v>3734</v>
      </c>
    </row>
    <row r="982" spans="1:25">
      <c r="A982" t="s">
        <v>231</v>
      </c>
      <c r="B982" t="s">
        <v>3735</v>
      </c>
      <c r="D982" t="s">
        <v>40</v>
      </c>
      <c r="E982" t="s">
        <v>41</v>
      </c>
      <c r="J982" t="s">
        <v>701</v>
      </c>
      <c r="K982" t="s">
        <v>702</v>
      </c>
      <c r="L982">
        <v>1</v>
      </c>
      <c r="M982" t="s">
        <v>3736</v>
      </c>
      <c r="N982" t="s">
        <v>103</v>
      </c>
      <c r="O982" t="s">
        <v>47</v>
      </c>
      <c r="P982" t="s">
        <v>47</v>
      </c>
      <c r="Y982" t="s">
        <v>3737</v>
      </c>
    </row>
    <row r="983" spans="1:25">
      <c r="A983" t="s">
        <v>231</v>
      </c>
      <c r="B983" t="s">
        <v>3738</v>
      </c>
      <c r="D983" t="s">
        <v>40</v>
      </c>
      <c r="E983" t="s">
        <v>41</v>
      </c>
      <c r="J983" t="s">
        <v>279</v>
      </c>
      <c r="K983" t="s">
        <v>280</v>
      </c>
      <c r="L983">
        <v>1</v>
      </c>
      <c r="M983" t="s">
        <v>3739</v>
      </c>
      <c r="N983" t="s">
        <v>103</v>
      </c>
      <c r="O983" t="s">
        <v>47</v>
      </c>
      <c r="P983" t="s">
        <v>47</v>
      </c>
      <c r="Y983" t="s">
        <v>3740</v>
      </c>
    </row>
    <row r="984" spans="1:25">
      <c r="A984" t="s">
        <v>3741</v>
      </c>
      <c r="B984" t="s">
        <v>3742</v>
      </c>
      <c r="D984" t="s">
        <v>40</v>
      </c>
      <c r="E984" t="s">
        <v>41</v>
      </c>
      <c r="J984" t="s">
        <v>161</v>
      </c>
      <c r="K984" t="s">
        <v>162</v>
      </c>
      <c r="L984">
        <v>1</v>
      </c>
      <c r="M984" t="s">
        <v>3743</v>
      </c>
      <c r="N984" t="s">
        <v>80</v>
      </c>
      <c r="O984" t="s">
        <v>47</v>
      </c>
      <c r="P984" t="s">
        <v>47</v>
      </c>
      <c r="Y984" t="s">
        <v>3744</v>
      </c>
    </row>
    <row r="985" spans="1:25">
      <c r="A985" t="s">
        <v>3745</v>
      </c>
      <c r="B985" t="s">
        <v>3746</v>
      </c>
      <c r="D985" t="s">
        <v>40</v>
      </c>
      <c r="E985" t="s">
        <v>41</v>
      </c>
      <c r="J985" t="s">
        <v>3041</v>
      </c>
      <c r="K985" t="s">
        <v>3042</v>
      </c>
      <c r="L985">
        <v>2</v>
      </c>
      <c r="M985" t="s">
        <v>3747</v>
      </c>
      <c r="N985" t="s">
        <v>76</v>
      </c>
      <c r="O985" t="s">
        <v>47</v>
      </c>
      <c r="P985" t="s">
        <v>47</v>
      </c>
      <c r="Y985" t="s">
        <v>3748</v>
      </c>
    </row>
    <row r="986" spans="1:25">
      <c r="A986" t="s">
        <v>3749</v>
      </c>
      <c r="B986" t="s">
        <v>3750</v>
      </c>
      <c r="D986" t="s">
        <v>40</v>
      </c>
      <c r="E986" t="s">
        <v>41</v>
      </c>
      <c r="J986" t="s">
        <v>590</v>
      </c>
      <c r="K986" t="s">
        <v>591</v>
      </c>
      <c r="L986">
        <v>1</v>
      </c>
      <c r="M986" t="s">
        <v>3751</v>
      </c>
      <c r="N986" t="s">
        <v>103</v>
      </c>
      <c r="O986" t="s">
        <v>47</v>
      </c>
      <c r="P986" t="s">
        <v>47</v>
      </c>
      <c r="Y986" t="s">
        <v>3752</v>
      </c>
    </row>
    <row r="987" spans="1:25">
      <c r="A987" t="s">
        <v>3753</v>
      </c>
      <c r="B987" t="s">
        <v>3754</v>
      </c>
      <c r="D987" t="s">
        <v>40</v>
      </c>
      <c r="E987" t="s">
        <v>41</v>
      </c>
      <c r="J987" t="s">
        <v>701</v>
      </c>
      <c r="K987" t="s">
        <v>702</v>
      </c>
      <c r="L987">
        <v>1</v>
      </c>
      <c r="M987" t="s">
        <v>3755</v>
      </c>
      <c r="N987" t="s">
        <v>80</v>
      </c>
      <c r="O987" t="s">
        <v>47</v>
      </c>
      <c r="P987" t="s">
        <v>47</v>
      </c>
      <c r="Y987" t="s">
        <v>3756</v>
      </c>
    </row>
    <row r="988" spans="1:25">
      <c r="A988" t="s">
        <v>3757</v>
      </c>
      <c r="B988" t="s">
        <v>3758</v>
      </c>
      <c r="D988" t="s">
        <v>40</v>
      </c>
      <c r="E988" t="s">
        <v>41</v>
      </c>
      <c r="J988" t="s">
        <v>701</v>
      </c>
      <c r="K988" t="s">
        <v>702</v>
      </c>
      <c r="L988">
        <v>1</v>
      </c>
      <c r="M988" t="s">
        <v>3759</v>
      </c>
      <c r="N988" t="s">
        <v>80</v>
      </c>
      <c r="O988" t="s">
        <v>47</v>
      </c>
      <c r="P988" t="s">
        <v>47</v>
      </c>
      <c r="Y988" t="s">
        <v>3760</v>
      </c>
    </row>
    <row r="989" spans="1:25">
      <c r="A989" t="s">
        <v>3761</v>
      </c>
      <c r="B989" t="s">
        <v>3762</v>
      </c>
      <c r="D989" t="s">
        <v>40</v>
      </c>
      <c r="E989" t="s">
        <v>41</v>
      </c>
      <c r="J989" t="s">
        <v>701</v>
      </c>
      <c r="K989" t="s">
        <v>702</v>
      </c>
      <c r="L989">
        <v>1</v>
      </c>
      <c r="M989" t="s">
        <v>3763</v>
      </c>
      <c r="N989" t="s">
        <v>80</v>
      </c>
      <c r="O989" t="s">
        <v>47</v>
      </c>
      <c r="P989" t="s">
        <v>47</v>
      </c>
      <c r="Y989" t="s">
        <v>3764</v>
      </c>
    </row>
    <row r="990" spans="1:25">
      <c r="A990" t="s">
        <v>3765</v>
      </c>
      <c r="B990" t="s">
        <v>3766</v>
      </c>
      <c r="D990" t="s">
        <v>40</v>
      </c>
      <c r="E990" t="s">
        <v>41</v>
      </c>
      <c r="J990" t="s">
        <v>279</v>
      </c>
      <c r="K990" t="s">
        <v>280</v>
      </c>
      <c r="L990">
        <v>1</v>
      </c>
      <c r="M990" t="s">
        <v>3767</v>
      </c>
      <c r="N990" t="s">
        <v>80</v>
      </c>
      <c r="O990" t="s">
        <v>47</v>
      </c>
      <c r="P990" t="s">
        <v>47</v>
      </c>
      <c r="Y990" t="s">
        <v>3768</v>
      </c>
    </row>
    <row r="991" spans="1:25">
      <c r="A991" t="s">
        <v>3769</v>
      </c>
      <c r="B991" t="s">
        <v>3770</v>
      </c>
      <c r="D991" t="s">
        <v>40</v>
      </c>
      <c r="E991" t="s">
        <v>41</v>
      </c>
      <c r="J991" t="s">
        <v>3187</v>
      </c>
      <c r="K991" t="s">
        <v>3188</v>
      </c>
      <c r="L991">
        <v>1</v>
      </c>
      <c r="M991" t="s">
        <v>3771</v>
      </c>
      <c r="N991" t="s">
        <v>103</v>
      </c>
      <c r="O991" t="s">
        <v>47</v>
      </c>
      <c r="P991" t="s">
        <v>47</v>
      </c>
      <c r="Y991" t="s">
        <v>3772</v>
      </c>
    </row>
    <row r="992" spans="1:25">
      <c r="A992" t="s">
        <v>3773</v>
      </c>
      <c r="B992" t="s">
        <v>3774</v>
      </c>
      <c r="D992" t="s">
        <v>40</v>
      </c>
      <c r="E992" t="s">
        <v>41</v>
      </c>
      <c r="J992" t="s">
        <v>3073</v>
      </c>
      <c r="K992" t="s">
        <v>3074</v>
      </c>
      <c r="L992">
        <v>1</v>
      </c>
      <c r="M992" t="s">
        <v>3775</v>
      </c>
      <c r="N992" t="s">
        <v>103</v>
      </c>
      <c r="O992" t="s">
        <v>47</v>
      </c>
      <c r="P992" t="s">
        <v>47</v>
      </c>
      <c r="Y992" t="s">
        <v>3776</v>
      </c>
    </row>
    <row r="993" spans="1:25">
      <c r="A993" t="s">
        <v>3777</v>
      </c>
      <c r="B993" t="s">
        <v>3778</v>
      </c>
      <c r="D993" t="s">
        <v>40</v>
      </c>
      <c r="E993" t="s">
        <v>41</v>
      </c>
      <c r="J993" t="s">
        <v>701</v>
      </c>
      <c r="K993" t="s">
        <v>702</v>
      </c>
      <c r="L993">
        <v>1</v>
      </c>
      <c r="M993" t="s">
        <v>3779</v>
      </c>
      <c r="N993" t="s">
        <v>80</v>
      </c>
      <c r="O993" t="s">
        <v>47</v>
      </c>
      <c r="P993" t="s">
        <v>47</v>
      </c>
      <c r="Y993" t="s">
        <v>3780</v>
      </c>
    </row>
    <row r="994" spans="1:25">
      <c r="A994" t="s">
        <v>3781</v>
      </c>
      <c r="B994" t="s">
        <v>3782</v>
      </c>
      <c r="D994" t="s">
        <v>40</v>
      </c>
      <c r="E994" t="s">
        <v>41</v>
      </c>
      <c r="J994" t="s">
        <v>701</v>
      </c>
      <c r="K994" t="s">
        <v>702</v>
      </c>
      <c r="L994">
        <v>1</v>
      </c>
      <c r="M994" t="s">
        <v>3783</v>
      </c>
      <c r="N994" t="s">
        <v>103</v>
      </c>
      <c r="O994" t="s">
        <v>47</v>
      </c>
      <c r="P994" t="s">
        <v>47</v>
      </c>
      <c r="Y994" t="s">
        <v>3784</v>
      </c>
    </row>
    <row r="995" spans="1:25">
      <c r="A995" t="s">
        <v>3785</v>
      </c>
      <c r="B995" t="s">
        <v>3786</v>
      </c>
      <c r="D995" t="s">
        <v>40</v>
      </c>
      <c r="E995" t="s">
        <v>41</v>
      </c>
      <c r="J995" t="s">
        <v>701</v>
      </c>
      <c r="K995" t="s">
        <v>702</v>
      </c>
      <c r="L995">
        <v>1</v>
      </c>
      <c r="M995" t="s">
        <v>3787</v>
      </c>
      <c r="N995" t="s">
        <v>80</v>
      </c>
      <c r="O995" t="s">
        <v>47</v>
      </c>
      <c r="P995" t="s">
        <v>47</v>
      </c>
      <c r="Y995" t="s">
        <v>3788</v>
      </c>
    </row>
    <row r="996" spans="1:25">
      <c r="A996" t="s">
        <v>3789</v>
      </c>
      <c r="B996" t="s">
        <v>3790</v>
      </c>
      <c r="D996" t="s">
        <v>40</v>
      </c>
      <c r="E996" t="s">
        <v>41</v>
      </c>
      <c r="J996" t="s">
        <v>3127</v>
      </c>
      <c r="K996" t="s">
        <v>3128</v>
      </c>
      <c r="L996">
        <v>1</v>
      </c>
      <c r="M996" t="s">
        <v>3791</v>
      </c>
      <c r="N996" t="s">
        <v>103</v>
      </c>
      <c r="O996" t="s">
        <v>47</v>
      </c>
      <c r="P996" t="s">
        <v>47</v>
      </c>
      <c r="Y996" t="s">
        <v>3792</v>
      </c>
    </row>
    <row r="997" spans="1:25">
      <c r="A997" t="s">
        <v>3793</v>
      </c>
      <c r="B997" t="s">
        <v>3794</v>
      </c>
      <c r="D997" t="s">
        <v>40</v>
      </c>
      <c r="E997" t="s">
        <v>41</v>
      </c>
      <c r="J997" t="s">
        <v>3187</v>
      </c>
      <c r="K997" t="s">
        <v>3188</v>
      </c>
      <c r="L997">
        <v>1</v>
      </c>
      <c r="M997" t="s">
        <v>3795</v>
      </c>
      <c r="N997" t="s">
        <v>80</v>
      </c>
      <c r="O997" t="s">
        <v>47</v>
      </c>
      <c r="P997" t="s">
        <v>47</v>
      </c>
      <c r="Y997" t="s">
        <v>3796</v>
      </c>
    </row>
    <row r="998" spans="1:25">
      <c r="A998" t="s">
        <v>3797</v>
      </c>
      <c r="B998" t="s">
        <v>3798</v>
      </c>
      <c r="D998" t="s">
        <v>40</v>
      </c>
      <c r="E998" t="s">
        <v>41</v>
      </c>
      <c r="J998" t="s">
        <v>279</v>
      </c>
      <c r="K998" t="s">
        <v>280</v>
      </c>
      <c r="L998">
        <v>1</v>
      </c>
      <c r="M998" t="s">
        <v>3799</v>
      </c>
      <c r="N998" t="s">
        <v>103</v>
      </c>
      <c r="O998" t="s">
        <v>47</v>
      </c>
      <c r="P998" t="s">
        <v>47</v>
      </c>
      <c r="Y998" t="s">
        <v>3800</v>
      </c>
    </row>
    <row r="999" spans="1:25">
      <c r="A999" t="s">
        <v>3801</v>
      </c>
      <c r="B999" t="s">
        <v>3802</v>
      </c>
      <c r="D999" t="s">
        <v>40</v>
      </c>
      <c r="E999" t="s">
        <v>41</v>
      </c>
      <c r="J999" t="s">
        <v>3041</v>
      </c>
      <c r="K999" t="s">
        <v>3042</v>
      </c>
      <c r="L999">
        <v>1</v>
      </c>
      <c r="O999" t="s">
        <v>47</v>
      </c>
      <c r="P999" t="s">
        <v>47</v>
      </c>
      <c r="Y999" t="s">
        <v>3803</v>
      </c>
    </row>
    <row r="1000" spans="1:25">
      <c r="A1000" t="s">
        <v>3804</v>
      </c>
      <c r="B1000" t="s">
        <v>3805</v>
      </c>
      <c r="D1000" t="s">
        <v>40</v>
      </c>
      <c r="E1000" t="s">
        <v>41</v>
      </c>
      <c r="J1000" t="s">
        <v>3041</v>
      </c>
      <c r="K1000" t="s">
        <v>3042</v>
      </c>
      <c r="L1000">
        <v>1</v>
      </c>
      <c r="O1000" t="s">
        <v>47</v>
      </c>
      <c r="P1000" t="s">
        <v>47</v>
      </c>
      <c r="Y1000" t="s">
        <v>3806</v>
      </c>
    </row>
    <row r="1001" spans="1:25">
      <c r="A1001" t="s">
        <v>3807</v>
      </c>
      <c r="B1001" t="s">
        <v>3808</v>
      </c>
      <c r="D1001" t="s">
        <v>40</v>
      </c>
      <c r="E1001" t="s">
        <v>41</v>
      </c>
      <c r="J1001" t="s">
        <v>3041</v>
      </c>
      <c r="K1001" t="s">
        <v>3042</v>
      </c>
      <c r="L1001">
        <v>1</v>
      </c>
      <c r="O1001" t="s">
        <v>47</v>
      </c>
      <c r="P1001" t="s">
        <v>47</v>
      </c>
      <c r="Y1001" t="s">
        <v>3809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3810</v>
      </c>
    </row>
    <row r="2" spans="1:2">
      <c r="A2" s="2" t="s">
        <v>191</v>
      </c>
      <c r="B2" s="3">
        <v>247</v>
      </c>
    </row>
    <row r="3" spans="1:2">
      <c r="A3" s="2" t="s">
        <v>241</v>
      </c>
      <c r="B3" s="3">
        <v>178</v>
      </c>
    </row>
    <row r="4" spans="1:2">
      <c r="A4" s="2" t="s">
        <v>169</v>
      </c>
      <c r="B4" s="3">
        <v>94</v>
      </c>
    </row>
    <row r="5" spans="1:2">
      <c r="A5" s="2" t="s">
        <v>262</v>
      </c>
      <c r="B5" s="3">
        <v>92</v>
      </c>
    </row>
    <row r="6" spans="1:2">
      <c r="A6" s="2" t="s">
        <v>702</v>
      </c>
      <c r="B6" s="3">
        <v>69</v>
      </c>
    </row>
    <row r="7" spans="1:2">
      <c r="A7" s="2" t="s">
        <v>109</v>
      </c>
      <c r="B7" s="3">
        <v>59</v>
      </c>
    </row>
    <row r="8" spans="1:2">
      <c r="A8" s="2" t="s">
        <v>280</v>
      </c>
      <c r="B8" s="3">
        <v>42</v>
      </c>
    </row>
    <row r="9" spans="1:2">
      <c r="A9" s="2" t="s">
        <v>74</v>
      </c>
      <c r="B9" s="3">
        <v>40</v>
      </c>
    </row>
    <row r="10" spans="1:2">
      <c r="A10" s="2" t="s">
        <v>118</v>
      </c>
      <c r="B10" s="3">
        <v>28</v>
      </c>
    </row>
    <row r="11" spans="1:2">
      <c r="A11" s="2" t="s">
        <v>319</v>
      </c>
      <c r="B11" s="3">
        <v>28</v>
      </c>
    </row>
    <row r="12" spans="1:2">
      <c r="A12" s="2" t="s">
        <v>898</v>
      </c>
      <c r="B12" s="3">
        <v>20</v>
      </c>
    </row>
    <row r="13" spans="1:2">
      <c r="A13" s="2" t="s">
        <v>44</v>
      </c>
      <c r="B13" s="3">
        <v>17</v>
      </c>
    </row>
    <row r="14" spans="1:2">
      <c r="A14" s="2" t="s">
        <v>67</v>
      </c>
      <c r="B14" s="3">
        <v>11</v>
      </c>
    </row>
    <row r="15" spans="1:2">
      <c r="A15" s="2" t="s">
        <v>3042</v>
      </c>
      <c r="B15" s="3">
        <v>10</v>
      </c>
    </row>
    <row r="16" spans="1:2">
      <c r="A16" s="2" t="s">
        <v>52</v>
      </c>
      <c r="B16" s="3">
        <v>8</v>
      </c>
    </row>
    <row r="17" spans="1:2">
      <c r="A17" s="2" t="s">
        <v>591</v>
      </c>
      <c r="B17" s="3">
        <v>7</v>
      </c>
    </row>
    <row r="18" spans="1:2">
      <c r="A18" s="2" t="s">
        <v>3188</v>
      </c>
      <c r="B18" s="3">
        <v>6</v>
      </c>
    </row>
    <row r="19" spans="1:2">
      <c r="A19" s="2" t="s">
        <v>3128</v>
      </c>
      <c r="B19" s="3">
        <v>6</v>
      </c>
    </row>
    <row r="20" spans="1:2">
      <c r="A20" s="2" t="s">
        <v>3138</v>
      </c>
      <c r="B20" s="3">
        <v>5</v>
      </c>
    </row>
    <row r="21" spans="1:2">
      <c r="A21" s="2" t="s">
        <v>57</v>
      </c>
      <c r="B21" s="3">
        <v>5</v>
      </c>
    </row>
    <row r="22" spans="1:2">
      <c r="A22" s="2" t="s">
        <v>3052</v>
      </c>
      <c r="B22" s="3">
        <v>5</v>
      </c>
    </row>
    <row r="23" spans="1:2">
      <c r="A23" s="2" t="s">
        <v>162</v>
      </c>
      <c r="B23" s="3">
        <v>5</v>
      </c>
    </row>
    <row r="24" spans="1:2">
      <c r="A24" s="2" t="s">
        <v>1654</v>
      </c>
      <c r="B24" s="3">
        <v>5</v>
      </c>
    </row>
    <row r="25" spans="1:2">
      <c r="A25" s="2" t="s">
        <v>3036</v>
      </c>
      <c r="B25" s="3">
        <v>4</v>
      </c>
    </row>
    <row r="26" spans="1:2">
      <c r="A26" s="2" t="s">
        <v>85</v>
      </c>
      <c r="B26" s="3">
        <v>3</v>
      </c>
    </row>
    <row r="27" spans="1:2">
      <c r="A27" s="2" t="s">
        <v>149</v>
      </c>
      <c r="B27" s="3">
        <v>2</v>
      </c>
    </row>
    <row r="28" spans="1:2">
      <c r="A28" s="2" t="s">
        <v>3074</v>
      </c>
      <c r="B28" s="3">
        <v>2</v>
      </c>
    </row>
    <row r="29" spans="1:2">
      <c r="A29" s="2" t="s">
        <v>178</v>
      </c>
      <c r="B29" s="3">
        <v>1</v>
      </c>
    </row>
    <row r="30" spans="1:2">
      <c r="A30" s="2" t="s">
        <v>1332</v>
      </c>
      <c r="B30" s="3">
        <v>1</v>
      </c>
    </row>
    <row r="31" spans="1:2">
      <c r="A31" s="4" t="s">
        <v>3811</v>
      </c>
      <c r="B31" s="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cols>
    <col min="1" max="1" width="35.7109375" customWidth="1"/>
    <col min="2" max="2" width="20.7109375" customWidth="1"/>
    <col min="3" max="3" width="35.7109375" customWidth="1"/>
    <col min="4" max="4" width="20.7109375" customWidth="1"/>
    <col min="5" max="5" width="35.7109375" customWidth="1"/>
    <col min="6" max="6" width="20.7109375" customWidth="1"/>
    <col min="7" max="7" width="35.7109375" customWidth="1"/>
    <col min="8" max="8" width="20.7109375" customWidth="1"/>
    <col min="9" max="9" width="35.7109375" customWidth="1"/>
    <col min="10" max="10" width="20.7109375" customWidth="1"/>
  </cols>
  <sheetData>
    <row r="1" spans="1:10">
      <c r="A1" s="5" t="s">
        <v>3812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>
      <c r="A4" s="6" t="s">
        <v>3813</v>
      </c>
      <c r="B4" s="7">
        <v>1000</v>
      </c>
    </row>
    <row r="5" spans="1:10">
      <c r="A5" s="6" t="s">
        <v>3814</v>
      </c>
      <c r="B5" s="7">
        <v>0</v>
      </c>
    </row>
    <row r="6" spans="1:10">
      <c r="A6" s="6" t="s">
        <v>3815</v>
      </c>
      <c r="B6" s="7">
        <v>187</v>
      </c>
    </row>
    <row r="7" spans="1:10">
      <c r="A7" s="6" t="s">
        <v>3816</v>
      </c>
      <c r="B7" s="7">
        <v>182</v>
      </c>
    </row>
    <row r="8" spans="1:10">
      <c r="A8" s="6" t="s">
        <v>3817</v>
      </c>
      <c r="B8" s="8">
        <v>0.005</v>
      </c>
    </row>
    <row r="9" spans="1:10">
      <c r="A9" s="6" t="s">
        <v>3818</v>
      </c>
      <c r="B9" s="7">
        <v>5</v>
      </c>
    </row>
    <row r="10" spans="1:10">
      <c r="A10" s="6" t="s">
        <v>3819</v>
      </c>
      <c r="B10" s="7"/>
    </row>
    <row r="11" spans="1:10">
      <c r="A11" s="6" t="s">
        <v>3820</v>
      </c>
      <c r="B11" s="7"/>
    </row>
    <row r="12" spans="1:10">
      <c r="A12" s="6" t="s">
        <v>3821</v>
      </c>
      <c r="B12" s="7"/>
    </row>
    <row r="13" spans="1:10">
      <c r="A13" s="6" t="s">
        <v>3822</v>
      </c>
      <c r="B13" s="7"/>
    </row>
    <row r="16" spans="1:10">
      <c r="B16" s="1" t="s">
        <v>3823</v>
      </c>
      <c r="C16" s="1" t="s">
        <v>3824</v>
      </c>
      <c r="D16" s="1" t="s">
        <v>3825</v>
      </c>
      <c r="E16" s="1" t="s">
        <v>3824</v>
      </c>
      <c r="F16" s="1" t="s">
        <v>3815</v>
      </c>
      <c r="G16" s="1" t="s">
        <v>3824</v>
      </c>
      <c r="H16" s="1" t="s">
        <v>3816</v>
      </c>
      <c r="I16" s="1" t="s">
        <v>3824</v>
      </c>
    </row>
    <row r="17" spans="2:9">
      <c r="B17" s="2" t="s">
        <v>191</v>
      </c>
      <c r="C17" s="9">
        <f>IFERROR(VLOOKUP("Answering Machine Autodial",Pivot!$A$2:$B$30,2,FALSE),0)</f>
        <v>0</v>
      </c>
      <c r="D17" s="2" t="s">
        <v>3839</v>
      </c>
      <c r="E17" s="9">
        <f>IFERROR(VLOOKUP("Sale Made - Completed Mandate",Pivot!$A$2:$B$30,2,FALSE),0)</f>
        <v>0</v>
      </c>
      <c r="F17" s="2" t="s">
        <v>118</v>
      </c>
      <c r="G17" s="9">
        <f>IFERROR(VLOOKUP("Already Contacted",Pivot!$A$2:$B$30,2,FALSE),0)</f>
        <v>0</v>
      </c>
      <c r="H17" s="2" t="s">
        <v>109</v>
      </c>
      <c r="I17" s="9">
        <f>IFERROR(VLOOKUP("Client Hung Up",Pivot!$A$2:$B$30,2,FALSE),0)</f>
        <v>0</v>
      </c>
    </row>
    <row r="18" spans="2:9">
      <c r="B18" s="2" t="s">
        <v>262</v>
      </c>
      <c r="C18" s="9">
        <f>IFERROR(VLOOKUP("No Answer Autodial",Pivot!$A$2:$B$30,2,FALSE),0)</f>
        <v>0</v>
      </c>
      <c r="D18" s="2" t="s">
        <v>3840</v>
      </c>
      <c r="E18" s="9">
        <f>IFERROR(VLOOKUP("Sale Made - Pending Mandate",Pivot!$A$2:$B$30,2,FALSE),0)</f>
        <v>0</v>
      </c>
      <c r="F18" s="2" t="s">
        <v>3843</v>
      </c>
      <c r="G18" s="9">
        <f>IFERROR(VLOOKUP("Existing Client",Pivot!$A$2:$B$30,2,FALSE),0)</f>
        <v>0</v>
      </c>
      <c r="H18" s="2" t="s">
        <v>3864</v>
      </c>
      <c r="I18" s="9">
        <f>IFERROR(VLOOKUP("CallBack",Pivot!$A$2:$B$30,2,FALSE),0)</f>
        <v>0</v>
      </c>
    </row>
    <row r="19" spans="2:9">
      <c r="B19" s="2" t="s">
        <v>241</v>
      </c>
      <c r="C19" s="9">
        <f>IFERROR(VLOOKUP("Auto Engaged",Pivot!$A$2:$B$30,2,FALSE),0)</f>
        <v>0</v>
      </c>
      <c r="D19" s="2" t="s">
        <v>162</v>
      </c>
      <c r="E19" s="9">
        <f>IFERROR(VLOOKUP("Sale Made",Pivot!$A$2:$B$30,2,FALSE),0)</f>
        <v>0</v>
      </c>
      <c r="F19" s="2" t="s">
        <v>898</v>
      </c>
      <c r="G19" s="9">
        <f>IFERROR(VLOOKUP("Unemployed",Pivot!$A$2:$B$30,2,FALSE),0)</f>
        <v>0</v>
      </c>
      <c r="H19" s="2" t="s">
        <v>280</v>
      </c>
      <c r="I19" s="9">
        <f>IFERROR(VLOOKUP("Not Interested",Pivot!$A$2:$B$30,2,FALSE),0)</f>
        <v>0</v>
      </c>
    </row>
    <row r="20" spans="2:9">
      <c r="B20" s="2" t="s">
        <v>3826</v>
      </c>
      <c r="C20" s="9">
        <f>IFERROR(VLOOKUP("Disconnected Number Auto",Pivot!$A$2:$B$30,2,FALSE),0)</f>
        <v>0</v>
      </c>
      <c r="D20" s="2" t="s">
        <v>3841</v>
      </c>
      <c r="E20" s="9">
        <f>IFERROR(VLOOKUP("Tyme Bank Account Sale",Pivot!$A$2:$B$30,2,FALSE),0)</f>
        <v>0</v>
      </c>
      <c r="F20" s="2" t="s">
        <v>3074</v>
      </c>
      <c r="G20" s="9">
        <f>IFERROR(VLOOKUP("Wrong Number",Pivot!$A$2:$B$30,2,FALSE),0)</f>
        <v>0</v>
      </c>
      <c r="H20" s="2" t="s">
        <v>3052</v>
      </c>
      <c r="I20" s="9">
        <f>IFERROR(VLOOKUP("Not Interested Upfront",Pivot!$A$2:$B$30,2,FALSE),0)</f>
        <v>0</v>
      </c>
    </row>
    <row r="21" spans="2:9">
      <c r="B21" s="2" t="s">
        <v>44</v>
      </c>
      <c r="C21" s="9">
        <f>IFERROR(VLOOKUP("Answering Machine",Pivot!$A$2:$B$30,2,FALSE),0)</f>
        <v>0</v>
      </c>
      <c r="D21" s="2" t="s">
        <v>3842</v>
      </c>
      <c r="E21" s="9">
        <f>IFERROR(VLOOKUP("QA Rework",Pivot!$A$2:$B$30,2,FALSE),0)</f>
        <v>0</v>
      </c>
      <c r="F21" s="2" t="s">
        <v>3138</v>
      </c>
      <c r="G21" s="9">
        <f>IFERROR(VLOOKUP("Do Not Call",Pivot!$A$2:$B$30,2,FALSE),0)</f>
        <v>0</v>
      </c>
      <c r="H21" s="2" t="s">
        <v>3865</v>
      </c>
      <c r="I21" s="9">
        <f>IFERROR(VLOOKUP("Cannot Afford Premium",Pivot!$A$2:$B$30,2,FALSE),0)</f>
        <v>0</v>
      </c>
    </row>
    <row r="22" spans="2:9">
      <c r="B22" s="2" t="s">
        <v>3042</v>
      </c>
      <c r="C22" s="9">
        <f>IFERROR(VLOOKUP("Selected",Pivot!$A$2:$B$30,2,FALSE),0)</f>
        <v>0</v>
      </c>
      <c r="F22" s="2" t="s">
        <v>3844</v>
      </c>
      <c r="G22" s="9">
        <f>IFERROR(VLOOKUP("No Smartphones",Pivot!$A$2:$B$30,2,FALSE),0)</f>
        <v>0</v>
      </c>
      <c r="H22" s="2" t="s">
        <v>3866</v>
      </c>
      <c r="I22" s="9">
        <f>IFERROR(VLOOKUP("Not interested - Pitched",Pivot!$A$2:$B$30,2,FALSE),0)</f>
        <v>0</v>
      </c>
    </row>
    <row r="23" spans="2:9">
      <c r="B23" s="2" t="s">
        <v>67</v>
      </c>
      <c r="C23" s="9">
        <f>IFERROR(VLOOKUP("No Answer",Pivot!$A$2:$B$30,2,FALSE),0)</f>
        <v>0</v>
      </c>
      <c r="F23" s="2" t="s">
        <v>3845</v>
      </c>
      <c r="G23" s="9">
        <f>IFERROR(VLOOKUP("Client Deceased",Pivot!$A$2:$B$30,2,FALSE),0)</f>
        <v>0</v>
      </c>
      <c r="H23" s="2" t="s">
        <v>3867</v>
      </c>
      <c r="I23" s="9">
        <f>IFERROR(VLOOKUP("Affordability",Pivot!$A$2:$B$30,2,FALSE),0)</f>
        <v>0</v>
      </c>
    </row>
    <row r="24" spans="2:9">
      <c r="B24" s="2" t="s">
        <v>85</v>
      </c>
      <c r="C24" s="9">
        <f>IFERROR(VLOOKUP("Busy Tone",Pivot!$A$2:$B$30,2,FALSE),0)</f>
        <v>0</v>
      </c>
      <c r="F24" s="2" t="s">
        <v>3846</v>
      </c>
      <c r="G24" s="9">
        <f>IFERROR(VLOOKUP("Right Party Not Available",Pivot!$A$2:$B$30,2,FALSE),0)</f>
        <v>0</v>
      </c>
      <c r="H24" s="2" t="s">
        <v>3868</v>
      </c>
      <c r="I24" s="9">
        <f>IFERROR(VLOOKUP("Quoted Client Not Interested",Pivot!$A$2:$B$30,2,FALSE),0)</f>
        <v>0</v>
      </c>
    </row>
    <row r="25" spans="2:9">
      <c r="B25" s="2" t="s">
        <v>169</v>
      </c>
      <c r="C25" s="9">
        <f>IFERROR(VLOOKUP("Dropped",Pivot!$A$2:$B$30,2,FALSE),0)</f>
        <v>0</v>
      </c>
      <c r="F25" s="2" t="s">
        <v>3847</v>
      </c>
      <c r="G25" s="9">
        <f>IFERROR(VLOOKUP("Client Overage Limit",Pivot!$A$2:$B$30,2,FALSE),0)</f>
        <v>0</v>
      </c>
      <c r="H25" s="2" t="s">
        <v>3869</v>
      </c>
      <c r="I25" s="9">
        <f>IFERROR(VLOOKUP("Not interested business does not use speed point mac",Pivot!$A$2:$B$30,2,FALSE),0)</f>
        <v>0</v>
      </c>
    </row>
    <row r="26" spans="2:9">
      <c r="B26" s="2" t="s">
        <v>3827</v>
      </c>
      <c r="C26" s="9">
        <f>IFERROR(VLOOKUP("New",Pivot!$A$2:$B$30,2,FALSE),0)</f>
        <v>0</v>
      </c>
      <c r="F26" s="2" t="s">
        <v>3848</v>
      </c>
      <c r="G26" s="9">
        <f>IFERROR(VLOOKUP("Language Barrier",Pivot!$A$2:$B$30,2,FALSE),0)</f>
        <v>0</v>
      </c>
      <c r="H26" s="2" t="s">
        <v>3870</v>
      </c>
      <c r="I26" s="9">
        <f>IFERROR(VLOOKUP("Call Back Technical Error",Pivot!$A$2:$B$30,2,FALSE),0)</f>
        <v>0</v>
      </c>
    </row>
    <row r="27" spans="2:9">
      <c r="B27" s="2" t="s">
        <v>52</v>
      </c>
      <c r="C27" s="9">
        <f>IFERROR(VLOOKUP("Call Dropped",Pivot!$A$2:$B$30,2,FALSE),0)</f>
        <v>0</v>
      </c>
      <c r="F27" s="2" t="s">
        <v>3849</v>
      </c>
      <c r="G27" s="9">
        <f>IFERROR(VLOOKUP("Non SA Citizen",Pivot!$A$2:$B$30,2,FALSE),0)</f>
        <v>0</v>
      </c>
      <c r="H27" s="2" t="s">
        <v>3871</v>
      </c>
      <c r="I27" s="9">
        <f>IFERROR(VLOOKUP("Not Interested Transaction Fees",Pivot!$A$2:$B$30,2,FALSE),0)</f>
        <v>0</v>
      </c>
    </row>
    <row r="28" spans="2:9">
      <c r="B28" s="2" t="s">
        <v>178</v>
      </c>
      <c r="C28" s="9">
        <f>IFERROR(VLOOKUP("Inbound After Hours Drop",Pivot!$A$2:$B$30,2,FALSE),0)</f>
        <v>0</v>
      </c>
      <c r="F28" s="2" t="s">
        <v>3850</v>
      </c>
      <c r="G28" s="9">
        <f>IFERROR(VLOOKUP("No Bank Account",Pivot!$A$2:$B$30,2,FALSE),0)</f>
        <v>0</v>
      </c>
      <c r="H28" s="2" t="s">
        <v>591</v>
      </c>
      <c r="I28" s="9">
        <f>IFERROR(VLOOKUP("Cannot Afford",Pivot!$A$2:$B$30,2,FALSE),0)</f>
        <v>0</v>
      </c>
    </row>
    <row r="29" spans="2:9">
      <c r="B29" s="2" t="s">
        <v>3828</v>
      </c>
      <c r="C29" s="9">
        <f>IFERROR(VLOOKUP("TPS Registered Number",Pivot!$A$2:$B$30,2,FALSE),0)</f>
        <v>0</v>
      </c>
      <c r="F29" s="2" t="s">
        <v>3851</v>
      </c>
      <c r="G29" s="9">
        <f>IFERROR(VLOOKUP("Client Underage",Pivot!$A$2:$B$30,2,FALSE),0)</f>
        <v>0</v>
      </c>
      <c r="H29" s="2" t="s">
        <v>3872</v>
      </c>
      <c r="I29" s="9">
        <f>IFERROR(VLOOKUP("Not Interested Household Contents",Pivot!$A$2:$B$30,2,FALSE),0)</f>
        <v>0</v>
      </c>
    </row>
    <row r="30" spans="2:9">
      <c r="B30" s="2" t="s">
        <v>1654</v>
      </c>
      <c r="C30" s="9">
        <f>IFERROR(VLOOKUP("Temporary Disconnected Number",Pivot!$A$2:$B$30,2,FALSE),0)</f>
        <v>0</v>
      </c>
      <c r="F30" s="2" t="s">
        <v>3852</v>
      </c>
      <c r="G30" s="9">
        <f>IFERROR(VLOOKUP("Go To The Branch",Pivot!$A$2:$B$30,2,FALSE),0)</f>
        <v>0</v>
      </c>
      <c r="H30" s="2" t="s">
        <v>3873</v>
      </c>
      <c r="I30" s="9">
        <f>IFERROR(VLOOKUP("Call Back Hold",Pivot!$A$2:$B$30,2,FALSE),0)</f>
        <v>0</v>
      </c>
    </row>
    <row r="31" spans="2:9">
      <c r="B31" s="2" t="s">
        <v>3829</v>
      </c>
      <c r="C31" s="9">
        <f>IFERROR(VLOOKUP("Bad Line Quality",Pivot!$A$2:$B$30,2,FALSE),0)</f>
        <v>0</v>
      </c>
      <c r="F31" s="2" t="s">
        <v>3853</v>
      </c>
      <c r="G31" s="9">
        <f>IFERROR(VLOOKUP("Completed",Pivot!$A$2:$B$30,2,FALSE),0)</f>
        <v>0</v>
      </c>
      <c r="H31" s="2" t="s">
        <v>3874</v>
      </c>
      <c r="I31" s="9">
        <f>IFERROR(VLOOKUP("Declined Sale",Pivot!$A$2:$B$30,2,FALSE),0)</f>
        <v>0</v>
      </c>
    </row>
    <row r="32" spans="2:9">
      <c r="B32" s="2" t="s">
        <v>74</v>
      </c>
      <c r="C32" s="9">
        <f>IFERROR(VLOOKUP("Inbound Abandon",Pivot!$A$2:$B$30,2,FALSE),0)</f>
        <v>0</v>
      </c>
      <c r="F32" s="2" t="s">
        <v>3854</v>
      </c>
      <c r="G32" s="9">
        <f>IFERROR(VLOOKUP("Cannot Afford Upfront Payment",Pivot!$A$2:$B$30,2,FALSE),0)</f>
        <v>0</v>
      </c>
    </row>
    <row r="33" spans="1:7">
      <c r="B33" s="2" t="s">
        <v>3830</v>
      </c>
      <c r="C33" s="9">
        <f>IFERROR(VLOOKUP("Outbound Pre-Routing Drop",Pivot!$A$2:$B$30,2,FALSE),0)</f>
        <v>0</v>
      </c>
      <c r="F33" s="2" t="s">
        <v>3855</v>
      </c>
      <c r="G33" s="9">
        <f>IFERROR(VLOOKUP("Account Suspended",Pivot!$A$2:$B$30,2,FALSE),0)</f>
        <v>0</v>
      </c>
    </row>
    <row r="34" spans="1:7">
      <c r="B34" s="2" t="s">
        <v>3831</v>
      </c>
      <c r="C34" s="9">
        <f>IFERROR(VLOOKUP("Engaged",Pivot!$A$2:$B$30,2,FALSE),0)</f>
        <v>0</v>
      </c>
      <c r="F34" s="2" t="s">
        <v>3856</v>
      </c>
      <c r="G34" s="9">
        <f>IFERROR(VLOOKUP("Insured at another company",Pivot!$A$2:$B$30,2,FALSE),0)</f>
        <v>0</v>
      </c>
    </row>
    <row r="35" spans="1:7">
      <c r="B35" s="2" t="s">
        <v>1332</v>
      </c>
      <c r="C35" s="9">
        <f>IFERROR(VLOOKUP("Disconnected",Pivot!$A$2:$B$30,2,FALSE),0)</f>
        <v>0</v>
      </c>
      <c r="F35" s="2" t="s">
        <v>3857</v>
      </c>
      <c r="G35" s="9">
        <f>IFERROR(VLOOKUP("Scheduled Appointment",Pivot!$A$2:$B$30,2,FALSE),0)</f>
        <v>0</v>
      </c>
    </row>
    <row r="36" spans="1:7">
      <c r="B36" s="2" t="s">
        <v>3832</v>
      </c>
      <c r="C36" s="9">
        <f>IFERROR(VLOOKUP("CONGESTED",Pivot!$A$2:$B$30,2,FALSE),0)</f>
        <v>0</v>
      </c>
      <c r="F36" s="2" t="s">
        <v>3858</v>
      </c>
      <c r="G36" s="9">
        <f>IFERROR(VLOOKUP("Refund Request",Pivot!$A$2:$B$30,2,FALSE),0)</f>
        <v>0</v>
      </c>
    </row>
    <row r="37" spans="1:7">
      <c r="B37" s="2" t="s">
        <v>3833</v>
      </c>
      <c r="C37" s="9">
        <f>IFERROR(VLOOKUP("Flow Inbound Abandon",Pivot!$A$2:$B$30,2,FALSE),0)</f>
        <v>0</v>
      </c>
      <c r="F37" s="2" t="s">
        <v>57</v>
      </c>
      <c r="G37" s="9">
        <f>IFERROR(VLOOKUP("Does Not Qualify",Pivot!$A$2:$B$30,2,FALSE),0)</f>
        <v>0</v>
      </c>
    </row>
    <row r="38" spans="1:7">
      <c r="B38" s="2" t="s">
        <v>3834</v>
      </c>
      <c r="C38" s="9">
        <f>IFERROR(VLOOKUP("Multiple Calls",Pivot!$A$2:$B$30,2,FALSE),0)</f>
        <v>0</v>
      </c>
      <c r="F38" s="2" t="s">
        <v>3859</v>
      </c>
      <c r="G38" s="9">
        <f>IFERROR(VLOOKUP("Does Not Have a Business",Pivot!$A$2:$B$30,2,FALSE),0)</f>
        <v>0</v>
      </c>
    </row>
    <row r="39" spans="1:7">
      <c r="B39" s="2" t="s">
        <v>3835</v>
      </c>
      <c r="C39" s="9">
        <f>IFERROR(VLOOKUP("Missed",Pivot!$A$2:$B$30,2,FALSE),0)</f>
        <v>0</v>
      </c>
      <c r="F39" s="2" t="s">
        <v>3860</v>
      </c>
      <c r="G39" s="9">
        <f>IFERROR(VLOOKUP("Refer To Store - Doesn't want to complete online",Pivot!$A$2:$B$30,2,FALSE),0)</f>
        <v>0</v>
      </c>
    </row>
    <row r="40" spans="1:7">
      <c r="B40" s="2" t="s">
        <v>3836</v>
      </c>
      <c r="C40" s="9">
        <f>IFERROR(VLOOKUP("Answered",Pivot!$A$2:$B$30,2,FALSE),0)</f>
        <v>0</v>
      </c>
      <c r="F40" s="2" t="s">
        <v>3861</v>
      </c>
      <c r="G40" s="9">
        <f>IFERROR(VLOOKUP("Does Not Need It Now",Pivot!$A$2:$B$30,2,FALSE),0)</f>
        <v>0</v>
      </c>
    </row>
    <row r="41" spans="1:7">
      <c r="B41" s="2" t="s">
        <v>3837</v>
      </c>
      <c r="C41" s="9">
        <f>IFERROR(VLOOKUP("Customer drop",Pivot!$A$2:$B$30,2,FALSE),0)</f>
        <v>0</v>
      </c>
      <c r="F41" s="2" t="s">
        <v>3862</v>
      </c>
      <c r="G41" s="9">
        <f>IFERROR(VLOOKUP("Technical Issue",Pivot!$A$2:$B$30,2,FALSE),0)</f>
        <v>0</v>
      </c>
    </row>
    <row r="42" spans="1:7">
      <c r="B42" s="2" t="s">
        <v>319</v>
      </c>
      <c r="C42" s="9">
        <f>IFERROR(VLOOKUP("Auto Dial Disconnected",Pivot!$A$2:$B$30,2,FALSE),0)</f>
        <v>0</v>
      </c>
      <c r="F42" s="2" t="s">
        <v>3863</v>
      </c>
      <c r="G42" s="9">
        <f>IFERROR(VLOOKUP("Unsuccessful Application",Pivot!$A$2:$B$30,2,FALSE),0)</f>
        <v>0</v>
      </c>
    </row>
    <row r="43" spans="1:7">
      <c r="B43" s="2" t="s">
        <v>3838</v>
      </c>
      <c r="C43" s="9">
        <f>IFERROR(VLOOKUP("Disconnected Number Temporary",Pivot!$A$2:$B$30,2,FALSE),0)</f>
        <v>0</v>
      </c>
    </row>
    <row r="46" spans="1:7">
      <c r="A46" s="10" t="s">
        <v>3875</v>
      </c>
      <c r="B46" s="9">
        <f>SUM(C17:C43)+SUM(E17:E21)</f>
        <v>0</v>
      </c>
    </row>
    <row r="48" spans="1:7">
      <c r="A48" s="10" t="s">
        <v>3876</v>
      </c>
    </row>
    <row r="49" spans="1:3">
      <c r="A49" s="2" t="s">
        <v>3815</v>
      </c>
      <c r="B49" s="9">
        <f>SUM(F17:F21)</f>
        <v>0</v>
      </c>
    </row>
    <row r="50" spans="1:3">
      <c r="A50" s="2" t="s">
        <v>3877</v>
      </c>
      <c r="B50" s="9">
        <f>SUM(I17:I31)</f>
        <v>0</v>
      </c>
    </row>
    <row r="51" spans="1:3">
      <c r="A51" s="2" t="s">
        <v>3878</v>
      </c>
      <c r="B51" s="9">
        <f>SUM(G17:G42)</f>
        <v>0</v>
      </c>
    </row>
    <row r="52" spans="1:3">
      <c r="A52" s="2" t="s">
        <v>3879</v>
      </c>
      <c r="B52" s="9">
        <f>F17</f>
        <v>0</v>
      </c>
    </row>
    <row r="53" spans="1:3">
      <c r="A53" s="2" t="s">
        <v>3880</v>
      </c>
      <c r="B53" s="11">
        <f>B51/B49</f>
        <v>0</v>
      </c>
    </row>
    <row r="54" spans="1:3">
      <c r="A54" s="2" t="s">
        <v>3881</v>
      </c>
      <c r="B54" s="11">
        <f>(B48+B49)/B46</f>
        <v>0</v>
      </c>
    </row>
    <row r="58" spans="1:3">
      <c r="A58" s="10" t="s">
        <v>3882</v>
      </c>
      <c r="B58" s="10" t="s">
        <v>3810</v>
      </c>
      <c r="C58" s="10" t="s">
        <v>3883</v>
      </c>
    </row>
    <row r="59" spans="1:3">
      <c r="A59" s="2" t="s">
        <v>191</v>
      </c>
      <c r="B59" s="3">
        <v>247</v>
      </c>
      <c r="C59" s="11">
        <f>B59/B46</f>
        <v>0</v>
      </c>
    </row>
    <row r="60" spans="1:3">
      <c r="A60" s="2" t="s">
        <v>241</v>
      </c>
      <c r="B60" s="3">
        <v>178</v>
      </c>
      <c r="C60" s="11">
        <f>B60/B46</f>
        <v>0</v>
      </c>
    </row>
    <row r="61" spans="1:3">
      <c r="A61" s="2" t="s">
        <v>169</v>
      </c>
      <c r="B61" s="3">
        <v>94</v>
      </c>
      <c r="C61" s="11">
        <f>B61/B46</f>
        <v>0</v>
      </c>
    </row>
    <row r="62" spans="1:3">
      <c r="A62" s="2" t="s">
        <v>262</v>
      </c>
      <c r="B62" s="3">
        <v>92</v>
      </c>
      <c r="C62" s="11">
        <f>B62/B46</f>
        <v>0</v>
      </c>
    </row>
    <row r="63" spans="1:3">
      <c r="A63" s="2" t="s">
        <v>702</v>
      </c>
      <c r="B63" s="3">
        <v>69</v>
      </c>
      <c r="C63" s="11">
        <f>B63/B46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2026-07-05T16:10:59Z</dcterms:created>
  <dcterms:modified xsi:type="dcterms:W3CDTF">2026-07-05T16:10:59Z</dcterms:modified>
</cp:coreProperties>
</file>