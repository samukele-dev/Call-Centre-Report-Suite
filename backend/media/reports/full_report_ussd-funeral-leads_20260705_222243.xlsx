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Sheet1" sheetId="2" state="visible" r:id="rId2"/>
    <sheet name="Campaign Analysis" sheetId="3" state="visible" r:id="rId3"/>
    <sheet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E78"/>
      <sz val="18"/>
      <scheme val="minor"/>
    </font>
  </fonts>
  <fills count="7">
    <fill>
      <patternFill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3" fillId="2" borderId="7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9" fontId="0" fillId="0" borderId="3" pivotButton="0" quotePrefix="0" xfId="0"/>
    <xf numFmtId="0" fontId="1" fillId="0" borderId="3" pivotButton="0" quotePrefix="0" xfId="0"/>
    <xf numFmtId="1" fontId="0" fillId="0" borderId="3" pivotButton="0" quotePrefix="0" xfId="0"/>
    <xf numFmtId="0" fontId="2" fillId="0" borderId="5" pivotButton="0" quotePrefix="0" xfId="0"/>
    <xf numFmtId="9" fontId="0" fillId="0" borderId="6" pivotButton="0" quotePrefix="0" xfId="0"/>
    <xf numFmtId="0" fontId="4" fillId="0" borderId="0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/>
    </xf>
    <xf numFmtId="3" fontId="2" fillId="4" borderId="7" applyAlignment="1" pivotButton="0" quotePrefix="0" xfId="0">
      <alignment horizontal="center"/>
    </xf>
    <xf numFmtId="10" fontId="2" fillId="4" borderId="7" applyAlignment="1" pivotButton="0" quotePrefix="0" xfId="0">
      <alignment horizontal="center"/>
    </xf>
    <xf numFmtId="0" fontId="0" fillId="0" borderId="7" applyAlignment="1" pivotButton="0" quotePrefix="0" xfId="0">
      <alignment horizontal="left" vertical="center"/>
    </xf>
    <xf numFmtId="3" fontId="2" fillId="5" borderId="7" applyAlignment="1" pivotButton="0" quotePrefix="0" xfId="0">
      <alignment horizontal="center"/>
    </xf>
    <xf numFmtId="0" fontId="3" fillId="6" borderId="7" applyAlignment="1" pivotButton="0" quotePrefix="0" xfId="0">
      <alignment horizontal="center" vertical="center"/>
    </xf>
    <xf numFmtId="10" fontId="0" fillId="0" borderId="7" applyAlignment="1" pivotButton="0" quotePrefix="0" xfId="0">
      <alignment horizontal="center"/>
    </xf>
    <xf numFmtId="3" fontId="0" fillId="0" borderId="7" applyAlignment="1" pivotButton="0" quotePrefix="0" xfId="0">
      <alignment horizontal="center"/>
    </xf>
    <xf numFmtId="3" fontId="2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 Id</t>
        </is>
      </c>
      <c r="B1" s="1" t="inlineStr">
        <is>
          <t>Customer Id</t>
        </is>
      </c>
      <c r="C1" s="1" t="inlineStr">
        <is>
          <t>Lead Reference</t>
        </is>
      </c>
      <c r="D1" s="1" t="inlineStr">
        <is>
          <t>List Id</t>
        </is>
      </c>
      <c r="E1" s="1" t="inlineStr">
        <is>
          <t>List Name</t>
        </is>
      </c>
      <c r="F1" s="1" t="inlineStr">
        <is>
          <t>Title</t>
        </is>
      </c>
      <c r="G1" s="1" t="inlineStr">
        <is>
          <t>Firstname</t>
        </is>
      </c>
      <c r="H1" s="1" t="inlineStr">
        <is>
          <t>Lastname</t>
        </is>
      </c>
      <c r="I1" s="1" t="inlineStr">
        <is>
          <t>Gender</t>
        </is>
      </c>
      <c r="J1" s="1" t="inlineStr">
        <is>
          <t>Last Outcome</t>
        </is>
      </c>
      <c r="K1" s="1" t="inlineStr">
        <is>
          <t>Outcome Description</t>
        </is>
      </c>
      <c r="L1" s="1" t="inlineStr">
        <is>
          <t>Called Count</t>
        </is>
      </c>
      <c r="M1" s="1" t="inlineStr">
        <is>
          <t>Last Called Date</t>
        </is>
      </c>
      <c r="N1" s="1" t="inlineStr">
        <is>
          <t>Last User</t>
        </is>
      </c>
      <c r="O1" s="1" t="inlineStr">
        <is>
          <t>Created At</t>
        </is>
      </c>
      <c r="P1" s="1" t="inlineStr">
        <is>
          <t>Updated At</t>
        </is>
      </c>
      <c r="Q1" s="1" t="inlineStr">
        <is>
          <t>Address1</t>
        </is>
      </c>
      <c r="R1" s="1" t="inlineStr">
        <is>
          <t>Address2</t>
        </is>
      </c>
      <c r="S1" s="1" t="inlineStr">
        <is>
          <t>Address3</t>
        </is>
      </c>
      <c r="T1" s="1" t="inlineStr">
        <is>
          <t>Town</t>
        </is>
      </c>
      <c r="U1" s="1" t="inlineStr">
        <is>
          <t>County</t>
        </is>
      </c>
      <c r="V1" s="1" t="inlineStr">
        <is>
          <t>Country</t>
        </is>
      </c>
      <c r="W1" s="1" t="inlineStr">
        <is>
          <t>Postcode</t>
        </is>
      </c>
      <c r="X1" s="1" t="inlineStr">
        <is>
          <t>Email Address</t>
        </is>
      </c>
      <c r="Y1" s="1" t="inlineStr">
        <is>
          <t>Tel1</t>
        </is>
      </c>
      <c r="Z1" s="1" t="inlineStr">
        <is>
          <t>Tel2</t>
        </is>
      </c>
      <c r="AA1" s="1" t="inlineStr">
        <is>
          <t>Tel3</t>
        </is>
      </c>
      <c r="AB1" s="1" t="inlineStr">
        <is>
          <t>Tel4</t>
        </is>
      </c>
      <c r="AC1" s="1" t="inlineStr">
        <is>
          <t>Tel5</t>
        </is>
      </c>
      <c r="AD1" s="1" t="inlineStr">
        <is>
          <t>Tel6</t>
        </is>
      </c>
      <c r="AE1" s="1" t="inlineStr">
        <is>
          <t>Owner Username</t>
        </is>
      </c>
      <c r="AF1" s="1" t="inlineStr">
        <is>
          <t>Security Phrase</t>
        </is>
      </c>
      <c r="AG1" s="1" t="inlineStr">
        <is>
          <t>Source Reference</t>
        </is>
      </c>
      <c r="AH1" s="1" t="inlineStr">
        <is>
          <t>Industry</t>
        </is>
      </c>
      <c r="AI1" s="1" t="inlineStr">
        <is>
          <t>Company Name</t>
        </is>
      </c>
      <c r="AJ1" s="1" t="inlineStr">
        <is>
          <t>Website</t>
        </is>
      </c>
      <c r="AK1" s="1" t="inlineStr">
        <is>
          <t>Customer Reference</t>
        </is>
      </c>
      <c r="AL1" s="1" t="inlineStr">
        <is>
          <t>Dob</t>
        </is>
      </c>
    </row>
    <row r="2">
      <c r="A2" t="inlineStr">
        <is>
          <t>14814871</t>
        </is>
      </c>
      <c r="B2" t="inlineStr">
        <is>
          <t>0389c6fa-8a52-412e-9836-c883b63bb5b9</t>
        </is>
      </c>
      <c r="D2" t="inlineStr">
        <is>
          <t>30001085</t>
        </is>
      </c>
      <c r="E2" t="inlineStr">
        <is>
          <t>ussd_funeral_leads_altitude_20260601</t>
        </is>
      </c>
      <c r="H2" t="inlineStr">
        <is>
          <t>27769067726</t>
        </is>
      </c>
      <c r="J2" t="inlineStr">
        <is>
          <t>A</t>
        </is>
      </c>
      <c r="K2" t="inlineStr">
        <is>
          <t>Answering Machine</t>
        </is>
      </c>
      <c r="L2" t="n">
        <v>15</v>
      </c>
      <c r="M2" t="inlineStr">
        <is>
          <t>2026-06-27 10:40:25</t>
        </is>
      </c>
      <c r="N2" t="inlineStr">
        <is>
          <t>Gontse Monageng</t>
        </is>
      </c>
      <c r="O2" t="inlineStr">
        <is>
          <t>2026-06-08 04:47:44</t>
        </is>
      </c>
      <c r="P2" t="inlineStr">
        <is>
          <t>2026-06-08 04:47:44</t>
        </is>
      </c>
      <c r="Y2" t="inlineStr">
        <is>
          <t>27769067726</t>
        </is>
      </c>
    </row>
    <row r="3">
      <c r="A3" t="inlineStr">
        <is>
          <t>14815039</t>
        </is>
      </c>
      <c r="B3" t="inlineStr">
        <is>
          <t>072d1862-555e-445c-afad-81805ef1d0e6</t>
        </is>
      </c>
      <c r="D3" t="inlineStr">
        <is>
          <t>30001085</t>
        </is>
      </c>
      <c r="E3" t="inlineStr">
        <is>
          <t>ussd_funeral_leads_altitude_20260601</t>
        </is>
      </c>
      <c r="J3" t="inlineStr">
        <is>
          <t>CU</t>
        </is>
      </c>
      <c r="K3" t="inlineStr">
        <is>
          <t>Client Hung Up</t>
        </is>
      </c>
      <c r="L3" t="n">
        <v>13</v>
      </c>
      <c r="M3" t="inlineStr">
        <is>
          <t>2026-06-26 12:01:03</t>
        </is>
      </c>
      <c r="N3" t="inlineStr">
        <is>
          <t>Gontse Monageng</t>
        </is>
      </c>
      <c r="O3" t="inlineStr">
        <is>
          <t>2026-06-08 04:47:44</t>
        </is>
      </c>
      <c r="P3" t="inlineStr">
        <is>
          <t>2026-06-08 04:47:44</t>
        </is>
      </c>
      <c r="Y3" t="inlineStr">
        <is>
          <t>27795759578</t>
        </is>
      </c>
    </row>
    <row r="4">
      <c r="A4" t="inlineStr">
        <is>
          <t>14815163</t>
        </is>
      </c>
      <c r="B4" t="inlineStr">
        <is>
          <t>ac239c02-d378-4267-a0f3-62aa9a2bdb40</t>
        </is>
      </c>
      <c r="D4" t="inlineStr">
        <is>
          <t>30001085</t>
        </is>
      </c>
      <c r="E4" t="inlineStr">
        <is>
          <t>ussd_funeral_leads_altitude_20260601</t>
        </is>
      </c>
      <c r="H4" t="inlineStr">
        <is>
          <t>27607527826</t>
        </is>
      </c>
      <c r="J4" t="inlineStr">
        <is>
          <t>DC</t>
        </is>
      </c>
      <c r="K4" t="inlineStr">
        <is>
          <t>Disconnected</t>
        </is>
      </c>
      <c r="L4" t="n">
        <v>6</v>
      </c>
      <c r="M4" t="inlineStr">
        <is>
          <t>2026-06-25 11:45:08</t>
        </is>
      </c>
      <c r="N4" t="inlineStr">
        <is>
          <t>Virginia Letsatsi</t>
        </is>
      </c>
      <c r="O4" t="inlineStr">
        <is>
          <t>2026-06-08 04:47:44</t>
        </is>
      </c>
      <c r="P4" t="inlineStr">
        <is>
          <t>2026-06-08 04:47:44</t>
        </is>
      </c>
      <c r="Y4" t="inlineStr">
        <is>
          <t>27607527826</t>
        </is>
      </c>
    </row>
    <row r="5">
      <c r="A5" t="inlineStr">
        <is>
          <t>14815022</t>
        </is>
      </c>
      <c r="B5" t="inlineStr">
        <is>
          <t>79361318-ec9c-46c8-a3b3-98caadea9891</t>
        </is>
      </c>
      <c r="D5" t="inlineStr">
        <is>
          <t>30001085</t>
        </is>
      </c>
      <c r="E5" t="inlineStr">
        <is>
          <t>ussd_funeral_leads_altitude_20260601</t>
        </is>
      </c>
      <c r="J5" t="inlineStr">
        <is>
          <t>CU</t>
        </is>
      </c>
      <c r="K5" t="inlineStr">
        <is>
          <t>Client Hung Up</t>
        </is>
      </c>
      <c r="L5" t="n">
        <v>27</v>
      </c>
      <c r="M5" t="inlineStr">
        <is>
          <t>2026-06-23 12:52:16</t>
        </is>
      </c>
      <c r="N5" t="inlineStr">
        <is>
          <t>Goitsimang Mogwasa</t>
        </is>
      </c>
      <c r="O5" t="inlineStr">
        <is>
          <t>2026-06-08 04:47:44</t>
        </is>
      </c>
      <c r="P5" t="inlineStr">
        <is>
          <t>2026-06-08 04:47:44</t>
        </is>
      </c>
      <c r="Y5" t="inlineStr">
        <is>
          <t>27767249993</t>
        </is>
      </c>
    </row>
    <row r="6">
      <c r="A6" t="inlineStr">
        <is>
          <t>14815027</t>
        </is>
      </c>
      <c r="B6" t="inlineStr">
        <is>
          <t>99263a7f-9a76-4510-a86b-28264c8d872b</t>
        </is>
      </c>
      <c r="D6" t="inlineStr">
        <is>
          <t>30001085</t>
        </is>
      </c>
      <c r="E6" t="inlineStr">
        <is>
          <t>ussd_funeral_leads_altitude_20260601</t>
        </is>
      </c>
      <c r="J6" t="inlineStr">
        <is>
          <t>AF</t>
        </is>
      </c>
      <c r="K6" t="inlineStr">
        <is>
          <t>Cannot Afford</t>
        </is>
      </c>
      <c r="L6" t="n">
        <v>4</v>
      </c>
      <c r="M6" t="inlineStr">
        <is>
          <t>2026-06-22 09:27:24</t>
        </is>
      </c>
      <c r="N6" t="inlineStr">
        <is>
          <t>Goitsimang Mogwasa</t>
        </is>
      </c>
      <c r="O6" t="inlineStr">
        <is>
          <t>2026-06-08 04:47:44</t>
        </is>
      </c>
      <c r="P6" t="inlineStr">
        <is>
          <t>2026-06-08 04:47:44</t>
        </is>
      </c>
      <c r="Y6" t="inlineStr">
        <is>
          <t>27725322325</t>
        </is>
      </c>
    </row>
    <row r="7">
      <c r="A7" t="inlineStr">
        <is>
          <t>14815011</t>
        </is>
      </c>
      <c r="B7" t="inlineStr">
        <is>
          <t>dfe688a4-263f-4207-a845-28dbd2cb2e39</t>
        </is>
      </c>
      <c r="D7" t="inlineStr">
        <is>
          <t>30001085</t>
        </is>
      </c>
      <c r="E7" t="inlineStr">
        <is>
          <t>ussd_funeral_leads_altitude_20260601</t>
        </is>
      </c>
      <c r="H7" t="inlineStr">
        <is>
          <t>27675788331</t>
        </is>
      </c>
      <c r="J7" t="inlineStr">
        <is>
          <t>AFTHRS</t>
        </is>
      </c>
      <c r="K7" t="inlineStr">
        <is>
          <t>Inbound After Hours Drop</t>
        </is>
      </c>
      <c r="L7" t="n">
        <v>6</v>
      </c>
      <c r="M7" t="inlineStr">
        <is>
          <t>2026-06-19 21:47:10</t>
        </is>
      </c>
      <c r="N7" t="inlineStr">
        <is>
          <t>system</t>
        </is>
      </c>
      <c r="O7" t="inlineStr">
        <is>
          <t>2026-06-08 04:47:44</t>
        </is>
      </c>
      <c r="P7" t="inlineStr">
        <is>
          <t>2026-06-08 04:47:44</t>
        </is>
      </c>
      <c r="Y7" t="inlineStr">
        <is>
          <t>27675788331</t>
        </is>
      </c>
    </row>
    <row r="8">
      <c r="A8" t="inlineStr">
        <is>
          <t>14815184</t>
        </is>
      </c>
      <c r="B8" t="inlineStr">
        <is>
          <t>b379eb09-a9d2-40c6-bd33-fa19de4843bb</t>
        </is>
      </c>
      <c r="D8" t="inlineStr">
        <is>
          <t>30001085</t>
        </is>
      </c>
      <c r="E8" t="inlineStr">
        <is>
          <t>ussd_funeral_leads_altitude_20260601</t>
        </is>
      </c>
      <c r="H8" t="inlineStr">
        <is>
          <t>27674464788</t>
        </is>
      </c>
      <c r="J8" t="inlineStr">
        <is>
          <t>NA</t>
        </is>
      </c>
      <c r="K8" t="inlineStr">
        <is>
          <t>No Answer Autodial</t>
        </is>
      </c>
      <c r="L8" t="n">
        <v>6</v>
      </c>
      <c r="M8" t="inlineStr">
        <is>
          <t>2026-06-19 06:34:00</t>
        </is>
      </c>
      <c r="N8" t="inlineStr">
        <is>
          <t>system</t>
        </is>
      </c>
      <c r="O8" t="inlineStr">
        <is>
          <t>2026-06-08 04:47:44</t>
        </is>
      </c>
      <c r="P8" t="inlineStr">
        <is>
          <t>2026-06-08 04:47:44</t>
        </is>
      </c>
      <c r="Y8" t="inlineStr">
        <is>
          <t>27674464788</t>
        </is>
      </c>
    </row>
    <row r="9">
      <c r="A9" t="inlineStr">
        <is>
          <t>14815013</t>
        </is>
      </c>
      <c r="B9" t="inlineStr">
        <is>
          <t>1e3c081f-d3c9-4ec0-b591-29631fdce633</t>
        </is>
      </c>
      <c r="D9" t="inlineStr">
        <is>
          <t>30001085</t>
        </is>
      </c>
      <c r="E9" t="inlineStr">
        <is>
          <t>ussd_funeral_leads_altitude_20260601</t>
        </is>
      </c>
      <c r="J9" t="inlineStr">
        <is>
          <t>EC</t>
        </is>
      </c>
      <c r="K9" t="inlineStr">
        <is>
          <t>Existing Client</t>
        </is>
      </c>
      <c r="L9" t="n">
        <v>5</v>
      </c>
      <c r="M9" t="inlineStr">
        <is>
          <t>2026-06-18 07:36:31</t>
        </is>
      </c>
      <c r="N9" t="inlineStr">
        <is>
          <t>Gontse Monageng</t>
        </is>
      </c>
      <c r="O9" t="inlineStr">
        <is>
          <t>2026-06-08 04:47:44</t>
        </is>
      </c>
      <c r="P9" t="inlineStr">
        <is>
          <t>2026-06-08 04:47:44</t>
        </is>
      </c>
      <c r="Y9" t="inlineStr">
        <is>
          <t>27763342476</t>
        </is>
      </c>
    </row>
    <row r="10">
      <c r="A10" t="inlineStr">
        <is>
          <t>14815071</t>
        </is>
      </c>
      <c r="B10" t="inlineStr">
        <is>
          <t>e9ff28ca-9d47-41d2-86b2-2e02bb230745</t>
        </is>
      </c>
      <c r="D10" t="inlineStr">
        <is>
          <t>30001085</t>
        </is>
      </c>
      <c r="E10" t="inlineStr">
        <is>
          <t>ussd_funeral_leads_altitude_20260601</t>
        </is>
      </c>
      <c r="J10" t="inlineStr">
        <is>
          <t>AA</t>
        </is>
      </c>
      <c r="K10" t="inlineStr">
        <is>
          <t>Answering Machine Autodial</t>
        </is>
      </c>
      <c r="L10" t="n">
        <v>6</v>
      </c>
      <c r="M10" t="inlineStr">
        <is>
          <t>2026-06-17 06:54:21</t>
        </is>
      </c>
      <c r="N10" t="inlineStr">
        <is>
          <t>system</t>
        </is>
      </c>
      <c r="O10" t="inlineStr">
        <is>
          <t>2026-06-08 04:47:44</t>
        </is>
      </c>
      <c r="P10" t="inlineStr">
        <is>
          <t>2026-06-08 04:47:44</t>
        </is>
      </c>
      <c r="Y10" t="inlineStr">
        <is>
          <t>27795015211</t>
        </is>
      </c>
    </row>
    <row r="11">
      <c r="A11" t="inlineStr">
        <is>
          <t>14814848</t>
        </is>
      </c>
      <c r="B11" t="inlineStr">
        <is>
          <t>43cdb5ac-d0ab-46a3-b428-1dac5c4fa809</t>
        </is>
      </c>
      <c r="D11" t="inlineStr">
        <is>
          <t>30001085</t>
        </is>
      </c>
      <c r="E11" t="inlineStr">
        <is>
          <t>ussd_funeral_leads_altitude_20260601</t>
        </is>
      </c>
      <c r="H11" t="inlineStr">
        <is>
          <t>27720862924</t>
        </is>
      </c>
      <c r="J11" t="inlineStr">
        <is>
          <t>IABDN</t>
        </is>
      </c>
      <c r="K11" t="inlineStr">
        <is>
          <t>Inbound Abandon</t>
        </is>
      </c>
      <c r="L11" t="n">
        <v>6</v>
      </c>
      <c r="M11" t="inlineStr">
        <is>
          <t>2026-06-16 08:43:52</t>
        </is>
      </c>
      <c r="N11" t="inlineStr">
        <is>
          <t>system</t>
        </is>
      </c>
      <c r="O11" t="inlineStr">
        <is>
          <t>2026-06-08 04:47:44</t>
        </is>
      </c>
      <c r="P11" t="inlineStr">
        <is>
          <t>2026-06-08 04:47:44</t>
        </is>
      </c>
      <c r="Y11" t="inlineStr">
        <is>
          <t>27720862924</t>
        </is>
      </c>
    </row>
    <row r="12">
      <c r="A12" t="inlineStr">
        <is>
          <t>14815087</t>
        </is>
      </c>
      <c r="B12" t="inlineStr">
        <is>
          <t>c1e95de0-cc4e-4c48-9381-6916f2a943a0</t>
        </is>
      </c>
      <c r="D12" t="inlineStr">
        <is>
          <t>30001085</t>
        </is>
      </c>
      <c r="E12" t="inlineStr">
        <is>
          <t>ussd_funeral_leads_altitude_20260601</t>
        </is>
      </c>
      <c r="J12" t="inlineStr">
        <is>
          <t>BLQ</t>
        </is>
      </c>
      <c r="K12" t="inlineStr">
        <is>
          <t>Bad Line Quality</t>
        </is>
      </c>
      <c r="L12" t="n">
        <v>6</v>
      </c>
      <c r="M12" t="inlineStr">
        <is>
          <t>2026-06-15 14:37:55</t>
        </is>
      </c>
      <c r="N12" t="inlineStr">
        <is>
          <t>Virginia Letsatsi</t>
        </is>
      </c>
      <c r="O12" t="inlineStr">
        <is>
          <t>2026-06-08 04:47:44</t>
        </is>
      </c>
      <c r="P12" t="inlineStr">
        <is>
          <t>2026-06-08 04:47:44</t>
        </is>
      </c>
      <c r="Y12" t="inlineStr">
        <is>
          <t>27715617914</t>
        </is>
      </c>
    </row>
    <row r="13">
      <c r="A13" t="inlineStr">
        <is>
          <t>14814879</t>
        </is>
      </c>
      <c r="B13" t="inlineStr">
        <is>
          <t>fef3d524-69c5-4348-8955-7858787130bd</t>
        </is>
      </c>
      <c r="D13" t="inlineStr">
        <is>
          <t>30001085</t>
        </is>
      </c>
      <c r="E13" t="inlineStr">
        <is>
          <t>ussd_funeral_leads_altitude_20260601</t>
        </is>
      </c>
      <c r="J13" t="inlineStr">
        <is>
          <t>N</t>
        </is>
      </c>
      <c r="K13" t="inlineStr">
        <is>
          <t>No Answer</t>
        </is>
      </c>
      <c r="L13" t="n">
        <v>6</v>
      </c>
      <c r="M13" t="inlineStr">
        <is>
          <t>2026-06-15 08:56:03</t>
        </is>
      </c>
      <c r="N13" t="inlineStr">
        <is>
          <t>Gontse Monageng</t>
        </is>
      </c>
      <c r="O13" t="inlineStr">
        <is>
          <t>2026-06-08 04:47:44</t>
        </is>
      </c>
      <c r="P13" t="inlineStr">
        <is>
          <t>2026-06-08 04:47:44</t>
        </is>
      </c>
      <c r="Y13" t="inlineStr">
        <is>
          <t>27847592049</t>
        </is>
      </c>
    </row>
    <row r="14">
      <c r="A14" t="inlineStr">
        <is>
          <t>14815153</t>
        </is>
      </c>
      <c r="B14" t="inlineStr">
        <is>
          <t>ba0312fb-eeff-4e40-b5da-75a33290bd0f</t>
        </is>
      </c>
      <c r="D14" t="inlineStr">
        <is>
          <t>30001085</t>
        </is>
      </c>
      <c r="E14" t="inlineStr">
        <is>
          <t>ussd_funeral_leads_altitude_20260601</t>
        </is>
      </c>
      <c r="J14" t="inlineStr">
        <is>
          <t>AA</t>
        </is>
      </c>
      <c r="K14" t="inlineStr">
        <is>
          <t>Answering Machine Autodial</t>
        </is>
      </c>
      <c r="L14" t="n">
        <v>6</v>
      </c>
      <c r="M14" t="inlineStr">
        <is>
          <t>2026-06-15 06:16:06</t>
        </is>
      </c>
      <c r="N14" t="inlineStr">
        <is>
          <t>system</t>
        </is>
      </c>
      <c r="O14" t="inlineStr">
        <is>
          <t>2026-06-08 04:47:44</t>
        </is>
      </c>
      <c r="P14" t="inlineStr">
        <is>
          <t>2026-06-08 04:47:44</t>
        </is>
      </c>
      <c r="Y14" t="inlineStr">
        <is>
          <t>27664541503</t>
        </is>
      </c>
    </row>
    <row r="15">
      <c r="A15" t="inlineStr">
        <is>
          <t>14814862</t>
        </is>
      </c>
      <c r="B15" t="inlineStr">
        <is>
          <t>d4a376a3-71e6-42a3-8024-0d2ffe4f6bbe</t>
        </is>
      </c>
      <c r="D15" t="inlineStr">
        <is>
          <t>30001085</t>
        </is>
      </c>
      <c r="E15" t="inlineStr">
        <is>
          <t>ussd_funeral_leads_altitude_20260601</t>
        </is>
      </c>
      <c r="J15" t="inlineStr">
        <is>
          <t>QAVER</t>
        </is>
      </c>
      <c r="K15" t="inlineStr">
        <is>
          <t>Sale Made</t>
        </is>
      </c>
      <c r="L15" t="n">
        <v>10</v>
      </c>
      <c r="M15" t="inlineStr">
        <is>
          <t>2026-06-13 10:22:08</t>
        </is>
      </c>
      <c r="N15" t="inlineStr">
        <is>
          <t>Vuyiswa Nxumalo</t>
        </is>
      </c>
      <c r="O15" t="inlineStr">
        <is>
          <t>2026-06-08 04:47:44</t>
        </is>
      </c>
      <c r="P15" t="inlineStr">
        <is>
          <t>2026-06-08 04:47:44</t>
        </is>
      </c>
      <c r="Y15" t="inlineStr">
        <is>
          <t>27827633100</t>
        </is>
      </c>
    </row>
    <row r="16">
      <c r="A16" t="inlineStr">
        <is>
          <t>14815154</t>
        </is>
      </c>
      <c r="B16" t="inlineStr">
        <is>
          <t>98828583-4f72-4c8c-a9a2-4e2898a72339</t>
        </is>
      </c>
      <c r="D16" t="inlineStr">
        <is>
          <t>30001085</t>
        </is>
      </c>
      <c r="E16" t="inlineStr">
        <is>
          <t>ussd_funeral_leads_altitude_20260601</t>
        </is>
      </c>
      <c r="J16" t="inlineStr">
        <is>
          <t>QAVER</t>
        </is>
      </c>
      <c r="K16" t="inlineStr">
        <is>
          <t>Sale Made</t>
        </is>
      </c>
      <c r="L16" t="n">
        <v>9</v>
      </c>
      <c r="M16" t="inlineStr">
        <is>
          <t>2026-06-13 09:41:54</t>
        </is>
      </c>
      <c r="N16" t="inlineStr">
        <is>
          <t>Virginia Letsatsi</t>
        </is>
      </c>
      <c r="O16" t="inlineStr">
        <is>
          <t>2026-06-08 04:47:44</t>
        </is>
      </c>
      <c r="P16" t="inlineStr">
        <is>
          <t>2026-06-08 04:47:44</t>
        </is>
      </c>
      <c r="Y16" t="inlineStr">
        <is>
          <t>27721780847</t>
        </is>
      </c>
    </row>
    <row r="17">
      <c r="A17" t="inlineStr">
        <is>
          <t>14814869</t>
        </is>
      </c>
      <c r="B17" t="inlineStr">
        <is>
          <t>7eba2327-cbad-465a-8ca4-f9aebb1c0662</t>
        </is>
      </c>
      <c r="D17" t="inlineStr">
        <is>
          <t>30001085</t>
        </is>
      </c>
      <c r="E17" t="inlineStr">
        <is>
          <t>ussd_funeral_leads_altitude_20260601</t>
        </is>
      </c>
      <c r="H17" t="inlineStr">
        <is>
          <t>27729316762</t>
        </is>
      </c>
      <c r="J17" t="inlineStr">
        <is>
          <t>A</t>
        </is>
      </c>
      <c r="K17" t="inlineStr">
        <is>
          <t>Answering Machine</t>
        </is>
      </c>
      <c r="L17" t="n">
        <v>9</v>
      </c>
      <c r="M17" t="inlineStr">
        <is>
          <t>2026-06-13 08:34:40</t>
        </is>
      </c>
      <c r="N17" t="inlineStr">
        <is>
          <t>Goitsimang Mogwasa</t>
        </is>
      </c>
      <c r="O17" t="inlineStr">
        <is>
          <t>2026-06-08 04:47:44</t>
        </is>
      </c>
      <c r="P17" t="inlineStr">
        <is>
          <t>2026-06-08 04:47:44</t>
        </is>
      </c>
      <c r="Y17" t="inlineStr">
        <is>
          <t>27729316762</t>
        </is>
      </c>
    </row>
    <row r="18">
      <c r="A18" t="inlineStr">
        <is>
          <t>14815195</t>
        </is>
      </c>
      <c r="B18" t="inlineStr">
        <is>
          <t>5d2414d2-c164-44ef-973a-4b13af033fbd</t>
        </is>
      </c>
      <c r="D18" t="inlineStr">
        <is>
          <t>30001085</t>
        </is>
      </c>
      <c r="E18" t="inlineStr">
        <is>
          <t>ussd_funeral_leads_altitude_20260601</t>
        </is>
      </c>
      <c r="J18" t="inlineStr">
        <is>
          <t>A</t>
        </is>
      </c>
      <c r="K18" t="inlineStr">
        <is>
          <t>Answering Machine</t>
        </is>
      </c>
      <c r="L18" t="n">
        <v>8</v>
      </c>
      <c r="M18" t="inlineStr">
        <is>
          <t>2026-06-13 08:17:59</t>
        </is>
      </c>
      <c r="N18" t="inlineStr">
        <is>
          <t>Virginia Letsatsi</t>
        </is>
      </c>
      <c r="O18" t="inlineStr">
        <is>
          <t>2026-06-08 04:47:44</t>
        </is>
      </c>
      <c r="P18" t="inlineStr">
        <is>
          <t>2026-06-08 04:47:44</t>
        </is>
      </c>
      <c r="Y18" t="inlineStr">
        <is>
          <t>27763789715</t>
        </is>
      </c>
    </row>
    <row r="19">
      <c r="A19" t="inlineStr">
        <is>
          <t>14815026</t>
        </is>
      </c>
      <c r="B19" t="inlineStr">
        <is>
          <t>73c4141e-7944-41a5-a508-3dd1f0c0d547</t>
        </is>
      </c>
      <c r="D19" t="inlineStr">
        <is>
          <t>30001085</t>
        </is>
      </c>
      <c r="E19" t="inlineStr">
        <is>
          <t>ussd_funeral_leads_altitude_20260601</t>
        </is>
      </c>
      <c r="H19" t="inlineStr">
        <is>
          <t>27793299558</t>
        </is>
      </c>
      <c r="J19" t="inlineStr">
        <is>
          <t>A</t>
        </is>
      </c>
      <c r="K19" t="inlineStr">
        <is>
          <t>Answering Machine</t>
        </is>
      </c>
      <c r="L19" t="n">
        <v>7</v>
      </c>
      <c r="M19" t="inlineStr">
        <is>
          <t>2026-06-13 07:45:26</t>
        </is>
      </c>
      <c r="N19" t="inlineStr">
        <is>
          <t>Virginia Letsatsi</t>
        </is>
      </c>
      <c r="O19" t="inlineStr">
        <is>
          <t>2026-06-08 04:47:44</t>
        </is>
      </c>
      <c r="P19" t="inlineStr">
        <is>
          <t>2026-06-08 04:47:44</t>
        </is>
      </c>
      <c r="Y19" t="inlineStr">
        <is>
          <t>27793299558</t>
        </is>
      </c>
    </row>
    <row r="20">
      <c r="A20" t="inlineStr">
        <is>
          <t>14814832</t>
        </is>
      </c>
      <c r="B20" t="inlineStr">
        <is>
          <t>baa51659-e693-4c2d-b873-10c7a3693d3f</t>
        </is>
      </c>
      <c r="D20" t="inlineStr">
        <is>
          <t>30001085</t>
        </is>
      </c>
      <c r="E20" t="inlineStr">
        <is>
          <t>ussd_funeral_leads_altitude_20260601</t>
        </is>
      </c>
      <c r="J20" t="inlineStr">
        <is>
          <t>N</t>
        </is>
      </c>
      <c r="K20" t="inlineStr">
        <is>
          <t>No Answer</t>
        </is>
      </c>
      <c r="L20" t="n">
        <v>7</v>
      </c>
      <c r="M20" t="inlineStr">
        <is>
          <t>2026-06-12 10:02:58</t>
        </is>
      </c>
      <c r="N20" t="inlineStr">
        <is>
          <t>Vuyiswa Nxumalo</t>
        </is>
      </c>
      <c r="O20" t="inlineStr">
        <is>
          <t>2026-06-08 04:47:44</t>
        </is>
      </c>
      <c r="P20" t="inlineStr">
        <is>
          <t>2026-06-08 04:47:44</t>
        </is>
      </c>
      <c r="Y20" t="inlineStr">
        <is>
          <t>27723568050</t>
        </is>
      </c>
    </row>
    <row r="21">
      <c r="A21" t="inlineStr">
        <is>
          <t>14814800</t>
        </is>
      </c>
      <c r="B21" t="inlineStr">
        <is>
          <t>ea8d07e8-e008-424b-8a7c-7eee44136b5a</t>
        </is>
      </c>
      <c r="D21" t="inlineStr">
        <is>
          <t>30001085</t>
        </is>
      </c>
      <c r="E21" t="inlineStr">
        <is>
          <t>ussd_funeral_leads_altitude_20260601</t>
        </is>
      </c>
      <c r="J21" t="inlineStr">
        <is>
          <t>CBACK</t>
        </is>
      </c>
      <c r="K21" t="inlineStr">
        <is>
          <t>Callback</t>
        </is>
      </c>
      <c r="L21" t="n">
        <v>6</v>
      </c>
      <c r="M21" t="inlineStr">
        <is>
          <t>2026-06-12 08:56:05</t>
        </is>
      </c>
      <c r="N21" t="inlineStr">
        <is>
          <t>Gontse Monageng</t>
        </is>
      </c>
      <c r="O21" t="inlineStr">
        <is>
          <t>2026-06-08 04:47:44</t>
        </is>
      </c>
      <c r="P21" t="inlineStr">
        <is>
          <t>2026-06-08 04:47:44</t>
        </is>
      </c>
      <c r="Y21" t="inlineStr">
        <is>
          <t>27760709358</t>
        </is>
      </c>
    </row>
    <row r="22">
      <c r="A22" t="inlineStr">
        <is>
          <t>14814906</t>
        </is>
      </c>
      <c r="B22" t="inlineStr">
        <is>
          <t>a51bfcaf-d346-4448-bc2d-5a4079089082</t>
        </is>
      </c>
      <c r="D22" t="inlineStr">
        <is>
          <t>30001085</t>
        </is>
      </c>
      <c r="E22" t="inlineStr">
        <is>
          <t>ussd_funeral_leads_altitude_20260601</t>
        </is>
      </c>
      <c r="J22" t="inlineStr">
        <is>
          <t>N</t>
        </is>
      </c>
      <c r="K22" t="inlineStr">
        <is>
          <t>No Answer</t>
        </is>
      </c>
      <c r="L22" t="n">
        <v>6</v>
      </c>
      <c r="M22" t="inlineStr">
        <is>
          <t>2026-06-12 08:54:23</t>
        </is>
      </c>
      <c r="N22" t="inlineStr">
        <is>
          <t>Lebohang Mabotja</t>
        </is>
      </c>
      <c r="O22" t="inlineStr">
        <is>
          <t>2026-06-08 04:47:44</t>
        </is>
      </c>
      <c r="P22" t="inlineStr">
        <is>
          <t>2026-06-08 04:47:44</t>
        </is>
      </c>
      <c r="Y22" t="inlineStr">
        <is>
          <t>27727791198</t>
        </is>
      </c>
    </row>
    <row r="23">
      <c r="A23" t="inlineStr">
        <is>
          <t>14815243</t>
        </is>
      </c>
      <c r="B23" t="inlineStr">
        <is>
          <t>753ec4a4-e615-4498-9c2f-6f585b1e90ef</t>
        </is>
      </c>
      <c r="D23" t="inlineStr">
        <is>
          <t>30001085</t>
        </is>
      </c>
      <c r="E23" t="inlineStr">
        <is>
          <t>ussd_funeral_leads_altitude_20260601</t>
        </is>
      </c>
      <c r="J23" t="inlineStr">
        <is>
          <t>A</t>
        </is>
      </c>
      <c r="K23" t="inlineStr">
        <is>
          <t>Answering Machine</t>
        </is>
      </c>
      <c r="L23" t="n">
        <v>7</v>
      </c>
      <c r="M23" t="inlineStr">
        <is>
          <t>2026-06-12 08:38:19</t>
        </is>
      </c>
      <c r="N23" t="inlineStr">
        <is>
          <t>Goitsimang Mogwasa</t>
        </is>
      </c>
      <c r="O23" t="inlineStr">
        <is>
          <t>2026-06-08 04:47:44</t>
        </is>
      </c>
      <c r="P23" t="inlineStr">
        <is>
          <t>2026-06-08 04:47:44</t>
        </is>
      </c>
      <c r="Y23" t="inlineStr">
        <is>
          <t>27673310026</t>
        </is>
      </c>
    </row>
    <row r="24">
      <c r="A24" t="inlineStr">
        <is>
          <t>14815041</t>
        </is>
      </c>
      <c r="B24" t="inlineStr">
        <is>
          <t>786c754b-f236-44b1-b938-c5171818c42f</t>
        </is>
      </c>
      <c r="D24" t="inlineStr">
        <is>
          <t>30001085</t>
        </is>
      </c>
      <c r="E24" t="inlineStr">
        <is>
          <t>ussd_funeral_leads_altitude_20260601</t>
        </is>
      </c>
      <c r="J24" t="inlineStr">
        <is>
          <t>N</t>
        </is>
      </c>
      <c r="K24" t="inlineStr">
        <is>
          <t>No Answer</t>
        </is>
      </c>
      <c r="L24" t="n">
        <v>7</v>
      </c>
      <c r="M24" t="inlineStr">
        <is>
          <t>2026-06-12 08:13:23</t>
        </is>
      </c>
      <c r="N24" t="inlineStr">
        <is>
          <t>Vuyiswa Nxumalo</t>
        </is>
      </c>
      <c r="O24" t="inlineStr">
        <is>
          <t>2026-06-08 04:47:44</t>
        </is>
      </c>
      <c r="P24" t="inlineStr">
        <is>
          <t>2026-06-08 04:47:44</t>
        </is>
      </c>
      <c r="Y24" t="inlineStr">
        <is>
          <t>27660397160</t>
        </is>
      </c>
    </row>
    <row r="25">
      <c r="A25" t="inlineStr">
        <is>
          <t>14814835</t>
        </is>
      </c>
      <c r="B25" t="inlineStr">
        <is>
          <t>a6d6aeeb-5036-459d-9550-12617848c4e7</t>
        </is>
      </c>
      <c r="D25" t="inlineStr">
        <is>
          <t>30001085</t>
        </is>
      </c>
      <c r="E25" t="inlineStr">
        <is>
          <t>ussd_funeral_leads_altitude_20260601</t>
        </is>
      </c>
      <c r="J25" t="inlineStr">
        <is>
          <t>CU</t>
        </is>
      </c>
      <c r="K25" t="inlineStr">
        <is>
          <t>Client Hung Up</t>
        </is>
      </c>
      <c r="L25" t="n">
        <v>7</v>
      </c>
      <c r="M25" t="inlineStr">
        <is>
          <t>2026-06-12 08:10:18</t>
        </is>
      </c>
      <c r="N25" t="inlineStr">
        <is>
          <t>Goitsimang Mogwasa</t>
        </is>
      </c>
      <c r="O25" t="inlineStr">
        <is>
          <t>2026-06-08 04:47:44</t>
        </is>
      </c>
      <c r="P25" t="inlineStr">
        <is>
          <t>2026-06-08 04:47:44</t>
        </is>
      </c>
      <c r="Y25" t="inlineStr">
        <is>
          <t>27795648563</t>
        </is>
      </c>
    </row>
    <row r="26">
      <c r="A26" t="inlineStr">
        <is>
          <t>14815063</t>
        </is>
      </c>
      <c r="B26" t="inlineStr">
        <is>
          <t>d86455ea-5526-4cc7-adb3-689b38bb94d7</t>
        </is>
      </c>
      <c r="D26" t="inlineStr">
        <is>
          <t>30001085</t>
        </is>
      </c>
      <c r="E26" t="inlineStr">
        <is>
          <t>ussd_funeral_leads_altitude_20260601</t>
        </is>
      </c>
      <c r="J26" t="inlineStr">
        <is>
          <t>A</t>
        </is>
      </c>
      <c r="K26" t="inlineStr">
        <is>
          <t>Answering Machine</t>
        </is>
      </c>
      <c r="L26" t="n">
        <v>6</v>
      </c>
      <c r="M26" t="inlineStr">
        <is>
          <t>2026-06-12 08:08:25</t>
        </is>
      </c>
      <c r="N26" t="inlineStr">
        <is>
          <t>Vuyiswa Nxumalo</t>
        </is>
      </c>
      <c r="O26" t="inlineStr">
        <is>
          <t>2026-06-08 04:47:44</t>
        </is>
      </c>
      <c r="P26" t="inlineStr">
        <is>
          <t>2026-06-08 04:47:44</t>
        </is>
      </c>
      <c r="Y26" t="inlineStr">
        <is>
          <t>27674528216</t>
        </is>
      </c>
    </row>
    <row r="27">
      <c r="A27" t="inlineStr">
        <is>
          <t>14814907</t>
        </is>
      </c>
      <c r="B27" t="inlineStr">
        <is>
          <t>382ab90b-2935-4939-86b4-6a136561a3f7</t>
        </is>
      </c>
      <c r="D27" t="inlineStr">
        <is>
          <t>30001085</t>
        </is>
      </c>
      <c r="E27" t="inlineStr">
        <is>
          <t>ussd_funeral_leads_altitude_20260601</t>
        </is>
      </c>
      <c r="J27" t="inlineStr">
        <is>
          <t>AA</t>
        </is>
      </c>
      <c r="K27" t="inlineStr">
        <is>
          <t>Answering Machine Autodial</t>
        </is>
      </c>
      <c r="L27" t="n">
        <v>6</v>
      </c>
      <c r="M27" t="inlineStr">
        <is>
          <t>2026-06-12 08:08:25</t>
        </is>
      </c>
      <c r="N27" t="inlineStr">
        <is>
          <t>system</t>
        </is>
      </c>
      <c r="O27" t="inlineStr">
        <is>
          <t>2026-06-08 04:47:44</t>
        </is>
      </c>
      <c r="P27" t="inlineStr">
        <is>
          <t>2026-06-08 04:47:44</t>
        </is>
      </c>
      <c r="Y27" t="inlineStr">
        <is>
          <t>27723344824</t>
        </is>
      </c>
    </row>
    <row r="28">
      <c r="A28" t="inlineStr">
        <is>
          <t>14815236</t>
        </is>
      </c>
      <c r="B28" t="inlineStr">
        <is>
          <t>dd0844fd-7766-49f1-a30e-fdd6c5cfb2d7</t>
        </is>
      </c>
      <c r="D28" t="inlineStr">
        <is>
          <t>30001085</t>
        </is>
      </c>
      <c r="E28" t="inlineStr">
        <is>
          <t>ussd_funeral_leads_altitude_20260601</t>
        </is>
      </c>
      <c r="J28" t="inlineStr">
        <is>
          <t>AE</t>
        </is>
      </c>
      <c r="K28" t="inlineStr">
        <is>
          <t>Auto Engaged</t>
        </is>
      </c>
      <c r="L28" t="n">
        <v>6</v>
      </c>
      <c r="M28" t="inlineStr">
        <is>
          <t>2026-06-12 08:08:17</t>
        </is>
      </c>
      <c r="N28" t="inlineStr">
        <is>
          <t>system</t>
        </is>
      </c>
      <c r="O28" t="inlineStr">
        <is>
          <t>2026-06-08 04:47:44</t>
        </is>
      </c>
      <c r="P28" t="inlineStr">
        <is>
          <t>2026-06-08 04:47:44</t>
        </is>
      </c>
      <c r="Y28" t="inlineStr">
        <is>
          <t>27674443050</t>
        </is>
      </c>
    </row>
    <row r="29">
      <c r="A29" t="inlineStr">
        <is>
          <t>14814916</t>
        </is>
      </c>
      <c r="B29" t="inlineStr">
        <is>
          <t>25753b1e-2be6-496e-9375-4426ad3c6c47</t>
        </is>
      </c>
      <c r="D29" t="inlineStr">
        <is>
          <t>30001085</t>
        </is>
      </c>
      <c r="E29" t="inlineStr">
        <is>
          <t>ussd_funeral_leads_altitude_20260601</t>
        </is>
      </c>
      <c r="J29" t="inlineStr">
        <is>
          <t>ADC</t>
        </is>
      </c>
      <c r="K29" t="inlineStr">
        <is>
          <t>Auto Dial Disconnected</t>
        </is>
      </c>
      <c r="L29" t="n">
        <v>6</v>
      </c>
      <c r="M29" t="inlineStr">
        <is>
          <t>2026-06-12 06:07:42</t>
        </is>
      </c>
      <c r="N29" t="inlineStr">
        <is>
          <t>system</t>
        </is>
      </c>
      <c r="O29" t="inlineStr">
        <is>
          <t>2026-06-08 04:47:44</t>
        </is>
      </c>
      <c r="P29" t="inlineStr">
        <is>
          <t>2026-06-08 04:47:44</t>
        </is>
      </c>
      <c r="Y29" t="inlineStr">
        <is>
          <t>27674998353</t>
        </is>
      </c>
    </row>
    <row r="30">
      <c r="A30" t="inlineStr">
        <is>
          <t>14814924</t>
        </is>
      </c>
      <c r="B30" t="inlineStr">
        <is>
          <t>a5a42c85-906b-4134-b9f4-6d30d1c50bdd</t>
        </is>
      </c>
      <c r="D30" t="inlineStr">
        <is>
          <t>30001085</t>
        </is>
      </c>
      <c r="E30" t="inlineStr">
        <is>
          <t>ussd_funeral_leads_altitude_20260601</t>
        </is>
      </c>
      <c r="H30" t="inlineStr">
        <is>
          <t>27774829311</t>
        </is>
      </c>
      <c r="J30" t="inlineStr">
        <is>
          <t>ADC</t>
        </is>
      </c>
      <c r="K30" t="inlineStr">
        <is>
          <t>Auto Dial Disconnected</t>
        </is>
      </c>
      <c r="L30" t="n">
        <v>6</v>
      </c>
      <c r="M30" t="inlineStr">
        <is>
          <t>2026-06-12 06:07:42</t>
        </is>
      </c>
      <c r="N30" t="inlineStr">
        <is>
          <t>system</t>
        </is>
      </c>
      <c r="O30" t="inlineStr">
        <is>
          <t>2026-06-08 04:47:44</t>
        </is>
      </c>
      <c r="P30" t="inlineStr">
        <is>
          <t>2026-06-08 04:47:44</t>
        </is>
      </c>
      <c r="Y30" t="inlineStr">
        <is>
          <t>27774829311</t>
        </is>
      </c>
    </row>
    <row r="31">
      <c r="A31" t="inlineStr">
        <is>
          <t>14814929</t>
        </is>
      </c>
      <c r="B31" t="inlineStr">
        <is>
          <t>b965b81c-81ce-4014-915e-22739c487ece</t>
        </is>
      </c>
      <c r="D31" t="inlineStr">
        <is>
          <t>30001085</t>
        </is>
      </c>
      <c r="E31" t="inlineStr">
        <is>
          <t>ussd_funeral_leads_altitude_20260601</t>
        </is>
      </c>
      <c r="J31" t="inlineStr">
        <is>
          <t>ADC</t>
        </is>
      </c>
      <c r="K31" t="inlineStr">
        <is>
          <t>Auto Dial Disconnected</t>
        </is>
      </c>
      <c r="L31" t="n">
        <v>6</v>
      </c>
      <c r="M31" t="inlineStr">
        <is>
          <t>2026-06-12 06:07:42</t>
        </is>
      </c>
      <c r="N31" t="inlineStr">
        <is>
          <t>system</t>
        </is>
      </c>
      <c r="O31" t="inlineStr">
        <is>
          <t>2026-06-08 04:47:44</t>
        </is>
      </c>
      <c r="P31" t="inlineStr">
        <is>
          <t>2026-06-08 04:47:44</t>
        </is>
      </c>
      <c r="Y31" t="inlineStr">
        <is>
          <t>27720925677</t>
        </is>
      </c>
    </row>
    <row r="32">
      <c r="A32" t="inlineStr">
        <is>
          <t>14815081</t>
        </is>
      </c>
      <c r="B32" t="inlineStr">
        <is>
          <t>886b4b54-73ee-41e3-bf8b-d73987d58f48</t>
        </is>
      </c>
      <c r="D32" t="inlineStr">
        <is>
          <t>30001085</t>
        </is>
      </c>
      <c r="E32" t="inlineStr">
        <is>
          <t>ussd_funeral_leads_altitude_20260601</t>
        </is>
      </c>
      <c r="J32" t="inlineStr">
        <is>
          <t>ADC</t>
        </is>
      </c>
      <c r="K32" t="inlineStr">
        <is>
          <t>Auto Dial Disconnected</t>
        </is>
      </c>
      <c r="L32" t="n">
        <v>6</v>
      </c>
      <c r="M32" t="inlineStr">
        <is>
          <t>2026-06-12 06:07:42</t>
        </is>
      </c>
      <c r="N32" t="inlineStr">
        <is>
          <t>system</t>
        </is>
      </c>
      <c r="O32" t="inlineStr">
        <is>
          <t>2026-06-08 04:47:44</t>
        </is>
      </c>
      <c r="P32" t="inlineStr">
        <is>
          <t>2026-06-08 04:47:44</t>
        </is>
      </c>
      <c r="Y32" t="inlineStr">
        <is>
          <t>27729282127</t>
        </is>
      </c>
    </row>
    <row r="33">
      <c r="A33" t="inlineStr">
        <is>
          <t>14815150</t>
        </is>
      </c>
      <c r="B33" t="inlineStr">
        <is>
          <t>1672b5e3-bf11-4744-b8df-2b32d8740eb6</t>
        </is>
      </c>
      <c r="D33" t="inlineStr">
        <is>
          <t>30001085</t>
        </is>
      </c>
      <c r="E33" t="inlineStr">
        <is>
          <t>ussd_funeral_leads_altitude_20260601</t>
        </is>
      </c>
      <c r="J33" t="inlineStr">
        <is>
          <t>ADC</t>
        </is>
      </c>
      <c r="K33" t="inlineStr">
        <is>
          <t>Auto Dial Disconnected</t>
        </is>
      </c>
      <c r="L33" t="n">
        <v>6</v>
      </c>
      <c r="M33" t="inlineStr">
        <is>
          <t>2026-06-12 06:07:42</t>
        </is>
      </c>
      <c r="N33" t="inlineStr">
        <is>
          <t>system</t>
        </is>
      </c>
      <c r="O33" t="inlineStr">
        <is>
          <t>2026-06-08 04:47:44</t>
        </is>
      </c>
      <c r="P33" t="inlineStr">
        <is>
          <t>2026-06-08 04:47:44</t>
        </is>
      </c>
      <c r="Y33" t="inlineStr">
        <is>
          <t>27766189622</t>
        </is>
      </c>
    </row>
    <row r="34">
      <c r="A34" t="inlineStr">
        <is>
          <t>14815157</t>
        </is>
      </c>
      <c r="B34" t="inlineStr">
        <is>
          <t>df3702df-0afe-44a4-93af-3d7a7ddf22a0</t>
        </is>
      </c>
      <c r="D34" t="inlineStr">
        <is>
          <t>30001085</t>
        </is>
      </c>
      <c r="E34" t="inlineStr">
        <is>
          <t>ussd_funeral_leads_altitude_20260601</t>
        </is>
      </c>
      <c r="J34" t="inlineStr">
        <is>
          <t>ADC</t>
        </is>
      </c>
      <c r="K34" t="inlineStr">
        <is>
          <t>Auto Dial Disconnected</t>
        </is>
      </c>
      <c r="L34" t="n">
        <v>6</v>
      </c>
      <c r="M34" t="inlineStr">
        <is>
          <t>2026-06-12 06:07:42</t>
        </is>
      </c>
      <c r="N34" t="inlineStr">
        <is>
          <t>system</t>
        </is>
      </c>
      <c r="O34" t="inlineStr">
        <is>
          <t>2026-06-08 04:47:44</t>
        </is>
      </c>
      <c r="P34" t="inlineStr">
        <is>
          <t>2026-06-08 04:47:44</t>
        </is>
      </c>
      <c r="Y34" t="inlineStr">
        <is>
          <t>27607285239</t>
        </is>
      </c>
    </row>
    <row r="35">
      <c r="A35" t="inlineStr">
        <is>
          <t>14814990</t>
        </is>
      </c>
      <c r="B35" t="inlineStr">
        <is>
          <t>d0e9f553-b217-4f5c-b634-344077f4b63e</t>
        </is>
      </c>
      <c r="D35" t="inlineStr">
        <is>
          <t>30001085</t>
        </is>
      </c>
      <c r="E35" t="inlineStr">
        <is>
          <t>ussd_funeral_leads_altitude_20260601</t>
        </is>
      </c>
      <c r="H35" t="inlineStr">
        <is>
          <t>27715891600</t>
        </is>
      </c>
      <c r="J35" t="inlineStr">
        <is>
          <t>ADC</t>
        </is>
      </c>
      <c r="K35" t="inlineStr">
        <is>
          <t>Auto Dial Disconnected</t>
        </is>
      </c>
      <c r="L35" t="n">
        <v>6</v>
      </c>
      <c r="M35" t="inlineStr">
        <is>
          <t>2026-06-12 06:07:42</t>
        </is>
      </c>
      <c r="N35" t="inlineStr">
        <is>
          <t>system</t>
        </is>
      </c>
      <c r="O35" t="inlineStr">
        <is>
          <t>2026-06-08 04:47:44</t>
        </is>
      </c>
      <c r="P35" t="inlineStr">
        <is>
          <t>2026-06-08 04:47:44</t>
        </is>
      </c>
      <c r="Y35" t="inlineStr">
        <is>
          <t>27715891600</t>
        </is>
      </c>
    </row>
    <row r="36">
      <c r="A36" t="inlineStr">
        <is>
          <t>14815137</t>
        </is>
      </c>
      <c r="B36" t="inlineStr">
        <is>
          <t>deed85e5-1cc6-45c6-8cea-3b1a7cda6bbb</t>
        </is>
      </c>
      <c r="D36" t="inlineStr">
        <is>
          <t>30001085</t>
        </is>
      </c>
      <c r="E36" t="inlineStr">
        <is>
          <t>ussd_funeral_leads_altitude_20260601</t>
        </is>
      </c>
      <c r="J36" t="inlineStr">
        <is>
          <t>ADC</t>
        </is>
      </c>
      <c r="K36" t="inlineStr">
        <is>
          <t>Auto Dial Disconnected</t>
        </is>
      </c>
      <c r="L36" t="n">
        <v>6</v>
      </c>
      <c r="M36" t="inlineStr">
        <is>
          <t>2026-06-12 06:07:42</t>
        </is>
      </c>
      <c r="N36" t="inlineStr">
        <is>
          <t>system</t>
        </is>
      </c>
      <c r="O36" t="inlineStr">
        <is>
          <t>2026-06-08 04:47:44</t>
        </is>
      </c>
      <c r="P36" t="inlineStr">
        <is>
          <t>2026-06-08 04:47:44</t>
        </is>
      </c>
      <c r="Y36" t="inlineStr">
        <is>
          <t>27713922792</t>
        </is>
      </c>
    </row>
    <row r="37">
      <c r="A37" t="inlineStr">
        <is>
          <t>14815259</t>
        </is>
      </c>
      <c r="B37" t="inlineStr">
        <is>
          <t>4039fd8d-2b6e-4e07-bc6c-19cb21a3d403</t>
        </is>
      </c>
      <c r="D37" t="inlineStr">
        <is>
          <t>30001085</t>
        </is>
      </c>
      <c r="E37" t="inlineStr">
        <is>
          <t>ussd_funeral_leads_altitude_20260601</t>
        </is>
      </c>
      <c r="J37" t="inlineStr">
        <is>
          <t>ADC</t>
        </is>
      </c>
      <c r="K37" t="inlineStr">
        <is>
          <t>Auto Dial Disconnected</t>
        </is>
      </c>
      <c r="L37" t="n">
        <v>6</v>
      </c>
      <c r="M37" t="inlineStr">
        <is>
          <t>2026-06-12 06:07:38</t>
        </is>
      </c>
      <c r="N37" t="inlineStr">
        <is>
          <t>system</t>
        </is>
      </c>
      <c r="O37" t="inlineStr">
        <is>
          <t>2026-06-08 04:47:44</t>
        </is>
      </c>
      <c r="P37" t="inlineStr">
        <is>
          <t>2026-06-08 04:47:44</t>
        </is>
      </c>
      <c r="Y37" t="inlineStr">
        <is>
          <t>27791456827</t>
        </is>
      </c>
    </row>
    <row r="38">
      <c r="A38" t="inlineStr">
        <is>
          <t>14814901</t>
        </is>
      </c>
      <c r="B38" t="inlineStr">
        <is>
          <t>e7dfc9b2-f33f-4bc6-bad3-73872505dc48</t>
        </is>
      </c>
      <c r="D38" t="inlineStr">
        <is>
          <t>30001085</t>
        </is>
      </c>
      <c r="E38" t="inlineStr">
        <is>
          <t>ussd_funeral_leads_altitude_20260601</t>
        </is>
      </c>
      <c r="H38" t="inlineStr">
        <is>
          <t>27648210126</t>
        </is>
      </c>
      <c r="J38" t="inlineStr">
        <is>
          <t>IABDN</t>
        </is>
      </c>
      <c r="K38" t="inlineStr">
        <is>
          <t>Inbound Abandon</t>
        </is>
      </c>
      <c r="L38" t="n">
        <v>6</v>
      </c>
      <c r="M38" t="inlineStr">
        <is>
          <t>2026-06-11 16:24:02</t>
        </is>
      </c>
      <c r="N38" t="inlineStr">
        <is>
          <t>system</t>
        </is>
      </c>
      <c r="O38" t="inlineStr">
        <is>
          <t>2026-06-08 04:47:44</t>
        </is>
      </c>
      <c r="P38" t="inlineStr">
        <is>
          <t>2026-06-08 04:47:44</t>
        </is>
      </c>
      <c r="Y38" t="inlineStr">
        <is>
          <t>27648210126</t>
        </is>
      </c>
    </row>
    <row r="39">
      <c r="A39" t="inlineStr">
        <is>
          <t>14815139</t>
        </is>
      </c>
      <c r="B39" t="inlineStr">
        <is>
          <t>ad434845-d361-4a90-a17d-dc5c64504f45</t>
        </is>
      </c>
      <c r="D39" t="inlineStr">
        <is>
          <t>30001085</t>
        </is>
      </c>
      <c r="E39" t="inlineStr">
        <is>
          <t>ussd_funeral_leads_altitude_20260601</t>
        </is>
      </c>
      <c r="H39" t="inlineStr">
        <is>
          <t>27761395100</t>
        </is>
      </c>
      <c r="J39" t="inlineStr">
        <is>
          <t>AA</t>
        </is>
      </c>
      <c r="K39" t="inlineStr">
        <is>
          <t>Answering Machine Autodial</t>
        </is>
      </c>
      <c r="L39" t="n">
        <v>6</v>
      </c>
      <c r="M39" t="inlineStr">
        <is>
          <t>2026-06-11 15:12:04</t>
        </is>
      </c>
      <c r="N39" t="inlineStr">
        <is>
          <t>system</t>
        </is>
      </c>
      <c r="O39" t="inlineStr">
        <is>
          <t>2026-06-08 04:47:44</t>
        </is>
      </c>
      <c r="P39" t="inlineStr">
        <is>
          <t>2026-06-08 04:47:44</t>
        </is>
      </c>
      <c r="Y39" t="inlineStr">
        <is>
          <t>27761395100</t>
        </is>
      </c>
    </row>
    <row r="40">
      <c r="A40" t="inlineStr">
        <is>
          <t>14814885</t>
        </is>
      </c>
      <c r="B40" t="inlineStr">
        <is>
          <t>6ac5a0d9-e2ec-4b01-891e-1d6728d301b8</t>
        </is>
      </c>
      <c r="D40" t="inlineStr">
        <is>
          <t>30001085</t>
        </is>
      </c>
      <c r="E40" t="inlineStr">
        <is>
          <t>ussd_funeral_leads_altitude_20260601</t>
        </is>
      </c>
      <c r="J40" t="inlineStr">
        <is>
          <t>A</t>
        </is>
      </c>
      <c r="K40" t="inlineStr">
        <is>
          <t>Answering Machine</t>
        </is>
      </c>
      <c r="L40" t="n">
        <v>6</v>
      </c>
      <c r="M40" t="inlineStr">
        <is>
          <t>2026-06-11 15:02:06</t>
        </is>
      </c>
      <c r="N40" t="inlineStr">
        <is>
          <t>Gontse Monageng</t>
        </is>
      </c>
      <c r="O40" t="inlineStr">
        <is>
          <t>2026-06-08 04:47:44</t>
        </is>
      </c>
      <c r="P40" t="inlineStr">
        <is>
          <t>2026-06-08 04:47:44</t>
        </is>
      </c>
      <c r="Y40" t="inlineStr">
        <is>
          <t>27727837671</t>
        </is>
      </c>
    </row>
    <row r="41">
      <c r="A41" t="inlineStr">
        <is>
          <t>14814895</t>
        </is>
      </c>
      <c r="B41" t="inlineStr">
        <is>
          <t>75defcc7-2f5a-44ad-abc8-29c232394d64</t>
        </is>
      </c>
      <c r="D41" t="inlineStr">
        <is>
          <t>30001085</t>
        </is>
      </c>
      <c r="E41" t="inlineStr">
        <is>
          <t>ussd_funeral_leads_altitude_20260601</t>
        </is>
      </c>
      <c r="J41" t="inlineStr">
        <is>
          <t>A</t>
        </is>
      </c>
      <c r="K41" t="inlineStr">
        <is>
          <t>Answering Machine</t>
        </is>
      </c>
      <c r="L41" t="n">
        <v>6</v>
      </c>
      <c r="M41" t="inlineStr">
        <is>
          <t>2026-06-11 14:53:01</t>
        </is>
      </c>
      <c r="N41" t="inlineStr">
        <is>
          <t>Lebohang Mabotja</t>
        </is>
      </c>
      <c r="O41" t="inlineStr">
        <is>
          <t>2026-06-08 04:47:44</t>
        </is>
      </c>
      <c r="P41" t="inlineStr">
        <is>
          <t>2026-06-08 04:47:44</t>
        </is>
      </c>
      <c r="Y41" t="inlineStr">
        <is>
          <t>27715465016</t>
        </is>
      </c>
    </row>
    <row r="42">
      <c r="A42" t="inlineStr">
        <is>
          <t>14815200</t>
        </is>
      </c>
      <c r="B42" t="inlineStr">
        <is>
          <t>2b9b0d9a-0021-4c91-83a4-2d4743a5fbc0</t>
        </is>
      </c>
      <c r="D42" t="inlineStr">
        <is>
          <t>30001085</t>
        </is>
      </c>
      <c r="E42" t="inlineStr">
        <is>
          <t>ussd_funeral_leads_altitude_20260601</t>
        </is>
      </c>
      <c r="J42" t="inlineStr">
        <is>
          <t>A</t>
        </is>
      </c>
      <c r="K42" t="inlineStr">
        <is>
          <t>Answering Machine</t>
        </is>
      </c>
      <c r="L42" t="n">
        <v>7</v>
      </c>
      <c r="M42" t="inlineStr">
        <is>
          <t>2026-06-11 13:53:49</t>
        </is>
      </c>
      <c r="N42" t="inlineStr">
        <is>
          <t>Vuyiswa Nxumalo</t>
        </is>
      </c>
      <c r="O42" t="inlineStr">
        <is>
          <t>2026-06-08 04:47:44</t>
        </is>
      </c>
      <c r="P42" t="inlineStr">
        <is>
          <t>2026-06-08 04:47:44</t>
        </is>
      </c>
      <c r="Y42" t="inlineStr">
        <is>
          <t>27713039944</t>
        </is>
      </c>
    </row>
    <row r="43">
      <c r="A43" t="inlineStr">
        <is>
          <t>14815132</t>
        </is>
      </c>
      <c r="B43" t="inlineStr">
        <is>
          <t>01e3a946-5cff-4b6e-ac80-3482bc5c13b3</t>
        </is>
      </c>
      <c r="D43" t="inlineStr">
        <is>
          <t>30001085</t>
        </is>
      </c>
      <c r="E43" t="inlineStr">
        <is>
          <t>ussd_funeral_leads_altitude_20260601</t>
        </is>
      </c>
      <c r="H43" t="inlineStr">
        <is>
          <t>27723341990</t>
        </is>
      </c>
      <c r="J43" t="inlineStr">
        <is>
          <t>CU</t>
        </is>
      </c>
      <c r="K43" t="inlineStr">
        <is>
          <t>Client Hung Up</t>
        </is>
      </c>
      <c r="L43" t="n">
        <v>6</v>
      </c>
      <c r="M43" t="inlineStr">
        <is>
          <t>2026-06-11 13:50:36</t>
        </is>
      </c>
      <c r="N43" t="inlineStr">
        <is>
          <t>Gontse Monageng</t>
        </is>
      </c>
      <c r="O43" t="inlineStr">
        <is>
          <t>2026-06-08 04:47:44</t>
        </is>
      </c>
      <c r="P43" t="inlineStr">
        <is>
          <t>2026-06-08 04:47:44</t>
        </is>
      </c>
      <c r="Y43" t="inlineStr">
        <is>
          <t>27723341990</t>
        </is>
      </c>
    </row>
    <row r="44">
      <c r="A44" t="inlineStr">
        <is>
          <t>14814960</t>
        </is>
      </c>
      <c r="B44" t="inlineStr">
        <is>
          <t>155123ba-a654-4399-995c-2760de373605</t>
        </is>
      </c>
      <c r="D44" t="inlineStr">
        <is>
          <t>30001085</t>
        </is>
      </c>
      <c r="E44" t="inlineStr">
        <is>
          <t>ussd_funeral_leads_altitude_20260601</t>
        </is>
      </c>
      <c r="J44" t="inlineStr">
        <is>
          <t>AA</t>
        </is>
      </c>
      <c r="K44" t="inlineStr">
        <is>
          <t>Answering Machine Autodial</t>
        </is>
      </c>
      <c r="L44" t="n">
        <v>6</v>
      </c>
      <c r="M44" t="inlineStr">
        <is>
          <t>2026-06-11 13:49:39</t>
        </is>
      </c>
      <c r="N44" t="inlineStr">
        <is>
          <t>system</t>
        </is>
      </c>
      <c r="O44" t="inlineStr">
        <is>
          <t>2026-06-08 04:47:44</t>
        </is>
      </c>
      <c r="P44" t="inlineStr">
        <is>
          <t>2026-06-08 04:47:44</t>
        </is>
      </c>
      <c r="Y44" t="inlineStr">
        <is>
          <t>27674353769</t>
        </is>
      </c>
    </row>
    <row r="45">
      <c r="A45" t="inlineStr">
        <is>
          <t>14814964</t>
        </is>
      </c>
      <c r="B45" t="inlineStr">
        <is>
          <t>11294cf1-6ba5-45b7-b9e7-03870e42f37d</t>
        </is>
      </c>
      <c r="D45" t="inlineStr">
        <is>
          <t>30001085</t>
        </is>
      </c>
      <c r="E45" t="inlineStr">
        <is>
          <t>ussd_funeral_leads_altitude_20260601</t>
        </is>
      </c>
      <c r="J45" t="inlineStr">
        <is>
          <t>AA</t>
        </is>
      </c>
      <c r="K45" t="inlineStr">
        <is>
          <t>Answering Machine Autodial</t>
        </is>
      </c>
      <c r="L45" t="n">
        <v>6</v>
      </c>
      <c r="M45" t="inlineStr">
        <is>
          <t>2026-06-11 13:49:38</t>
        </is>
      </c>
      <c r="N45" t="inlineStr">
        <is>
          <t>system</t>
        </is>
      </c>
      <c r="O45" t="inlineStr">
        <is>
          <t>2026-06-08 04:47:44</t>
        </is>
      </c>
      <c r="P45" t="inlineStr">
        <is>
          <t>2026-06-08 04:47:44</t>
        </is>
      </c>
      <c r="Y45" t="inlineStr">
        <is>
          <t>27774780453</t>
        </is>
      </c>
    </row>
    <row r="46">
      <c r="A46" t="inlineStr">
        <is>
          <t>14814969</t>
        </is>
      </c>
      <c r="B46" t="inlineStr">
        <is>
          <t>37627be0-c711-4888-bdcc-93cfe58e9da0</t>
        </is>
      </c>
      <c r="D46" t="inlineStr">
        <is>
          <t>30001085</t>
        </is>
      </c>
      <c r="E46" t="inlineStr">
        <is>
          <t>ussd_funeral_leads_altitude_20260601</t>
        </is>
      </c>
      <c r="J46" t="inlineStr">
        <is>
          <t>AA</t>
        </is>
      </c>
      <c r="K46" t="inlineStr">
        <is>
          <t>Answering Machine Autodial</t>
        </is>
      </c>
      <c r="L46" t="n">
        <v>6</v>
      </c>
      <c r="M46" t="inlineStr">
        <is>
          <t>2026-06-11 13:49:37</t>
        </is>
      </c>
      <c r="N46" t="inlineStr">
        <is>
          <t>system</t>
        </is>
      </c>
      <c r="O46" t="inlineStr">
        <is>
          <t>2026-06-08 04:47:44</t>
        </is>
      </c>
      <c r="P46" t="inlineStr">
        <is>
          <t>2026-06-08 04:47:44</t>
        </is>
      </c>
      <c r="Y46" t="inlineStr">
        <is>
          <t>27766296677</t>
        </is>
      </c>
    </row>
    <row r="47">
      <c r="A47" t="inlineStr">
        <is>
          <t>14814970</t>
        </is>
      </c>
      <c r="B47" t="inlineStr">
        <is>
          <t>4ae1d0c4-2a2c-4089-9940-cd304c4e1e25</t>
        </is>
      </c>
      <c r="D47" t="inlineStr">
        <is>
          <t>30001085</t>
        </is>
      </c>
      <c r="E47" t="inlineStr">
        <is>
          <t>ussd_funeral_leads_altitude_20260601</t>
        </is>
      </c>
      <c r="J47" t="inlineStr">
        <is>
          <t>AA</t>
        </is>
      </c>
      <c r="K47" t="inlineStr">
        <is>
          <t>Answering Machine Autodial</t>
        </is>
      </c>
      <c r="L47" t="n">
        <v>6</v>
      </c>
      <c r="M47" t="inlineStr">
        <is>
          <t>2026-06-11 13:49:32</t>
        </is>
      </c>
      <c r="N47" t="inlineStr">
        <is>
          <t>system</t>
        </is>
      </c>
      <c r="O47" t="inlineStr">
        <is>
          <t>2026-06-08 04:47:44</t>
        </is>
      </c>
      <c r="P47" t="inlineStr">
        <is>
          <t>2026-06-08 04:47:44</t>
        </is>
      </c>
      <c r="Y47" t="inlineStr">
        <is>
          <t>27608209688</t>
        </is>
      </c>
    </row>
    <row r="48">
      <c r="A48" t="inlineStr">
        <is>
          <t>14814977</t>
        </is>
      </c>
      <c r="B48" t="inlineStr">
        <is>
          <t>67296089-0910-4bf1-abbc-31907b4e94dc</t>
        </is>
      </c>
      <c r="D48" t="inlineStr">
        <is>
          <t>30001085</t>
        </is>
      </c>
      <c r="E48" t="inlineStr">
        <is>
          <t>ussd_funeral_leads_altitude_20260601</t>
        </is>
      </c>
      <c r="J48" t="inlineStr">
        <is>
          <t>AA</t>
        </is>
      </c>
      <c r="K48" t="inlineStr">
        <is>
          <t>Answering Machine Autodial</t>
        </is>
      </c>
      <c r="L48" t="n">
        <v>6</v>
      </c>
      <c r="M48" t="inlineStr">
        <is>
          <t>2026-06-11 13:49:18</t>
        </is>
      </c>
      <c r="N48" t="inlineStr">
        <is>
          <t>system</t>
        </is>
      </c>
      <c r="O48" t="inlineStr">
        <is>
          <t>2026-06-08 04:47:44</t>
        </is>
      </c>
      <c r="P48" t="inlineStr">
        <is>
          <t>2026-06-08 04:47:44</t>
        </is>
      </c>
      <c r="Y48" t="inlineStr">
        <is>
          <t>27664416396</t>
        </is>
      </c>
    </row>
    <row r="49">
      <c r="A49" t="inlineStr">
        <is>
          <t>14814992</t>
        </is>
      </c>
      <c r="B49" t="inlineStr">
        <is>
          <t>5be6d5d7-6f11-4a2f-ab8a-e8c926397cee</t>
        </is>
      </c>
      <c r="D49" t="inlineStr">
        <is>
          <t>30001085</t>
        </is>
      </c>
      <c r="E49" t="inlineStr">
        <is>
          <t>ussd_funeral_leads_altitude_20260601</t>
        </is>
      </c>
      <c r="J49" t="inlineStr">
        <is>
          <t>TDN</t>
        </is>
      </c>
      <c r="K49" t="inlineStr">
        <is>
          <t>Temporary Disconnected Number</t>
        </is>
      </c>
      <c r="L49" t="n">
        <v>6</v>
      </c>
      <c r="M49" t="inlineStr">
        <is>
          <t>2026-06-11 13:49:18</t>
        </is>
      </c>
      <c r="N49" t="inlineStr">
        <is>
          <t>system</t>
        </is>
      </c>
      <c r="O49" t="inlineStr">
        <is>
          <t>2026-06-08 04:47:44</t>
        </is>
      </c>
      <c r="P49" t="inlineStr">
        <is>
          <t>2026-06-08 04:47:44</t>
        </is>
      </c>
      <c r="Y49" t="inlineStr">
        <is>
          <t>27772657842</t>
        </is>
      </c>
    </row>
    <row r="50">
      <c r="A50" t="inlineStr">
        <is>
          <t>14814995</t>
        </is>
      </c>
      <c r="B50" t="inlineStr">
        <is>
          <t>ec9751a7-4077-4177-8a6b-98fc4ae0548d</t>
        </is>
      </c>
      <c r="D50" t="inlineStr">
        <is>
          <t>30001085</t>
        </is>
      </c>
      <c r="E50" t="inlineStr">
        <is>
          <t>ussd_funeral_leads_altitude_20260601</t>
        </is>
      </c>
      <c r="J50" t="inlineStr">
        <is>
          <t>NA</t>
        </is>
      </c>
      <c r="K50" t="inlineStr">
        <is>
          <t>No Answer Autodial</t>
        </is>
      </c>
      <c r="L50" t="n">
        <v>6</v>
      </c>
      <c r="M50" t="inlineStr">
        <is>
          <t>2026-06-11 13:49:14</t>
        </is>
      </c>
      <c r="N50" t="inlineStr">
        <is>
          <t>system</t>
        </is>
      </c>
      <c r="O50" t="inlineStr">
        <is>
          <t>2026-06-08 04:47:44</t>
        </is>
      </c>
      <c r="P50" t="inlineStr">
        <is>
          <t>2026-06-08 04:47:44</t>
        </is>
      </c>
      <c r="Y50" t="inlineStr">
        <is>
          <t>27768541125</t>
        </is>
      </c>
    </row>
    <row r="51">
      <c r="A51" t="inlineStr">
        <is>
          <t>14814993</t>
        </is>
      </c>
      <c r="B51" t="inlineStr">
        <is>
          <t>7d33eb30-5a4f-472a-9093-ae6397d9e8b1</t>
        </is>
      </c>
      <c r="D51" t="inlineStr">
        <is>
          <t>30001085</t>
        </is>
      </c>
      <c r="E51" t="inlineStr">
        <is>
          <t>ussd_funeral_leads_altitude_20260601</t>
        </is>
      </c>
      <c r="J51" t="inlineStr">
        <is>
          <t>AA</t>
        </is>
      </c>
      <c r="K51" t="inlineStr">
        <is>
          <t>Answering Machine Autodial</t>
        </is>
      </c>
      <c r="L51" t="n">
        <v>6</v>
      </c>
      <c r="M51" t="inlineStr">
        <is>
          <t>2026-06-11 13:49:12</t>
        </is>
      </c>
      <c r="N51" t="inlineStr">
        <is>
          <t>system</t>
        </is>
      </c>
      <c r="O51" t="inlineStr">
        <is>
          <t>2026-06-08 04:47:44</t>
        </is>
      </c>
      <c r="P51" t="inlineStr">
        <is>
          <t>2026-06-08 04:47:44</t>
        </is>
      </c>
      <c r="Y51" t="inlineStr">
        <is>
          <t>27661386711</t>
        </is>
      </c>
    </row>
    <row r="52">
      <c r="A52" t="inlineStr">
        <is>
          <t>14814996</t>
        </is>
      </c>
      <c r="B52" t="inlineStr">
        <is>
          <t>23efcf2c-bcf9-4d19-8cef-39795d228016</t>
        </is>
      </c>
      <c r="D52" t="inlineStr">
        <is>
          <t>30001085</t>
        </is>
      </c>
      <c r="E52" t="inlineStr">
        <is>
          <t>ussd_funeral_leads_altitude_20260601</t>
        </is>
      </c>
      <c r="J52" t="inlineStr">
        <is>
          <t>TDN</t>
        </is>
      </c>
      <c r="K52" t="inlineStr">
        <is>
          <t>Temporary Disconnected Number</t>
        </is>
      </c>
      <c r="L52" t="n">
        <v>6</v>
      </c>
      <c r="M52" t="inlineStr">
        <is>
          <t>2026-06-11 13:49:10</t>
        </is>
      </c>
      <c r="N52" t="inlineStr">
        <is>
          <t>system</t>
        </is>
      </c>
      <c r="O52" t="inlineStr">
        <is>
          <t>2026-06-08 04:47:44</t>
        </is>
      </c>
      <c r="P52" t="inlineStr">
        <is>
          <t>2026-06-08 04:47:44</t>
        </is>
      </c>
      <c r="Y52" t="inlineStr">
        <is>
          <t>27724475320</t>
        </is>
      </c>
    </row>
    <row r="53">
      <c r="A53" t="inlineStr">
        <is>
          <t>14814998</t>
        </is>
      </c>
      <c r="B53" t="inlineStr">
        <is>
          <t>9acf1bdb-02f7-4f80-873c-47a32f174565</t>
        </is>
      </c>
      <c r="D53" t="inlineStr">
        <is>
          <t>30001085</t>
        </is>
      </c>
      <c r="E53" t="inlineStr">
        <is>
          <t>ussd_funeral_leads_altitude_20260601</t>
        </is>
      </c>
      <c r="J53" t="inlineStr">
        <is>
          <t>ADC</t>
        </is>
      </c>
      <c r="K53" t="inlineStr">
        <is>
          <t>Auto Dial Disconnected</t>
        </is>
      </c>
      <c r="L53" t="n">
        <v>6</v>
      </c>
      <c r="M53" t="inlineStr">
        <is>
          <t>2026-06-11 13:49:09</t>
        </is>
      </c>
      <c r="N53" t="inlineStr">
        <is>
          <t>system</t>
        </is>
      </c>
      <c r="O53" t="inlineStr">
        <is>
          <t>2026-06-08 04:47:44</t>
        </is>
      </c>
      <c r="P53" t="inlineStr">
        <is>
          <t>2026-06-08 04:47:44</t>
        </is>
      </c>
      <c r="Y53" t="inlineStr">
        <is>
          <t>27728780567</t>
        </is>
      </c>
    </row>
    <row r="54">
      <c r="A54" t="inlineStr">
        <is>
          <t>14814999</t>
        </is>
      </c>
      <c r="B54" t="inlineStr">
        <is>
          <t>993db06d-da9e-43f0-904b-812cc874ab9f</t>
        </is>
      </c>
      <c r="D54" t="inlineStr">
        <is>
          <t>30001085</t>
        </is>
      </c>
      <c r="E54" t="inlineStr">
        <is>
          <t>ussd_funeral_leads_altitude_20260601</t>
        </is>
      </c>
      <c r="J54" t="inlineStr">
        <is>
          <t>AE</t>
        </is>
      </c>
      <c r="K54" t="inlineStr">
        <is>
          <t>Auto Engaged</t>
        </is>
      </c>
      <c r="L54" t="n">
        <v>6</v>
      </c>
      <c r="M54" t="inlineStr">
        <is>
          <t>2026-06-11 13:49:04</t>
        </is>
      </c>
      <c r="N54" t="inlineStr">
        <is>
          <t>system</t>
        </is>
      </c>
      <c r="O54" t="inlineStr">
        <is>
          <t>2026-06-08 04:47:44</t>
        </is>
      </c>
      <c r="P54" t="inlineStr">
        <is>
          <t>2026-06-08 04:47:44</t>
        </is>
      </c>
      <c r="Y54" t="inlineStr">
        <is>
          <t>27774524592</t>
        </is>
      </c>
    </row>
    <row r="55">
      <c r="A55" t="inlineStr">
        <is>
          <t>14815000</t>
        </is>
      </c>
      <c r="B55" t="inlineStr">
        <is>
          <t>2e25f45e-127a-4dbc-b82a-53f3e9b3d0bf</t>
        </is>
      </c>
      <c r="D55" t="inlineStr">
        <is>
          <t>30001085</t>
        </is>
      </c>
      <c r="E55" t="inlineStr">
        <is>
          <t>ussd_funeral_leads_altitude_20260601</t>
        </is>
      </c>
      <c r="J55" t="inlineStr">
        <is>
          <t>NA</t>
        </is>
      </c>
      <c r="K55" t="inlineStr">
        <is>
          <t>No Answer Autodial</t>
        </is>
      </c>
      <c r="L55" t="n">
        <v>6</v>
      </c>
      <c r="M55" t="inlineStr">
        <is>
          <t>2026-06-11 13:48:59</t>
        </is>
      </c>
      <c r="N55" t="inlineStr">
        <is>
          <t>system</t>
        </is>
      </c>
      <c r="O55" t="inlineStr">
        <is>
          <t>2026-06-08 04:47:44</t>
        </is>
      </c>
      <c r="P55" t="inlineStr">
        <is>
          <t>2026-06-08 04:47:44</t>
        </is>
      </c>
      <c r="Y55" t="inlineStr">
        <is>
          <t>27795959798</t>
        </is>
      </c>
    </row>
    <row r="56">
      <c r="A56" t="inlineStr">
        <is>
          <t>14815001</t>
        </is>
      </c>
      <c r="B56" t="inlineStr">
        <is>
          <t>58718b37-6f18-4c33-b27a-5959298410f8</t>
        </is>
      </c>
      <c r="D56" t="inlineStr">
        <is>
          <t>30001085</t>
        </is>
      </c>
      <c r="E56" t="inlineStr">
        <is>
          <t>ussd_funeral_leads_altitude_20260601</t>
        </is>
      </c>
      <c r="H56" t="inlineStr">
        <is>
          <t>27772761191</t>
        </is>
      </c>
      <c r="J56" t="inlineStr">
        <is>
          <t>AE</t>
        </is>
      </c>
      <c r="K56" t="inlineStr">
        <is>
          <t>Auto Engaged</t>
        </is>
      </c>
      <c r="L56" t="n">
        <v>6</v>
      </c>
      <c r="M56" t="inlineStr">
        <is>
          <t>2026-06-11 13:48:55</t>
        </is>
      </c>
      <c r="N56" t="inlineStr">
        <is>
          <t>system</t>
        </is>
      </c>
      <c r="O56" t="inlineStr">
        <is>
          <t>2026-06-08 04:47:44</t>
        </is>
      </c>
      <c r="P56" t="inlineStr">
        <is>
          <t>2026-06-08 04:47:44</t>
        </is>
      </c>
      <c r="Y56" t="inlineStr">
        <is>
          <t>27772761191</t>
        </is>
      </c>
    </row>
    <row r="57">
      <c r="A57" t="inlineStr">
        <is>
          <t>14815002</t>
        </is>
      </c>
      <c r="B57" t="inlineStr">
        <is>
          <t>c42f76c7-acd5-4825-8097-8048fa6758eb</t>
        </is>
      </c>
      <c r="D57" t="inlineStr">
        <is>
          <t>30001085</t>
        </is>
      </c>
      <c r="E57" t="inlineStr">
        <is>
          <t>ussd_funeral_leads_altitude_20260601</t>
        </is>
      </c>
      <c r="J57" t="inlineStr">
        <is>
          <t>CU</t>
        </is>
      </c>
      <c r="K57" t="inlineStr">
        <is>
          <t>Client Hung Up</t>
        </is>
      </c>
      <c r="L57" t="n">
        <v>6</v>
      </c>
      <c r="M57" t="inlineStr">
        <is>
          <t>2026-06-11 13:48:55</t>
        </is>
      </c>
      <c r="N57" t="inlineStr">
        <is>
          <t>Virginia Letsatsi</t>
        </is>
      </c>
      <c r="O57" t="inlineStr">
        <is>
          <t>2026-06-08 04:47:44</t>
        </is>
      </c>
      <c r="P57" t="inlineStr">
        <is>
          <t>2026-06-08 04:47:44</t>
        </is>
      </c>
      <c r="Y57" t="inlineStr">
        <is>
          <t>27760646448</t>
        </is>
      </c>
    </row>
    <row r="58">
      <c r="A58" t="inlineStr">
        <is>
          <t>14814959</t>
        </is>
      </c>
      <c r="B58" t="inlineStr">
        <is>
          <t>5ea2a4c7-921c-4abe-8c5e-aca6faa990a9</t>
        </is>
      </c>
      <c r="D58" t="inlineStr">
        <is>
          <t>30001085</t>
        </is>
      </c>
      <c r="E58" t="inlineStr">
        <is>
          <t>ussd_funeral_leads_altitude_20260601</t>
        </is>
      </c>
      <c r="J58" t="inlineStr">
        <is>
          <t>NA</t>
        </is>
      </c>
      <c r="K58" t="inlineStr">
        <is>
          <t>No Answer Autodial</t>
        </is>
      </c>
      <c r="L58" t="n">
        <v>6</v>
      </c>
      <c r="M58" t="inlineStr">
        <is>
          <t>2026-06-11 13:47:43</t>
        </is>
      </c>
      <c r="N58" t="inlineStr">
        <is>
          <t>system</t>
        </is>
      </c>
      <c r="O58" t="inlineStr">
        <is>
          <t>2026-06-08 04:47:44</t>
        </is>
      </c>
      <c r="P58" t="inlineStr">
        <is>
          <t>2026-06-08 04:47:44</t>
        </is>
      </c>
      <c r="Y58" t="inlineStr">
        <is>
          <t>27721993208</t>
        </is>
      </c>
    </row>
    <row r="59">
      <c r="A59" t="inlineStr">
        <is>
          <t>14814958</t>
        </is>
      </c>
      <c r="B59" t="inlineStr">
        <is>
          <t>212442b2-7c0f-4ac5-8137-522dbf3974bb</t>
        </is>
      </c>
      <c r="D59" t="inlineStr">
        <is>
          <t>30001085</t>
        </is>
      </c>
      <c r="E59" t="inlineStr">
        <is>
          <t>ussd_funeral_leads_altitude_20260601</t>
        </is>
      </c>
      <c r="J59" t="inlineStr">
        <is>
          <t>CU</t>
        </is>
      </c>
      <c r="K59" t="inlineStr">
        <is>
          <t>Client Hung Up</t>
        </is>
      </c>
      <c r="L59" t="n">
        <v>6</v>
      </c>
      <c r="M59" t="inlineStr">
        <is>
          <t>2026-06-11 13:47:38</t>
        </is>
      </c>
      <c r="N59" t="inlineStr">
        <is>
          <t>Gontse Monageng</t>
        </is>
      </c>
      <c r="O59" t="inlineStr">
        <is>
          <t>2026-06-08 04:47:44</t>
        </is>
      </c>
      <c r="P59" t="inlineStr">
        <is>
          <t>2026-06-08 04:47:44</t>
        </is>
      </c>
      <c r="Y59" t="inlineStr">
        <is>
          <t>27763823546</t>
        </is>
      </c>
    </row>
    <row r="60">
      <c r="A60" t="inlineStr">
        <is>
          <t>14814957</t>
        </is>
      </c>
      <c r="B60" t="inlineStr">
        <is>
          <t>ea50048b-b589-44b4-9a8f-d37b1061d975</t>
        </is>
      </c>
      <c r="D60" t="inlineStr">
        <is>
          <t>30001085</t>
        </is>
      </c>
      <c r="E60" t="inlineStr">
        <is>
          <t>ussd_funeral_leads_altitude_20260601</t>
        </is>
      </c>
      <c r="J60" t="inlineStr">
        <is>
          <t>NA</t>
        </is>
      </c>
      <c r="K60" t="inlineStr">
        <is>
          <t>No Answer Autodial</t>
        </is>
      </c>
      <c r="L60" t="n">
        <v>6</v>
      </c>
      <c r="M60" t="inlineStr">
        <is>
          <t>2026-06-11 13:47:37</t>
        </is>
      </c>
      <c r="N60" t="inlineStr">
        <is>
          <t>system</t>
        </is>
      </c>
      <c r="O60" t="inlineStr">
        <is>
          <t>2026-06-08 04:47:44</t>
        </is>
      </c>
      <c r="P60" t="inlineStr">
        <is>
          <t>2026-06-08 04:47:44</t>
        </is>
      </c>
      <c r="Y60" t="inlineStr">
        <is>
          <t>27711108188</t>
        </is>
      </c>
    </row>
    <row r="61">
      <c r="A61" t="inlineStr">
        <is>
          <t>14814956</t>
        </is>
      </c>
      <c r="B61" t="inlineStr">
        <is>
          <t>db00d0c9-1dac-4633-ae4d-b3ad476d03f6</t>
        </is>
      </c>
      <c r="D61" t="inlineStr">
        <is>
          <t>30001085</t>
        </is>
      </c>
      <c r="E61" t="inlineStr">
        <is>
          <t>ussd_funeral_leads_altitude_20260601</t>
        </is>
      </c>
      <c r="J61" t="inlineStr">
        <is>
          <t>AA</t>
        </is>
      </c>
      <c r="K61" t="inlineStr">
        <is>
          <t>Answering Machine Autodial</t>
        </is>
      </c>
      <c r="L61" t="n">
        <v>6</v>
      </c>
      <c r="M61" t="inlineStr">
        <is>
          <t>2026-06-11 13:47:30</t>
        </is>
      </c>
      <c r="N61" t="inlineStr">
        <is>
          <t>system</t>
        </is>
      </c>
      <c r="O61" t="inlineStr">
        <is>
          <t>2026-06-08 04:47:44</t>
        </is>
      </c>
      <c r="P61" t="inlineStr">
        <is>
          <t>2026-06-08 04:47:44</t>
        </is>
      </c>
      <c r="Y61" t="inlineStr">
        <is>
          <t>27723443429</t>
        </is>
      </c>
    </row>
    <row r="62">
      <c r="A62" t="inlineStr">
        <is>
          <t>14814953</t>
        </is>
      </c>
      <c r="B62" t="inlineStr">
        <is>
          <t>0a948062-a3c3-474b-90ef-f9cdce46375d</t>
        </is>
      </c>
      <c r="D62" t="inlineStr">
        <is>
          <t>30001085</t>
        </is>
      </c>
      <c r="E62" t="inlineStr">
        <is>
          <t>ussd_funeral_leads_altitude_20260601</t>
        </is>
      </c>
      <c r="J62" t="inlineStr">
        <is>
          <t>NA</t>
        </is>
      </c>
      <c r="K62" t="inlineStr">
        <is>
          <t>No Answer Autodial</t>
        </is>
      </c>
      <c r="L62" t="n">
        <v>6</v>
      </c>
      <c r="M62" t="inlineStr">
        <is>
          <t>2026-06-11 13:47:21</t>
        </is>
      </c>
      <c r="N62" t="inlineStr">
        <is>
          <t>system</t>
        </is>
      </c>
      <c r="O62" t="inlineStr">
        <is>
          <t>2026-06-08 04:47:44</t>
        </is>
      </c>
      <c r="P62" t="inlineStr">
        <is>
          <t>2026-06-08 04:47:44</t>
        </is>
      </c>
      <c r="Y62" t="inlineStr">
        <is>
          <t>27608536314</t>
        </is>
      </c>
    </row>
    <row r="63">
      <c r="A63" t="inlineStr">
        <is>
          <t>14814939</t>
        </is>
      </c>
      <c r="B63" t="inlineStr">
        <is>
          <t>d97a0cfa-397b-48eb-8421-502f80220372</t>
        </is>
      </c>
      <c r="D63" t="inlineStr">
        <is>
          <t>30001085</t>
        </is>
      </c>
      <c r="E63" t="inlineStr">
        <is>
          <t>ussd_funeral_leads_altitude_20260601</t>
        </is>
      </c>
      <c r="J63" t="inlineStr">
        <is>
          <t>ADC</t>
        </is>
      </c>
      <c r="K63" t="inlineStr">
        <is>
          <t>Auto Dial Disconnected</t>
        </is>
      </c>
      <c r="L63" t="n">
        <v>6</v>
      </c>
      <c r="M63" t="inlineStr">
        <is>
          <t>2026-06-11 13:47:21</t>
        </is>
      </c>
      <c r="N63" t="inlineStr">
        <is>
          <t>system</t>
        </is>
      </c>
      <c r="O63" t="inlineStr">
        <is>
          <t>2026-06-08 04:47:44</t>
        </is>
      </c>
      <c r="P63" t="inlineStr">
        <is>
          <t>2026-06-08 04:47:44</t>
        </is>
      </c>
      <c r="Y63" t="inlineStr">
        <is>
          <t>27823645995</t>
        </is>
      </c>
    </row>
    <row r="64">
      <c r="A64" t="inlineStr">
        <is>
          <t>14814936</t>
        </is>
      </c>
      <c r="B64" t="inlineStr">
        <is>
          <t>b0f8ba6e-95c7-4a18-8f63-850a48f20f04</t>
        </is>
      </c>
      <c r="D64" t="inlineStr">
        <is>
          <t>30001085</t>
        </is>
      </c>
      <c r="E64" t="inlineStr">
        <is>
          <t>ussd_funeral_leads_altitude_20260601</t>
        </is>
      </c>
      <c r="J64" t="inlineStr">
        <is>
          <t>TDN</t>
        </is>
      </c>
      <c r="K64" t="inlineStr">
        <is>
          <t>Temporary Disconnected Number</t>
        </is>
      </c>
      <c r="L64" t="n">
        <v>6</v>
      </c>
      <c r="M64" t="inlineStr">
        <is>
          <t>2026-06-11 13:47:13</t>
        </is>
      </c>
      <c r="N64" t="inlineStr">
        <is>
          <t>system</t>
        </is>
      </c>
      <c r="O64" t="inlineStr">
        <is>
          <t>2026-06-08 04:47:44</t>
        </is>
      </c>
      <c r="P64" t="inlineStr">
        <is>
          <t>2026-06-08 04:47:44</t>
        </is>
      </c>
      <c r="Y64" t="inlineStr">
        <is>
          <t>27773809743</t>
        </is>
      </c>
    </row>
    <row r="65">
      <c r="A65" t="inlineStr">
        <is>
          <t>14815003</t>
        </is>
      </c>
      <c r="B65" t="inlineStr">
        <is>
          <t>4907ea46-1c38-4b60-9418-fb61f08df29b</t>
        </is>
      </c>
      <c r="D65" t="inlineStr">
        <is>
          <t>30001085</t>
        </is>
      </c>
      <c r="E65" t="inlineStr">
        <is>
          <t>ussd_funeral_leads_altitude_20260601</t>
        </is>
      </c>
      <c r="J65" t="inlineStr">
        <is>
          <t>AE</t>
        </is>
      </c>
      <c r="K65" t="inlineStr">
        <is>
          <t>Auto Engaged</t>
        </is>
      </c>
      <c r="L65" t="n">
        <v>6</v>
      </c>
      <c r="M65" t="inlineStr">
        <is>
          <t>2026-06-11 13:47:08</t>
        </is>
      </c>
      <c r="N65" t="inlineStr">
        <is>
          <t>system</t>
        </is>
      </c>
      <c r="O65" t="inlineStr">
        <is>
          <t>2026-06-08 04:47:44</t>
        </is>
      </c>
      <c r="P65" t="inlineStr">
        <is>
          <t>2026-06-08 04:47:44</t>
        </is>
      </c>
      <c r="Y65" t="inlineStr">
        <is>
          <t>27673805314</t>
        </is>
      </c>
    </row>
    <row r="66">
      <c r="A66" t="inlineStr">
        <is>
          <t>14815005</t>
        </is>
      </c>
      <c r="B66" t="inlineStr">
        <is>
          <t>819955de-6b2f-411b-bdcf-35fcc0d61acd</t>
        </is>
      </c>
      <c r="D66" t="inlineStr">
        <is>
          <t>30001085</t>
        </is>
      </c>
      <c r="E66" t="inlineStr">
        <is>
          <t>ussd_funeral_leads_altitude_20260601</t>
        </is>
      </c>
      <c r="J66" t="inlineStr">
        <is>
          <t>ADC</t>
        </is>
      </c>
      <c r="K66" t="inlineStr">
        <is>
          <t>Auto Dial Disconnected</t>
        </is>
      </c>
      <c r="L66" t="n">
        <v>6</v>
      </c>
      <c r="M66" t="inlineStr">
        <is>
          <t>2026-06-11 13:47:05</t>
        </is>
      </c>
      <c r="N66" t="inlineStr">
        <is>
          <t>system</t>
        </is>
      </c>
      <c r="O66" t="inlineStr">
        <is>
          <t>2026-06-08 04:47:44</t>
        </is>
      </c>
      <c r="P66" t="inlineStr">
        <is>
          <t>2026-06-08 04:47:44</t>
        </is>
      </c>
      <c r="Y66" t="inlineStr">
        <is>
          <t>27715716410</t>
        </is>
      </c>
    </row>
    <row r="67">
      <c r="A67" t="inlineStr">
        <is>
          <t>14815006</t>
        </is>
      </c>
      <c r="B67" t="inlineStr">
        <is>
          <t>4cfa78b4-6987-4461-8f42-df127bb3b0b6</t>
        </is>
      </c>
      <c r="D67" t="inlineStr">
        <is>
          <t>30001085</t>
        </is>
      </c>
      <c r="E67" t="inlineStr">
        <is>
          <t>ussd_funeral_leads_altitude_20260601</t>
        </is>
      </c>
      <c r="J67" t="inlineStr">
        <is>
          <t>ADC</t>
        </is>
      </c>
      <c r="K67" t="inlineStr">
        <is>
          <t>Auto Dial Disconnected</t>
        </is>
      </c>
      <c r="L67" t="n">
        <v>6</v>
      </c>
      <c r="M67" t="inlineStr">
        <is>
          <t>2026-06-11 13:47:01</t>
        </is>
      </c>
      <c r="N67" t="inlineStr">
        <is>
          <t>system</t>
        </is>
      </c>
      <c r="O67" t="inlineStr">
        <is>
          <t>2026-06-08 04:47:44</t>
        </is>
      </c>
      <c r="P67" t="inlineStr">
        <is>
          <t>2026-06-08 04:47:44</t>
        </is>
      </c>
      <c r="Y67" t="inlineStr">
        <is>
          <t>27714681064</t>
        </is>
      </c>
    </row>
    <row r="68">
      <c r="A68" t="inlineStr">
        <is>
          <t>14815007</t>
        </is>
      </c>
      <c r="B68" t="inlineStr">
        <is>
          <t>a48caceb-0bbe-4323-996b-9ca737570d4f</t>
        </is>
      </c>
      <c r="D68" t="inlineStr">
        <is>
          <t>30001085</t>
        </is>
      </c>
      <c r="E68" t="inlineStr">
        <is>
          <t>ussd_funeral_leads_altitude_20260601</t>
        </is>
      </c>
      <c r="J68" t="inlineStr">
        <is>
          <t>NA</t>
        </is>
      </c>
      <c r="K68" t="inlineStr">
        <is>
          <t>No Answer Autodial</t>
        </is>
      </c>
      <c r="L68" t="n">
        <v>6</v>
      </c>
      <c r="M68" t="inlineStr">
        <is>
          <t>2026-06-11 13:47:00</t>
        </is>
      </c>
      <c r="N68" t="inlineStr">
        <is>
          <t>system</t>
        </is>
      </c>
      <c r="O68" t="inlineStr">
        <is>
          <t>2026-06-08 04:47:44</t>
        </is>
      </c>
      <c r="P68" t="inlineStr">
        <is>
          <t>2026-06-08 04:47:44</t>
        </is>
      </c>
      <c r="Y68" t="inlineStr">
        <is>
          <t>27726443638</t>
        </is>
      </c>
    </row>
    <row r="69">
      <c r="A69" t="inlineStr">
        <is>
          <t>14815008</t>
        </is>
      </c>
      <c r="B69" t="inlineStr">
        <is>
          <t>c44f841e-9282-48e7-b58e-e66efd115cf4</t>
        </is>
      </c>
      <c r="D69" t="inlineStr">
        <is>
          <t>30001085</t>
        </is>
      </c>
      <c r="E69" t="inlineStr">
        <is>
          <t>ussd_funeral_leads_altitude_20260601</t>
        </is>
      </c>
      <c r="J69" t="inlineStr">
        <is>
          <t>ADC</t>
        </is>
      </c>
      <c r="K69" t="inlineStr">
        <is>
          <t>Auto Dial Disconnected</t>
        </is>
      </c>
      <c r="L69" t="n">
        <v>6</v>
      </c>
      <c r="M69" t="inlineStr">
        <is>
          <t>2026-06-11 13:46:52</t>
        </is>
      </c>
      <c r="N69" t="inlineStr">
        <is>
          <t>system</t>
        </is>
      </c>
      <c r="O69" t="inlineStr">
        <is>
          <t>2026-06-08 04:47:44</t>
        </is>
      </c>
      <c r="P69" t="inlineStr">
        <is>
          <t>2026-06-08 04:47:44</t>
        </is>
      </c>
      <c r="Y69" t="inlineStr">
        <is>
          <t>27661429961</t>
        </is>
      </c>
    </row>
    <row r="70">
      <c r="A70" t="inlineStr">
        <is>
          <t>14815021</t>
        </is>
      </c>
      <c r="B70" t="inlineStr">
        <is>
          <t>509ea1d8-7e59-4fed-9899-bbce44a50d02</t>
        </is>
      </c>
      <c r="D70" t="inlineStr">
        <is>
          <t>30001085</t>
        </is>
      </c>
      <c r="E70" t="inlineStr">
        <is>
          <t>ussd_funeral_leads_altitude_20260601</t>
        </is>
      </c>
      <c r="H70" t="inlineStr">
        <is>
          <t>27798752476</t>
        </is>
      </c>
      <c r="J70" t="inlineStr">
        <is>
          <t>CU</t>
        </is>
      </c>
      <c r="K70" t="inlineStr">
        <is>
          <t>Client Hung Up</t>
        </is>
      </c>
      <c r="L70" t="n">
        <v>6</v>
      </c>
      <c r="M70" t="inlineStr">
        <is>
          <t>2026-06-11 13:46:49</t>
        </is>
      </c>
      <c r="N70" t="inlineStr">
        <is>
          <t>Goitsimang Mogwasa</t>
        </is>
      </c>
      <c r="O70" t="inlineStr">
        <is>
          <t>2026-06-08 04:47:44</t>
        </is>
      </c>
      <c r="P70" t="inlineStr">
        <is>
          <t>2026-06-08 04:47:44</t>
        </is>
      </c>
      <c r="Y70" t="inlineStr">
        <is>
          <t>27798752476</t>
        </is>
      </c>
    </row>
    <row r="71">
      <c r="A71" t="inlineStr">
        <is>
          <t>14815009</t>
        </is>
      </c>
      <c r="B71" t="inlineStr">
        <is>
          <t>848136ee-ab5d-4c8d-a4cd-f655436a5355</t>
        </is>
      </c>
      <c r="D71" t="inlineStr">
        <is>
          <t>30001085</t>
        </is>
      </c>
      <c r="E71" t="inlineStr">
        <is>
          <t>ussd_funeral_leads_altitude_20260601</t>
        </is>
      </c>
      <c r="J71" t="inlineStr">
        <is>
          <t>TDN</t>
        </is>
      </c>
      <c r="K71" t="inlineStr">
        <is>
          <t>Temporary Disconnected Number</t>
        </is>
      </c>
      <c r="L71" t="n">
        <v>6</v>
      </c>
      <c r="M71" t="inlineStr">
        <is>
          <t>2026-06-11 13:46:43</t>
        </is>
      </c>
      <c r="N71" t="inlineStr">
        <is>
          <t>system</t>
        </is>
      </c>
      <c r="O71" t="inlineStr">
        <is>
          <t>2026-06-08 04:47:44</t>
        </is>
      </c>
      <c r="P71" t="inlineStr">
        <is>
          <t>2026-06-08 04:47:44</t>
        </is>
      </c>
      <c r="Y71" t="inlineStr">
        <is>
          <t>27665311373</t>
        </is>
      </c>
    </row>
    <row r="72">
      <c r="A72" t="inlineStr">
        <is>
          <t>14815010</t>
        </is>
      </c>
      <c r="B72" t="inlineStr">
        <is>
          <t>4d4c5ffe-cff5-4a73-8f33-33a6d1ce1c88</t>
        </is>
      </c>
      <c r="D72" t="inlineStr">
        <is>
          <t>30001085</t>
        </is>
      </c>
      <c r="E72" t="inlineStr">
        <is>
          <t>ussd_funeral_leads_altitude_20260601</t>
        </is>
      </c>
      <c r="J72" t="inlineStr">
        <is>
          <t>TDN</t>
        </is>
      </c>
      <c r="K72" t="inlineStr">
        <is>
          <t>Temporary Disconnected Number</t>
        </is>
      </c>
      <c r="L72" t="n">
        <v>6</v>
      </c>
      <c r="M72" t="inlineStr">
        <is>
          <t>2026-06-11 13:46:43</t>
        </is>
      </c>
      <c r="N72" t="inlineStr">
        <is>
          <t>system</t>
        </is>
      </c>
      <c r="O72" t="inlineStr">
        <is>
          <t>2026-06-08 04:47:44</t>
        </is>
      </c>
      <c r="P72" t="inlineStr">
        <is>
          <t>2026-06-08 04:47:44</t>
        </is>
      </c>
      <c r="Y72" t="inlineStr">
        <is>
          <t>27664538451</t>
        </is>
      </c>
    </row>
    <row r="73">
      <c r="A73" t="inlineStr">
        <is>
          <t>14815012</t>
        </is>
      </c>
      <c r="B73" t="inlineStr">
        <is>
          <t>5e2bdf94-e8bb-4e4d-b2ff-0bbb95ad8362</t>
        </is>
      </c>
      <c r="D73" t="inlineStr">
        <is>
          <t>30001085</t>
        </is>
      </c>
      <c r="E73" t="inlineStr">
        <is>
          <t>ussd_funeral_leads_altitude_20260601</t>
        </is>
      </c>
      <c r="J73" t="inlineStr">
        <is>
          <t>NA</t>
        </is>
      </c>
      <c r="K73" t="inlineStr">
        <is>
          <t>No Answer Autodial</t>
        </is>
      </c>
      <c r="L73" t="n">
        <v>6</v>
      </c>
      <c r="M73" t="inlineStr">
        <is>
          <t>2026-06-11 13:46:43</t>
        </is>
      </c>
      <c r="N73" t="inlineStr">
        <is>
          <t>system</t>
        </is>
      </c>
      <c r="O73" t="inlineStr">
        <is>
          <t>2026-06-08 04:47:44</t>
        </is>
      </c>
      <c r="P73" t="inlineStr">
        <is>
          <t>2026-06-08 04:47:44</t>
        </is>
      </c>
      <c r="Y73" t="inlineStr">
        <is>
          <t>27795528603</t>
        </is>
      </c>
    </row>
    <row r="74">
      <c r="A74" t="inlineStr">
        <is>
          <t>14815014</t>
        </is>
      </c>
      <c r="B74" t="inlineStr">
        <is>
          <t>5c7f4c64-9466-4376-b761-53b4d4ff95e9</t>
        </is>
      </c>
      <c r="D74" t="inlineStr">
        <is>
          <t>30001085</t>
        </is>
      </c>
      <c r="E74" t="inlineStr">
        <is>
          <t>ussd_funeral_leads_altitude_20260601</t>
        </is>
      </c>
      <c r="J74" t="inlineStr">
        <is>
          <t>AA</t>
        </is>
      </c>
      <c r="K74" t="inlineStr">
        <is>
          <t>Answering Machine Autodial</t>
        </is>
      </c>
      <c r="L74" t="n">
        <v>6</v>
      </c>
      <c r="M74" t="inlineStr">
        <is>
          <t>2026-06-11 13:46:40</t>
        </is>
      </c>
      <c r="N74" t="inlineStr">
        <is>
          <t>system</t>
        </is>
      </c>
      <c r="O74" t="inlineStr">
        <is>
          <t>2026-06-08 04:47:44</t>
        </is>
      </c>
      <c r="P74" t="inlineStr">
        <is>
          <t>2026-06-08 04:47:44</t>
        </is>
      </c>
      <c r="Y74" t="inlineStr">
        <is>
          <t>27791986648</t>
        </is>
      </c>
    </row>
    <row r="75">
      <c r="A75" t="inlineStr">
        <is>
          <t>14815015</t>
        </is>
      </c>
      <c r="B75" t="inlineStr">
        <is>
          <t>d11abfb2-515f-4422-a5b6-45491ab3c6fd</t>
        </is>
      </c>
      <c r="D75" t="inlineStr">
        <is>
          <t>30001085</t>
        </is>
      </c>
      <c r="E75" t="inlineStr">
        <is>
          <t>ussd_funeral_leads_altitude_20260601</t>
        </is>
      </c>
      <c r="J75" t="inlineStr">
        <is>
          <t>ADC</t>
        </is>
      </c>
      <c r="K75" t="inlineStr">
        <is>
          <t>Auto Dial Disconnected</t>
        </is>
      </c>
      <c r="L75" t="n">
        <v>6</v>
      </c>
      <c r="M75" t="inlineStr">
        <is>
          <t>2026-06-11 13:46:21</t>
        </is>
      </c>
      <c r="N75" t="inlineStr">
        <is>
          <t>system</t>
        </is>
      </c>
      <c r="O75" t="inlineStr">
        <is>
          <t>2026-06-08 04:47:44</t>
        </is>
      </c>
      <c r="P75" t="inlineStr">
        <is>
          <t>2026-06-08 04:47:44</t>
        </is>
      </c>
      <c r="Y75" t="inlineStr">
        <is>
          <t>27675693766</t>
        </is>
      </c>
    </row>
    <row r="76">
      <c r="A76" t="inlineStr">
        <is>
          <t>14815016</t>
        </is>
      </c>
      <c r="B76" t="inlineStr">
        <is>
          <t>d00e8e8c-b569-449b-aa58-ec921d1f7c0d</t>
        </is>
      </c>
      <c r="D76" t="inlineStr">
        <is>
          <t>30001085</t>
        </is>
      </c>
      <c r="E76" t="inlineStr">
        <is>
          <t>ussd_funeral_leads_altitude_20260601</t>
        </is>
      </c>
      <c r="J76" t="inlineStr">
        <is>
          <t>AA</t>
        </is>
      </c>
      <c r="K76" t="inlineStr">
        <is>
          <t>Answering Machine Autodial</t>
        </is>
      </c>
      <c r="L76" t="n">
        <v>6</v>
      </c>
      <c r="M76" t="inlineStr">
        <is>
          <t>2026-06-11 13:46:21</t>
        </is>
      </c>
      <c r="N76" t="inlineStr">
        <is>
          <t>system</t>
        </is>
      </c>
      <c r="O76" t="inlineStr">
        <is>
          <t>2026-06-08 04:47:44</t>
        </is>
      </c>
      <c r="P76" t="inlineStr">
        <is>
          <t>2026-06-08 04:47:44</t>
        </is>
      </c>
      <c r="Y76" t="inlineStr">
        <is>
          <t>27761904676</t>
        </is>
      </c>
    </row>
    <row r="77">
      <c r="A77" t="inlineStr">
        <is>
          <t>14815020</t>
        </is>
      </c>
      <c r="B77" t="inlineStr">
        <is>
          <t>4ca4939f-19f7-4a3a-9411-ff2483552eab</t>
        </is>
      </c>
      <c r="D77" t="inlineStr">
        <is>
          <t>30001085</t>
        </is>
      </c>
      <c r="E77" t="inlineStr">
        <is>
          <t>ussd_funeral_leads_altitude_20260601</t>
        </is>
      </c>
      <c r="H77" t="inlineStr">
        <is>
          <t>27675753968</t>
        </is>
      </c>
      <c r="J77" t="inlineStr">
        <is>
          <t>NA</t>
        </is>
      </c>
      <c r="K77" t="inlineStr">
        <is>
          <t>No Answer Autodial</t>
        </is>
      </c>
      <c r="L77" t="n">
        <v>6</v>
      </c>
      <c r="M77" t="inlineStr">
        <is>
          <t>2026-06-11 13:46:16</t>
        </is>
      </c>
      <c r="N77" t="inlineStr">
        <is>
          <t>system</t>
        </is>
      </c>
      <c r="O77" t="inlineStr">
        <is>
          <t>2026-06-08 04:47:44</t>
        </is>
      </c>
      <c r="P77" t="inlineStr">
        <is>
          <t>2026-06-08 04:47:44</t>
        </is>
      </c>
      <c r="Y77" t="inlineStr">
        <is>
          <t>27675753968</t>
        </is>
      </c>
    </row>
    <row r="78">
      <c r="A78" t="inlineStr">
        <is>
          <t>14815024</t>
        </is>
      </c>
      <c r="B78" t="inlineStr">
        <is>
          <t>2dd53413-c33d-4d24-b11a-4ed08437eaf9</t>
        </is>
      </c>
      <c r="D78" t="inlineStr">
        <is>
          <t>30001085</t>
        </is>
      </c>
      <c r="E78" t="inlineStr">
        <is>
          <t>ussd_funeral_leads_altitude_20260601</t>
        </is>
      </c>
      <c r="J78" t="inlineStr">
        <is>
          <t>CU</t>
        </is>
      </c>
      <c r="K78" t="inlineStr">
        <is>
          <t>Client Hung Up</t>
        </is>
      </c>
      <c r="L78" t="n">
        <v>6</v>
      </c>
      <c r="M78" t="inlineStr">
        <is>
          <t>2026-06-11 13:45:50</t>
        </is>
      </c>
      <c r="N78" t="inlineStr">
        <is>
          <t>Gontse Monageng</t>
        </is>
      </c>
      <c r="O78" t="inlineStr">
        <is>
          <t>2026-06-08 04:47:44</t>
        </is>
      </c>
      <c r="P78" t="inlineStr">
        <is>
          <t>2026-06-08 04:47:44</t>
        </is>
      </c>
      <c r="Y78" t="inlineStr">
        <is>
          <t>27663149648</t>
        </is>
      </c>
    </row>
    <row r="79">
      <c r="A79" t="inlineStr">
        <is>
          <t>14800000</t>
        </is>
      </c>
      <c r="B79" t="inlineStr">
        <is>
          <t>5e355338-1969-4e73-b3e4-5a9ed71acaab</t>
        </is>
      </c>
      <c r="D79" t="inlineStr">
        <is>
          <t>30001085</t>
        </is>
      </c>
      <c r="E79" t="inlineStr">
        <is>
          <t>ussd_funeral_leads_altitude_20260601</t>
        </is>
      </c>
      <c r="J79" t="inlineStr">
        <is>
          <t>AE</t>
        </is>
      </c>
      <c r="K79" t="inlineStr">
        <is>
          <t>Auto Engaged</t>
        </is>
      </c>
      <c r="L79" t="n">
        <v>6</v>
      </c>
      <c r="M79" t="inlineStr">
        <is>
          <t>2026-06-11 13:45:37</t>
        </is>
      </c>
      <c r="N79" t="inlineStr">
        <is>
          <t>system</t>
        </is>
      </c>
      <c r="O79" t="inlineStr">
        <is>
          <t>2026-06-08 04:47:44</t>
        </is>
      </c>
      <c r="P79" t="inlineStr">
        <is>
          <t>2026-06-08 04:47:44</t>
        </is>
      </c>
      <c r="Y79" t="inlineStr">
        <is>
          <t>27790734291</t>
        </is>
      </c>
    </row>
    <row r="80">
      <c r="A80" t="inlineStr">
        <is>
          <t>14815048</t>
        </is>
      </c>
      <c r="B80" t="inlineStr">
        <is>
          <t>fda72beb-948b-4c64-a336-1d10d01abece</t>
        </is>
      </c>
      <c r="D80" t="inlineStr">
        <is>
          <t>30001085</t>
        </is>
      </c>
      <c r="E80" t="inlineStr">
        <is>
          <t>ussd_funeral_leads_altitude_20260601</t>
        </is>
      </c>
      <c r="J80" t="inlineStr">
        <is>
          <t>CU</t>
        </is>
      </c>
      <c r="K80" t="inlineStr">
        <is>
          <t>Client Hung Up</t>
        </is>
      </c>
      <c r="L80" t="n">
        <v>6</v>
      </c>
      <c r="M80" t="inlineStr">
        <is>
          <t>2026-06-11 13:45:27</t>
        </is>
      </c>
      <c r="N80" t="inlineStr">
        <is>
          <t>Goitsimang Mogwasa</t>
        </is>
      </c>
      <c r="O80" t="inlineStr">
        <is>
          <t>2026-06-08 04:47:44</t>
        </is>
      </c>
      <c r="P80" t="inlineStr">
        <is>
          <t>2026-06-08 04:47:44</t>
        </is>
      </c>
      <c r="Y80" t="inlineStr">
        <is>
          <t>27711820541</t>
        </is>
      </c>
    </row>
    <row r="81">
      <c r="A81" t="inlineStr">
        <is>
          <t>14815070</t>
        </is>
      </c>
      <c r="B81" t="inlineStr">
        <is>
          <t>ea28bc27-66d0-4acc-b316-008353d29dc7</t>
        </is>
      </c>
      <c r="D81" t="inlineStr">
        <is>
          <t>30001085</t>
        </is>
      </c>
      <c r="E81" t="inlineStr">
        <is>
          <t>ussd_funeral_leads_altitude_20260601</t>
        </is>
      </c>
      <c r="J81" t="inlineStr">
        <is>
          <t>NA</t>
        </is>
      </c>
      <c r="K81" t="inlineStr">
        <is>
          <t>No Answer Autodial</t>
        </is>
      </c>
      <c r="L81" t="n">
        <v>6</v>
      </c>
      <c r="M81" t="inlineStr">
        <is>
          <t>2026-06-11 13:45:23</t>
        </is>
      </c>
      <c r="N81" t="inlineStr">
        <is>
          <t>system</t>
        </is>
      </c>
      <c r="O81" t="inlineStr">
        <is>
          <t>2026-06-08 04:47:44</t>
        </is>
      </c>
      <c r="P81" t="inlineStr">
        <is>
          <t>2026-06-08 04:47:44</t>
        </is>
      </c>
      <c r="Y81" t="inlineStr">
        <is>
          <t>27606535856</t>
        </is>
      </c>
    </row>
    <row r="82">
      <c r="A82" t="inlineStr">
        <is>
          <t>14815074</t>
        </is>
      </c>
      <c r="B82" t="inlineStr">
        <is>
          <t>c9a3d6b8-691a-48a5-8918-4b3db4407108</t>
        </is>
      </c>
      <c r="D82" t="inlineStr">
        <is>
          <t>30001085</t>
        </is>
      </c>
      <c r="E82" t="inlineStr">
        <is>
          <t>ussd_funeral_leads_altitude_20260601</t>
        </is>
      </c>
      <c r="J82" t="inlineStr">
        <is>
          <t>AE</t>
        </is>
      </c>
      <c r="K82" t="inlineStr">
        <is>
          <t>Auto Engaged</t>
        </is>
      </c>
      <c r="L82" t="n">
        <v>6</v>
      </c>
      <c r="M82" t="inlineStr">
        <is>
          <t>2026-06-11 13:44:40</t>
        </is>
      </c>
      <c r="N82" t="inlineStr">
        <is>
          <t>system</t>
        </is>
      </c>
      <c r="O82" t="inlineStr">
        <is>
          <t>2026-06-08 04:47:44</t>
        </is>
      </c>
      <c r="P82" t="inlineStr">
        <is>
          <t>2026-06-08 04:47:44</t>
        </is>
      </c>
      <c r="Y82" t="inlineStr">
        <is>
          <t>27720865973</t>
        </is>
      </c>
    </row>
    <row r="83">
      <c r="A83" t="inlineStr">
        <is>
          <t>14815075</t>
        </is>
      </c>
      <c r="B83" t="inlineStr">
        <is>
          <t>5c5f27de-f542-4717-b186-9fdadfa213bd</t>
        </is>
      </c>
      <c r="D83" t="inlineStr">
        <is>
          <t>30001085</t>
        </is>
      </c>
      <c r="E83" t="inlineStr">
        <is>
          <t>ussd_funeral_leads_altitude_20260601</t>
        </is>
      </c>
      <c r="J83" t="inlineStr">
        <is>
          <t>AF</t>
        </is>
      </c>
      <c r="K83" t="inlineStr">
        <is>
          <t>Cannot Afford</t>
        </is>
      </c>
      <c r="L83" t="n">
        <v>6</v>
      </c>
      <c r="M83" t="inlineStr">
        <is>
          <t>2026-06-11 13:44:34</t>
        </is>
      </c>
      <c r="N83" t="inlineStr">
        <is>
          <t>Vuyiswa Nxumalo</t>
        </is>
      </c>
      <c r="O83" t="inlineStr">
        <is>
          <t>2026-06-08 04:47:44</t>
        </is>
      </c>
      <c r="P83" t="inlineStr">
        <is>
          <t>2026-06-08 04:47:44</t>
        </is>
      </c>
      <c r="Y83" t="inlineStr">
        <is>
          <t>27767570205</t>
        </is>
      </c>
    </row>
    <row r="84">
      <c r="A84" t="inlineStr">
        <is>
          <t>14815077</t>
        </is>
      </c>
      <c r="B84" t="inlineStr">
        <is>
          <t>977fba64-5a42-411b-b0e0-13238f3ad40e</t>
        </is>
      </c>
      <c r="D84" t="inlineStr">
        <is>
          <t>30001085</t>
        </is>
      </c>
      <c r="E84" t="inlineStr">
        <is>
          <t>ussd_funeral_leads_altitude_20260601</t>
        </is>
      </c>
      <c r="J84" t="inlineStr">
        <is>
          <t>NA</t>
        </is>
      </c>
      <c r="K84" t="inlineStr">
        <is>
          <t>No Answer Autodial</t>
        </is>
      </c>
      <c r="L84" t="n">
        <v>6</v>
      </c>
      <c r="M84" t="inlineStr">
        <is>
          <t>2026-06-11 13:44:24</t>
        </is>
      </c>
      <c r="N84" t="inlineStr">
        <is>
          <t>system</t>
        </is>
      </c>
      <c r="O84" t="inlineStr">
        <is>
          <t>2026-06-08 04:47:44</t>
        </is>
      </c>
      <c r="P84" t="inlineStr">
        <is>
          <t>2026-06-08 04:47:44</t>
        </is>
      </c>
      <c r="Y84" t="inlineStr">
        <is>
          <t>27727249462</t>
        </is>
      </c>
    </row>
    <row r="85">
      <c r="A85" t="inlineStr">
        <is>
          <t>14815079</t>
        </is>
      </c>
      <c r="B85" t="inlineStr">
        <is>
          <t>978ace02-cbd5-483c-9e3d-26f2f62f1d35</t>
        </is>
      </c>
      <c r="D85" t="inlineStr">
        <is>
          <t>30001085</t>
        </is>
      </c>
      <c r="E85" t="inlineStr">
        <is>
          <t>ussd_funeral_leads_altitude_20260601</t>
        </is>
      </c>
      <c r="J85" t="inlineStr">
        <is>
          <t>TDN</t>
        </is>
      </c>
      <c r="K85" t="inlineStr">
        <is>
          <t>Temporary Disconnected Number</t>
        </is>
      </c>
      <c r="L85" t="n">
        <v>6</v>
      </c>
      <c r="M85" t="inlineStr">
        <is>
          <t>2026-06-11 13:44:24</t>
        </is>
      </c>
      <c r="N85" t="inlineStr">
        <is>
          <t>system</t>
        </is>
      </c>
      <c r="O85" t="inlineStr">
        <is>
          <t>2026-06-08 04:47:44</t>
        </is>
      </c>
      <c r="P85" t="inlineStr">
        <is>
          <t>2026-06-08 04:47:44</t>
        </is>
      </c>
      <c r="Y85" t="inlineStr">
        <is>
          <t>27763775433</t>
        </is>
      </c>
    </row>
    <row r="86">
      <c r="A86" t="inlineStr">
        <is>
          <t>14815101</t>
        </is>
      </c>
      <c r="B86" t="inlineStr">
        <is>
          <t>efb62f5e-141d-47d8-8ccd-045c15f87799</t>
        </is>
      </c>
      <c r="D86" t="inlineStr">
        <is>
          <t>30001085</t>
        </is>
      </c>
      <c r="E86" t="inlineStr">
        <is>
          <t>ussd_funeral_leads_altitude_20260601</t>
        </is>
      </c>
      <c r="J86" t="inlineStr">
        <is>
          <t>AA</t>
        </is>
      </c>
      <c r="K86" t="inlineStr">
        <is>
          <t>Answering Machine Autodial</t>
        </is>
      </c>
      <c r="L86" t="n">
        <v>6</v>
      </c>
      <c r="M86" t="inlineStr">
        <is>
          <t>2026-06-11 13:44:17</t>
        </is>
      </c>
      <c r="N86" t="inlineStr">
        <is>
          <t>system</t>
        </is>
      </c>
      <c r="O86" t="inlineStr">
        <is>
          <t>2026-06-08 04:47:44</t>
        </is>
      </c>
      <c r="P86" t="inlineStr">
        <is>
          <t>2026-06-08 04:47:44</t>
        </is>
      </c>
      <c r="Y86" t="inlineStr">
        <is>
          <t>27713945515</t>
        </is>
      </c>
    </row>
    <row r="87">
      <c r="A87" t="inlineStr">
        <is>
          <t>14815102</t>
        </is>
      </c>
      <c r="B87" t="inlineStr">
        <is>
          <t>db60d348-3335-4cb3-8612-24a044e08b1c</t>
        </is>
      </c>
      <c r="D87" t="inlineStr">
        <is>
          <t>30001085</t>
        </is>
      </c>
      <c r="E87" t="inlineStr">
        <is>
          <t>ussd_funeral_leads_altitude_20260601</t>
        </is>
      </c>
      <c r="J87" t="inlineStr">
        <is>
          <t>NA</t>
        </is>
      </c>
      <c r="K87" t="inlineStr">
        <is>
          <t>No Answer Autodial</t>
        </is>
      </c>
      <c r="L87" t="n">
        <v>6</v>
      </c>
      <c r="M87" t="inlineStr">
        <is>
          <t>2026-06-11 13:44:16</t>
        </is>
      </c>
      <c r="N87" t="inlineStr">
        <is>
          <t>system</t>
        </is>
      </c>
      <c r="O87" t="inlineStr">
        <is>
          <t>2026-06-08 04:47:44</t>
        </is>
      </c>
      <c r="P87" t="inlineStr">
        <is>
          <t>2026-06-08 04:47:44</t>
        </is>
      </c>
      <c r="Y87" t="inlineStr">
        <is>
          <t>27765036736</t>
        </is>
      </c>
    </row>
    <row r="88">
      <c r="A88" t="inlineStr">
        <is>
          <t>14815103</t>
        </is>
      </c>
      <c r="B88" t="inlineStr">
        <is>
          <t>a31a24ee-0495-414f-9a39-9d8a0c7fc683</t>
        </is>
      </c>
      <c r="D88" t="inlineStr">
        <is>
          <t>30001085</t>
        </is>
      </c>
      <c r="E88" t="inlineStr">
        <is>
          <t>ussd_funeral_leads_altitude_20260601</t>
        </is>
      </c>
      <c r="J88" t="inlineStr">
        <is>
          <t>NA</t>
        </is>
      </c>
      <c r="K88" t="inlineStr">
        <is>
          <t>No Answer Autodial</t>
        </is>
      </c>
      <c r="L88" t="n">
        <v>6</v>
      </c>
      <c r="M88" t="inlineStr">
        <is>
          <t>2026-06-11 13:44:16</t>
        </is>
      </c>
      <c r="N88" t="inlineStr">
        <is>
          <t>system</t>
        </is>
      </c>
      <c r="O88" t="inlineStr">
        <is>
          <t>2026-06-08 04:47:44</t>
        </is>
      </c>
      <c r="P88" t="inlineStr">
        <is>
          <t>2026-06-08 04:47:44</t>
        </is>
      </c>
      <c r="Y88" t="inlineStr">
        <is>
          <t>27715818983</t>
        </is>
      </c>
    </row>
    <row r="89">
      <c r="A89" t="inlineStr">
        <is>
          <t>14800000</t>
        </is>
      </c>
      <c r="B89" t="inlineStr">
        <is>
          <t>e4279ff4-d173-4248-9107-065d9a923f37</t>
        </is>
      </c>
      <c r="D89" t="inlineStr">
        <is>
          <t>30001085</t>
        </is>
      </c>
      <c r="E89" t="inlineStr">
        <is>
          <t>ussd_funeral_leads_altitude_20260601</t>
        </is>
      </c>
      <c r="J89" t="inlineStr">
        <is>
          <t>AA</t>
        </is>
      </c>
      <c r="K89" t="inlineStr">
        <is>
          <t>Answering Machine Autodial</t>
        </is>
      </c>
      <c r="L89" t="n">
        <v>6</v>
      </c>
      <c r="M89" t="inlineStr">
        <is>
          <t>2026-06-11 13:44:12</t>
        </is>
      </c>
      <c r="N89" t="inlineStr">
        <is>
          <t>system</t>
        </is>
      </c>
      <c r="O89" t="inlineStr">
        <is>
          <t>2026-06-08 04:47:44</t>
        </is>
      </c>
      <c r="P89" t="inlineStr">
        <is>
          <t>2026-06-08 04:47:44</t>
        </is>
      </c>
      <c r="Y89" t="inlineStr">
        <is>
          <t>27773983484</t>
        </is>
      </c>
    </row>
    <row r="90">
      <c r="A90" t="inlineStr">
        <is>
          <t>14815105</t>
        </is>
      </c>
      <c r="B90" t="inlineStr">
        <is>
          <t>6fbf721f-df53-480f-a979-e22552da6ba9</t>
        </is>
      </c>
      <c r="D90" t="inlineStr">
        <is>
          <t>30001085</t>
        </is>
      </c>
      <c r="E90" t="inlineStr">
        <is>
          <t>ussd_funeral_leads_altitude_20260601</t>
        </is>
      </c>
      <c r="J90" t="inlineStr">
        <is>
          <t>AA</t>
        </is>
      </c>
      <c r="K90" t="inlineStr">
        <is>
          <t>Answering Machine Autodial</t>
        </is>
      </c>
      <c r="L90" t="n">
        <v>6</v>
      </c>
      <c r="M90" t="inlineStr">
        <is>
          <t>2026-06-11 13:44:11</t>
        </is>
      </c>
      <c r="N90" t="inlineStr">
        <is>
          <t>system</t>
        </is>
      </c>
      <c r="O90" t="inlineStr">
        <is>
          <t>2026-06-08 04:47:44</t>
        </is>
      </c>
      <c r="P90" t="inlineStr">
        <is>
          <t>2026-06-08 04:47:44</t>
        </is>
      </c>
      <c r="Y90" t="inlineStr">
        <is>
          <t>27713224776</t>
        </is>
      </c>
    </row>
    <row r="91">
      <c r="A91" t="inlineStr">
        <is>
          <t>14815152</t>
        </is>
      </c>
      <c r="B91" t="inlineStr">
        <is>
          <t>f9049a64-61f3-4838-8d4e-63b7d1d1b9e7</t>
        </is>
      </c>
      <c r="D91" t="inlineStr">
        <is>
          <t>30001085</t>
        </is>
      </c>
      <c r="E91" t="inlineStr">
        <is>
          <t>ussd_funeral_leads_altitude_20260601</t>
        </is>
      </c>
      <c r="J91" t="inlineStr">
        <is>
          <t>NA</t>
        </is>
      </c>
      <c r="K91" t="inlineStr">
        <is>
          <t>No Answer Autodial</t>
        </is>
      </c>
      <c r="L91" t="n">
        <v>6</v>
      </c>
      <c r="M91" t="inlineStr">
        <is>
          <t>2026-06-11 13:43:59</t>
        </is>
      </c>
      <c r="N91" t="inlineStr">
        <is>
          <t>system</t>
        </is>
      </c>
      <c r="O91" t="inlineStr">
        <is>
          <t>2026-06-08 04:47:44</t>
        </is>
      </c>
      <c r="P91" t="inlineStr">
        <is>
          <t>2026-06-08 04:47:44</t>
        </is>
      </c>
      <c r="Y91" t="inlineStr">
        <is>
          <t>27646083290</t>
        </is>
      </c>
    </row>
    <row r="92">
      <c r="A92" t="inlineStr">
        <is>
          <t>14814851</t>
        </is>
      </c>
      <c r="B92" t="inlineStr">
        <is>
          <t>be2660ed-3c1b-4fc0-8565-2e200da8e318</t>
        </is>
      </c>
      <c r="D92" t="inlineStr">
        <is>
          <t>30001085</t>
        </is>
      </c>
      <c r="E92" t="inlineStr">
        <is>
          <t>ussd_funeral_leads_altitude_20260601</t>
        </is>
      </c>
      <c r="H92" t="inlineStr">
        <is>
          <t>27607253363</t>
        </is>
      </c>
      <c r="J92" t="inlineStr">
        <is>
          <t>ADC</t>
        </is>
      </c>
      <c r="K92" t="inlineStr">
        <is>
          <t>Auto Dial Disconnected</t>
        </is>
      </c>
      <c r="L92" t="n">
        <v>6</v>
      </c>
      <c r="M92" t="inlineStr">
        <is>
          <t>2026-06-11 13:43:28</t>
        </is>
      </c>
      <c r="N92" t="inlineStr">
        <is>
          <t>system</t>
        </is>
      </c>
      <c r="O92" t="inlineStr">
        <is>
          <t>2026-06-08 04:47:44</t>
        </is>
      </c>
      <c r="P92" t="inlineStr">
        <is>
          <t>2026-06-08 04:47:44</t>
        </is>
      </c>
      <c r="Y92" t="inlineStr">
        <is>
          <t>27607253363</t>
        </is>
      </c>
    </row>
    <row r="93">
      <c r="A93" t="inlineStr">
        <is>
          <t>14814831</t>
        </is>
      </c>
      <c r="B93" t="inlineStr">
        <is>
          <t>a0072bc7-1295-4810-b923-507d1f20e2aa</t>
        </is>
      </c>
      <c r="D93" t="inlineStr">
        <is>
          <t>30001085</t>
        </is>
      </c>
      <c r="E93" t="inlineStr">
        <is>
          <t>ussd_funeral_leads_altitude_20260601</t>
        </is>
      </c>
      <c r="J93" t="inlineStr">
        <is>
          <t>CU</t>
        </is>
      </c>
      <c r="K93" t="inlineStr">
        <is>
          <t>Client Hung Up</t>
        </is>
      </c>
      <c r="L93" t="n">
        <v>6</v>
      </c>
      <c r="M93" t="inlineStr">
        <is>
          <t>2026-06-11 13:43:27</t>
        </is>
      </c>
      <c r="N93" t="inlineStr">
        <is>
          <t>Vuyiswa Nxumalo</t>
        </is>
      </c>
      <c r="O93" t="inlineStr">
        <is>
          <t>2026-06-08 04:47:44</t>
        </is>
      </c>
      <c r="P93" t="inlineStr">
        <is>
          <t>2026-06-08 04:47:44</t>
        </is>
      </c>
      <c r="Y93" t="inlineStr">
        <is>
          <t>27790405178</t>
        </is>
      </c>
    </row>
    <row r="94">
      <c r="A94" t="inlineStr">
        <is>
          <t>14815116</t>
        </is>
      </c>
      <c r="B94" t="inlineStr">
        <is>
          <t>2d8bde73-ca36-48b8-9ee1-516d75f0535e</t>
        </is>
      </c>
      <c r="D94" t="inlineStr">
        <is>
          <t>30001085</t>
        </is>
      </c>
      <c r="E94" t="inlineStr">
        <is>
          <t>ussd_funeral_leads_altitude_20260601</t>
        </is>
      </c>
      <c r="J94" t="inlineStr">
        <is>
          <t>CU</t>
        </is>
      </c>
      <c r="K94" t="inlineStr">
        <is>
          <t>Client Hung Up</t>
        </is>
      </c>
      <c r="L94" t="n">
        <v>6</v>
      </c>
      <c r="M94" t="inlineStr">
        <is>
          <t>2026-06-11 13:42:32</t>
        </is>
      </c>
      <c r="N94" t="inlineStr">
        <is>
          <t>Gontse Monageng</t>
        </is>
      </c>
      <c r="O94" t="inlineStr">
        <is>
          <t>2026-06-08 04:47:44</t>
        </is>
      </c>
      <c r="P94" t="inlineStr">
        <is>
          <t>2026-06-08 04:47:44</t>
        </is>
      </c>
      <c r="Y94" t="inlineStr">
        <is>
          <t>27648049210</t>
        </is>
      </c>
    </row>
    <row r="95">
      <c r="A95" t="inlineStr">
        <is>
          <t>14815130</t>
        </is>
      </c>
      <c r="B95" t="inlineStr">
        <is>
          <t>8d6b2980-b671-4a55-8cd4-3edad71fa512</t>
        </is>
      </c>
      <c r="D95" t="inlineStr">
        <is>
          <t>30001085</t>
        </is>
      </c>
      <c r="E95" t="inlineStr">
        <is>
          <t>ussd_funeral_leads_altitude_20260601</t>
        </is>
      </c>
      <c r="J95" t="inlineStr">
        <is>
          <t>NA</t>
        </is>
      </c>
      <c r="K95" t="inlineStr">
        <is>
          <t>No Answer Autodial</t>
        </is>
      </c>
      <c r="L95" t="n">
        <v>6</v>
      </c>
      <c r="M95" t="inlineStr">
        <is>
          <t>2026-06-11 13:42:32</t>
        </is>
      </c>
      <c r="N95" t="inlineStr">
        <is>
          <t>system</t>
        </is>
      </c>
      <c r="O95" t="inlineStr">
        <is>
          <t>2026-06-08 04:47:44</t>
        </is>
      </c>
      <c r="P95" t="inlineStr">
        <is>
          <t>2026-06-08 04:47:44</t>
        </is>
      </c>
      <c r="Y95" t="inlineStr">
        <is>
          <t>27768698782</t>
        </is>
      </c>
    </row>
    <row r="96">
      <c r="A96" t="inlineStr">
        <is>
          <t>14815136</t>
        </is>
      </c>
      <c r="B96" t="inlineStr">
        <is>
          <t>b8edffca-be90-480f-9360-ec84a1922624</t>
        </is>
      </c>
      <c r="D96" t="inlineStr">
        <is>
          <t>30001085</t>
        </is>
      </c>
      <c r="E96" t="inlineStr">
        <is>
          <t>ussd_funeral_leads_altitude_20260601</t>
        </is>
      </c>
      <c r="J96" t="inlineStr">
        <is>
          <t>NA</t>
        </is>
      </c>
      <c r="K96" t="inlineStr">
        <is>
          <t>No Answer Autodial</t>
        </is>
      </c>
      <c r="L96" t="n">
        <v>6</v>
      </c>
      <c r="M96" t="inlineStr">
        <is>
          <t>2026-06-11 13:42:29</t>
        </is>
      </c>
      <c r="N96" t="inlineStr">
        <is>
          <t>system</t>
        </is>
      </c>
      <c r="O96" t="inlineStr">
        <is>
          <t>2026-06-08 04:47:44</t>
        </is>
      </c>
      <c r="P96" t="inlineStr">
        <is>
          <t>2026-06-08 04:47:44</t>
        </is>
      </c>
      <c r="Y96" t="inlineStr">
        <is>
          <t>27722054522</t>
        </is>
      </c>
    </row>
    <row r="97">
      <c r="A97" t="inlineStr">
        <is>
          <t>14815182</t>
        </is>
      </c>
      <c r="B97" t="inlineStr">
        <is>
          <t>9a4a0c4c-f207-4380-bfee-0dadd6aa6585</t>
        </is>
      </c>
      <c r="D97" t="inlineStr">
        <is>
          <t>30001085</t>
        </is>
      </c>
      <c r="E97" t="inlineStr">
        <is>
          <t>ussd_funeral_leads_altitude_20260601</t>
        </is>
      </c>
      <c r="J97" t="inlineStr">
        <is>
          <t>AA</t>
        </is>
      </c>
      <c r="K97" t="inlineStr">
        <is>
          <t>Answering Machine Autodial</t>
        </is>
      </c>
      <c r="L97" t="n">
        <v>6</v>
      </c>
      <c r="M97" t="inlineStr">
        <is>
          <t>2026-06-11 13:42:22</t>
        </is>
      </c>
      <c r="N97" t="inlineStr">
        <is>
          <t>system</t>
        </is>
      </c>
      <c r="O97" t="inlineStr">
        <is>
          <t>2026-06-08 04:47:44</t>
        </is>
      </c>
      <c r="P97" t="inlineStr">
        <is>
          <t>2026-06-08 04:47:44</t>
        </is>
      </c>
      <c r="Y97" t="inlineStr">
        <is>
          <t>27766657142</t>
        </is>
      </c>
    </row>
    <row r="98">
      <c r="A98" t="inlineStr">
        <is>
          <t>14815183</t>
        </is>
      </c>
      <c r="B98" t="inlineStr">
        <is>
          <t>8ece3404-ecb8-4eaf-8c85-4ef9eaa706d5</t>
        </is>
      </c>
      <c r="D98" t="inlineStr">
        <is>
          <t>30001085</t>
        </is>
      </c>
      <c r="E98" t="inlineStr">
        <is>
          <t>ussd_funeral_leads_altitude_20260601</t>
        </is>
      </c>
      <c r="J98" t="inlineStr">
        <is>
          <t>AA</t>
        </is>
      </c>
      <c r="K98" t="inlineStr">
        <is>
          <t>Answering Machine Autodial</t>
        </is>
      </c>
      <c r="L98" t="n">
        <v>6</v>
      </c>
      <c r="M98" t="inlineStr">
        <is>
          <t>2026-06-11 13:42:14</t>
        </is>
      </c>
      <c r="N98" t="inlineStr">
        <is>
          <t>system</t>
        </is>
      </c>
      <c r="O98" t="inlineStr">
        <is>
          <t>2026-06-08 04:47:44</t>
        </is>
      </c>
      <c r="P98" t="inlineStr">
        <is>
          <t>2026-06-08 04:47:44</t>
        </is>
      </c>
      <c r="Y98" t="inlineStr">
        <is>
          <t>27607223101</t>
        </is>
      </c>
    </row>
    <row r="99">
      <c r="A99" t="inlineStr">
        <is>
          <t>14814799</t>
        </is>
      </c>
      <c r="B99" t="inlineStr">
        <is>
          <t>9e90af46-69a4-47b5-9b3c-d4e7b714bf01</t>
        </is>
      </c>
      <c r="D99" t="inlineStr">
        <is>
          <t>30001085</t>
        </is>
      </c>
      <c r="E99" t="inlineStr">
        <is>
          <t>ussd_funeral_leads_altitude_20260601</t>
        </is>
      </c>
      <c r="J99" t="inlineStr">
        <is>
          <t>AA</t>
        </is>
      </c>
      <c r="K99" t="inlineStr">
        <is>
          <t>Answering Machine Autodial</t>
        </is>
      </c>
      <c r="L99" t="n">
        <v>6</v>
      </c>
      <c r="M99" t="inlineStr">
        <is>
          <t>2026-06-11 13:42:04</t>
        </is>
      </c>
      <c r="N99" t="inlineStr">
        <is>
          <t>system</t>
        </is>
      </c>
      <c r="O99" t="inlineStr">
        <is>
          <t>2026-06-08 04:47:44</t>
        </is>
      </c>
      <c r="P99" t="inlineStr">
        <is>
          <t>2026-06-08 04:47:44</t>
        </is>
      </c>
      <c r="Y99" t="inlineStr">
        <is>
          <t>27649399875</t>
        </is>
      </c>
    </row>
    <row r="100">
      <c r="A100" t="inlineStr">
        <is>
          <t>14814801</t>
        </is>
      </c>
      <c r="B100" t="inlineStr">
        <is>
          <t>3bea0b06-c7e4-416a-8ed8-2697bd0ed52a</t>
        </is>
      </c>
      <c r="D100" t="inlineStr">
        <is>
          <t>30001085</t>
        </is>
      </c>
      <c r="E100" t="inlineStr">
        <is>
          <t>ussd_funeral_leads_altitude_20260601</t>
        </is>
      </c>
      <c r="J100" t="inlineStr">
        <is>
          <t>ADC</t>
        </is>
      </c>
      <c r="K100" t="inlineStr">
        <is>
          <t>Auto Dial Disconnected</t>
        </is>
      </c>
      <c r="L100" t="n">
        <v>6</v>
      </c>
      <c r="M100" t="inlineStr">
        <is>
          <t>2026-06-11 13:42:04</t>
        </is>
      </c>
      <c r="N100" t="inlineStr">
        <is>
          <t>system</t>
        </is>
      </c>
      <c r="O100" t="inlineStr">
        <is>
          <t>2026-06-08 04:47:44</t>
        </is>
      </c>
      <c r="P100" t="inlineStr">
        <is>
          <t>2026-06-08 04:47:44</t>
        </is>
      </c>
      <c r="Y100" t="inlineStr">
        <is>
          <t>27647250756</t>
        </is>
      </c>
    </row>
    <row r="101">
      <c r="A101" t="inlineStr">
        <is>
          <t>14814805</t>
        </is>
      </c>
      <c r="B101" t="inlineStr">
        <is>
          <t>91811136-595c-4312-8770-55ff2371db92</t>
        </is>
      </c>
      <c r="D101" t="inlineStr">
        <is>
          <t>30001085</t>
        </is>
      </c>
      <c r="E101" t="inlineStr">
        <is>
          <t>ussd_funeral_leads_altitude_20260601</t>
        </is>
      </c>
      <c r="J101" t="inlineStr">
        <is>
          <t>NA</t>
        </is>
      </c>
      <c r="K101" t="inlineStr">
        <is>
          <t>No Answer Autodial</t>
        </is>
      </c>
      <c r="L101" t="n">
        <v>6</v>
      </c>
      <c r="M101" t="inlineStr">
        <is>
          <t>2026-06-11 13:42:01</t>
        </is>
      </c>
      <c r="N101" t="inlineStr">
        <is>
          <t>system</t>
        </is>
      </c>
      <c r="O101" t="inlineStr">
        <is>
          <t>2026-06-08 04:47:44</t>
        </is>
      </c>
      <c r="P101" t="inlineStr">
        <is>
          <t>2026-06-08 04:47:44</t>
        </is>
      </c>
      <c r="Y101" t="inlineStr">
        <is>
          <t>27713291075</t>
        </is>
      </c>
    </row>
    <row r="102">
      <c r="A102" t="inlineStr">
        <is>
          <t>14814816</t>
        </is>
      </c>
      <c r="B102" t="inlineStr">
        <is>
          <t>bb88efa6-968f-44b2-a37b-79ee04ba54f7</t>
        </is>
      </c>
      <c r="D102" t="inlineStr">
        <is>
          <t>30001085</t>
        </is>
      </c>
      <c r="E102" t="inlineStr">
        <is>
          <t>ussd_funeral_leads_altitude_20260601</t>
        </is>
      </c>
      <c r="J102" t="inlineStr">
        <is>
          <t>NA</t>
        </is>
      </c>
      <c r="K102" t="inlineStr">
        <is>
          <t>No Answer Autodial</t>
        </is>
      </c>
      <c r="L102" t="n">
        <v>6</v>
      </c>
      <c r="M102" t="inlineStr">
        <is>
          <t>2026-06-11 13:41:39</t>
        </is>
      </c>
      <c r="N102" t="inlineStr">
        <is>
          <t>system</t>
        </is>
      </c>
      <c r="O102" t="inlineStr">
        <is>
          <t>2026-06-08 04:47:44</t>
        </is>
      </c>
      <c r="P102" t="inlineStr">
        <is>
          <t>2026-06-08 04:47:44</t>
        </is>
      </c>
      <c r="Y102" t="inlineStr">
        <is>
          <t>27768072023</t>
        </is>
      </c>
    </row>
    <row r="103">
      <c r="A103" t="inlineStr">
        <is>
          <t>14814812</t>
        </is>
      </c>
      <c r="B103" t="inlineStr">
        <is>
          <t>b97c2a56-5864-4a50-a5e8-eb14612f7270</t>
        </is>
      </c>
      <c r="D103" t="inlineStr">
        <is>
          <t>30001085</t>
        </is>
      </c>
      <c r="E103" t="inlineStr">
        <is>
          <t>ussd_funeral_leads_altitude_20260601</t>
        </is>
      </c>
      <c r="J103" t="inlineStr">
        <is>
          <t>CU</t>
        </is>
      </c>
      <c r="K103" t="inlineStr">
        <is>
          <t>Client Hung Up</t>
        </is>
      </c>
      <c r="L103" t="n">
        <v>6</v>
      </c>
      <c r="M103" t="inlineStr">
        <is>
          <t>2026-06-11 13:41:38</t>
        </is>
      </c>
      <c r="N103" t="inlineStr">
        <is>
          <t>Vuyiswa Nxumalo</t>
        </is>
      </c>
      <c r="O103" t="inlineStr">
        <is>
          <t>2026-06-08 04:47:44</t>
        </is>
      </c>
      <c r="P103" t="inlineStr">
        <is>
          <t>2026-06-08 04:47:44</t>
        </is>
      </c>
      <c r="Y103" t="inlineStr">
        <is>
          <t>27773893985</t>
        </is>
      </c>
    </row>
    <row r="104">
      <c r="A104" t="inlineStr">
        <is>
          <t>14814820</t>
        </is>
      </c>
      <c r="B104" t="inlineStr">
        <is>
          <t>456fd97d-58fa-46c5-9771-51afbf33b224</t>
        </is>
      </c>
      <c r="D104" t="inlineStr">
        <is>
          <t>30001085</t>
        </is>
      </c>
      <c r="E104" t="inlineStr">
        <is>
          <t>ussd_funeral_leads_altitude_20260601</t>
        </is>
      </c>
      <c r="J104" t="inlineStr">
        <is>
          <t>AA</t>
        </is>
      </c>
      <c r="K104" t="inlineStr">
        <is>
          <t>Answering Machine Autodial</t>
        </is>
      </c>
      <c r="L104" t="n">
        <v>6</v>
      </c>
      <c r="M104" t="inlineStr">
        <is>
          <t>2026-06-11 13:41:19</t>
        </is>
      </c>
      <c r="N104" t="inlineStr">
        <is>
          <t>system</t>
        </is>
      </c>
      <c r="O104" t="inlineStr">
        <is>
          <t>2026-06-08 04:47:44</t>
        </is>
      </c>
      <c r="P104" t="inlineStr">
        <is>
          <t>2026-06-08 04:47:44</t>
        </is>
      </c>
      <c r="Y104" t="inlineStr">
        <is>
          <t>27797779819</t>
        </is>
      </c>
    </row>
    <row r="105">
      <c r="A105" t="inlineStr">
        <is>
          <t>14814827</t>
        </is>
      </c>
      <c r="B105" t="inlineStr">
        <is>
          <t>5ea23ef6-5ce0-468a-9207-3ace94267272</t>
        </is>
      </c>
      <c r="D105" t="inlineStr">
        <is>
          <t>30001085</t>
        </is>
      </c>
      <c r="E105" t="inlineStr">
        <is>
          <t>ussd_funeral_leads_altitude_20260601</t>
        </is>
      </c>
      <c r="J105" t="inlineStr">
        <is>
          <t>ADC</t>
        </is>
      </c>
      <c r="K105" t="inlineStr">
        <is>
          <t>Auto Dial Disconnected</t>
        </is>
      </c>
      <c r="L105" t="n">
        <v>6</v>
      </c>
      <c r="M105" t="inlineStr">
        <is>
          <t>2026-06-11 13:41:18</t>
        </is>
      </c>
      <c r="N105" t="inlineStr">
        <is>
          <t>system</t>
        </is>
      </c>
      <c r="O105" t="inlineStr">
        <is>
          <t>2026-06-08 04:47:44</t>
        </is>
      </c>
      <c r="P105" t="inlineStr">
        <is>
          <t>2026-06-08 04:47:44</t>
        </is>
      </c>
      <c r="Y105" t="inlineStr">
        <is>
          <t>27793502958</t>
        </is>
      </c>
    </row>
    <row r="106">
      <c r="A106" t="inlineStr">
        <is>
          <t>14814829</t>
        </is>
      </c>
      <c r="B106" t="inlineStr">
        <is>
          <t>af3a409e-0cbb-4e73-9f89-529451d7dc96</t>
        </is>
      </c>
      <c r="D106" t="inlineStr">
        <is>
          <t>30001085</t>
        </is>
      </c>
      <c r="E106" t="inlineStr">
        <is>
          <t>ussd_funeral_leads_altitude_20260601</t>
        </is>
      </c>
      <c r="J106" t="inlineStr">
        <is>
          <t>NA</t>
        </is>
      </c>
      <c r="K106" t="inlineStr">
        <is>
          <t>No Answer Autodial</t>
        </is>
      </c>
      <c r="L106" t="n">
        <v>6</v>
      </c>
      <c r="M106" t="inlineStr">
        <is>
          <t>2026-06-11 13:41:12</t>
        </is>
      </c>
      <c r="N106" t="inlineStr">
        <is>
          <t>system</t>
        </is>
      </c>
      <c r="O106" t="inlineStr">
        <is>
          <t>2026-06-08 04:47:44</t>
        </is>
      </c>
      <c r="P106" t="inlineStr">
        <is>
          <t>2026-06-08 04:47:44</t>
        </is>
      </c>
      <c r="Y106" t="inlineStr">
        <is>
          <t>27792127411</t>
        </is>
      </c>
    </row>
    <row r="107">
      <c r="A107" t="inlineStr">
        <is>
          <t>14814849</t>
        </is>
      </c>
      <c r="B107" t="inlineStr">
        <is>
          <t>65cad44b-6bbb-41ad-bac0-6ea2ab29e849</t>
        </is>
      </c>
      <c r="D107" t="inlineStr">
        <is>
          <t>30001085</t>
        </is>
      </c>
      <c r="E107" t="inlineStr">
        <is>
          <t>ussd_funeral_leads_altitude_20260601</t>
        </is>
      </c>
      <c r="J107" t="inlineStr">
        <is>
          <t>NA</t>
        </is>
      </c>
      <c r="K107" t="inlineStr">
        <is>
          <t>No Answer Autodial</t>
        </is>
      </c>
      <c r="L107" t="n">
        <v>6</v>
      </c>
      <c r="M107" t="inlineStr">
        <is>
          <t>2026-06-11 13:40:56</t>
        </is>
      </c>
      <c r="N107" t="inlineStr">
        <is>
          <t>system</t>
        </is>
      </c>
      <c r="O107" t="inlineStr">
        <is>
          <t>2026-06-08 04:47:44</t>
        </is>
      </c>
      <c r="P107" t="inlineStr">
        <is>
          <t>2026-06-08 04:47:44</t>
        </is>
      </c>
      <c r="Y107" t="inlineStr">
        <is>
          <t>27824205665</t>
        </is>
      </c>
    </row>
    <row r="108">
      <c r="A108" t="inlineStr">
        <is>
          <t>14814934</t>
        </is>
      </c>
      <c r="B108" t="inlineStr">
        <is>
          <t>4480a7a0-6178-45a8-af9e-6c1fa32c7070</t>
        </is>
      </c>
      <c r="D108" t="inlineStr">
        <is>
          <t>30001085</t>
        </is>
      </c>
      <c r="E108" t="inlineStr">
        <is>
          <t>ussd_funeral_leads_altitude_20260601</t>
        </is>
      </c>
      <c r="J108" t="inlineStr">
        <is>
          <t>TDN</t>
        </is>
      </c>
      <c r="K108" t="inlineStr">
        <is>
          <t>Temporary Disconnected Number</t>
        </is>
      </c>
      <c r="L108" t="n">
        <v>6</v>
      </c>
      <c r="M108" t="inlineStr">
        <is>
          <t>2026-06-11 13:40:35</t>
        </is>
      </c>
      <c r="N108" t="inlineStr">
        <is>
          <t>system</t>
        </is>
      </c>
      <c r="O108" t="inlineStr">
        <is>
          <t>2026-06-08 04:47:44</t>
        </is>
      </c>
      <c r="P108" t="inlineStr">
        <is>
          <t>2026-06-08 04:47:44</t>
        </is>
      </c>
      <c r="Y108" t="inlineStr">
        <is>
          <t>27765987642</t>
        </is>
      </c>
    </row>
    <row r="109">
      <c r="A109" t="inlineStr">
        <is>
          <t>14814933</t>
        </is>
      </c>
      <c r="B109" t="inlineStr">
        <is>
          <t>200985b6-8da0-4d8d-80d1-bc486a4f71e6</t>
        </is>
      </c>
      <c r="D109" t="inlineStr">
        <is>
          <t>30001085</t>
        </is>
      </c>
      <c r="E109" t="inlineStr">
        <is>
          <t>ussd_funeral_leads_altitude_20260601</t>
        </is>
      </c>
      <c r="J109" t="inlineStr">
        <is>
          <t>ADC</t>
        </is>
      </c>
      <c r="K109" t="inlineStr">
        <is>
          <t>Auto Dial Disconnected</t>
        </is>
      </c>
      <c r="L109" t="n">
        <v>6</v>
      </c>
      <c r="M109" t="inlineStr">
        <is>
          <t>2026-06-11 13:40:19</t>
        </is>
      </c>
      <c r="N109" t="inlineStr">
        <is>
          <t>system</t>
        </is>
      </c>
      <c r="O109" t="inlineStr">
        <is>
          <t>2026-06-08 04:47:44</t>
        </is>
      </c>
      <c r="P109" t="inlineStr">
        <is>
          <t>2026-06-08 04:47:44</t>
        </is>
      </c>
      <c r="Y109" t="inlineStr">
        <is>
          <t>27636079192</t>
        </is>
      </c>
    </row>
    <row r="110">
      <c r="A110" t="inlineStr">
        <is>
          <t>14814922</t>
        </is>
      </c>
      <c r="B110" t="inlineStr">
        <is>
          <t>70e123b3-34d5-4a57-a3ea-2a22be8ce6d9</t>
        </is>
      </c>
      <c r="D110" t="inlineStr">
        <is>
          <t>30001085</t>
        </is>
      </c>
      <c r="E110" t="inlineStr">
        <is>
          <t>ussd_funeral_leads_altitude_20260601</t>
        </is>
      </c>
      <c r="J110" t="inlineStr">
        <is>
          <t>AA</t>
        </is>
      </c>
      <c r="K110" t="inlineStr">
        <is>
          <t>Answering Machine Autodial</t>
        </is>
      </c>
      <c r="L110" t="n">
        <v>6</v>
      </c>
      <c r="M110" t="inlineStr">
        <is>
          <t>2026-06-11 13:40:07</t>
        </is>
      </c>
      <c r="N110" t="inlineStr">
        <is>
          <t>system</t>
        </is>
      </c>
      <c r="O110" t="inlineStr">
        <is>
          <t>2026-06-08 04:47:44</t>
        </is>
      </c>
      <c r="P110" t="inlineStr">
        <is>
          <t>2026-06-08 04:47:44</t>
        </is>
      </c>
      <c r="Y110" t="inlineStr">
        <is>
          <t>27795658201</t>
        </is>
      </c>
    </row>
    <row r="111">
      <c r="A111" t="inlineStr">
        <is>
          <t>14814918</t>
        </is>
      </c>
      <c r="B111" t="inlineStr">
        <is>
          <t>a76f244a-5bb4-4dee-b5b6-af96c32bb947</t>
        </is>
      </c>
      <c r="D111" t="inlineStr">
        <is>
          <t>30001085</t>
        </is>
      </c>
      <c r="E111" t="inlineStr">
        <is>
          <t>ussd_funeral_leads_altitude_20260601</t>
        </is>
      </c>
      <c r="J111" t="inlineStr">
        <is>
          <t>NA</t>
        </is>
      </c>
      <c r="K111" t="inlineStr">
        <is>
          <t>No Answer Autodial</t>
        </is>
      </c>
      <c r="L111" t="n">
        <v>6</v>
      </c>
      <c r="M111" t="inlineStr">
        <is>
          <t>2026-06-11 13:40:00</t>
        </is>
      </c>
      <c r="N111" t="inlineStr">
        <is>
          <t>system</t>
        </is>
      </c>
      <c r="O111" t="inlineStr">
        <is>
          <t>2026-06-08 04:47:44</t>
        </is>
      </c>
      <c r="P111" t="inlineStr">
        <is>
          <t>2026-06-08 04:47:44</t>
        </is>
      </c>
      <c r="Y111" t="inlineStr">
        <is>
          <t>27647970688</t>
        </is>
      </c>
    </row>
    <row r="112">
      <c r="A112" t="inlineStr">
        <is>
          <t>14814919</t>
        </is>
      </c>
      <c r="B112" t="inlineStr">
        <is>
          <t>86170ca0-2572-41a7-a890-d2a955935a41</t>
        </is>
      </c>
      <c r="D112" t="inlineStr">
        <is>
          <t>30001085</t>
        </is>
      </c>
      <c r="E112" t="inlineStr">
        <is>
          <t>ussd_funeral_leads_altitude_20260601</t>
        </is>
      </c>
      <c r="J112" t="inlineStr">
        <is>
          <t>NA</t>
        </is>
      </c>
      <c r="K112" t="inlineStr">
        <is>
          <t>No Answer Autodial</t>
        </is>
      </c>
      <c r="L112" t="n">
        <v>6</v>
      </c>
      <c r="M112" t="inlineStr">
        <is>
          <t>2026-06-11 13:40:00</t>
        </is>
      </c>
      <c r="N112" t="inlineStr">
        <is>
          <t>system</t>
        </is>
      </c>
      <c r="O112" t="inlineStr">
        <is>
          <t>2026-06-08 04:47:44</t>
        </is>
      </c>
      <c r="P112" t="inlineStr">
        <is>
          <t>2026-06-08 04:47:44</t>
        </is>
      </c>
      <c r="Y112" t="inlineStr">
        <is>
          <t>27762561218</t>
        </is>
      </c>
    </row>
    <row r="113">
      <c r="A113" t="inlineStr">
        <is>
          <t>14814914</t>
        </is>
      </c>
      <c r="B113" t="inlineStr">
        <is>
          <t>c91a961d-06a8-4212-b705-5420d301d272</t>
        </is>
      </c>
      <c r="D113" t="inlineStr">
        <is>
          <t>30001085</t>
        </is>
      </c>
      <c r="E113" t="inlineStr">
        <is>
          <t>ussd_funeral_leads_altitude_20260601</t>
        </is>
      </c>
      <c r="J113" t="inlineStr">
        <is>
          <t>NA</t>
        </is>
      </c>
      <c r="K113" t="inlineStr">
        <is>
          <t>No Answer Autodial</t>
        </is>
      </c>
      <c r="L113" t="n">
        <v>6</v>
      </c>
      <c r="M113" t="inlineStr">
        <is>
          <t>2026-06-11 13:39:18</t>
        </is>
      </c>
      <c r="N113" t="inlineStr">
        <is>
          <t>system</t>
        </is>
      </c>
      <c r="O113" t="inlineStr">
        <is>
          <t>2026-06-08 04:47:44</t>
        </is>
      </c>
      <c r="P113" t="inlineStr">
        <is>
          <t>2026-06-08 04:47:44</t>
        </is>
      </c>
      <c r="Y113" t="inlineStr">
        <is>
          <t>27820905001</t>
        </is>
      </c>
    </row>
    <row r="114">
      <c r="A114" t="inlineStr">
        <is>
          <t>14815106</t>
        </is>
      </c>
      <c r="B114" t="inlineStr">
        <is>
          <t>7b53172c-0d11-47d6-aaa3-1380a248fd2f</t>
        </is>
      </c>
      <c r="D114" t="inlineStr">
        <is>
          <t>30001085</t>
        </is>
      </c>
      <c r="E114" t="inlineStr">
        <is>
          <t>ussd_funeral_leads_altitude_20260601</t>
        </is>
      </c>
      <c r="J114" t="inlineStr">
        <is>
          <t>CU</t>
        </is>
      </c>
      <c r="K114" t="inlineStr">
        <is>
          <t>Client Hung Up</t>
        </is>
      </c>
      <c r="L114" t="n">
        <v>6</v>
      </c>
      <c r="M114" t="inlineStr">
        <is>
          <t>2026-06-11 13:38:42</t>
        </is>
      </c>
      <c r="N114" t="inlineStr">
        <is>
          <t>Gontse Monageng</t>
        </is>
      </c>
      <c r="O114" t="inlineStr">
        <is>
          <t>2026-06-08 04:47:44</t>
        </is>
      </c>
      <c r="P114" t="inlineStr">
        <is>
          <t>2026-06-08 04:47:44</t>
        </is>
      </c>
      <c r="Y114" t="inlineStr">
        <is>
          <t>27646653466</t>
        </is>
      </c>
    </row>
    <row r="115">
      <c r="A115" t="inlineStr">
        <is>
          <t>14815107</t>
        </is>
      </c>
      <c r="B115" t="inlineStr">
        <is>
          <t>e18dc7d4-76ee-4312-9512-f1866419c4f5</t>
        </is>
      </c>
      <c r="D115" t="inlineStr">
        <is>
          <t>30001085</t>
        </is>
      </c>
      <c r="E115" t="inlineStr">
        <is>
          <t>ussd_funeral_leads_altitude_20260601</t>
        </is>
      </c>
      <c r="J115" t="inlineStr">
        <is>
          <t>ADC</t>
        </is>
      </c>
      <c r="K115" t="inlineStr">
        <is>
          <t>Auto Dial Disconnected</t>
        </is>
      </c>
      <c r="L115" t="n">
        <v>6</v>
      </c>
      <c r="M115" t="inlineStr">
        <is>
          <t>2026-06-11 13:38:38</t>
        </is>
      </c>
      <c r="N115" t="inlineStr">
        <is>
          <t>system</t>
        </is>
      </c>
      <c r="O115" t="inlineStr">
        <is>
          <t>2026-06-08 04:47:44</t>
        </is>
      </c>
      <c r="P115" t="inlineStr">
        <is>
          <t>2026-06-08 04:47:44</t>
        </is>
      </c>
      <c r="Y115" t="inlineStr">
        <is>
          <t>27772859927</t>
        </is>
      </c>
    </row>
    <row r="116">
      <c r="A116" t="inlineStr">
        <is>
          <t>14815108</t>
        </is>
      </c>
      <c r="B116" t="inlineStr">
        <is>
          <t>7ea27abb-8af3-4e74-9c4d-8859390117ff</t>
        </is>
      </c>
      <c r="D116" t="inlineStr">
        <is>
          <t>30001085</t>
        </is>
      </c>
      <c r="E116" t="inlineStr">
        <is>
          <t>ussd_funeral_leads_altitude_20260601</t>
        </is>
      </c>
      <c r="J116" t="inlineStr">
        <is>
          <t>ADC</t>
        </is>
      </c>
      <c r="K116" t="inlineStr">
        <is>
          <t>Auto Dial Disconnected</t>
        </is>
      </c>
      <c r="L116" t="n">
        <v>6</v>
      </c>
      <c r="M116" t="inlineStr">
        <is>
          <t>2026-06-11 13:38:38</t>
        </is>
      </c>
      <c r="N116" t="inlineStr">
        <is>
          <t>system</t>
        </is>
      </c>
      <c r="O116" t="inlineStr">
        <is>
          <t>2026-06-08 04:47:44</t>
        </is>
      </c>
      <c r="P116" t="inlineStr">
        <is>
          <t>2026-06-08 04:47:44</t>
        </is>
      </c>
      <c r="Y116" t="inlineStr">
        <is>
          <t>27765526943</t>
        </is>
      </c>
    </row>
    <row r="117">
      <c r="A117" t="inlineStr">
        <is>
          <t>14800000</t>
        </is>
      </c>
      <c r="B117" t="inlineStr">
        <is>
          <t>e2836a56-ff98-40ca-ac80-02b9eedca6d3</t>
        </is>
      </c>
      <c r="D117" t="inlineStr">
        <is>
          <t>30001085</t>
        </is>
      </c>
      <c r="E117" t="inlineStr">
        <is>
          <t>ussd_funeral_leads_altitude_20260601</t>
        </is>
      </c>
      <c r="J117" t="inlineStr">
        <is>
          <t>AA</t>
        </is>
      </c>
      <c r="K117" t="inlineStr">
        <is>
          <t>Answering Machine Autodial</t>
        </is>
      </c>
      <c r="L117" t="n">
        <v>6</v>
      </c>
      <c r="M117" t="inlineStr">
        <is>
          <t>2026-06-11 13:38:38</t>
        </is>
      </c>
      <c r="N117" t="inlineStr">
        <is>
          <t>system</t>
        </is>
      </c>
      <c r="O117" t="inlineStr">
        <is>
          <t>2026-06-08 04:47:44</t>
        </is>
      </c>
      <c r="P117" t="inlineStr">
        <is>
          <t>2026-06-08 04:47:44</t>
        </is>
      </c>
      <c r="Y117" t="inlineStr">
        <is>
          <t>27823624945</t>
        </is>
      </c>
    </row>
    <row r="118">
      <c r="A118" t="inlineStr">
        <is>
          <t>14815110</t>
        </is>
      </c>
      <c r="B118" t="inlineStr">
        <is>
          <t>541efa4a-4455-4b3f-92f5-06624c834400</t>
        </is>
      </c>
      <c r="D118" t="inlineStr">
        <is>
          <t>30001085</t>
        </is>
      </c>
      <c r="E118" t="inlineStr">
        <is>
          <t>ussd_funeral_leads_altitude_20260601</t>
        </is>
      </c>
      <c r="J118" t="inlineStr">
        <is>
          <t>NA</t>
        </is>
      </c>
      <c r="K118" t="inlineStr">
        <is>
          <t>No Answer Autodial</t>
        </is>
      </c>
      <c r="L118" t="n">
        <v>6</v>
      </c>
      <c r="M118" t="inlineStr">
        <is>
          <t>2026-06-11 13:38:38</t>
        </is>
      </c>
      <c r="N118" t="inlineStr">
        <is>
          <t>system</t>
        </is>
      </c>
      <c r="O118" t="inlineStr">
        <is>
          <t>2026-06-08 04:47:44</t>
        </is>
      </c>
      <c r="P118" t="inlineStr">
        <is>
          <t>2026-06-08 04:47:44</t>
        </is>
      </c>
      <c r="Y118" t="inlineStr">
        <is>
          <t>27799330178</t>
        </is>
      </c>
    </row>
    <row r="119">
      <c r="A119" t="inlineStr">
        <is>
          <t>14815111</t>
        </is>
      </c>
      <c r="B119" t="inlineStr">
        <is>
          <t>f379997d-9f6c-48b4-953c-1add8f5bface</t>
        </is>
      </c>
      <c r="D119" t="inlineStr">
        <is>
          <t>30001085</t>
        </is>
      </c>
      <c r="E119" t="inlineStr">
        <is>
          <t>ussd_funeral_leads_altitude_20260601</t>
        </is>
      </c>
      <c r="J119" t="inlineStr">
        <is>
          <t>AA</t>
        </is>
      </c>
      <c r="K119" t="inlineStr">
        <is>
          <t>Answering Machine Autodial</t>
        </is>
      </c>
      <c r="L119" t="n">
        <v>6</v>
      </c>
      <c r="M119" t="inlineStr">
        <is>
          <t>2026-06-11 13:38:31</t>
        </is>
      </c>
      <c r="N119" t="inlineStr">
        <is>
          <t>system</t>
        </is>
      </c>
      <c r="O119" t="inlineStr">
        <is>
          <t>2026-06-08 04:47:44</t>
        </is>
      </c>
      <c r="P119" t="inlineStr">
        <is>
          <t>2026-06-08 04:47:44</t>
        </is>
      </c>
      <c r="Y119" t="inlineStr">
        <is>
          <t>27606302555</t>
        </is>
      </c>
    </row>
    <row r="120">
      <c r="A120" t="inlineStr">
        <is>
          <t>14815112</t>
        </is>
      </c>
      <c r="B120" t="inlineStr">
        <is>
          <t>a3184bcf-fb0e-4109-856a-3dd2abb24c11</t>
        </is>
      </c>
      <c r="D120" t="inlineStr">
        <is>
          <t>30001085</t>
        </is>
      </c>
      <c r="E120" t="inlineStr">
        <is>
          <t>ussd_funeral_leads_altitude_20260601</t>
        </is>
      </c>
      <c r="J120" t="inlineStr">
        <is>
          <t>AA</t>
        </is>
      </c>
      <c r="K120" t="inlineStr">
        <is>
          <t>Answering Machine Autodial</t>
        </is>
      </c>
      <c r="L120" t="n">
        <v>6</v>
      </c>
      <c r="M120" t="inlineStr">
        <is>
          <t>2026-06-11 13:38:16</t>
        </is>
      </c>
      <c r="N120" t="inlineStr">
        <is>
          <t>system</t>
        </is>
      </c>
      <c r="O120" t="inlineStr">
        <is>
          <t>2026-06-08 04:47:44</t>
        </is>
      </c>
      <c r="P120" t="inlineStr">
        <is>
          <t>2026-06-08 04:47:44</t>
        </is>
      </c>
      <c r="Y120" t="inlineStr">
        <is>
          <t>27609495613</t>
        </is>
      </c>
    </row>
    <row r="121">
      <c r="A121" t="inlineStr">
        <is>
          <t>14815113</t>
        </is>
      </c>
      <c r="B121" t="inlineStr">
        <is>
          <t>90affaa6-075b-4d3d-83b7-c170c6595e40</t>
        </is>
      </c>
      <c r="D121" t="inlineStr">
        <is>
          <t>30001085</t>
        </is>
      </c>
      <c r="E121" t="inlineStr">
        <is>
          <t>ussd_funeral_leads_altitude_20260601</t>
        </is>
      </c>
      <c r="J121" t="inlineStr">
        <is>
          <t>AA</t>
        </is>
      </c>
      <c r="K121" t="inlineStr">
        <is>
          <t>Answering Machine Autodial</t>
        </is>
      </c>
      <c r="L121" t="n">
        <v>6</v>
      </c>
      <c r="M121" t="inlineStr">
        <is>
          <t>2026-06-11 13:38:11</t>
        </is>
      </c>
      <c r="N121" t="inlineStr">
        <is>
          <t>system</t>
        </is>
      </c>
      <c r="O121" t="inlineStr">
        <is>
          <t>2026-06-08 04:47:44</t>
        </is>
      </c>
      <c r="P121" t="inlineStr">
        <is>
          <t>2026-06-08 04:47:44</t>
        </is>
      </c>
      <c r="Y121" t="inlineStr">
        <is>
          <t>27796126000</t>
        </is>
      </c>
    </row>
    <row r="122">
      <c r="A122" t="inlineStr">
        <is>
          <t>14815114</t>
        </is>
      </c>
      <c r="B122" t="inlineStr">
        <is>
          <t>c487a3cd-2da4-41bc-8bc7-a48098d2d952</t>
        </is>
      </c>
      <c r="D122" t="inlineStr">
        <is>
          <t>30001085</t>
        </is>
      </c>
      <c r="E122" t="inlineStr">
        <is>
          <t>ussd_funeral_leads_altitude_20260601</t>
        </is>
      </c>
      <c r="J122" t="inlineStr">
        <is>
          <t>CU</t>
        </is>
      </c>
      <c r="K122" t="inlineStr">
        <is>
          <t>Client Hung Up</t>
        </is>
      </c>
      <c r="L122" t="n">
        <v>6</v>
      </c>
      <c r="M122" t="inlineStr">
        <is>
          <t>2026-06-11 13:38:01</t>
        </is>
      </c>
      <c r="N122" t="inlineStr">
        <is>
          <t>Vuyiswa Nxumalo</t>
        </is>
      </c>
      <c r="O122" t="inlineStr">
        <is>
          <t>2026-06-08 04:47:44</t>
        </is>
      </c>
      <c r="P122" t="inlineStr">
        <is>
          <t>2026-06-08 04:47:44</t>
        </is>
      </c>
      <c r="Y122" t="inlineStr">
        <is>
          <t>27764782063</t>
        </is>
      </c>
    </row>
    <row r="123">
      <c r="A123" t="inlineStr">
        <is>
          <t>14815115</t>
        </is>
      </c>
      <c r="B123" t="inlineStr">
        <is>
          <t>4b67ba9d-c67e-4953-a022-33b0dfc96cdc</t>
        </is>
      </c>
      <c r="D123" t="inlineStr">
        <is>
          <t>30001085</t>
        </is>
      </c>
      <c r="E123" t="inlineStr">
        <is>
          <t>ussd_funeral_leads_altitude_20260601</t>
        </is>
      </c>
      <c r="J123" t="inlineStr">
        <is>
          <t>ADC</t>
        </is>
      </c>
      <c r="K123" t="inlineStr">
        <is>
          <t>Auto Dial Disconnected</t>
        </is>
      </c>
      <c r="L123" t="n">
        <v>6</v>
      </c>
      <c r="M123" t="inlineStr">
        <is>
          <t>2026-06-11 13:37:53</t>
        </is>
      </c>
      <c r="N123" t="inlineStr">
        <is>
          <t>system</t>
        </is>
      </c>
      <c r="O123" t="inlineStr">
        <is>
          <t>2026-06-08 04:47:44</t>
        </is>
      </c>
      <c r="P123" t="inlineStr">
        <is>
          <t>2026-06-08 04:47:44</t>
        </is>
      </c>
      <c r="Y123" t="inlineStr">
        <is>
          <t>27768424345</t>
        </is>
      </c>
    </row>
    <row r="124">
      <c r="A124" t="inlineStr">
        <is>
          <t>14800000</t>
        </is>
      </c>
      <c r="B124" t="inlineStr">
        <is>
          <t>e687a4fc-dfc8-46ed-8164-d7065ccb2508</t>
        </is>
      </c>
      <c r="D124" t="inlineStr">
        <is>
          <t>30001085</t>
        </is>
      </c>
      <c r="E124" t="inlineStr">
        <is>
          <t>ussd_funeral_leads_altitude_20260601</t>
        </is>
      </c>
      <c r="J124" t="inlineStr">
        <is>
          <t>NA</t>
        </is>
      </c>
      <c r="K124" t="inlineStr">
        <is>
          <t>No Answer Autodial</t>
        </is>
      </c>
      <c r="L124" t="n">
        <v>6</v>
      </c>
      <c r="M124" t="inlineStr">
        <is>
          <t>2026-06-11 13:37:43</t>
        </is>
      </c>
      <c r="N124" t="inlineStr">
        <is>
          <t>system</t>
        </is>
      </c>
      <c r="O124" t="inlineStr">
        <is>
          <t>2026-06-08 04:47:44</t>
        </is>
      </c>
      <c r="P124" t="inlineStr">
        <is>
          <t>2026-06-08 04:47:44</t>
        </is>
      </c>
      <c r="Y124" t="inlineStr">
        <is>
          <t>27637589816</t>
        </is>
      </c>
    </row>
    <row r="125">
      <c r="A125" t="inlineStr">
        <is>
          <t>14815120</t>
        </is>
      </c>
      <c r="B125" t="inlineStr">
        <is>
          <t>ed06a94b-4070-4693-959d-67531d9b494d</t>
        </is>
      </c>
      <c r="D125" t="inlineStr">
        <is>
          <t>30001085</t>
        </is>
      </c>
      <c r="E125" t="inlineStr">
        <is>
          <t>ussd_funeral_leads_altitude_20260601</t>
        </is>
      </c>
      <c r="J125" t="inlineStr">
        <is>
          <t>AA</t>
        </is>
      </c>
      <c r="K125" t="inlineStr">
        <is>
          <t>Answering Machine Autodial</t>
        </is>
      </c>
      <c r="L125" t="n">
        <v>6</v>
      </c>
      <c r="M125" t="inlineStr">
        <is>
          <t>2026-06-11 13:37:43</t>
        </is>
      </c>
      <c r="N125" t="inlineStr">
        <is>
          <t>system</t>
        </is>
      </c>
      <c r="O125" t="inlineStr">
        <is>
          <t>2026-06-08 04:47:44</t>
        </is>
      </c>
      <c r="P125" t="inlineStr">
        <is>
          <t>2026-06-08 04:47:44</t>
        </is>
      </c>
      <c r="Y125" t="inlineStr">
        <is>
          <t>27829733249</t>
        </is>
      </c>
    </row>
    <row r="126">
      <c r="A126" t="inlineStr">
        <is>
          <t>14815121</t>
        </is>
      </c>
      <c r="B126" t="inlineStr">
        <is>
          <t>ad92b79a-a859-484a-a5c0-9d362d5683d5</t>
        </is>
      </c>
      <c r="D126" t="inlineStr">
        <is>
          <t>30001085</t>
        </is>
      </c>
      <c r="E126" t="inlineStr">
        <is>
          <t>ussd_funeral_leads_altitude_20260601</t>
        </is>
      </c>
      <c r="J126" t="inlineStr">
        <is>
          <t>ADC</t>
        </is>
      </c>
      <c r="K126" t="inlineStr">
        <is>
          <t>Auto Dial Disconnected</t>
        </is>
      </c>
      <c r="L126" t="n">
        <v>6</v>
      </c>
      <c r="M126" t="inlineStr">
        <is>
          <t>2026-06-11 13:37:36</t>
        </is>
      </c>
      <c r="N126" t="inlineStr">
        <is>
          <t>system</t>
        </is>
      </c>
      <c r="O126" t="inlineStr">
        <is>
          <t>2026-06-08 04:47:44</t>
        </is>
      </c>
      <c r="P126" t="inlineStr">
        <is>
          <t>2026-06-08 04:47:44</t>
        </is>
      </c>
      <c r="Y126" t="inlineStr">
        <is>
          <t>27725275597</t>
        </is>
      </c>
    </row>
    <row r="127">
      <c r="A127" t="inlineStr">
        <is>
          <t>14815159</t>
        </is>
      </c>
      <c r="B127" t="inlineStr">
        <is>
          <t>b16735be-4e32-4dab-8d91-78a42eadd0c9</t>
        </is>
      </c>
      <c r="D127" t="inlineStr">
        <is>
          <t>30001085</t>
        </is>
      </c>
      <c r="E127" t="inlineStr">
        <is>
          <t>ussd_funeral_leads_altitude_20260601</t>
        </is>
      </c>
      <c r="J127" t="inlineStr">
        <is>
          <t>CU</t>
        </is>
      </c>
      <c r="K127" t="inlineStr">
        <is>
          <t>Client Hung Up</t>
        </is>
      </c>
      <c r="L127" t="n">
        <v>6</v>
      </c>
      <c r="M127" t="inlineStr">
        <is>
          <t>2026-06-11 13:37:30</t>
        </is>
      </c>
      <c r="N127" t="inlineStr">
        <is>
          <t>Virginia Letsatsi</t>
        </is>
      </c>
      <c r="O127" t="inlineStr">
        <is>
          <t>2026-06-08 04:47:44</t>
        </is>
      </c>
      <c r="P127" t="inlineStr">
        <is>
          <t>2026-06-08 04:47:44</t>
        </is>
      </c>
      <c r="Y127" t="inlineStr">
        <is>
          <t>27724088762</t>
        </is>
      </c>
    </row>
    <row r="128">
      <c r="A128" t="inlineStr">
        <is>
          <t>14815155</t>
        </is>
      </c>
      <c r="B128" t="inlineStr">
        <is>
          <t>7aed7a10-6f94-44bd-8d19-d39b430dc8a2</t>
        </is>
      </c>
      <c r="D128" t="inlineStr">
        <is>
          <t>30001085</t>
        </is>
      </c>
      <c r="E128" t="inlineStr">
        <is>
          <t>ussd_funeral_leads_altitude_20260601</t>
        </is>
      </c>
      <c r="J128" t="inlineStr">
        <is>
          <t>AA</t>
        </is>
      </c>
      <c r="K128" t="inlineStr">
        <is>
          <t>Answering Machine Autodial</t>
        </is>
      </c>
      <c r="L128" t="n">
        <v>6</v>
      </c>
      <c r="M128" t="inlineStr">
        <is>
          <t>2026-06-11 13:37:29</t>
        </is>
      </c>
      <c r="N128" t="inlineStr">
        <is>
          <t>system</t>
        </is>
      </c>
      <c r="O128" t="inlineStr">
        <is>
          <t>2026-06-08 04:47:44</t>
        </is>
      </c>
      <c r="P128" t="inlineStr">
        <is>
          <t>2026-06-08 04:47:44</t>
        </is>
      </c>
      <c r="Y128" t="inlineStr">
        <is>
          <t>27791823451</t>
        </is>
      </c>
    </row>
    <row r="129">
      <c r="A129" t="inlineStr">
        <is>
          <t>14815160</t>
        </is>
      </c>
      <c r="B129" t="inlineStr">
        <is>
          <t>9eaa9d6a-a1d6-47b4-baae-dde3e9c746fa</t>
        </is>
      </c>
      <c r="D129" t="inlineStr">
        <is>
          <t>30001085</t>
        </is>
      </c>
      <c r="E129" t="inlineStr">
        <is>
          <t>ussd_funeral_leads_altitude_20260601</t>
        </is>
      </c>
      <c r="J129" t="inlineStr">
        <is>
          <t>LANG</t>
        </is>
      </c>
      <c r="K129" t="inlineStr">
        <is>
          <t>Language Barrier</t>
        </is>
      </c>
      <c r="L129" t="n">
        <v>6</v>
      </c>
      <c r="M129" t="inlineStr">
        <is>
          <t>2026-06-11 13:37:29</t>
        </is>
      </c>
      <c r="N129" t="inlineStr">
        <is>
          <t>Goitsimang Mogwasa</t>
        </is>
      </c>
      <c r="O129" t="inlineStr">
        <is>
          <t>2026-06-08 04:47:44</t>
        </is>
      </c>
      <c r="P129" t="inlineStr">
        <is>
          <t>2026-06-08 04:47:44</t>
        </is>
      </c>
      <c r="Y129" t="inlineStr">
        <is>
          <t>27760564347</t>
        </is>
      </c>
    </row>
    <row r="130">
      <c r="A130" t="inlineStr">
        <is>
          <t>14815161</t>
        </is>
      </c>
      <c r="B130" t="inlineStr">
        <is>
          <t>fc939abf-4d39-4f91-ad67-0d733293f0c5</t>
        </is>
      </c>
      <c r="D130" t="inlineStr">
        <is>
          <t>30001085</t>
        </is>
      </c>
      <c r="E130" t="inlineStr">
        <is>
          <t>ussd_funeral_leads_altitude_20260601</t>
        </is>
      </c>
      <c r="J130" t="inlineStr">
        <is>
          <t>CU</t>
        </is>
      </c>
      <c r="K130" t="inlineStr">
        <is>
          <t>Client Hung Up</t>
        </is>
      </c>
      <c r="L130" t="n">
        <v>6</v>
      </c>
      <c r="M130" t="inlineStr">
        <is>
          <t>2026-06-11 13:36:42</t>
        </is>
      </c>
      <c r="N130" t="inlineStr">
        <is>
          <t>Vuyiswa Nxumalo</t>
        </is>
      </c>
      <c r="O130" t="inlineStr">
        <is>
          <t>2026-06-08 04:47:44</t>
        </is>
      </c>
      <c r="P130" t="inlineStr">
        <is>
          <t>2026-06-08 04:47:44</t>
        </is>
      </c>
      <c r="Y130" t="inlineStr">
        <is>
          <t>27762610317</t>
        </is>
      </c>
    </row>
    <row r="131">
      <c r="A131" t="inlineStr">
        <is>
          <t>14815177</t>
        </is>
      </c>
      <c r="B131" t="inlineStr">
        <is>
          <t>13ad1244-0db1-46d3-b759-de67f31f8dac</t>
        </is>
      </c>
      <c r="D131" t="inlineStr">
        <is>
          <t>30001085</t>
        </is>
      </c>
      <c r="E131" t="inlineStr">
        <is>
          <t>ussd_funeral_leads_altitude_20260601</t>
        </is>
      </c>
      <c r="J131" t="inlineStr">
        <is>
          <t>AA</t>
        </is>
      </c>
      <c r="K131" t="inlineStr">
        <is>
          <t>Answering Machine Autodial</t>
        </is>
      </c>
      <c r="L131" t="n">
        <v>6</v>
      </c>
      <c r="M131" t="inlineStr">
        <is>
          <t>2026-06-11 13:36:38</t>
        </is>
      </c>
      <c r="N131" t="inlineStr">
        <is>
          <t>system</t>
        </is>
      </c>
      <c r="O131" t="inlineStr">
        <is>
          <t>2026-06-08 04:47:44</t>
        </is>
      </c>
      <c r="P131" t="inlineStr">
        <is>
          <t>2026-06-08 04:47:44</t>
        </is>
      </c>
      <c r="Y131" t="inlineStr">
        <is>
          <t>27646904748</t>
        </is>
      </c>
    </row>
    <row r="132">
      <c r="A132" t="inlineStr">
        <is>
          <t>14815178</t>
        </is>
      </c>
      <c r="B132" t="inlineStr">
        <is>
          <t>7cceb300-7dee-4194-9746-ac3c68fb516b</t>
        </is>
      </c>
      <c r="D132" t="inlineStr">
        <is>
          <t>30001085</t>
        </is>
      </c>
      <c r="E132" t="inlineStr">
        <is>
          <t>ussd_funeral_leads_altitude_20260601</t>
        </is>
      </c>
      <c r="H132" t="inlineStr">
        <is>
          <t>27661641563</t>
        </is>
      </c>
      <c r="J132" t="inlineStr">
        <is>
          <t>AA</t>
        </is>
      </c>
      <c r="K132" t="inlineStr">
        <is>
          <t>Answering Machine Autodial</t>
        </is>
      </c>
      <c r="L132" t="n">
        <v>6</v>
      </c>
      <c r="M132" t="inlineStr">
        <is>
          <t>2026-06-11 13:36:38</t>
        </is>
      </c>
      <c r="N132" t="inlineStr">
        <is>
          <t>system</t>
        </is>
      </c>
      <c r="O132" t="inlineStr">
        <is>
          <t>2026-06-08 04:47:44</t>
        </is>
      </c>
      <c r="P132" t="inlineStr">
        <is>
          <t>2026-06-08 04:47:44</t>
        </is>
      </c>
      <c r="Y132" t="inlineStr">
        <is>
          <t>27661641563</t>
        </is>
      </c>
    </row>
    <row r="133">
      <c r="A133" t="inlineStr">
        <is>
          <t>14815181</t>
        </is>
      </c>
      <c r="B133" t="inlineStr">
        <is>
          <t>04d0d745-2e93-4819-a032-80e39fee6ef0</t>
        </is>
      </c>
      <c r="D133" t="inlineStr">
        <is>
          <t>30001085</t>
        </is>
      </c>
      <c r="E133" t="inlineStr">
        <is>
          <t>ussd_funeral_leads_altitude_20260601</t>
        </is>
      </c>
      <c r="J133" t="inlineStr">
        <is>
          <t>AA</t>
        </is>
      </c>
      <c r="K133" t="inlineStr">
        <is>
          <t>Answering Machine Autodial</t>
        </is>
      </c>
      <c r="L133" t="n">
        <v>6</v>
      </c>
      <c r="M133" t="inlineStr">
        <is>
          <t>2026-06-11 13:36:25</t>
        </is>
      </c>
      <c r="N133" t="inlineStr">
        <is>
          <t>system</t>
        </is>
      </c>
      <c r="O133" t="inlineStr">
        <is>
          <t>2026-06-08 04:47:44</t>
        </is>
      </c>
      <c r="P133" t="inlineStr">
        <is>
          <t>2026-06-08 04:47:44</t>
        </is>
      </c>
      <c r="Y133" t="inlineStr">
        <is>
          <t>27762701133</t>
        </is>
      </c>
    </row>
    <row r="134">
      <c r="A134" t="inlineStr">
        <is>
          <t>14814806</t>
        </is>
      </c>
      <c r="B134" t="inlineStr">
        <is>
          <t>31f816fc-21af-44d0-8639-38dfcead58de</t>
        </is>
      </c>
      <c r="D134" t="inlineStr">
        <is>
          <t>30001085</t>
        </is>
      </c>
      <c r="E134" t="inlineStr">
        <is>
          <t>ussd_funeral_leads_altitude_20260601</t>
        </is>
      </c>
      <c r="J134" t="inlineStr">
        <is>
          <t>ADC</t>
        </is>
      </c>
      <c r="K134" t="inlineStr">
        <is>
          <t>Auto Dial Disconnected</t>
        </is>
      </c>
      <c r="L134" t="n">
        <v>6</v>
      </c>
      <c r="M134" t="inlineStr">
        <is>
          <t>2026-06-11 13:36:25</t>
        </is>
      </c>
      <c r="N134" t="inlineStr">
        <is>
          <t>system</t>
        </is>
      </c>
      <c r="O134" t="inlineStr">
        <is>
          <t>2026-06-08 04:47:44</t>
        </is>
      </c>
      <c r="P134" t="inlineStr">
        <is>
          <t>2026-06-08 04:47:44</t>
        </is>
      </c>
      <c r="Y134" t="inlineStr">
        <is>
          <t>27761640250</t>
        </is>
      </c>
    </row>
    <row r="135">
      <c r="A135" t="inlineStr">
        <is>
          <t>14814807</t>
        </is>
      </c>
      <c r="B135" t="inlineStr">
        <is>
          <t>b92851af-77d9-4c47-8c18-d61a51bf24d7</t>
        </is>
      </c>
      <c r="D135" t="inlineStr">
        <is>
          <t>30001085</t>
        </is>
      </c>
      <c r="E135" t="inlineStr">
        <is>
          <t>ussd_funeral_leads_altitude_20260601</t>
        </is>
      </c>
      <c r="J135" t="inlineStr">
        <is>
          <t>NA</t>
        </is>
      </c>
      <c r="K135" t="inlineStr">
        <is>
          <t>No Answer Autodial</t>
        </is>
      </c>
      <c r="L135" t="n">
        <v>6</v>
      </c>
      <c r="M135" t="inlineStr">
        <is>
          <t>2026-06-11 13:35:50</t>
        </is>
      </c>
      <c r="N135" t="inlineStr">
        <is>
          <t>system</t>
        </is>
      </c>
      <c r="O135" t="inlineStr">
        <is>
          <t>2026-06-08 04:47:44</t>
        </is>
      </c>
      <c r="P135" t="inlineStr">
        <is>
          <t>2026-06-08 04:47:44</t>
        </is>
      </c>
      <c r="Y135" t="inlineStr">
        <is>
          <t>27768239001</t>
        </is>
      </c>
    </row>
    <row r="136">
      <c r="A136" t="inlineStr">
        <is>
          <t>14814808</t>
        </is>
      </c>
      <c r="B136" t="inlineStr">
        <is>
          <t>7b396bb9-bca5-4b11-8bb3-da62e89f4938</t>
        </is>
      </c>
      <c r="D136" t="inlineStr">
        <is>
          <t>30001085</t>
        </is>
      </c>
      <c r="E136" t="inlineStr">
        <is>
          <t>ussd_funeral_leads_altitude_20260601</t>
        </is>
      </c>
      <c r="J136" t="inlineStr">
        <is>
          <t>AA</t>
        </is>
      </c>
      <c r="K136" t="inlineStr">
        <is>
          <t>Answering Machine Autodial</t>
        </is>
      </c>
      <c r="L136" t="n">
        <v>6</v>
      </c>
      <c r="M136" t="inlineStr">
        <is>
          <t>2026-06-11 13:35:50</t>
        </is>
      </c>
      <c r="N136" t="inlineStr">
        <is>
          <t>system</t>
        </is>
      </c>
      <c r="O136" t="inlineStr">
        <is>
          <t>2026-06-08 04:47:44</t>
        </is>
      </c>
      <c r="P136" t="inlineStr">
        <is>
          <t>2026-06-08 04:47:44</t>
        </is>
      </c>
      <c r="Y136" t="inlineStr">
        <is>
          <t>27673124584</t>
        </is>
      </c>
    </row>
    <row r="137">
      <c r="A137" t="inlineStr">
        <is>
          <t>14814813</t>
        </is>
      </c>
      <c r="B137" t="inlineStr">
        <is>
          <t>7aa76b29-9dbe-4ce3-a47f-057f7b164744</t>
        </is>
      </c>
      <c r="D137" t="inlineStr">
        <is>
          <t>30001085</t>
        </is>
      </c>
      <c r="E137" t="inlineStr">
        <is>
          <t>ussd_funeral_leads_altitude_20260601</t>
        </is>
      </c>
      <c r="J137" t="inlineStr">
        <is>
          <t>CU</t>
        </is>
      </c>
      <c r="K137" t="inlineStr">
        <is>
          <t>Client Hung Up</t>
        </is>
      </c>
      <c r="L137" t="n">
        <v>6</v>
      </c>
      <c r="M137" t="inlineStr">
        <is>
          <t>2026-06-11 13:35:47</t>
        </is>
      </c>
      <c r="N137" t="inlineStr">
        <is>
          <t>Gontse Monageng</t>
        </is>
      </c>
      <c r="O137" t="inlineStr">
        <is>
          <t>2026-06-08 04:47:44</t>
        </is>
      </c>
      <c r="P137" t="inlineStr">
        <is>
          <t>2026-06-08 04:47:44</t>
        </is>
      </c>
      <c r="Y137" t="inlineStr">
        <is>
          <t>27721521746</t>
        </is>
      </c>
    </row>
    <row r="138">
      <c r="A138" t="inlineStr">
        <is>
          <t>14814817</t>
        </is>
      </c>
      <c r="B138" t="inlineStr">
        <is>
          <t>f4807948-5764-4cd7-82b2-76384727815a</t>
        </is>
      </c>
      <c r="D138" t="inlineStr">
        <is>
          <t>30001085</t>
        </is>
      </c>
      <c r="E138" t="inlineStr">
        <is>
          <t>ussd_funeral_leads_altitude_20260601</t>
        </is>
      </c>
      <c r="J138" t="inlineStr">
        <is>
          <t>CU</t>
        </is>
      </c>
      <c r="K138" t="inlineStr">
        <is>
          <t>Client Hung Up</t>
        </is>
      </c>
      <c r="L138" t="n">
        <v>6</v>
      </c>
      <c r="M138" t="inlineStr">
        <is>
          <t>2026-06-11 13:35:42</t>
        </is>
      </c>
      <c r="N138" t="inlineStr">
        <is>
          <t>Lebohang Mabotja</t>
        </is>
      </c>
      <c r="O138" t="inlineStr">
        <is>
          <t>2026-06-08 04:47:44</t>
        </is>
      </c>
      <c r="P138" t="inlineStr">
        <is>
          <t>2026-06-08 04:47:44</t>
        </is>
      </c>
      <c r="Y138" t="inlineStr">
        <is>
          <t>27795340115</t>
        </is>
      </c>
    </row>
    <row r="139">
      <c r="A139" t="inlineStr">
        <is>
          <t>14814819</t>
        </is>
      </c>
      <c r="B139" t="inlineStr">
        <is>
          <t>264a8f99-2088-44d2-aa12-8d3896010838</t>
        </is>
      </c>
      <c r="D139" t="inlineStr">
        <is>
          <t>30001085</t>
        </is>
      </c>
      <c r="E139" t="inlineStr">
        <is>
          <t>ussd_funeral_leads_altitude_20260601</t>
        </is>
      </c>
      <c r="J139" t="inlineStr">
        <is>
          <t>AA</t>
        </is>
      </c>
      <c r="K139" t="inlineStr">
        <is>
          <t>Answering Machine Autodial</t>
        </is>
      </c>
      <c r="L139" t="n">
        <v>6</v>
      </c>
      <c r="M139" t="inlineStr">
        <is>
          <t>2026-06-11 13:35:38</t>
        </is>
      </c>
      <c r="N139" t="inlineStr">
        <is>
          <t>system</t>
        </is>
      </c>
      <c r="O139" t="inlineStr">
        <is>
          <t>2026-06-08 04:47:44</t>
        </is>
      </c>
      <c r="P139" t="inlineStr">
        <is>
          <t>2026-06-08 04:47:44</t>
        </is>
      </c>
      <c r="Y139" t="inlineStr">
        <is>
          <t>27766440151</t>
        </is>
      </c>
    </row>
    <row r="140">
      <c r="A140" t="inlineStr">
        <is>
          <t>14814830</t>
        </is>
      </c>
      <c r="B140" t="inlineStr">
        <is>
          <t>839f7c68-e058-4422-a3ef-d9f5f8dbd407</t>
        </is>
      </c>
      <c r="D140" t="inlineStr">
        <is>
          <t>30001085</t>
        </is>
      </c>
      <c r="E140" t="inlineStr">
        <is>
          <t>ussd_funeral_leads_altitude_20260601</t>
        </is>
      </c>
      <c r="J140" t="inlineStr">
        <is>
          <t>TDN</t>
        </is>
      </c>
      <c r="K140" t="inlineStr">
        <is>
          <t>Temporary Disconnected Number</t>
        </is>
      </c>
      <c r="L140" t="n">
        <v>6</v>
      </c>
      <c r="M140" t="inlineStr">
        <is>
          <t>2026-06-11 13:35:38</t>
        </is>
      </c>
      <c r="N140" t="inlineStr">
        <is>
          <t>system</t>
        </is>
      </c>
      <c r="O140" t="inlineStr">
        <is>
          <t>2026-06-08 04:47:44</t>
        </is>
      </c>
      <c r="P140" t="inlineStr">
        <is>
          <t>2026-06-08 04:47:44</t>
        </is>
      </c>
      <c r="Y140" t="inlineStr">
        <is>
          <t>27608665698</t>
        </is>
      </c>
    </row>
    <row r="141">
      <c r="A141" t="inlineStr">
        <is>
          <t>14814833</t>
        </is>
      </c>
      <c r="B141" t="inlineStr">
        <is>
          <t>44a4769c-1656-444d-98fd-f754acde1a62</t>
        </is>
      </c>
      <c r="D141" t="inlineStr">
        <is>
          <t>30001085</t>
        </is>
      </c>
      <c r="E141" t="inlineStr">
        <is>
          <t>ussd_funeral_leads_altitude_20260601</t>
        </is>
      </c>
      <c r="J141" t="inlineStr">
        <is>
          <t>TDN</t>
        </is>
      </c>
      <c r="K141" t="inlineStr">
        <is>
          <t>Temporary Disconnected Number</t>
        </is>
      </c>
      <c r="L141" t="n">
        <v>6</v>
      </c>
      <c r="M141" t="inlineStr">
        <is>
          <t>2026-06-11 13:35:29</t>
        </is>
      </c>
      <c r="N141" t="inlineStr">
        <is>
          <t>system</t>
        </is>
      </c>
      <c r="O141" t="inlineStr">
        <is>
          <t>2026-06-08 04:47:44</t>
        </is>
      </c>
      <c r="P141" t="inlineStr">
        <is>
          <t>2026-06-08 04:47:44</t>
        </is>
      </c>
      <c r="Y141" t="inlineStr">
        <is>
          <t>27761705783</t>
        </is>
      </c>
    </row>
    <row r="142">
      <c r="A142" t="inlineStr">
        <is>
          <t>14814834</t>
        </is>
      </c>
      <c r="B142" t="inlineStr">
        <is>
          <t>063d5e1f-f69d-4e16-b03e-c0140c199a00</t>
        </is>
      </c>
      <c r="D142" t="inlineStr">
        <is>
          <t>30001085</t>
        </is>
      </c>
      <c r="E142" t="inlineStr">
        <is>
          <t>ussd_funeral_leads_altitude_20260601</t>
        </is>
      </c>
      <c r="J142" t="inlineStr">
        <is>
          <t>TDN</t>
        </is>
      </c>
      <c r="K142" t="inlineStr">
        <is>
          <t>Temporary Disconnected Number</t>
        </is>
      </c>
      <c r="L142" t="n">
        <v>6</v>
      </c>
      <c r="M142" t="inlineStr">
        <is>
          <t>2026-06-11 13:35:02</t>
        </is>
      </c>
      <c r="N142" t="inlineStr">
        <is>
          <t>system</t>
        </is>
      </c>
      <c r="O142" t="inlineStr">
        <is>
          <t>2026-06-08 04:47:44</t>
        </is>
      </c>
      <c r="P142" t="inlineStr">
        <is>
          <t>2026-06-08 04:47:44</t>
        </is>
      </c>
      <c r="Y142" t="inlineStr">
        <is>
          <t>27769603740</t>
        </is>
      </c>
    </row>
    <row r="143">
      <c r="A143" t="inlineStr">
        <is>
          <t>14814836</t>
        </is>
      </c>
      <c r="B143" t="inlineStr">
        <is>
          <t>af7b3a3c-38d1-49ef-80c4-e07d4ca162f2</t>
        </is>
      </c>
      <c r="D143" t="inlineStr">
        <is>
          <t>30001085</t>
        </is>
      </c>
      <c r="E143" t="inlineStr">
        <is>
          <t>ussd_funeral_leads_altitude_20260601</t>
        </is>
      </c>
      <c r="J143" t="inlineStr">
        <is>
          <t>NA</t>
        </is>
      </c>
      <c r="K143" t="inlineStr">
        <is>
          <t>No Answer Autodial</t>
        </is>
      </c>
      <c r="L143" t="n">
        <v>6</v>
      </c>
      <c r="M143" t="inlineStr">
        <is>
          <t>2026-06-11 13:35:01</t>
        </is>
      </c>
      <c r="N143" t="inlineStr">
        <is>
          <t>system</t>
        </is>
      </c>
      <c r="O143" t="inlineStr">
        <is>
          <t>2026-06-08 04:47:44</t>
        </is>
      </c>
      <c r="P143" t="inlineStr">
        <is>
          <t>2026-06-08 04:47:44</t>
        </is>
      </c>
      <c r="Y143" t="inlineStr">
        <is>
          <t>27764786426</t>
        </is>
      </c>
    </row>
    <row r="144">
      <c r="A144" t="inlineStr">
        <is>
          <t>14814837</t>
        </is>
      </c>
      <c r="B144" t="inlineStr">
        <is>
          <t>6502a9da-ea25-4db0-aca4-27f9c4116b7b</t>
        </is>
      </c>
      <c r="D144" t="inlineStr">
        <is>
          <t>30001085</t>
        </is>
      </c>
      <c r="E144" t="inlineStr">
        <is>
          <t>ussd_funeral_leads_altitude_20260601</t>
        </is>
      </c>
      <c r="J144" t="inlineStr">
        <is>
          <t>AA</t>
        </is>
      </c>
      <c r="K144" t="inlineStr">
        <is>
          <t>Answering Machine Autodial</t>
        </is>
      </c>
      <c r="L144" t="n">
        <v>6</v>
      </c>
      <c r="M144" t="inlineStr">
        <is>
          <t>2026-06-11 13:34:55</t>
        </is>
      </c>
      <c r="N144" t="inlineStr">
        <is>
          <t>system</t>
        </is>
      </c>
      <c r="O144" t="inlineStr">
        <is>
          <t>2026-06-08 04:47:44</t>
        </is>
      </c>
      <c r="P144" t="inlineStr">
        <is>
          <t>2026-06-08 04:47:44</t>
        </is>
      </c>
      <c r="Y144" t="inlineStr">
        <is>
          <t>27673727505</t>
        </is>
      </c>
    </row>
    <row r="145">
      <c r="A145" t="inlineStr">
        <is>
          <t>14814838</t>
        </is>
      </c>
      <c r="B145" t="inlineStr">
        <is>
          <t>154cdc85-9cde-4ec2-b878-29d43392673a</t>
        </is>
      </c>
      <c r="D145" t="inlineStr">
        <is>
          <t>30001085</t>
        </is>
      </c>
      <c r="E145" t="inlineStr">
        <is>
          <t>ussd_funeral_leads_altitude_20260601</t>
        </is>
      </c>
      <c r="J145" t="inlineStr">
        <is>
          <t>AE</t>
        </is>
      </c>
      <c r="K145" t="inlineStr">
        <is>
          <t>Auto Engaged</t>
        </is>
      </c>
      <c r="L145" t="n">
        <v>6</v>
      </c>
      <c r="M145" t="inlineStr">
        <is>
          <t>2026-06-11 13:34:52</t>
        </is>
      </c>
      <c r="N145" t="inlineStr">
        <is>
          <t>system</t>
        </is>
      </c>
      <c r="O145" t="inlineStr">
        <is>
          <t>2026-06-08 04:47:44</t>
        </is>
      </c>
      <c r="P145" t="inlineStr">
        <is>
          <t>2026-06-08 04:47:44</t>
        </is>
      </c>
      <c r="Y145" t="inlineStr">
        <is>
          <t>27656245547</t>
        </is>
      </c>
    </row>
    <row r="146">
      <c r="A146" t="inlineStr">
        <is>
          <t>14814839</t>
        </is>
      </c>
      <c r="B146" t="inlineStr">
        <is>
          <t>6a294eeb-c10f-40c4-8897-0488a728cbd2</t>
        </is>
      </c>
      <c r="D146" t="inlineStr">
        <is>
          <t>30001085</t>
        </is>
      </c>
      <c r="E146" t="inlineStr">
        <is>
          <t>ussd_funeral_leads_altitude_20260601</t>
        </is>
      </c>
      <c r="J146" t="inlineStr">
        <is>
          <t>ADC</t>
        </is>
      </c>
      <c r="K146" t="inlineStr">
        <is>
          <t>Auto Dial Disconnected</t>
        </is>
      </c>
      <c r="L146" t="n">
        <v>6</v>
      </c>
      <c r="M146" t="inlineStr">
        <is>
          <t>2026-06-11 13:34:50</t>
        </is>
      </c>
      <c r="N146" t="inlineStr">
        <is>
          <t>system</t>
        </is>
      </c>
      <c r="O146" t="inlineStr">
        <is>
          <t>2026-06-08 04:47:44</t>
        </is>
      </c>
      <c r="P146" t="inlineStr">
        <is>
          <t>2026-06-08 04:47:44</t>
        </is>
      </c>
      <c r="Y146" t="inlineStr">
        <is>
          <t>27637444900</t>
        </is>
      </c>
    </row>
    <row r="147">
      <c r="A147" t="inlineStr">
        <is>
          <t>14814842</t>
        </is>
      </c>
      <c r="B147" t="inlineStr">
        <is>
          <t>ea997f1b-fff0-4fd8-853b-039543f72614</t>
        </is>
      </c>
      <c r="D147" t="inlineStr">
        <is>
          <t>30001085</t>
        </is>
      </c>
      <c r="E147" t="inlineStr">
        <is>
          <t>ussd_funeral_leads_altitude_20260601</t>
        </is>
      </c>
      <c r="J147" t="inlineStr">
        <is>
          <t>NA</t>
        </is>
      </c>
      <c r="K147" t="inlineStr">
        <is>
          <t>No Answer Autodial</t>
        </is>
      </c>
      <c r="L147" t="n">
        <v>6</v>
      </c>
      <c r="M147" t="inlineStr">
        <is>
          <t>2026-06-11 13:34:45</t>
        </is>
      </c>
      <c r="N147" t="inlineStr">
        <is>
          <t>system</t>
        </is>
      </c>
      <c r="O147" t="inlineStr">
        <is>
          <t>2026-06-08 04:47:44</t>
        </is>
      </c>
      <c r="P147" t="inlineStr">
        <is>
          <t>2026-06-08 04:47:44</t>
        </is>
      </c>
      <c r="Y147" t="inlineStr">
        <is>
          <t>27712951380</t>
        </is>
      </c>
    </row>
    <row r="148">
      <c r="A148" t="inlineStr">
        <is>
          <t>14814853</t>
        </is>
      </c>
      <c r="B148" t="inlineStr">
        <is>
          <t>9a6fe153-eb81-4c25-8841-d28c379410df</t>
        </is>
      </c>
      <c r="D148" t="inlineStr">
        <is>
          <t>30001085</t>
        </is>
      </c>
      <c r="E148" t="inlineStr">
        <is>
          <t>ussd_funeral_leads_altitude_20260601</t>
        </is>
      </c>
      <c r="J148" t="inlineStr">
        <is>
          <t>AA</t>
        </is>
      </c>
      <c r="K148" t="inlineStr">
        <is>
          <t>Answering Machine Autodial</t>
        </is>
      </c>
      <c r="L148" t="n">
        <v>6</v>
      </c>
      <c r="M148" t="inlineStr">
        <is>
          <t>2026-06-11 13:34:45</t>
        </is>
      </c>
      <c r="N148" t="inlineStr">
        <is>
          <t>system</t>
        </is>
      </c>
      <c r="O148" t="inlineStr">
        <is>
          <t>2026-06-08 04:47:44</t>
        </is>
      </c>
      <c r="P148" t="inlineStr">
        <is>
          <t>2026-06-08 04:47:44</t>
        </is>
      </c>
      <c r="Y148" t="inlineStr">
        <is>
          <t>27727403930</t>
        </is>
      </c>
    </row>
    <row r="149">
      <c r="A149" t="inlineStr">
        <is>
          <t>14815238</t>
        </is>
      </c>
      <c r="B149" t="inlineStr">
        <is>
          <t>57c83486-3bdf-49a1-913c-0d8bc0fbf02d</t>
        </is>
      </c>
      <c r="D149" t="inlineStr">
        <is>
          <t>30001085</t>
        </is>
      </c>
      <c r="E149" t="inlineStr">
        <is>
          <t>ussd_funeral_leads_altitude_20260601</t>
        </is>
      </c>
      <c r="J149" t="inlineStr">
        <is>
          <t>NA</t>
        </is>
      </c>
      <c r="K149" t="inlineStr">
        <is>
          <t>No Answer Autodial</t>
        </is>
      </c>
      <c r="L149" t="n">
        <v>6</v>
      </c>
      <c r="M149" t="inlineStr">
        <is>
          <t>2026-06-11 13:34:38</t>
        </is>
      </c>
      <c r="N149" t="inlineStr">
        <is>
          <t>system</t>
        </is>
      </c>
      <c r="O149" t="inlineStr">
        <is>
          <t>2026-06-08 04:47:44</t>
        </is>
      </c>
      <c r="P149" t="inlineStr">
        <is>
          <t>2026-06-08 04:47:44</t>
        </is>
      </c>
      <c r="Y149" t="inlineStr">
        <is>
          <t>27660829943</t>
        </is>
      </c>
    </row>
    <row r="150">
      <c r="A150" t="inlineStr">
        <is>
          <t>14814845</t>
        </is>
      </c>
      <c r="B150" t="inlineStr">
        <is>
          <t>c94dd386-5143-4695-80d7-92b6fd76e935</t>
        </is>
      </c>
      <c r="D150" t="inlineStr">
        <is>
          <t>30001085</t>
        </is>
      </c>
      <c r="E150" t="inlineStr">
        <is>
          <t>ussd_funeral_leads_altitude_20260601</t>
        </is>
      </c>
      <c r="J150" t="inlineStr">
        <is>
          <t>AA</t>
        </is>
      </c>
      <c r="K150" t="inlineStr">
        <is>
          <t>Answering Machine Autodial</t>
        </is>
      </c>
      <c r="L150" t="n">
        <v>6</v>
      </c>
      <c r="M150" t="inlineStr">
        <is>
          <t>2026-06-11 13:34:31</t>
        </is>
      </c>
      <c r="N150" t="inlineStr">
        <is>
          <t>system</t>
        </is>
      </c>
      <c r="O150" t="inlineStr">
        <is>
          <t>2026-06-08 04:47:44</t>
        </is>
      </c>
      <c r="P150" t="inlineStr">
        <is>
          <t>2026-06-08 04:47:44</t>
        </is>
      </c>
      <c r="Y150" t="inlineStr">
        <is>
          <t>27721522499</t>
        </is>
      </c>
    </row>
    <row r="151">
      <c r="A151" t="inlineStr">
        <is>
          <t>14814846</t>
        </is>
      </c>
      <c r="B151" t="inlineStr">
        <is>
          <t>9202b5e7-64c9-4de9-a077-d38b439e5671</t>
        </is>
      </c>
      <c r="D151" t="inlineStr">
        <is>
          <t>30001085</t>
        </is>
      </c>
      <c r="E151" t="inlineStr">
        <is>
          <t>ussd_funeral_leads_altitude_20260601</t>
        </is>
      </c>
      <c r="J151" t="inlineStr">
        <is>
          <t>CU</t>
        </is>
      </c>
      <c r="K151" t="inlineStr">
        <is>
          <t>Client Hung Up</t>
        </is>
      </c>
      <c r="L151" t="n">
        <v>6</v>
      </c>
      <c r="M151" t="inlineStr">
        <is>
          <t>2026-06-11 13:34:15</t>
        </is>
      </c>
      <c r="N151" t="inlineStr">
        <is>
          <t>Vuyiswa Nxumalo</t>
        </is>
      </c>
      <c r="O151" t="inlineStr">
        <is>
          <t>2026-06-08 04:47:44</t>
        </is>
      </c>
      <c r="P151" t="inlineStr">
        <is>
          <t>2026-06-08 04:47:44</t>
        </is>
      </c>
      <c r="Y151" t="inlineStr">
        <is>
          <t>27767053839</t>
        </is>
      </c>
    </row>
    <row r="152">
      <c r="A152" t="inlineStr">
        <is>
          <t>14814854</t>
        </is>
      </c>
      <c r="B152" t="inlineStr">
        <is>
          <t>1c68244f-32de-48ce-a2da-c69eb4b44a97</t>
        </is>
      </c>
      <c r="D152" t="inlineStr">
        <is>
          <t>30001085</t>
        </is>
      </c>
      <c r="E152" t="inlineStr">
        <is>
          <t>ussd_funeral_leads_altitude_20260601</t>
        </is>
      </c>
      <c r="J152" t="inlineStr">
        <is>
          <t>NA</t>
        </is>
      </c>
      <c r="K152" t="inlineStr">
        <is>
          <t>No Answer Autodial</t>
        </is>
      </c>
      <c r="L152" t="n">
        <v>6</v>
      </c>
      <c r="M152" t="inlineStr">
        <is>
          <t>2026-06-11 13:34:15</t>
        </is>
      </c>
      <c r="N152" t="inlineStr">
        <is>
          <t>system</t>
        </is>
      </c>
      <c r="O152" t="inlineStr">
        <is>
          <t>2026-06-08 04:47:44</t>
        </is>
      </c>
      <c r="P152" t="inlineStr">
        <is>
          <t>2026-06-08 04:47:44</t>
        </is>
      </c>
      <c r="Y152" t="inlineStr">
        <is>
          <t>27791448763</t>
        </is>
      </c>
    </row>
    <row r="153">
      <c r="A153" t="inlineStr">
        <is>
          <t>14814859</t>
        </is>
      </c>
      <c r="B153" t="inlineStr">
        <is>
          <t>c82ab5a2-b750-4ade-964c-6b3a79c097a9</t>
        </is>
      </c>
      <c r="D153" t="inlineStr">
        <is>
          <t>30001085</t>
        </is>
      </c>
      <c r="E153" t="inlineStr">
        <is>
          <t>ussd_funeral_leads_altitude_20260601</t>
        </is>
      </c>
      <c r="J153" t="inlineStr">
        <is>
          <t>AA</t>
        </is>
      </c>
      <c r="K153" t="inlineStr">
        <is>
          <t>Answering Machine Autodial</t>
        </is>
      </c>
      <c r="L153" t="n">
        <v>6</v>
      </c>
      <c r="M153" t="inlineStr">
        <is>
          <t>2026-06-11 13:34:09</t>
        </is>
      </c>
      <c r="N153" t="inlineStr">
        <is>
          <t>system</t>
        </is>
      </c>
      <c r="O153" t="inlineStr">
        <is>
          <t>2026-06-08 04:47:44</t>
        </is>
      </c>
      <c r="P153" t="inlineStr">
        <is>
          <t>2026-06-08 04:47:44</t>
        </is>
      </c>
      <c r="Y153" t="inlineStr">
        <is>
          <t>27794259167</t>
        </is>
      </c>
    </row>
    <row r="154">
      <c r="A154" t="inlineStr">
        <is>
          <t>14814863</t>
        </is>
      </c>
      <c r="B154" t="inlineStr">
        <is>
          <t>bd18a51a-4acc-40b1-8388-5e09b9d04ba7</t>
        </is>
      </c>
      <c r="D154" t="inlineStr">
        <is>
          <t>30001085</t>
        </is>
      </c>
      <c r="E154" t="inlineStr">
        <is>
          <t>ussd_funeral_leads_altitude_20260601</t>
        </is>
      </c>
      <c r="J154" t="inlineStr">
        <is>
          <t>AA</t>
        </is>
      </c>
      <c r="K154" t="inlineStr">
        <is>
          <t>Answering Machine Autodial</t>
        </is>
      </c>
      <c r="L154" t="n">
        <v>6</v>
      </c>
      <c r="M154" t="inlineStr">
        <is>
          <t>2026-06-11 13:34:07</t>
        </is>
      </c>
      <c r="N154" t="inlineStr">
        <is>
          <t>system</t>
        </is>
      </c>
      <c r="O154" t="inlineStr">
        <is>
          <t>2026-06-08 04:47:44</t>
        </is>
      </c>
      <c r="P154" t="inlineStr">
        <is>
          <t>2026-06-08 04:47:44</t>
        </is>
      </c>
      <c r="Y154" t="inlineStr">
        <is>
          <t>27774810125</t>
        </is>
      </c>
    </row>
    <row r="155">
      <c r="A155" t="inlineStr">
        <is>
          <t>14814864</t>
        </is>
      </c>
      <c r="B155" t="inlineStr">
        <is>
          <t>0a855a9c-3e26-42f9-8175-581dc24c9c8c</t>
        </is>
      </c>
      <c r="D155" t="inlineStr">
        <is>
          <t>30001085</t>
        </is>
      </c>
      <c r="E155" t="inlineStr">
        <is>
          <t>ussd_funeral_leads_altitude_20260601</t>
        </is>
      </c>
      <c r="J155" t="inlineStr">
        <is>
          <t>AA</t>
        </is>
      </c>
      <c r="K155" t="inlineStr">
        <is>
          <t>Answering Machine Autodial</t>
        </is>
      </c>
      <c r="L155" t="n">
        <v>6</v>
      </c>
      <c r="M155" t="inlineStr">
        <is>
          <t>2026-06-11 13:34:07</t>
        </is>
      </c>
      <c r="N155" t="inlineStr">
        <is>
          <t>system</t>
        </is>
      </c>
      <c r="O155" t="inlineStr">
        <is>
          <t>2026-06-08 04:47:44</t>
        </is>
      </c>
      <c r="P155" t="inlineStr">
        <is>
          <t>2026-06-08 04:47:44</t>
        </is>
      </c>
      <c r="Y155" t="inlineStr">
        <is>
          <t>27648624912</t>
        </is>
      </c>
    </row>
    <row r="156">
      <c r="A156" t="inlineStr">
        <is>
          <t>14814865</t>
        </is>
      </c>
      <c r="B156" t="inlineStr">
        <is>
          <t>71433fca-2d62-4666-b812-93529a24fcc5</t>
        </is>
      </c>
      <c r="D156" t="inlineStr">
        <is>
          <t>30001085</t>
        </is>
      </c>
      <c r="E156" t="inlineStr">
        <is>
          <t>ussd_funeral_leads_altitude_20260601</t>
        </is>
      </c>
      <c r="J156" t="inlineStr">
        <is>
          <t>NA</t>
        </is>
      </c>
      <c r="K156" t="inlineStr">
        <is>
          <t>No Answer Autodial</t>
        </is>
      </c>
      <c r="L156" t="n">
        <v>6</v>
      </c>
      <c r="M156" t="inlineStr">
        <is>
          <t>2026-06-11 13:34:02</t>
        </is>
      </c>
      <c r="N156" t="inlineStr">
        <is>
          <t>system</t>
        </is>
      </c>
      <c r="O156" t="inlineStr">
        <is>
          <t>2026-06-08 04:47:44</t>
        </is>
      </c>
      <c r="P156" t="inlineStr">
        <is>
          <t>2026-06-08 04:47:44</t>
        </is>
      </c>
      <c r="Y156" t="inlineStr">
        <is>
          <t>27721594256</t>
        </is>
      </c>
    </row>
    <row r="157">
      <c r="A157" t="inlineStr">
        <is>
          <t>14814874</t>
        </is>
      </c>
      <c r="B157" t="inlineStr">
        <is>
          <t>9ea5f7fc-2d01-4852-a381-866d99770163</t>
        </is>
      </c>
      <c r="D157" t="inlineStr">
        <is>
          <t>30001085</t>
        </is>
      </c>
      <c r="E157" t="inlineStr">
        <is>
          <t>ussd_funeral_leads_altitude_20260601</t>
        </is>
      </c>
      <c r="J157" t="inlineStr">
        <is>
          <t>AA</t>
        </is>
      </c>
      <c r="K157" t="inlineStr">
        <is>
          <t>Answering Machine Autodial</t>
        </is>
      </c>
      <c r="L157" t="n">
        <v>6</v>
      </c>
      <c r="M157" t="inlineStr">
        <is>
          <t>2026-06-11 13:33:43</t>
        </is>
      </c>
      <c r="N157" t="inlineStr">
        <is>
          <t>system</t>
        </is>
      </c>
      <c r="O157" t="inlineStr">
        <is>
          <t>2026-06-08 04:47:44</t>
        </is>
      </c>
      <c r="P157" t="inlineStr">
        <is>
          <t>2026-06-08 04:47:44</t>
        </is>
      </c>
      <c r="Y157" t="inlineStr">
        <is>
          <t>27797926052</t>
        </is>
      </c>
    </row>
    <row r="158">
      <c r="A158" t="inlineStr">
        <is>
          <t>14814876</t>
        </is>
      </c>
      <c r="B158" t="inlineStr">
        <is>
          <t>35148a80-5db1-44e6-8c74-432375fb9937</t>
        </is>
      </c>
      <c r="D158" t="inlineStr">
        <is>
          <t>30001085</t>
        </is>
      </c>
      <c r="E158" t="inlineStr">
        <is>
          <t>ussd_funeral_leads_altitude_20260601</t>
        </is>
      </c>
      <c r="J158" t="inlineStr">
        <is>
          <t>AA</t>
        </is>
      </c>
      <c r="K158" t="inlineStr">
        <is>
          <t>Answering Machine Autodial</t>
        </is>
      </c>
      <c r="L158" t="n">
        <v>6</v>
      </c>
      <c r="M158" t="inlineStr">
        <is>
          <t>2026-06-11 13:33:37</t>
        </is>
      </c>
      <c r="N158" t="inlineStr">
        <is>
          <t>system</t>
        </is>
      </c>
      <c r="O158" t="inlineStr">
        <is>
          <t>2026-06-08 04:47:44</t>
        </is>
      </c>
      <c r="P158" t="inlineStr">
        <is>
          <t>2026-06-08 04:47:44</t>
        </is>
      </c>
      <c r="Y158" t="inlineStr">
        <is>
          <t>27661170262</t>
        </is>
      </c>
    </row>
    <row r="159">
      <c r="A159" t="inlineStr">
        <is>
          <t>14814880</t>
        </is>
      </c>
      <c r="B159" t="inlineStr">
        <is>
          <t>8c8b029b-5dbb-44e7-ab6d-a25bfbcf024e</t>
        </is>
      </c>
      <c r="D159" t="inlineStr">
        <is>
          <t>30001085</t>
        </is>
      </c>
      <c r="E159" t="inlineStr">
        <is>
          <t>ussd_funeral_leads_altitude_20260601</t>
        </is>
      </c>
      <c r="J159" t="inlineStr">
        <is>
          <t>AA</t>
        </is>
      </c>
      <c r="K159" t="inlineStr">
        <is>
          <t>Answering Machine Autodial</t>
        </is>
      </c>
      <c r="L159" t="n">
        <v>6</v>
      </c>
      <c r="M159" t="inlineStr">
        <is>
          <t>2026-06-11 13:33:32</t>
        </is>
      </c>
      <c r="N159" t="inlineStr">
        <is>
          <t>system</t>
        </is>
      </c>
      <c r="O159" t="inlineStr">
        <is>
          <t>2026-06-08 04:47:44</t>
        </is>
      </c>
      <c r="P159" t="inlineStr">
        <is>
          <t>2026-06-08 04:47:44</t>
        </is>
      </c>
      <c r="Y159" t="inlineStr">
        <is>
          <t>27728747024</t>
        </is>
      </c>
    </row>
    <row r="160">
      <c r="A160" t="inlineStr">
        <is>
          <t>14814881</t>
        </is>
      </c>
      <c r="B160" t="inlineStr">
        <is>
          <t>1c9faa9b-1ffb-49c5-942a-6e14ca73e8df</t>
        </is>
      </c>
      <c r="D160" t="inlineStr">
        <is>
          <t>30001085</t>
        </is>
      </c>
      <c r="E160" t="inlineStr">
        <is>
          <t>ussd_funeral_leads_altitude_20260601</t>
        </is>
      </c>
      <c r="J160" t="inlineStr">
        <is>
          <t>CU</t>
        </is>
      </c>
      <c r="K160" t="inlineStr">
        <is>
          <t>Client Hung Up</t>
        </is>
      </c>
      <c r="L160" t="n">
        <v>6</v>
      </c>
      <c r="M160" t="inlineStr">
        <is>
          <t>2026-06-11 13:33:11</t>
        </is>
      </c>
      <c r="N160" t="inlineStr">
        <is>
          <t>Lebohang Mabotja</t>
        </is>
      </c>
      <c r="O160" t="inlineStr">
        <is>
          <t>2026-06-08 04:47:44</t>
        </is>
      </c>
      <c r="P160" t="inlineStr">
        <is>
          <t>2026-06-08 04:47:44</t>
        </is>
      </c>
      <c r="Y160" t="inlineStr">
        <is>
          <t>27725584374</t>
        </is>
      </c>
    </row>
    <row r="161">
      <c r="A161" t="inlineStr">
        <is>
          <t>14814887</t>
        </is>
      </c>
      <c r="B161" t="inlineStr">
        <is>
          <t>4082a89f-9bf6-4a96-8232-44b03cf28b35</t>
        </is>
      </c>
      <c r="D161" t="inlineStr">
        <is>
          <t>30001085</t>
        </is>
      </c>
      <c r="E161" t="inlineStr">
        <is>
          <t>ussd_funeral_leads_altitude_20260601</t>
        </is>
      </c>
      <c r="J161" t="inlineStr">
        <is>
          <t>AA</t>
        </is>
      </c>
      <c r="K161" t="inlineStr">
        <is>
          <t>Answering Machine Autodial</t>
        </is>
      </c>
      <c r="L161" t="n">
        <v>6</v>
      </c>
      <c r="M161" t="inlineStr">
        <is>
          <t>2026-06-11 13:33:05</t>
        </is>
      </c>
      <c r="N161" t="inlineStr">
        <is>
          <t>system</t>
        </is>
      </c>
      <c r="O161" t="inlineStr">
        <is>
          <t>2026-06-08 04:47:44</t>
        </is>
      </c>
      <c r="P161" t="inlineStr">
        <is>
          <t>2026-06-08 04:47:44</t>
        </is>
      </c>
      <c r="Y161" t="inlineStr">
        <is>
          <t>27766314373</t>
        </is>
      </c>
    </row>
    <row r="162">
      <c r="A162" t="inlineStr">
        <is>
          <t>14815231</t>
        </is>
      </c>
      <c r="B162" t="inlineStr">
        <is>
          <t>2a0c5a86-8019-4692-8afc-ab69b205fc86</t>
        </is>
      </c>
      <c r="D162" t="inlineStr">
        <is>
          <t>30001085</t>
        </is>
      </c>
      <c r="E162" t="inlineStr">
        <is>
          <t>ussd_funeral_leads_altitude_20260601</t>
        </is>
      </c>
      <c r="J162" t="inlineStr">
        <is>
          <t>AA</t>
        </is>
      </c>
      <c r="K162" t="inlineStr">
        <is>
          <t>Answering Machine Autodial</t>
        </is>
      </c>
      <c r="L162" t="n">
        <v>6</v>
      </c>
      <c r="M162" t="inlineStr">
        <is>
          <t>2026-06-11 13:32:59</t>
        </is>
      </c>
      <c r="N162" t="inlineStr">
        <is>
          <t>system</t>
        </is>
      </c>
      <c r="O162" t="inlineStr">
        <is>
          <t>2026-06-08 04:47:44</t>
        </is>
      </c>
      <c r="P162" t="inlineStr">
        <is>
          <t>2026-06-08 04:47:44</t>
        </is>
      </c>
      <c r="Y162" t="inlineStr">
        <is>
          <t>27772599464</t>
        </is>
      </c>
    </row>
    <row r="163">
      <c r="A163" t="inlineStr">
        <is>
          <t>14815240</t>
        </is>
      </c>
      <c r="B163" t="inlineStr">
        <is>
          <t>2baefeda-06a7-4fed-833b-86c2fd1aeb0c</t>
        </is>
      </c>
      <c r="D163" t="inlineStr">
        <is>
          <t>30001085</t>
        </is>
      </c>
      <c r="E163" t="inlineStr">
        <is>
          <t>ussd_funeral_leads_altitude_20260601</t>
        </is>
      </c>
      <c r="J163" t="inlineStr">
        <is>
          <t>AA</t>
        </is>
      </c>
      <c r="K163" t="inlineStr">
        <is>
          <t>Answering Machine Autodial</t>
        </is>
      </c>
      <c r="L163" t="n">
        <v>6</v>
      </c>
      <c r="M163" t="inlineStr">
        <is>
          <t>2026-06-11 13:32:58</t>
        </is>
      </c>
      <c r="N163" t="inlineStr">
        <is>
          <t>system</t>
        </is>
      </c>
      <c r="O163" t="inlineStr">
        <is>
          <t>2026-06-08 04:47:44</t>
        </is>
      </c>
      <c r="P163" t="inlineStr">
        <is>
          <t>2026-06-08 04:47:44</t>
        </is>
      </c>
      <c r="Y163" t="inlineStr">
        <is>
          <t>27790513762</t>
        </is>
      </c>
    </row>
    <row r="164">
      <c r="A164" t="inlineStr">
        <is>
          <t>14815254</t>
        </is>
      </c>
      <c r="B164" t="inlineStr">
        <is>
          <t>2a771e01-f27e-4018-a370-62880571f1cb</t>
        </is>
      </c>
      <c r="D164" t="inlineStr">
        <is>
          <t>30001085</t>
        </is>
      </c>
      <c r="E164" t="inlineStr">
        <is>
          <t>ussd_funeral_leads_altitude_20260601</t>
        </is>
      </c>
      <c r="J164" t="inlineStr">
        <is>
          <t>NA</t>
        </is>
      </c>
      <c r="K164" t="inlineStr">
        <is>
          <t>No Answer Autodial</t>
        </is>
      </c>
      <c r="L164" t="n">
        <v>6</v>
      </c>
      <c r="M164" t="inlineStr">
        <is>
          <t>2026-06-11 13:32:41</t>
        </is>
      </c>
      <c r="N164" t="inlineStr">
        <is>
          <t>system</t>
        </is>
      </c>
      <c r="O164" t="inlineStr">
        <is>
          <t>2026-06-08 04:47:44</t>
        </is>
      </c>
      <c r="P164" t="inlineStr">
        <is>
          <t>2026-06-08 04:47:44</t>
        </is>
      </c>
      <c r="Y164" t="inlineStr">
        <is>
          <t>27674636083</t>
        </is>
      </c>
    </row>
    <row r="165">
      <c r="A165" t="inlineStr">
        <is>
          <t>14814888</t>
        </is>
      </c>
      <c r="B165" t="inlineStr">
        <is>
          <t>85718699-43da-446a-93a5-b64494dc4193</t>
        </is>
      </c>
      <c r="D165" t="inlineStr">
        <is>
          <t>30001085</t>
        </is>
      </c>
      <c r="E165" t="inlineStr">
        <is>
          <t>ussd_funeral_leads_altitude_20260601</t>
        </is>
      </c>
      <c r="J165" t="inlineStr">
        <is>
          <t>AE</t>
        </is>
      </c>
      <c r="K165" t="inlineStr">
        <is>
          <t>Auto Engaged</t>
        </is>
      </c>
      <c r="L165" t="n">
        <v>6</v>
      </c>
      <c r="M165" t="inlineStr">
        <is>
          <t>2026-06-11 13:30:18</t>
        </is>
      </c>
      <c r="N165" t="inlineStr">
        <is>
          <t>system</t>
        </is>
      </c>
      <c r="O165" t="inlineStr">
        <is>
          <t>2026-06-08 04:47:44</t>
        </is>
      </c>
      <c r="P165" t="inlineStr">
        <is>
          <t>2026-06-08 04:47:44</t>
        </is>
      </c>
      <c r="Y165" t="inlineStr">
        <is>
          <t>27799293293</t>
        </is>
      </c>
    </row>
    <row r="166">
      <c r="A166" t="inlineStr">
        <is>
          <t>14814892</t>
        </is>
      </c>
      <c r="B166" t="inlineStr">
        <is>
          <t>08b1b792-f451-4ff2-947f-8e1ccbc52aef</t>
        </is>
      </c>
      <c r="D166" t="inlineStr">
        <is>
          <t>30001085</t>
        </is>
      </c>
      <c r="E166" t="inlineStr">
        <is>
          <t>ussd_funeral_leads_altitude_20260601</t>
        </is>
      </c>
      <c r="J166" t="inlineStr">
        <is>
          <t>NI</t>
        </is>
      </c>
      <c r="K166" t="inlineStr">
        <is>
          <t>Not Interested</t>
        </is>
      </c>
      <c r="L166" t="n">
        <v>6</v>
      </c>
      <c r="M166" t="inlineStr">
        <is>
          <t>2026-06-11 13:30:02</t>
        </is>
      </c>
      <c r="N166" t="inlineStr">
        <is>
          <t>Gontse Monageng</t>
        </is>
      </c>
      <c r="O166" t="inlineStr">
        <is>
          <t>2026-06-08 04:47:44</t>
        </is>
      </c>
      <c r="P166" t="inlineStr">
        <is>
          <t>2026-06-08 04:47:44</t>
        </is>
      </c>
      <c r="Y166" t="inlineStr">
        <is>
          <t>27637999357</t>
        </is>
      </c>
    </row>
    <row r="167">
      <c r="A167" t="inlineStr">
        <is>
          <t>14814893</t>
        </is>
      </c>
      <c r="B167" t="inlineStr">
        <is>
          <t>d252838c-500b-44f1-b65d-28331a4659c5</t>
        </is>
      </c>
      <c r="D167" t="inlineStr">
        <is>
          <t>30001085</t>
        </is>
      </c>
      <c r="E167" t="inlineStr">
        <is>
          <t>ussd_funeral_leads_altitude_20260601</t>
        </is>
      </c>
      <c r="H167" t="inlineStr">
        <is>
          <t>27712932635</t>
        </is>
      </c>
      <c r="J167" t="inlineStr">
        <is>
          <t>AA</t>
        </is>
      </c>
      <c r="K167" t="inlineStr">
        <is>
          <t>Answering Machine Autodial</t>
        </is>
      </c>
      <c r="L167" t="n">
        <v>6</v>
      </c>
      <c r="M167" t="inlineStr">
        <is>
          <t>2026-06-11 13:30:02</t>
        </is>
      </c>
      <c r="N167" t="inlineStr">
        <is>
          <t>system</t>
        </is>
      </c>
      <c r="O167" t="inlineStr">
        <is>
          <t>2026-06-08 04:47:44</t>
        </is>
      </c>
      <c r="P167" t="inlineStr">
        <is>
          <t>2026-06-08 04:47:44</t>
        </is>
      </c>
      <c r="Y167" t="inlineStr">
        <is>
          <t>27712932635</t>
        </is>
      </c>
    </row>
    <row r="168">
      <c r="A168" t="inlineStr">
        <is>
          <t>14814896</t>
        </is>
      </c>
      <c r="B168" t="inlineStr">
        <is>
          <t>297b481e-32a0-4500-84d7-8d3b21229482</t>
        </is>
      </c>
      <c r="D168" t="inlineStr">
        <is>
          <t>30001085</t>
        </is>
      </c>
      <c r="E168" t="inlineStr">
        <is>
          <t>ussd_funeral_leads_altitude_20260601</t>
        </is>
      </c>
      <c r="J168" t="inlineStr">
        <is>
          <t>AA</t>
        </is>
      </c>
      <c r="K168" t="inlineStr">
        <is>
          <t>Answering Machine Autodial</t>
        </is>
      </c>
      <c r="L168" t="n">
        <v>6</v>
      </c>
      <c r="M168" t="inlineStr">
        <is>
          <t>2026-06-11 13:30:00</t>
        </is>
      </c>
      <c r="N168" t="inlineStr">
        <is>
          <t>system</t>
        </is>
      </c>
      <c r="O168" t="inlineStr">
        <is>
          <t>2026-06-08 04:47:44</t>
        </is>
      </c>
      <c r="P168" t="inlineStr">
        <is>
          <t>2026-06-08 04:47:44</t>
        </is>
      </c>
      <c r="Y168" t="inlineStr">
        <is>
          <t>27720622373</t>
        </is>
      </c>
    </row>
    <row r="169">
      <c r="A169" t="inlineStr">
        <is>
          <t>14814898</t>
        </is>
      </c>
      <c r="B169" t="inlineStr">
        <is>
          <t>7914c11e-78f3-462a-bc79-d3a75938084e</t>
        </is>
      </c>
      <c r="D169" t="inlineStr">
        <is>
          <t>30001085</t>
        </is>
      </c>
      <c r="E169" t="inlineStr">
        <is>
          <t>ussd_funeral_leads_altitude_20260601</t>
        </is>
      </c>
      <c r="J169" t="inlineStr">
        <is>
          <t>CU</t>
        </is>
      </c>
      <c r="K169" t="inlineStr">
        <is>
          <t>Client Hung Up</t>
        </is>
      </c>
      <c r="L169" t="n">
        <v>6</v>
      </c>
      <c r="M169" t="inlineStr">
        <is>
          <t>2026-06-11 13:29:49</t>
        </is>
      </c>
      <c r="N169" t="inlineStr">
        <is>
          <t>Lebohang Mabotja</t>
        </is>
      </c>
      <c r="O169" t="inlineStr">
        <is>
          <t>2026-06-08 04:47:44</t>
        </is>
      </c>
      <c r="P169" t="inlineStr">
        <is>
          <t>2026-06-08 04:47:44</t>
        </is>
      </c>
      <c r="Y169" t="inlineStr">
        <is>
          <t>27716351029</t>
        </is>
      </c>
    </row>
    <row r="170">
      <c r="A170" t="inlineStr">
        <is>
          <t>14815202</t>
        </is>
      </c>
      <c r="B170" t="inlineStr">
        <is>
          <t>a68db49c-0c68-47ed-b023-f11b145a4dcd</t>
        </is>
      </c>
      <c r="D170" t="inlineStr">
        <is>
          <t>30001085</t>
        </is>
      </c>
      <c r="E170" t="inlineStr">
        <is>
          <t>ussd_funeral_leads_altitude_20260601</t>
        </is>
      </c>
      <c r="J170" t="inlineStr">
        <is>
          <t>AA</t>
        </is>
      </c>
      <c r="K170" t="inlineStr">
        <is>
          <t>Answering Machine Autodial</t>
        </is>
      </c>
      <c r="L170" t="n">
        <v>6</v>
      </c>
      <c r="M170" t="inlineStr">
        <is>
          <t>2026-06-11 13:29:49</t>
        </is>
      </c>
      <c r="N170" t="inlineStr">
        <is>
          <t>system</t>
        </is>
      </c>
      <c r="O170" t="inlineStr">
        <is>
          <t>2026-06-08 04:47:44</t>
        </is>
      </c>
      <c r="P170" t="inlineStr">
        <is>
          <t>2026-06-08 04:47:44</t>
        </is>
      </c>
      <c r="Y170" t="inlineStr">
        <is>
          <t>27827608086</t>
        </is>
      </c>
    </row>
    <row r="171">
      <c r="A171" t="inlineStr">
        <is>
          <t>14815203</t>
        </is>
      </c>
      <c r="B171" t="inlineStr">
        <is>
          <t>120bee46-dcd8-4e7c-8e4a-eae767c49f32</t>
        </is>
      </c>
      <c r="D171" t="inlineStr">
        <is>
          <t>30001085</t>
        </is>
      </c>
      <c r="E171" t="inlineStr">
        <is>
          <t>ussd_funeral_leads_altitude_20260601</t>
        </is>
      </c>
      <c r="J171" t="inlineStr">
        <is>
          <t>CU</t>
        </is>
      </c>
      <c r="K171" t="inlineStr">
        <is>
          <t>Client Hung Up</t>
        </is>
      </c>
      <c r="L171" t="n">
        <v>6</v>
      </c>
      <c r="M171" t="inlineStr">
        <is>
          <t>2026-06-11 13:29:45</t>
        </is>
      </c>
      <c r="N171" t="inlineStr">
        <is>
          <t>Vuyiswa Nxumalo</t>
        </is>
      </c>
      <c r="O171" t="inlineStr">
        <is>
          <t>2026-06-08 04:47:44</t>
        </is>
      </c>
      <c r="P171" t="inlineStr">
        <is>
          <t>2026-06-08 04:47:44</t>
        </is>
      </c>
      <c r="Y171" t="inlineStr">
        <is>
          <t>27716435537</t>
        </is>
      </c>
    </row>
    <row r="172">
      <c r="A172" t="inlineStr">
        <is>
          <t>14815204</t>
        </is>
      </c>
      <c r="B172" t="inlineStr">
        <is>
          <t>66a9e67c-9a4f-4bbf-a647-96d4139d0c46</t>
        </is>
      </c>
      <c r="D172" t="inlineStr">
        <is>
          <t>30001085</t>
        </is>
      </c>
      <c r="E172" t="inlineStr">
        <is>
          <t>ussd_funeral_leads_altitude_20260601</t>
        </is>
      </c>
      <c r="J172" t="inlineStr">
        <is>
          <t>NA</t>
        </is>
      </c>
      <c r="K172" t="inlineStr">
        <is>
          <t>No Answer Autodial</t>
        </is>
      </c>
      <c r="L172" t="n">
        <v>6</v>
      </c>
      <c r="M172" t="inlineStr">
        <is>
          <t>2026-06-11 13:29:45</t>
        </is>
      </c>
      <c r="N172" t="inlineStr">
        <is>
          <t>system</t>
        </is>
      </c>
      <c r="O172" t="inlineStr">
        <is>
          <t>2026-06-08 04:47:44</t>
        </is>
      </c>
      <c r="P172" t="inlineStr">
        <is>
          <t>2026-06-08 04:47:44</t>
        </is>
      </c>
      <c r="Y172" t="inlineStr">
        <is>
          <t>27606993451</t>
        </is>
      </c>
    </row>
    <row r="173">
      <c r="A173" t="inlineStr">
        <is>
          <t>14815249</t>
        </is>
      </c>
      <c r="B173" t="inlineStr">
        <is>
          <t>3073c1e2-305a-494b-865d-c99a114d549d</t>
        </is>
      </c>
      <c r="D173" t="inlineStr">
        <is>
          <t>30001085</t>
        </is>
      </c>
      <c r="E173" t="inlineStr">
        <is>
          <t>ussd_funeral_leads_altitude_20260601</t>
        </is>
      </c>
      <c r="J173" t="inlineStr">
        <is>
          <t>NA</t>
        </is>
      </c>
      <c r="K173" t="inlineStr">
        <is>
          <t>No Answer Autodial</t>
        </is>
      </c>
      <c r="L173" t="n">
        <v>6</v>
      </c>
      <c r="M173" t="inlineStr">
        <is>
          <t>2026-06-11 13:29:42</t>
        </is>
      </c>
      <c r="N173" t="inlineStr">
        <is>
          <t>system</t>
        </is>
      </c>
      <c r="O173" t="inlineStr">
        <is>
          <t>2026-06-08 04:47:44</t>
        </is>
      </c>
      <c r="P173" t="inlineStr">
        <is>
          <t>2026-06-08 04:47:44</t>
        </is>
      </c>
      <c r="Y173" t="inlineStr">
        <is>
          <t>27646158976</t>
        </is>
      </c>
    </row>
    <row r="174">
      <c r="A174" t="inlineStr">
        <is>
          <t>14815221</t>
        </is>
      </c>
      <c r="B174" t="inlineStr">
        <is>
          <t>4b6dfa36-a399-47fa-89a2-54286af944b7</t>
        </is>
      </c>
      <c r="D174" t="inlineStr">
        <is>
          <t>30001085</t>
        </is>
      </c>
      <c r="E174" t="inlineStr">
        <is>
          <t>ussd_funeral_leads_altitude_20260601</t>
        </is>
      </c>
      <c r="H174" t="inlineStr">
        <is>
          <t>27665015050</t>
        </is>
      </c>
      <c r="J174" t="inlineStr">
        <is>
          <t>AA</t>
        </is>
      </c>
      <c r="K174" t="inlineStr">
        <is>
          <t>Answering Machine Autodial</t>
        </is>
      </c>
      <c r="L174" t="n">
        <v>6</v>
      </c>
      <c r="M174" t="inlineStr">
        <is>
          <t>2026-06-11 13:29:42</t>
        </is>
      </c>
      <c r="N174" t="inlineStr">
        <is>
          <t>system</t>
        </is>
      </c>
      <c r="O174" t="inlineStr">
        <is>
          <t>2026-06-08 04:47:44</t>
        </is>
      </c>
      <c r="P174" t="inlineStr">
        <is>
          <t>2026-06-08 04:47:44</t>
        </is>
      </c>
      <c r="Y174" t="inlineStr">
        <is>
          <t>27665015050</t>
        </is>
      </c>
    </row>
    <row r="175">
      <c r="A175" t="inlineStr">
        <is>
          <t>14815250</t>
        </is>
      </c>
      <c r="B175" t="inlineStr">
        <is>
          <t>a98fd972-3c27-4a17-b191-ca7f2b2172ee</t>
        </is>
      </c>
      <c r="D175" t="inlineStr">
        <is>
          <t>30001085</t>
        </is>
      </c>
      <c r="E175" t="inlineStr">
        <is>
          <t>ussd_funeral_leads_altitude_20260601</t>
        </is>
      </c>
      <c r="J175" t="inlineStr">
        <is>
          <t>AA</t>
        </is>
      </c>
      <c r="K175" t="inlineStr">
        <is>
          <t>Answering Machine Autodial</t>
        </is>
      </c>
      <c r="L175" t="n">
        <v>6</v>
      </c>
      <c r="M175" t="inlineStr">
        <is>
          <t>2026-06-11 13:28:55</t>
        </is>
      </c>
      <c r="N175" t="inlineStr">
        <is>
          <t>system</t>
        </is>
      </c>
      <c r="O175" t="inlineStr">
        <is>
          <t>2026-06-08 04:47:44</t>
        </is>
      </c>
      <c r="P175" t="inlineStr">
        <is>
          <t>2026-06-08 04:47:44</t>
        </is>
      </c>
      <c r="Y175" t="inlineStr">
        <is>
          <t>27648071911</t>
        </is>
      </c>
    </row>
    <row r="176">
      <c r="A176" t="inlineStr">
        <is>
          <t>14815205</t>
        </is>
      </c>
      <c r="B176" t="inlineStr">
        <is>
          <t>47a53b9a-460d-438c-b0ec-1d3e09e04ee0</t>
        </is>
      </c>
      <c r="D176" t="inlineStr">
        <is>
          <t>30001085</t>
        </is>
      </c>
      <c r="E176" t="inlineStr">
        <is>
          <t>ussd_funeral_leads_altitude_20260601</t>
        </is>
      </c>
      <c r="J176" t="inlineStr">
        <is>
          <t>TDN</t>
        </is>
      </c>
      <c r="K176" t="inlineStr">
        <is>
          <t>Temporary Disconnected Number</t>
        </is>
      </c>
      <c r="L176" t="n">
        <v>6</v>
      </c>
      <c r="M176" t="inlineStr">
        <is>
          <t>2026-06-11 13:28:38</t>
        </is>
      </c>
      <c r="N176" t="inlineStr">
        <is>
          <t>system</t>
        </is>
      </c>
      <c r="O176" t="inlineStr">
        <is>
          <t>2026-06-08 04:47:44</t>
        </is>
      </c>
      <c r="P176" t="inlineStr">
        <is>
          <t>2026-06-08 04:47:44</t>
        </is>
      </c>
      <c r="Y176" t="inlineStr">
        <is>
          <t>27818470346</t>
        </is>
      </c>
    </row>
    <row r="177">
      <c r="A177" t="inlineStr">
        <is>
          <t>14815206</t>
        </is>
      </c>
      <c r="B177" t="inlineStr">
        <is>
          <t>e5bfc3c4-5bad-46bd-9280-0b782caf3a70</t>
        </is>
      </c>
      <c r="D177" t="inlineStr">
        <is>
          <t>30001085</t>
        </is>
      </c>
      <c r="E177" t="inlineStr">
        <is>
          <t>ussd_funeral_leads_altitude_20260601</t>
        </is>
      </c>
      <c r="J177" t="inlineStr">
        <is>
          <t>TDN</t>
        </is>
      </c>
      <c r="K177" t="inlineStr">
        <is>
          <t>Temporary Disconnected Number</t>
        </is>
      </c>
      <c r="L177" t="n">
        <v>6</v>
      </c>
      <c r="M177" t="inlineStr">
        <is>
          <t>2026-06-11 13:28:30</t>
        </is>
      </c>
      <c r="N177" t="inlineStr">
        <is>
          <t>system</t>
        </is>
      </c>
      <c r="O177" t="inlineStr">
        <is>
          <t>2026-06-08 04:47:44</t>
        </is>
      </c>
      <c r="P177" t="inlineStr">
        <is>
          <t>2026-06-08 04:47:44</t>
        </is>
      </c>
      <c r="Y177" t="inlineStr">
        <is>
          <t>27674803430</t>
        </is>
      </c>
    </row>
    <row r="178">
      <c r="A178" t="inlineStr">
        <is>
          <t>14815207</t>
        </is>
      </c>
      <c r="B178" t="inlineStr">
        <is>
          <t>3c30b12d-d158-411b-bd0c-432fba6d4f79</t>
        </is>
      </c>
      <c r="D178" t="inlineStr">
        <is>
          <t>30001085</t>
        </is>
      </c>
      <c r="E178" t="inlineStr">
        <is>
          <t>ussd_funeral_leads_altitude_20260601</t>
        </is>
      </c>
      <c r="J178" t="inlineStr">
        <is>
          <t>ADC</t>
        </is>
      </c>
      <c r="K178" t="inlineStr">
        <is>
          <t>Auto Dial Disconnected</t>
        </is>
      </c>
      <c r="L178" t="n">
        <v>6</v>
      </c>
      <c r="M178" t="inlineStr">
        <is>
          <t>2026-06-11 13:28:28</t>
        </is>
      </c>
      <c r="N178" t="inlineStr">
        <is>
          <t>system</t>
        </is>
      </c>
      <c r="O178" t="inlineStr">
        <is>
          <t>2026-06-08 04:47:44</t>
        </is>
      </c>
      <c r="P178" t="inlineStr">
        <is>
          <t>2026-06-08 04:47:44</t>
        </is>
      </c>
      <c r="Y178" t="inlineStr">
        <is>
          <t>27766741831</t>
        </is>
      </c>
    </row>
    <row r="179">
      <c r="A179" t="inlineStr">
        <is>
          <t>14815208</t>
        </is>
      </c>
      <c r="B179" t="inlineStr">
        <is>
          <t>f5402ca9-83ef-4e3b-a5b6-1fdfc90f5492</t>
        </is>
      </c>
      <c r="D179" t="inlineStr">
        <is>
          <t>30001085</t>
        </is>
      </c>
      <c r="E179" t="inlineStr">
        <is>
          <t>ussd_funeral_leads_altitude_20260601</t>
        </is>
      </c>
      <c r="J179" t="inlineStr">
        <is>
          <t>ADC</t>
        </is>
      </c>
      <c r="K179" t="inlineStr">
        <is>
          <t>Auto Dial Disconnected</t>
        </is>
      </c>
      <c r="L179" t="n">
        <v>6</v>
      </c>
      <c r="M179" t="inlineStr">
        <is>
          <t>2026-06-11 13:28:27</t>
        </is>
      </c>
      <c r="N179" t="inlineStr">
        <is>
          <t>system</t>
        </is>
      </c>
      <c r="O179" t="inlineStr">
        <is>
          <t>2026-06-08 04:47:44</t>
        </is>
      </c>
      <c r="P179" t="inlineStr">
        <is>
          <t>2026-06-08 04:47:44</t>
        </is>
      </c>
      <c r="Y179" t="inlineStr">
        <is>
          <t>27712018801</t>
        </is>
      </c>
    </row>
    <row r="180">
      <c r="A180" t="inlineStr">
        <is>
          <t>14815209</t>
        </is>
      </c>
      <c r="B180" t="inlineStr">
        <is>
          <t>2e9b8dad-3c2b-4a73-8cd8-752b839e8cc1</t>
        </is>
      </c>
      <c r="D180" t="inlineStr">
        <is>
          <t>30001085</t>
        </is>
      </c>
      <c r="E180" t="inlineStr">
        <is>
          <t>ussd_funeral_leads_altitude_20260601</t>
        </is>
      </c>
      <c r="J180" t="inlineStr">
        <is>
          <t>AA</t>
        </is>
      </c>
      <c r="K180" t="inlineStr">
        <is>
          <t>Answering Machine Autodial</t>
        </is>
      </c>
      <c r="L180" t="n">
        <v>6</v>
      </c>
      <c r="M180" t="inlineStr">
        <is>
          <t>2026-06-11 13:28:21</t>
        </is>
      </c>
      <c r="N180" t="inlineStr">
        <is>
          <t>system</t>
        </is>
      </c>
      <c r="O180" t="inlineStr">
        <is>
          <t>2026-06-08 04:47:44</t>
        </is>
      </c>
      <c r="P180" t="inlineStr">
        <is>
          <t>2026-06-08 04:47:44</t>
        </is>
      </c>
      <c r="Y180" t="inlineStr">
        <is>
          <t>27608785000</t>
        </is>
      </c>
    </row>
    <row r="181">
      <c r="A181" t="inlineStr">
        <is>
          <t>14815210</t>
        </is>
      </c>
      <c r="B181" t="inlineStr">
        <is>
          <t>cb5fe145-99f6-46f9-a9cf-40664cfb1ca4</t>
        </is>
      </c>
      <c r="D181" t="inlineStr">
        <is>
          <t>30001085</t>
        </is>
      </c>
      <c r="E181" t="inlineStr">
        <is>
          <t>ussd_funeral_leads_altitude_20260601</t>
        </is>
      </c>
      <c r="J181" t="inlineStr">
        <is>
          <t>NA</t>
        </is>
      </c>
      <c r="K181" t="inlineStr">
        <is>
          <t>No Answer Autodial</t>
        </is>
      </c>
      <c r="L181" t="n">
        <v>6</v>
      </c>
      <c r="M181" t="inlineStr">
        <is>
          <t>2026-06-11 13:28:17</t>
        </is>
      </c>
      <c r="N181" t="inlineStr">
        <is>
          <t>system</t>
        </is>
      </c>
      <c r="O181" t="inlineStr">
        <is>
          <t>2026-06-08 04:47:44</t>
        </is>
      </c>
      <c r="P181" t="inlineStr">
        <is>
          <t>2026-06-08 04:47:44</t>
        </is>
      </c>
      <c r="Y181" t="inlineStr">
        <is>
          <t>27606383872</t>
        </is>
      </c>
    </row>
    <row r="182">
      <c r="A182" t="inlineStr">
        <is>
          <t>14815211</t>
        </is>
      </c>
      <c r="B182" t="inlineStr">
        <is>
          <t>e2b7f2ab-fb2a-402b-84fb-de487ab39b79</t>
        </is>
      </c>
      <c r="D182" t="inlineStr">
        <is>
          <t>30001085</t>
        </is>
      </c>
      <c r="E182" t="inlineStr">
        <is>
          <t>ussd_funeral_leads_altitude_20260601</t>
        </is>
      </c>
      <c r="J182" t="inlineStr">
        <is>
          <t>NA</t>
        </is>
      </c>
      <c r="K182" t="inlineStr">
        <is>
          <t>No Answer Autodial</t>
        </is>
      </c>
      <c r="L182" t="n">
        <v>6</v>
      </c>
      <c r="M182" t="inlineStr">
        <is>
          <t>2026-06-11 13:28:17</t>
        </is>
      </c>
      <c r="N182" t="inlineStr">
        <is>
          <t>system</t>
        </is>
      </c>
      <c r="O182" t="inlineStr">
        <is>
          <t>2026-06-08 04:47:44</t>
        </is>
      </c>
      <c r="P182" t="inlineStr">
        <is>
          <t>2026-06-08 04:47:44</t>
        </is>
      </c>
      <c r="Y182" t="inlineStr">
        <is>
          <t>27769653807</t>
        </is>
      </c>
    </row>
    <row r="183">
      <c r="A183" t="inlineStr">
        <is>
          <t>14815212</t>
        </is>
      </c>
      <c r="B183" t="inlineStr">
        <is>
          <t>4632b2c7-af74-4a61-a614-9ca56843d9b6</t>
        </is>
      </c>
      <c r="D183" t="inlineStr">
        <is>
          <t>30001085</t>
        </is>
      </c>
      <c r="E183" t="inlineStr">
        <is>
          <t>ussd_funeral_leads_altitude_20260601</t>
        </is>
      </c>
      <c r="J183" t="inlineStr">
        <is>
          <t>AE</t>
        </is>
      </c>
      <c r="K183" t="inlineStr">
        <is>
          <t>Auto Engaged</t>
        </is>
      </c>
      <c r="L183" t="n">
        <v>6</v>
      </c>
      <c r="M183" t="inlineStr">
        <is>
          <t>2026-06-11 13:28:12</t>
        </is>
      </c>
      <c r="N183" t="inlineStr">
        <is>
          <t>system</t>
        </is>
      </c>
      <c r="O183" t="inlineStr">
        <is>
          <t>2026-06-08 04:47:44</t>
        </is>
      </c>
      <c r="P183" t="inlineStr">
        <is>
          <t>2026-06-08 04:47:44</t>
        </is>
      </c>
      <c r="Y183" t="inlineStr">
        <is>
          <t>27822067291</t>
        </is>
      </c>
    </row>
    <row r="184">
      <c r="A184" t="inlineStr">
        <is>
          <t>14815213</t>
        </is>
      </c>
      <c r="B184" t="inlineStr">
        <is>
          <t>7e92ae0c-25fa-46a2-87ec-7762ae272a11</t>
        </is>
      </c>
      <c r="D184" t="inlineStr">
        <is>
          <t>30001085</t>
        </is>
      </c>
      <c r="E184" t="inlineStr">
        <is>
          <t>ussd_funeral_leads_altitude_20260601</t>
        </is>
      </c>
      <c r="J184" t="inlineStr">
        <is>
          <t>CU</t>
        </is>
      </c>
      <c r="K184" t="inlineStr">
        <is>
          <t>Client Hung Up</t>
        </is>
      </c>
      <c r="L184" t="n">
        <v>6</v>
      </c>
      <c r="M184" t="inlineStr">
        <is>
          <t>2026-06-11 13:28:12</t>
        </is>
      </c>
      <c r="N184" t="inlineStr">
        <is>
          <t>Gontse Monageng</t>
        </is>
      </c>
      <c r="O184" t="inlineStr">
        <is>
          <t>2026-06-08 04:47:44</t>
        </is>
      </c>
      <c r="P184" t="inlineStr">
        <is>
          <t>2026-06-08 04:47:44</t>
        </is>
      </c>
      <c r="Y184" t="inlineStr">
        <is>
          <t>27606806692</t>
        </is>
      </c>
    </row>
    <row r="185">
      <c r="A185" t="inlineStr">
        <is>
          <t>14815215</t>
        </is>
      </c>
      <c r="B185" t="inlineStr">
        <is>
          <t>c5224e50-efe8-4255-9ac8-ec598b1efa43</t>
        </is>
      </c>
      <c r="D185" t="inlineStr">
        <is>
          <t>30001085</t>
        </is>
      </c>
      <c r="E185" t="inlineStr">
        <is>
          <t>ussd_funeral_leads_altitude_20260601</t>
        </is>
      </c>
      <c r="J185" t="inlineStr">
        <is>
          <t>AA</t>
        </is>
      </c>
      <c r="K185" t="inlineStr">
        <is>
          <t>Answering Machine Autodial</t>
        </is>
      </c>
      <c r="L185" t="n">
        <v>6</v>
      </c>
      <c r="M185" t="inlineStr">
        <is>
          <t>2026-06-11 13:28:09</t>
        </is>
      </c>
      <c r="N185" t="inlineStr">
        <is>
          <t>system</t>
        </is>
      </c>
      <c r="O185" t="inlineStr">
        <is>
          <t>2026-06-08 04:47:44</t>
        </is>
      </c>
      <c r="P185" t="inlineStr">
        <is>
          <t>2026-06-08 04:47:44</t>
        </is>
      </c>
      <c r="Y185" t="inlineStr">
        <is>
          <t>27609185736</t>
        </is>
      </c>
    </row>
    <row r="186">
      <c r="A186" t="inlineStr">
        <is>
          <t>14815216</t>
        </is>
      </c>
      <c r="B186" t="inlineStr">
        <is>
          <t>145a214b-82f5-4b05-8f81-194406c6c170</t>
        </is>
      </c>
      <c r="D186" t="inlineStr">
        <is>
          <t>30001085</t>
        </is>
      </c>
      <c r="E186" t="inlineStr">
        <is>
          <t>ussd_funeral_leads_altitude_20260601</t>
        </is>
      </c>
      <c r="J186" t="inlineStr">
        <is>
          <t>AA</t>
        </is>
      </c>
      <c r="K186" t="inlineStr">
        <is>
          <t>Answering Machine Autodial</t>
        </is>
      </c>
      <c r="L186" t="n">
        <v>6</v>
      </c>
      <c r="M186" t="inlineStr">
        <is>
          <t>2026-06-11 13:28:06</t>
        </is>
      </c>
      <c r="N186" t="inlineStr">
        <is>
          <t>system</t>
        </is>
      </c>
      <c r="O186" t="inlineStr">
        <is>
          <t>2026-06-08 04:47:44</t>
        </is>
      </c>
      <c r="P186" t="inlineStr">
        <is>
          <t>2026-06-08 04:47:44</t>
        </is>
      </c>
      <c r="Y186" t="inlineStr">
        <is>
          <t>27646453880</t>
        </is>
      </c>
    </row>
    <row r="187">
      <c r="A187" t="inlineStr">
        <is>
          <t>14815217</t>
        </is>
      </c>
      <c r="B187" t="inlineStr">
        <is>
          <t>b4253312-44f3-4960-aa8d-1ea2d3f1e89b</t>
        </is>
      </c>
      <c r="D187" t="inlineStr">
        <is>
          <t>30001085</t>
        </is>
      </c>
      <c r="E187" t="inlineStr">
        <is>
          <t>ussd_funeral_leads_altitude_20260601</t>
        </is>
      </c>
      <c r="J187" t="inlineStr">
        <is>
          <t>AA</t>
        </is>
      </c>
      <c r="K187" t="inlineStr">
        <is>
          <t>Answering Machine Autodial</t>
        </is>
      </c>
      <c r="L187" t="n">
        <v>6</v>
      </c>
      <c r="M187" t="inlineStr">
        <is>
          <t>2026-06-11 13:27:58</t>
        </is>
      </c>
      <c r="N187" t="inlineStr">
        <is>
          <t>system</t>
        </is>
      </c>
      <c r="O187" t="inlineStr">
        <is>
          <t>2026-06-08 04:47:44</t>
        </is>
      </c>
      <c r="P187" t="inlineStr">
        <is>
          <t>2026-06-08 04:47:44</t>
        </is>
      </c>
      <c r="Y187" t="inlineStr">
        <is>
          <t>27818850391</t>
        </is>
      </c>
    </row>
    <row r="188">
      <c r="A188" t="inlineStr">
        <is>
          <t>14815219</t>
        </is>
      </c>
      <c r="B188" t="inlineStr">
        <is>
          <t>73fb04ed-4782-4beb-ab67-4e35c7f75a28</t>
        </is>
      </c>
      <c r="D188" t="inlineStr">
        <is>
          <t>30001085</t>
        </is>
      </c>
      <c r="E188" t="inlineStr">
        <is>
          <t>ussd_funeral_leads_altitude_20260601</t>
        </is>
      </c>
      <c r="J188" t="inlineStr">
        <is>
          <t>NA</t>
        </is>
      </c>
      <c r="K188" t="inlineStr">
        <is>
          <t>No Answer Autodial</t>
        </is>
      </c>
      <c r="L188" t="n">
        <v>6</v>
      </c>
      <c r="M188" t="inlineStr">
        <is>
          <t>2026-06-11 13:27:01</t>
        </is>
      </c>
      <c r="N188" t="inlineStr">
        <is>
          <t>system</t>
        </is>
      </c>
      <c r="O188" t="inlineStr">
        <is>
          <t>2026-06-08 04:47:44</t>
        </is>
      </c>
      <c r="P188" t="inlineStr">
        <is>
          <t>2026-06-08 04:47:44</t>
        </is>
      </c>
      <c r="Y188" t="inlineStr">
        <is>
          <t>27675812284</t>
        </is>
      </c>
    </row>
    <row r="189">
      <c r="A189" t="inlineStr">
        <is>
          <t>14815220</t>
        </is>
      </c>
      <c r="B189" t="inlineStr">
        <is>
          <t>1c8dc23f-65fb-4b4c-9024-0f29b4e77ff3</t>
        </is>
      </c>
      <c r="D189" t="inlineStr">
        <is>
          <t>30001085</t>
        </is>
      </c>
      <c r="E189" t="inlineStr">
        <is>
          <t>ussd_funeral_leads_altitude_20260601</t>
        </is>
      </c>
      <c r="J189" t="inlineStr">
        <is>
          <t>CU</t>
        </is>
      </c>
      <c r="K189" t="inlineStr">
        <is>
          <t>Client Hung Up</t>
        </is>
      </c>
      <c r="L189" t="n">
        <v>6</v>
      </c>
      <c r="M189" t="inlineStr">
        <is>
          <t>2026-06-11 13:26:53</t>
        </is>
      </c>
      <c r="N189" t="inlineStr">
        <is>
          <t>Vuyiswa Nxumalo</t>
        </is>
      </c>
      <c r="O189" t="inlineStr">
        <is>
          <t>2026-06-08 04:47:44</t>
        </is>
      </c>
      <c r="P189" t="inlineStr">
        <is>
          <t>2026-06-08 04:47:44</t>
        </is>
      </c>
      <c r="Y189" t="inlineStr">
        <is>
          <t>27726658121</t>
        </is>
      </c>
    </row>
    <row r="190">
      <c r="A190" t="inlineStr">
        <is>
          <t>14815222</t>
        </is>
      </c>
      <c r="B190" t="inlineStr">
        <is>
          <t>56a20114-6dbe-4c83-9a85-4bc0d9be9cd0</t>
        </is>
      </c>
      <c r="D190" t="inlineStr">
        <is>
          <t>30001085</t>
        </is>
      </c>
      <c r="E190" t="inlineStr">
        <is>
          <t>ussd_funeral_leads_altitude_20260601</t>
        </is>
      </c>
      <c r="J190" t="inlineStr">
        <is>
          <t>NA</t>
        </is>
      </c>
      <c r="K190" t="inlineStr">
        <is>
          <t>No Answer Autodial</t>
        </is>
      </c>
      <c r="L190" t="n">
        <v>6</v>
      </c>
      <c r="M190" t="inlineStr">
        <is>
          <t>2026-06-11 13:26:53</t>
        </is>
      </c>
      <c r="N190" t="inlineStr">
        <is>
          <t>system</t>
        </is>
      </c>
      <c r="O190" t="inlineStr">
        <is>
          <t>2026-06-08 04:47:44</t>
        </is>
      </c>
      <c r="P190" t="inlineStr">
        <is>
          <t>2026-06-08 04:47:44</t>
        </is>
      </c>
      <c r="Y190" t="inlineStr">
        <is>
          <t>27793131562</t>
        </is>
      </c>
    </row>
    <row r="191">
      <c r="A191" t="inlineStr">
        <is>
          <t>14800000</t>
        </is>
      </c>
      <c r="B191" t="inlineStr">
        <is>
          <t>e35332cc-8bb5-4407-bba9-07b181e2fbed</t>
        </is>
      </c>
      <c r="D191" t="inlineStr">
        <is>
          <t>30001085</t>
        </is>
      </c>
      <c r="E191" t="inlineStr">
        <is>
          <t>ussd_funeral_leads_altitude_20260601</t>
        </is>
      </c>
      <c r="J191" t="inlineStr">
        <is>
          <t>NA</t>
        </is>
      </c>
      <c r="K191" t="inlineStr">
        <is>
          <t>No Answer Autodial</t>
        </is>
      </c>
      <c r="L191" t="n">
        <v>6</v>
      </c>
      <c r="M191" t="inlineStr">
        <is>
          <t>2026-06-11 13:26:42</t>
        </is>
      </c>
      <c r="N191" t="inlineStr">
        <is>
          <t>system</t>
        </is>
      </c>
      <c r="O191" t="inlineStr">
        <is>
          <t>2026-06-08 04:47:44</t>
        </is>
      </c>
      <c r="P191" t="inlineStr">
        <is>
          <t>2026-06-08 04:47:44</t>
        </is>
      </c>
      <c r="Y191" t="inlineStr">
        <is>
          <t>27794889230</t>
        </is>
      </c>
    </row>
    <row r="192">
      <c r="A192" t="inlineStr">
        <is>
          <t>14815239</t>
        </is>
      </c>
      <c r="B192" t="inlineStr">
        <is>
          <t>93175e44-91f3-48c3-91a2-28460965f69c</t>
        </is>
      </c>
      <c r="D192" t="inlineStr">
        <is>
          <t>30001085</t>
        </is>
      </c>
      <c r="E192" t="inlineStr">
        <is>
          <t>ussd_funeral_leads_altitude_20260601</t>
        </is>
      </c>
      <c r="J192" t="inlineStr">
        <is>
          <t>AA</t>
        </is>
      </c>
      <c r="K192" t="inlineStr">
        <is>
          <t>Answering Machine Autodial</t>
        </is>
      </c>
      <c r="L192" t="n">
        <v>6</v>
      </c>
      <c r="M192" t="inlineStr">
        <is>
          <t>2026-06-11 13:26:39</t>
        </is>
      </c>
      <c r="N192" t="inlineStr">
        <is>
          <t>system</t>
        </is>
      </c>
      <c r="O192" t="inlineStr">
        <is>
          <t>2026-06-08 04:47:44</t>
        </is>
      </c>
      <c r="P192" t="inlineStr">
        <is>
          <t>2026-06-08 04:47:44</t>
        </is>
      </c>
      <c r="Y192" t="inlineStr">
        <is>
          <t>27765538559</t>
        </is>
      </c>
    </row>
    <row r="193">
      <c r="A193" t="inlineStr">
        <is>
          <t>14815248</t>
        </is>
      </c>
      <c r="B193" t="inlineStr">
        <is>
          <t>dc3ba3dd-b53c-4bce-87e9-6e685b9cb258</t>
        </is>
      </c>
      <c r="D193" t="inlineStr">
        <is>
          <t>30001085</t>
        </is>
      </c>
      <c r="E193" t="inlineStr">
        <is>
          <t>ussd_funeral_leads_altitude_20260601</t>
        </is>
      </c>
      <c r="J193" t="inlineStr">
        <is>
          <t>AA</t>
        </is>
      </c>
      <c r="K193" t="inlineStr">
        <is>
          <t>Answering Machine Autodial</t>
        </is>
      </c>
      <c r="L193" t="n">
        <v>6</v>
      </c>
      <c r="M193" t="inlineStr">
        <is>
          <t>2026-06-11 13:26:34</t>
        </is>
      </c>
      <c r="N193" t="inlineStr">
        <is>
          <t>system</t>
        </is>
      </c>
      <c r="O193" t="inlineStr">
        <is>
          <t>2026-06-08 04:47:44</t>
        </is>
      </c>
      <c r="P193" t="inlineStr">
        <is>
          <t>2026-06-08 04:47:44</t>
        </is>
      </c>
      <c r="Y193" t="inlineStr">
        <is>
          <t>27794255374</t>
        </is>
      </c>
    </row>
    <row r="194">
      <c r="A194" t="inlineStr">
        <is>
          <t>14815241</t>
        </is>
      </c>
      <c r="B194" t="inlineStr">
        <is>
          <t>656d3ad5-7515-4452-a8e4-edf59152e4a3</t>
        </is>
      </c>
      <c r="D194" t="inlineStr">
        <is>
          <t>30001085</t>
        </is>
      </c>
      <c r="E194" t="inlineStr">
        <is>
          <t>ussd_funeral_leads_altitude_20260601</t>
        </is>
      </c>
      <c r="J194" t="inlineStr">
        <is>
          <t>DROP</t>
        </is>
      </c>
      <c r="K194" t="inlineStr">
        <is>
          <t>Dropped</t>
        </is>
      </c>
      <c r="L194" t="n">
        <v>6</v>
      </c>
      <c r="M194" t="inlineStr">
        <is>
          <t>2026-06-11 13:25:54</t>
        </is>
      </c>
      <c r="N194" t="inlineStr">
        <is>
          <t>system</t>
        </is>
      </c>
      <c r="O194" t="inlineStr">
        <is>
          <t>2026-06-08 04:47:44</t>
        </is>
      </c>
      <c r="P194" t="inlineStr">
        <is>
          <t>2026-06-08 04:47:44</t>
        </is>
      </c>
      <c r="Y194" t="inlineStr">
        <is>
          <t>27768552505</t>
        </is>
      </c>
    </row>
    <row r="195">
      <c r="A195" t="inlineStr">
        <is>
          <t>14815245</t>
        </is>
      </c>
      <c r="B195" t="inlineStr">
        <is>
          <t>433c3e2b-283e-4f83-bc7e-649467425f6c</t>
        </is>
      </c>
      <c r="D195" t="inlineStr">
        <is>
          <t>30001085</t>
        </is>
      </c>
      <c r="E195" t="inlineStr">
        <is>
          <t>ussd_funeral_leads_altitude_20260601</t>
        </is>
      </c>
      <c r="J195" t="inlineStr">
        <is>
          <t>AA</t>
        </is>
      </c>
      <c r="K195" t="inlineStr">
        <is>
          <t>Answering Machine Autodial</t>
        </is>
      </c>
      <c r="L195" t="n">
        <v>6</v>
      </c>
      <c r="M195" t="inlineStr">
        <is>
          <t>2026-06-11 13:25:47</t>
        </is>
      </c>
      <c r="N195" t="inlineStr">
        <is>
          <t>system</t>
        </is>
      </c>
      <c r="O195" t="inlineStr">
        <is>
          <t>2026-06-08 04:47:44</t>
        </is>
      </c>
      <c r="P195" t="inlineStr">
        <is>
          <t>2026-06-08 04:47:44</t>
        </is>
      </c>
      <c r="Y195" t="inlineStr">
        <is>
          <t>27664214379</t>
        </is>
      </c>
    </row>
    <row r="196">
      <c r="A196" t="inlineStr">
        <is>
          <t>14815246</t>
        </is>
      </c>
      <c r="B196" t="inlineStr">
        <is>
          <t>38b2bbdd-6cec-47cd-8b6d-d737497d21ed</t>
        </is>
      </c>
      <c r="D196" t="inlineStr">
        <is>
          <t>30001085</t>
        </is>
      </c>
      <c r="E196" t="inlineStr">
        <is>
          <t>ussd_funeral_leads_altitude_20260601</t>
        </is>
      </c>
      <c r="J196" t="inlineStr">
        <is>
          <t>NA</t>
        </is>
      </c>
      <c r="K196" t="inlineStr">
        <is>
          <t>No Answer Autodial</t>
        </is>
      </c>
      <c r="L196" t="n">
        <v>6</v>
      </c>
      <c r="M196" t="inlineStr">
        <is>
          <t>2026-06-11 13:25:15</t>
        </is>
      </c>
      <c r="N196" t="inlineStr">
        <is>
          <t>system</t>
        </is>
      </c>
      <c r="O196" t="inlineStr">
        <is>
          <t>2026-06-08 04:47:44</t>
        </is>
      </c>
      <c r="P196" t="inlineStr">
        <is>
          <t>2026-06-08 04:47:44</t>
        </is>
      </c>
      <c r="Y196" t="inlineStr">
        <is>
          <t>27797790491</t>
        </is>
      </c>
    </row>
    <row r="197">
      <c r="A197" t="inlineStr">
        <is>
          <t>14815247</t>
        </is>
      </c>
      <c r="B197" t="inlineStr">
        <is>
          <t>3735e3fb-6042-4481-b7e3-09c072b08fb6</t>
        </is>
      </c>
      <c r="D197" t="inlineStr">
        <is>
          <t>30001085</t>
        </is>
      </c>
      <c r="E197" t="inlineStr">
        <is>
          <t>ussd_funeral_leads_altitude_20260601</t>
        </is>
      </c>
      <c r="J197" t="inlineStr">
        <is>
          <t>AE</t>
        </is>
      </c>
      <c r="K197" t="inlineStr">
        <is>
          <t>Auto Engaged</t>
        </is>
      </c>
      <c r="L197" t="n">
        <v>6</v>
      </c>
      <c r="M197" t="inlineStr">
        <is>
          <t>2026-06-11 13:24:52</t>
        </is>
      </c>
      <c r="N197" t="inlineStr">
        <is>
          <t>system</t>
        </is>
      </c>
      <c r="O197" t="inlineStr">
        <is>
          <t>2026-06-08 04:47:44</t>
        </is>
      </c>
      <c r="P197" t="inlineStr">
        <is>
          <t>2026-06-08 04:47:44</t>
        </is>
      </c>
      <c r="Y197" t="inlineStr">
        <is>
          <t>27723278313</t>
        </is>
      </c>
    </row>
    <row r="198">
      <c r="A198" t="inlineStr">
        <is>
          <t>14815223</t>
        </is>
      </c>
      <c r="B198" t="inlineStr">
        <is>
          <t>1fe804f7-bf0c-43ab-8e07-197f8e4dd702</t>
        </is>
      </c>
      <c r="D198" t="inlineStr">
        <is>
          <t>30001085</t>
        </is>
      </c>
      <c r="E198" t="inlineStr">
        <is>
          <t>ussd_funeral_leads_altitude_20260601</t>
        </is>
      </c>
      <c r="J198" t="inlineStr">
        <is>
          <t>NA</t>
        </is>
      </c>
      <c r="K198" t="inlineStr">
        <is>
          <t>No Answer Autodial</t>
        </is>
      </c>
      <c r="L198" t="n">
        <v>6</v>
      </c>
      <c r="M198" t="inlineStr">
        <is>
          <t>2026-06-11 13:24:20</t>
        </is>
      </c>
      <c r="N198" t="inlineStr">
        <is>
          <t>system</t>
        </is>
      </c>
      <c r="O198" t="inlineStr">
        <is>
          <t>2026-06-08 04:47:44</t>
        </is>
      </c>
      <c r="P198" t="inlineStr">
        <is>
          <t>2026-06-08 04:47:44</t>
        </is>
      </c>
      <c r="Y198" t="inlineStr">
        <is>
          <t>27762656451</t>
        </is>
      </c>
    </row>
    <row r="199">
      <c r="A199" t="inlineStr">
        <is>
          <t>14815225</t>
        </is>
      </c>
      <c r="B199" t="inlineStr">
        <is>
          <t>8b0c069d-f5dc-4cfd-9218-3aef0b22fbff</t>
        </is>
      </c>
      <c r="D199" t="inlineStr">
        <is>
          <t>30001085</t>
        </is>
      </c>
      <c r="E199" t="inlineStr">
        <is>
          <t>ussd_funeral_leads_altitude_20260601</t>
        </is>
      </c>
      <c r="J199" t="inlineStr">
        <is>
          <t>AA</t>
        </is>
      </c>
      <c r="K199" t="inlineStr">
        <is>
          <t>Answering Machine Autodial</t>
        </is>
      </c>
      <c r="L199" t="n">
        <v>6</v>
      </c>
      <c r="M199" t="inlineStr">
        <is>
          <t>2026-06-11 13:24:20</t>
        </is>
      </c>
      <c r="N199" t="inlineStr">
        <is>
          <t>system</t>
        </is>
      </c>
      <c r="O199" t="inlineStr">
        <is>
          <t>2026-06-08 04:47:44</t>
        </is>
      </c>
      <c r="P199" t="inlineStr">
        <is>
          <t>2026-06-08 04:47:44</t>
        </is>
      </c>
      <c r="Y199" t="inlineStr">
        <is>
          <t>27822567143</t>
        </is>
      </c>
    </row>
    <row r="200">
      <c r="A200" t="inlineStr">
        <is>
          <t>14815227</t>
        </is>
      </c>
      <c r="B200" t="inlineStr">
        <is>
          <t>215e0c03-7b76-4676-8380-6d782e209488</t>
        </is>
      </c>
      <c r="D200" t="inlineStr">
        <is>
          <t>30001085</t>
        </is>
      </c>
      <c r="E200" t="inlineStr">
        <is>
          <t>ussd_funeral_leads_altitude_20260601</t>
        </is>
      </c>
      <c r="J200" t="inlineStr">
        <is>
          <t>AA</t>
        </is>
      </c>
      <c r="K200" t="inlineStr">
        <is>
          <t>Answering Machine Autodial</t>
        </is>
      </c>
      <c r="L200" t="n">
        <v>6</v>
      </c>
      <c r="M200" t="inlineStr">
        <is>
          <t>2026-06-11 13:23:40</t>
        </is>
      </c>
      <c r="N200" t="inlineStr">
        <is>
          <t>system</t>
        </is>
      </c>
      <c r="O200" t="inlineStr">
        <is>
          <t>2026-06-08 04:47:44</t>
        </is>
      </c>
      <c r="P200" t="inlineStr">
        <is>
          <t>2026-06-08 04:47:44</t>
        </is>
      </c>
      <c r="Y200" t="inlineStr">
        <is>
          <t>27827501092</t>
        </is>
      </c>
    </row>
    <row r="201">
      <c r="A201" t="inlineStr">
        <is>
          <t>14815226</t>
        </is>
      </c>
      <c r="B201" t="inlineStr">
        <is>
          <t>bf852b50-90ee-4d9e-954b-7db340f2191d</t>
        </is>
      </c>
      <c r="D201" t="inlineStr">
        <is>
          <t>30001085</t>
        </is>
      </c>
      <c r="E201" t="inlineStr">
        <is>
          <t>ussd_funeral_leads_altitude_20260601</t>
        </is>
      </c>
      <c r="J201" t="inlineStr">
        <is>
          <t>CU</t>
        </is>
      </c>
      <c r="K201" t="inlineStr">
        <is>
          <t>Client Hung Up</t>
        </is>
      </c>
      <c r="L201" t="n">
        <v>6</v>
      </c>
      <c r="M201" t="inlineStr">
        <is>
          <t>2026-06-11 13:23:39</t>
        </is>
      </c>
      <c r="N201" t="inlineStr">
        <is>
          <t>Gontse Monageng</t>
        </is>
      </c>
      <c r="O201" t="inlineStr">
        <is>
          <t>2026-06-08 04:47:44</t>
        </is>
      </c>
      <c r="P201" t="inlineStr">
        <is>
          <t>2026-06-08 04:47:44</t>
        </is>
      </c>
      <c r="Y201" t="inlineStr">
        <is>
          <t>27607701400</t>
        </is>
      </c>
    </row>
    <row r="202">
      <c r="A202" t="inlineStr">
        <is>
          <t>14815228</t>
        </is>
      </c>
      <c r="B202" t="inlineStr">
        <is>
          <t>af6d547d-a88b-4a06-a427-896116f74631</t>
        </is>
      </c>
      <c r="D202" t="inlineStr">
        <is>
          <t>30001085</t>
        </is>
      </c>
      <c r="E202" t="inlineStr">
        <is>
          <t>ussd_funeral_leads_altitude_20260601</t>
        </is>
      </c>
      <c r="J202" t="inlineStr">
        <is>
          <t>AA</t>
        </is>
      </c>
      <c r="K202" t="inlineStr">
        <is>
          <t>Answering Machine Autodial</t>
        </is>
      </c>
      <c r="L202" t="n">
        <v>6</v>
      </c>
      <c r="M202" t="inlineStr">
        <is>
          <t>2026-06-11 13:23:33</t>
        </is>
      </c>
      <c r="N202" t="inlineStr">
        <is>
          <t>system</t>
        </is>
      </c>
      <c r="O202" t="inlineStr">
        <is>
          <t>2026-06-08 04:47:44</t>
        </is>
      </c>
      <c r="P202" t="inlineStr">
        <is>
          <t>2026-06-08 04:47:44</t>
        </is>
      </c>
      <c r="Y202" t="inlineStr">
        <is>
          <t>27799107663</t>
        </is>
      </c>
    </row>
    <row r="203">
      <c r="A203" t="inlineStr">
        <is>
          <t>14815229</t>
        </is>
      </c>
      <c r="B203" t="inlineStr">
        <is>
          <t>47a6b597-e797-4bd8-ae11-e573e5390adf</t>
        </is>
      </c>
      <c r="D203" t="inlineStr">
        <is>
          <t>30001085</t>
        </is>
      </c>
      <c r="E203" t="inlineStr">
        <is>
          <t>ussd_funeral_leads_altitude_20260601</t>
        </is>
      </c>
      <c r="J203" t="inlineStr">
        <is>
          <t>NA</t>
        </is>
      </c>
      <c r="K203" t="inlineStr">
        <is>
          <t>No Answer Autodial</t>
        </is>
      </c>
      <c r="L203" t="n">
        <v>6</v>
      </c>
      <c r="M203" t="inlineStr">
        <is>
          <t>2026-06-11 13:23:32</t>
        </is>
      </c>
      <c r="N203" t="inlineStr">
        <is>
          <t>system</t>
        </is>
      </c>
      <c r="O203" t="inlineStr">
        <is>
          <t>2026-06-08 04:47:44</t>
        </is>
      </c>
      <c r="P203" t="inlineStr">
        <is>
          <t>2026-06-08 04:47:44</t>
        </is>
      </c>
      <c r="Y203" t="inlineStr">
        <is>
          <t>27769367659</t>
        </is>
      </c>
    </row>
    <row r="204">
      <c r="A204" t="inlineStr">
        <is>
          <t>14815232</t>
        </is>
      </c>
      <c r="B204" t="inlineStr">
        <is>
          <t>408654ef-1b0d-4679-973a-4e192f3a535b</t>
        </is>
      </c>
      <c r="D204" t="inlineStr">
        <is>
          <t>30001085</t>
        </is>
      </c>
      <c r="E204" t="inlineStr">
        <is>
          <t>ussd_funeral_leads_altitude_20260601</t>
        </is>
      </c>
      <c r="J204" t="inlineStr">
        <is>
          <t>AE</t>
        </is>
      </c>
      <c r="K204" t="inlineStr">
        <is>
          <t>Auto Engaged</t>
        </is>
      </c>
      <c r="L204" t="n">
        <v>6</v>
      </c>
      <c r="M204" t="inlineStr">
        <is>
          <t>2026-06-11 13:23:29</t>
        </is>
      </c>
      <c r="N204" t="inlineStr">
        <is>
          <t>system</t>
        </is>
      </c>
      <c r="O204" t="inlineStr">
        <is>
          <t>2026-06-08 04:47:44</t>
        </is>
      </c>
      <c r="P204" t="inlineStr">
        <is>
          <t>2026-06-08 04:47:44</t>
        </is>
      </c>
      <c r="Y204" t="inlineStr">
        <is>
          <t>27660161384</t>
        </is>
      </c>
    </row>
    <row r="205">
      <c r="A205" t="inlineStr">
        <is>
          <t>14815233</t>
        </is>
      </c>
      <c r="B205" t="inlineStr">
        <is>
          <t>fe5068c9-fcf2-4434-a129-809ab28fa7f7</t>
        </is>
      </c>
      <c r="D205" t="inlineStr">
        <is>
          <t>30001085</t>
        </is>
      </c>
      <c r="E205" t="inlineStr">
        <is>
          <t>ussd_funeral_leads_altitude_20260601</t>
        </is>
      </c>
      <c r="J205" t="inlineStr">
        <is>
          <t>TDN</t>
        </is>
      </c>
      <c r="K205" t="inlineStr">
        <is>
          <t>Temporary Disconnected Number</t>
        </is>
      </c>
      <c r="L205" t="n">
        <v>6</v>
      </c>
      <c r="M205" t="inlineStr">
        <is>
          <t>2026-06-11 13:23:12</t>
        </is>
      </c>
      <c r="N205" t="inlineStr">
        <is>
          <t>system</t>
        </is>
      </c>
      <c r="O205" t="inlineStr">
        <is>
          <t>2026-06-08 04:47:44</t>
        </is>
      </c>
      <c r="P205" t="inlineStr">
        <is>
          <t>2026-06-08 04:47:44</t>
        </is>
      </c>
      <c r="Y205" t="inlineStr">
        <is>
          <t>27825227102</t>
        </is>
      </c>
    </row>
    <row r="206">
      <c r="A206" t="inlineStr">
        <is>
          <t>14815234</t>
        </is>
      </c>
      <c r="B206" t="inlineStr">
        <is>
          <t>97452f71-f1f5-4d03-8d5c-1d2898550770</t>
        </is>
      </c>
      <c r="D206" t="inlineStr">
        <is>
          <t>30001085</t>
        </is>
      </c>
      <c r="E206" t="inlineStr">
        <is>
          <t>ussd_funeral_leads_altitude_20260601</t>
        </is>
      </c>
      <c r="J206" t="inlineStr">
        <is>
          <t>AA</t>
        </is>
      </c>
      <c r="K206" t="inlineStr">
        <is>
          <t>Answering Machine Autodial</t>
        </is>
      </c>
      <c r="L206" t="n">
        <v>6</v>
      </c>
      <c r="M206" t="inlineStr">
        <is>
          <t>2026-06-11 13:23:00</t>
        </is>
      </c>
      <c r="N206" t="inlineStr">
        <is>
          <t>system</t>
        </is>
      </c>
      <c r="O206" t="inlineStr">
        <is>
          <t>2026-06-08 04:47:44</t>
        </is>
      </c>
      <c r="P206" t="inlineStr">
        <is>
          <t>2026-06-08 04:47:44</t>
        </is>
      </c>
      <c r="Y206" t="inlineStr">
        <is>
          <t>27727566726</t>
        </is>
      </c>
    </row>
    <row r="207">
      <c r="A207" t="inlineStr">
        <is>
          <t>14815235</t>
        </is>
      </c>
      <c r="B207" t="inlineStr">
        <is>
          <t>dbe1aa64-f680-4816-9040-1450eb7ae2fe</t>
        </is>
      </c>
      <c r="D207" t="inlineStr">
        <is>
          <t>30001085</t>
        </is>
      </c>
      <c r="E207" t="inlineStr">
        <is>
          <t>ussd_funeral_leads_altitude_20260601</t>
        </is>
      </c>
      <c r="J207" t="inlineStr">
        <is>
          <t>NA</t>
        </is>
      </c>
      <c r="K207" t="inlineStr">
        <is>
          <t>No Answer Autodial</t>
        </is>
      </c>
      <c r="L207" t="n">
        <v>6</v>
      </c>
      <c r="M207" t="inlineStr">
        <is>
          <t>2026-06-11 13:23:00</t>
        </is>
      </c>
      <c r="N207" t="inlineStr">
        <is>
          <t>system</t>
        </is>
      </c>
      <c r="O207" t="inlineStr">
        <is>
          <t>2026-06-08 04:47:44</t>
        </is>
      </c>
      <c r="P207" t="inlineStr">
        <is>
          <t>2026-06-08 04:47:44</t>
        </is>
      </c>
      <c r="Y207" t="inlineStr">
        <is>
          <t>27723107102</t>
        </is>
      </c>
    </row>
    <row r="208">
      <c r="A208" t="inlineStr">
        <is>
          <t>14814932</t>
        </is>
      </c>
      <c r="B208" t="inlineStr">
        <is>
          <t>ce8b3309-f03d-4f9e-8b70-88663d66bedf</t>
        </is>
      </c>
      <c r="D208" t="inlineStr">
        <is>
          <t>30001085</t>
        </is>
      </c>
      <c r="E208" t="inlineStr">
        <is>
          <t>ussd_funeral_leads_altitude_20260601</t>
        </is>
      </c>
      <c r="J208" t="inlineStr">
        <is>
          <t>NA</t>
        </is>
      </c>
      <c r="K208" t="inlineStr">
        <is>
          <t>No Answer Autodial</t>
        </is>
      </c>
      <c r="L208" t="n">
        <v>6</v>
      </c>
      <c r="M208" t="inlineStr">
        <is>
          <t>2026-06-11 13:22:12</t>
        </is>
      </c>
      <c r="N208" t="inlineStr">
        <is>
          <t>system</t>
        </is>
      </c>
      <c r="O208" t="inlineStr">
        <is>
          <t>2026-06-08 04:47:44</t>
        </is>
      </c>
      <c r="P208" t="inlineStr">
        <is>
          <t>2026-06-08 04:47:44</t>
        </is>
      </c>
      <c r="Y208" t="inlineStr">
        <is>
          <t>27712725604</t>
        </is>
      </c>
    </row>
    <row r="209">
      <c r="A209" t="inlineStr">
        <is>
          <t>14814930</t>
        </is>
      </c>
      <c r="B209" t="inlineStr">
        <is>
          <t>00b0c7cf-d72e-4a06-b258-ebcb95e7c3a4</t>
        </is>
      </c>
      <c r="D209" t="inlineStr">
        <is>
          <t>30001085</t>
        </is>
      </c>
      <c r="E209" t="inlineStr">
        <is>
          <t>ussd_funeral_leads_altitude_20260601</t>
        </is>
      </c>
      <c r="J209" t="inlineStr">
        <is>
          <t>CU</t>
        </is>
      </c>
      <c r="K209" t="inlineStr">
        <is>
          <t>Client Hung Up</t>
        </is>
      </c>
      <c r="L209" t="n">
        <v>6</v>
      </c>
      <c r="M209" t="inlineStr">
        <is>
          <t>2026-06-11 13:22:06</t>
        </is>
      </c>
      <c r="N209" t="inlineStr">
        <is>
          <t>Vuyiswa Nxumalo</t>
        </is>
      </c>
      <c r="O209" t="inlineStr">
        <is>
          <t>2026-06-08 04:47:44</t>
        </is>
      </c>
      <c r="P209" t="inlineStr">
        <is>
          <t>2026-06-08 04:47:44</t>
        </is>
      </c>
      <c r="Y209" t="inlineStr">
        <is>
          <t>27766291750</t>
        </is>
      </c>
    </row>
    <row r="210">
      <c r="A210" t="inlineStr">
        <is>
          <t>14814931</t>
        </is>
      </c>
      <c r="B210" t="inlineStr">
        <is>
          <t>5871b951-5e09-48c9-8332-d0131a04054a</t>
        </is>
      </c>
      <c r="D210" t="inlineStr">
        <is>
          <t>30001085</t>
        </is>
      </c>
      <c r="E210" t="inlineStr">
        <is>
          <t>ussd_funeral_leads_altitude_20260601</t>
        </is>
      </c>
      <c r="J210" t="inlineStr">
        <is>
          <t>NA</t>
        </is>
      </c>
      <c r="K210" t="inlineStr">
        <is>
          <t>No Answer Autodial</t>
        </is>
      </c>
      <c r="L210" t="n">
        <v>6</v>
      </c>
      <c r="M210" t="inlineStr">
        <is>
          <t>2026-06-11 13:22:06</t>
        </is>
      </c>
      <c r="N210" t="inlineStr">
        <is>
          <t>system</t>
        </is>
      </c>
      <c r="O210" t="inlineStr">
        <is>
          <t>2026-06-08 04:47:44</t>
        </is>
      </c>
      <c r="P210" t="inlineStr">
        <is>
          <t>2026-06-08 04:47:44</t>
        </is>
      </c>
      <c r="Y210" t="inlineStr">
        <is>
          <t>27673217479</t>
        </is>
      </c>
    </row>
    <row r="211">
      <c r="A211" t="inlineStr">
        <is>
          <t>14814928</t>
        </is>
      </c>
      <c r="B211" t="inlineStr">
        <is>
          <t>af742d72-7045-434e-8355-d442bb46ca04</t>
        </is>
      </c>
      <c r="D211" t="inlineStr">
        <is>
          <t>30001085</t>
        </is>
      </c>
      <c r="E211" t="inlineStr">
        <is>
          <t>ussd_funeral_leads_altitude_20260601</t>
        </is>
      </c>
      <c r="H211" t="inlineStr">
        <is>
          <t>27799803793</t>
        </is>
      </c>
      <c r="J211" t="inlineStr">
        <is>
          <t>CU</t>
        </is>
      </c>
      <c r="K211" t="inlineStr">
        <is>
          <t>Client Hung Up</t>
        </is>
      </c>
      <c r="L211" t="n">
        <v>6</v>
      </c>
      <c r="M211" t="inlineStr">
        <is>
          <t>2026-06-11 13:22:02</t>
        </is>
      </c>
      <c r="N211" t="inlineStr">
        <is>
          <t>Gontse Monageng</t>
        </is>
      </c>
      <c r="O211" t="inlineStr">
        <is>
          <t>2026-06-08 04:47:44</t>
        </is>
      </c>
      <c r="P211" t="inlineStr">
        <is>
          <t>2026-06-08 04:47:44</t>
        </is>
      </c>
      <c r="Y211" t="inlineStr">
        <is>
          <t>27799803793</t>
        </is>
      </c>
    </row>
    <row r="212">
      <c r="A212" t="inlineStr">
        <is>
          <t>14814926</t>
        </is>
      </c>
      <c r="B212" t="inlineStr">
        <is>
          <t>961069ff-e10c-45e1-8655-ec3f1c3da6ab</t>
        </is>
      </c>
      <c r="D212" t="inlineStr">
        <is>
          <t>30001085</t>
        </is>
      </c>
      <c r="E212" t="inlineStr">
        <is>
          <t>ussd_funeral_leads_altitude_20260601</t>
        </is>
      </c>
      <c r="J212" t="inlineStr">
        <is>
          <t>AA</t>
        </is>
      </c>
      <c r="K212" t="inlineStr">
        <is>
          <t>Answering Machine Autodial</t>
        </is>
      </c>
      <c r="L212" t="n">
        <v>6</v>
      </c>
      <c r="M212" t="inlineStr">
        <is>
          <t>2026-06-11 13:21:57</t>
        </is>
      </c>
      <c r="N212" t="inlineStr">
        <is>
          <t>system</t>
        </is>
      </c>
      <c r="O212" t="inlineStr">
        <is>
          <t>2026-06-08 04:47:44</t>
        </is>
      </c>
      <c r="P212" t="inlineStr">
        <is>
          <t>2026-06-08 04:47:44</t>
        </is>
      </c>
      <c r="Y212" t="inlineStr">
        <is>
          <t>27673020372</t>
        </is>
      </c>
    </row>
    <row r="213">
      <c r="A213" t="inlineStr">
        <is>
          <t>14814927</t>
        </is>
      </c>
      <c r="B213" t="inlineStr">
        <is>
          <t>c0300788-7f20-4fd9-8882-01c0d72757ed</t>
        </is>
      </c>
      <c r="D213" t="inlineStr">
        <is>
          <t>30001085</t>
        </is>
      </c>
      <c r="E213" t="inlineStr">
        <is>
          <t>ussd_funeral_leads_altitude_20260601</t>
        </is>
      </c>
      <c r="J213" t="inlineStr">
        <is>
          <t>AE</t>
        </is>
      </c>
      <c r="K213" t="inlineStr">
        <is>
          <t>Auto Engaged</t>
        </is>
      </c>
      <c r="L213" t="n">
        <v>6</v>
      </c>
      <c r="M213" t="inlineStr">
        <is>
          <t>2026-06-11 13:21:57</t>
        </is>
      </c>
      <c r="N213" t="inlineStr">
        <is>
          <t>system</t>
        </is>
      </c>
      <c r="O213" t="inlineStr">
        <is>
          <t>2026-06-08 04:47:44</t>
        </is>
      </c>
      <c r="P213" t="inlineStr">
        <is>
          <t>2026-06-08 04:47:44</t>
        </is>
      </c>
      <c r="Y213" t="inlineStr">
        <is>
          <t>27762451774</t>
        </is>
      </c>
    </row>
    <row r="214">
      <c r="A214" t="inlineStr">
        <is>
          <t>14814925</t>
        </is>
      </c>
      <c r="B214" t="inlineStr">
        <is>
          <t>0250e2d0-3d9a-46fc-b8b3-ba965348c68a</t>
        </is>
      </c>
      <c r="D214" t="inlineStr">
        <is>
          <t>30001085</t>
        </is>
      </c>
      <c r="E214" t="inlineStr">
        <is>
          <t>ussd_funeral_leads_altitude_20260601</t>
        </is>
      </c>
      <c r="J214" t="inlineStr">
        <is>
          <t>AA</t>
        </is>
      </c>
      <c r="K214" t="inlineStr">
        <is>
          <t>Answering Machine Autodial</t>
        </is>
      </c>
      <c r="L214" t="n">
        <v>6</v>
      </c>
      <c r="M214" t="inlineStr">
        <is>
          <t>2026-06-11 13:21:03</t>
        </is>
      </c>
      <c r="N214" t="inlineStr">
        <is>
          <t>system</t>
        </is>
      </c>
      <c r="O214" t="inlineStr">
        <is>
          <t>2026-06-08 04:47:44</t>
        </is>
      </c>
      <c r="P214" t="inlineStr">
        <is>
          <t>2026-06-08 04:47:44</t>
        </is>
      </c>
      <c r="Y214" t="inlineStr">
        <is>
          <t>27715059846</t>
        </is>
      </c>
    </row>
    <row r="215">
      <c r="A215" t="inlineStr">
        <is>
          <t>14814921</t>
        </is>
      </c>
      <c r="B215" t="inlineStr">
        <is>
          <t>1dc12e05-fc88-41cc-9d73-1d9107be1d11</t>
        </is>
      </c>
      <c r="D215" t="inlineStr">
        <is>
          <t>30001085</t>
        </is>
      </c>
      <c r="E215" t="inlineStr">
        <is>
          <t>ussd_funeral_leads_altitude_20260601</t>
        </is>
      </c>
      <c r="J215" t="inlineStr">
        <is>
          <t>AE</t>
        </is>
      </c>
      <c r="K215" t="inlineStr">
        <is>
          <t>Auto Engaged</t>
        </is>
      </c>
      <c r="L215" t="n">
        <v>6</v>
      </c>
      <c r="M215" t="inlineStr">
        <is>
          <t>2026-06-11 13:21:00</t>
        </is>
      </c>
      <c r="N215" t="inlineStr">
        <is>
          <t>system</t>
        </is>
      </c>
      <c r="O215" t="inlineStr">
        <is>
          <t>2026-06-08 04:47:44</t>
        </is>
      </c>
      <c r="P215" t="inlineStr">
        <is>
          <t>2026-06-08 04:47:44</t>
        </is>
      </c>
      <c r="Y215" t="inlineStr">
        <is>
          <t>27822923241</t>
        </is>
      </c>
    </row>
    <row r="216">
      <c r="A216" t="inlineStr">
        <is>
          <t>14814920</t>
        </is>
      </c>
      <c r="B216" t="inlineStr">
        <is>
          <t>f159596b-a476-4036-95ed-cd84bca5a858</t>
        </is>
      </c>
      <c r="D216" t="inlineStr">
        <is>
          <t>30001085</t>
        </is>
      </c>
      <c r="E216" t="inlineStr">
        <is>
          <t>ussd_funeral_leads_altitude_20260601</t>
        </is>
      </c>
      <c r="J216" t="inlineStr">
        <is>
          <t>ADC</t>
        </is>
      </c>
      <c r="K216" t="inlineStr">
        <is>
          <t>Auto Dial Disconnected</t>
        </is>
      </c>
      <c r="L216" t="n">
        <v>6</v>
      </c>
      <c r="M216" t="inlineStr">
        <is>
          <t>2026-06-11 13:20:58</t>
        </is>
      </c>
      <c r="N216" t="inlineStr">
        <is>
          <t>system</t>
        </is>
      </c>
      <c r="O216" t="inlineStr">
        <is>
          <t>2026-06-08 04:47:44</t>
        </is>
      </c>
      <c r="P216" t="inlineStr">
        <is>
          <t>2026-06-08 04:47:44</t>
        </is>
      </c>
      <c r="Y216" t="inlineStr">
        <is>
          <t>27826311854</t>
        </is>
      </c>
    </row>
    <row r="217">
      <c r="A217" t="inlineStr">
        <is>
          <t>14814915</t>
        </is>
      </c>
      <c r="B217" t="inlineStr">
        <is>
          <t>92827801-830f-4bde-9404-f6a3211e064c</t>
        </is>
      </c>
      <c r="D217" t="inlineStr">
        <is>
          <t>30001085</t>
        </is>
      </c>
      <c r="E217" t="inlineStr">
        <is>
          <t>ussd_funeral_leads_altitude_20260601</t>
        </is>
      </c>
      <c r="J217" t="inlineStr">
        <is>
          <t>ADC</t>
        </is>
      </c>
      <c r="K217" t="inlineStr">
        <is>
          <t>Auto Dial Disconnected</t>
        </is>
      </c>
      <c r="L217" t="n">
        <v>6</v>
      </c>
      <c r="M217" t="inlineStr">
        <is>
          <t>2026-06-11 13:20:41</t>
        </is>
      </c>
      <c r="N217" t="inlineStr">
        <is>
          <t>system</t>
        </is>
      </c>
      <c r="O217" t="inlineStr">
        <is>
          <t>2026-06-08 04:47:44</t>
        </is>
      </c>
      <c r="P217" t="inlineStr">
        <is>
          <t>2026-06-08 04:47:44</t>
        </is>
      </c>
      <c r="Y217" t="inlineStr">
        <is>
          <t>27774420510</t>
        </is>
      </c>
    </row>
    <row r="218">
      <c r="A218" t="inlineStr">
        <is>
          <t>14815251</t>
        </is>
      </c>
      <c r="B218" t="inlineStr">
        <is>
          <t>defd5b40-3f21-4f81-8cce-82c5ac3054ca</t>
        </is>
      </c>
      <c r="D218" t="inlineStr">
        <is>
          <t>30001085</t>
        </is>
      </c>
      <c r="E218" t="inlineStr">
        <is>
          <t>ussd_funeral_leads_altitude_20260601</t>
        </is>
      </c>
      <c r="J218" t="inlineStr">
        <is>
          <t>AA</t>
        </is>
      </c>
      <c r="K218" t="inlineStr">
        <is>
          <t>Answering Machine Autodial</t>
        </is>
      </c>
      <c r="L218" t="n">
        <v>6</v>
      </c>
      <c r="M218" t="inlineStr">
        <is>
          <t>2026-06-11 13:20:35</t>
        </is>
      </c>
      <c r="N218" t="inlineStr">
        <is>
          <t>system</t>
        </is>
      </c>
      <c r="O218" t="inlineStr">
        <is>
          <t>2026-06-08 04:47:44</t>
        </is>
      </c>
      <c r="P218" t="inlineStr">
        <is>
          <t>2026-06-08 04:47:44</t>
        </is>
      </c>
      <c r="Y218" t="inlineStr">
        <is>
          <t>27673433968</t>
        </is>
      </c>
    </row>
    <row r="219">
      <c r="A219" t="inlineStr">
        <is>
          <t>14814962</t>
        </is>
      </c>
      <c r="B219" t="inlineStr">
        <is>
          <t>fb43dc54-86a9-4c8f-a315-0960443baab1</t>
        </is>
      </c>
      <c r="D219" t="inlineStr">
        <is>
          <t>30001085</t>
        </is>
      </c>
      <c r="E219" t="inlineStr">
        <is>
          <t>ussd_funeral_leads_altitude_20260601</t>
        </is>
      </c>
      <c r="J219" t="inlineStr">
        <is>
          <t>AA</t>
        </is>
      </c>
      <c r="K219" t="inlineStr">
        <is>
          <t>Answering Machine Autodial</t>
        </is>
      </c>
      <c r="L219" t="n">
        <v>6</v>
      </c>
      <c r="M219" t="inlineStr">
        <is>
          <t>2026-06-11 13:20:28</t>
        </is>
      </c>
      <c r="N219" t="inlineStr">
        <is>
          <t>system</t>
        </is>
      </c>
      <c r="O219" t="inlineStr">
        <is>
          <t>2026-06-08 04:47:44</t>
        </is>
      </c>
      <c r="P219" t="inlineStr">
        <is>
          <t>2026-06-08 04:47:44</t>
        </is>
      </c>
      <c r="Y219" t="inlineStr">
        <is>
          <t>27646388063</t>
        </is>
      </c>
    </row>
    <row r="220">
      <c r="A220" t="inlineStr">
        <is>
          <t>14814991</t>
        </is>
      </c>
      <c r="B220" t="inlineStr">
        <is>
          <t>ee7acd2f-212c-4151-94eb-0387be4c933d</t>
        </is>
      </c>
      <c r="D220" t="inlineStr">
        <is>
          <t>30001085</t>
        </is>
      </c>
      <c r="E220" t="inlineStr">
        <is>
          <t>ussd_funeral_leads_altitude_20260601</t>
        </is>
      </c>
      <c r="J220" t="inlineStr">
        <is>
          <t>NA</t>
        </is>
      </c>
      <c r="K220" t="inlineStr">
        <is>
          <t>No Answer Autodial</t>
        </is>
      </c>
      <c r="L220" t="n">
        <v>6</v>
      </c>
      <c r="M220" t="inlineStr">
        <is>
          <t>2026-06-11 13:20:28</t>
        </is>
      </c>
      <c r="N220" t="inlineStr">
        <is>
          <t>system</t>
        </is>
      </c>
      <c r="O220" t="inlineStr">
        <is>
          <t>2026-06-08 04:47:44</t>
        </is>
      </c>
      <c r="P220" t="inlineStr">
        <is>
          <t>2026-06-08 04:47:44</t>
        </is>
      </c>
      <c r="Y220" t="inlineStr">
        <is>
          <t>27766680522</t>
        </is>
      </c>
    </row>
    <row r="221">
      <c r="A221" t="inlineStr">
        <is>
          <t>14814954</t>
        </is>
      </c>
      <c r="B221" t="inlineStr">
        <is>
          <t>e82f0cf4-2b63-4232-b02e-4fc353805794</t>
        </is>
      </c>
      <c r="D221" t="inlineStr">
        <is>
          <t>30001085</t>
        </is>
      </c>
      <c r="E221" t="inlineStr">
        <is>
          <t>ussd_funeral_leads_altitude_20260601</t>
        </is>
      </c>
      <c r="J221" t="inlineStr">
        <is>
          <t>ADC</t>
        </is>
      </c>
      <c r="K221" t="inlineStr">
        <is>
          <t>Auto Dial Disconnected</t>
        </is>
      </c>
      <c r="L221" t="n">
        <v>6</v>
      </c>
      <c r="M221" t="inlineStr">
        <is>
          <t>2026-06-11 13:19:36</t>
        </is>
      </c>
      <c r="N221" t="inlineStr">
        <is>
          <t>system</t>
        </is>
      </c>
      <c r="O221" t="inlineStr">
        <is>
          <t>2026-06-08 04:47:44</t>
        </is>
      </c>
      <c r="P221" t="inlineStr">
        <is>
          <t>2026-06-08 04:47:44</t>
        </is>
      </c>
      <c r="Y221" t="inlineStr">
        <is>
          <t>27798517823</t>
        </is>
      </c>
    </row>
    <row r="222">
      <c r="A222" t="inlineStr">
        <is>
          <t>14814961</t>
        </is>
      </c>
      <c r="B222" t="inlineStr">
        <is>
          <t>ec0df2fa-3114-440e-a0c8-d86bc575ce53</t>
        </is>
      </c>
      <c r="D222" t="inlineStr">
        <is>
          <t>30001085</t>
        </is>
      </c>
      <c r="E222" t="inlineStr">
        <is>
          <t>ussd_funeral_leads_altitude_20260601</t>
        </is>
      </c>
      <c r="J222" t="inlineStr">
        <is>
          <t>NA</t>
        </is>
      </c>
      <c r="K222" t="inlineStr">
        <is>
          <t>No Answer Autodial</t>
        </is>
      </c>
      <c r="L222" t="n">
        <v>6</v>
      </c>
      <c r="M222" t="inlineStr">
        <is>
          <t>2026-06-11 13:19:36</t>
        </is>
      </c>
      <c r="N222" t="inlineStr">
        <is>
          <t>system</t>
        </is>
      </c>
      <c r="O222" t="inlineStr">
        <is>
          <t>2026-06-08 04:47:44</t>
        </is>
      </c>
      <c r="P222" t="inlineStr">
        <is>
          <t>2026-06-08 04:47:44</t>
        </is>
      </c>
      <c r="Y222" t="inlineStr">
        <is>
          <t>27664503393</t>
        </is>
      </c>
    </row>
    <row r="223">
      <c r="A223" t="inlineStr">
        <is>
          <t>14814952</t>
        </is>
      </c>
      <c r="B223" t="inlineStr">
        <is>
          <t>afd8d4e6-40dc-41e1-92e8-c441bd42dcf8</t>
        </is>
      </c>
      <c r="D223" t="inlineStr">
        <is>
          <t>30001085</t>
        </is>
      </c>
      <c r="E223" t="inlineStr">
        <is>
          <t>ussd_funeral_leads_altitude_20260601</t>
        </is>
      </c>
      <c r="J223" t="inlineStr">
        <is>
          <t>A</t>
        </is>
      </c>
      <c r="K223" t="inlineStr">
        <is>
          <t>Answering Machine</t>
        </is>
      </c>
      <c r="L223" t="n">
        <v>6</v>
      </c>
      <c r="M223" t="inlineStr">
        <is>
          <t>2026-06-11 13:19:34</t>
        </is>
      </c>
      <c r="N223" t="inlineStr">
        <is>
          <t>Vuyiswa Nxumalo</t>
        </is>
      </c>
      <c r="O223" t="inlineStr">
        <is>
          <t>2026-06-08 04:47:44</t>
        </is>
      </c>
      <c r="P223" t="inlineStr">
        <is>
          <t>2026-06-08 04:47:44</t>
        </is>
      </c>
      <c r="Y223" t="inlineStr">
        <is>
          <t>27774437718</t>
        </is>
      </c>
    </row>
    <row r="224">
      <c r="A224" t="inlineStr">
        <is>
          <t>14814949</t>
        </is>
      </c>
      <c r="B224" t="inlineStr">
        <is>
          <t>9968c235-71fe-4586-93a1-71ed36e9c5a2</t>
        </is>
      </c>
      <c r="D224" t="inlineStr">
        <is>
          <t>30001085</t>
        </is>
      </c>
      <c r="E224" t="inlineStr">
        <is>
          <t>ussd_funeral_leads_altitude_20260601</t>
        </is>
      </c>
      <c r="J224" t="inlineStr">
        <is>
          <t>NA</t>
        </is>
      </c>
      <c r="K224" t="inlineStr">
        <is>
          <t>No Answer Autodial</t>
        </is>
      </c>
      <c r="L224" t="n">
        <v>6</v>
      </c>
      <c r="M224" t="inlineStr">
        <is>
          <t>2026-06-11 13:19:29</t>
        </is>
      </c>
      <c r="N224" t="inlineStr">
        <is>
          <t>system</t>
        </is>
      </c>
      <c r="O224" t="inlineStr">
        <is>
          <t>2026-06-08 04:47:44</t>
        </is>
      </c>
      <c r="P224" t="inlineStr">
        <is>
          <t>2026-06-08 04:47:44</t>
        </is>
      </c>
      <c r="Y224" t="inlineStr">
        <is>
          <t>27665092086</t>
        </is>
      </c>
    </row>
    <row r="225">
      <c r="A225" t="inlineStr">
        <is>
          <t>14814951</t>
        </is>
      </c>
      <c r="B225" t="inlineStr">
        <is>
          <t>296a4533-f65e-423e-836e-fa531c8167db</t>
        </is>
      </c>
      <c r="D225" t="inlineStr">
        <is>
          <t>30001085</t>
        </is>
      </c>
      <c r="E225" t="inlineStr">
        <is>
          <t>ussd_funeral_leads_altitude_20260601</t>
        </is>
      </c>
      <c r="J225" t="inlineStr">
        <is>
          <t>NA</t>
        </is>
      </c>
      <c r="K225" t="inlineStr">
        <is>
          <t>No Answer Autodial</t>
        </is>
      </c>
      <c r="L225" t="n">
        <v>6</v>
      </c>
      <c r="M225" t="inlineStr">
        <is>
          <t>2026-06-11 13:19:29</t>
        </is>
      </c>
      <c r="N225" t="inlineStr">
        <is>
          <t>system</t>
        </is>
      </c>
      <c r="O225" t="inlineStr">
        <is>
          <t>2026-06-08 04:47:44</t>
        </is>
      </c>
      <c r="P225" t="inlineStr">
        <is>
          <t>2026-06-08 04:47:44</t>
        </is>
      </c>
      <c r="Y225" t="inlineStr">
        <is>
          <t>27723049587</t>
        </is>
      </c>
    </row>
    <row r="226">
      <c r="A226" t="inlineStr">
        <is>
          <t>14814948</t>
        </is>
      </c>
      <c r="B226" t="inlineStr">
        <is>
          <t>7cebe0b5-ca1b-4c72-9175-70a7ff67562a</t>
        </is>
      </c>
      <c r="D226" t="inlineStr">
        <is>
          <t>30001085</t>
        </is>
      </c>
      <c r="E226" t="inlineStr">
        <is>
          <t>ussd_funeral_leads_altitude_20260601</t>
        </is>
      </c>
      <c r="J226" t="inlineStr">
        <is>
          <t>ADC</t>
        </is>
      </c>
      <c r="K226" t="inlineStr">
        <is>
          <t>Auto Dial Disconnected</t>
        </is>
      </c>
      <c r="L226" t="n">
        <v>6</v>
      </c>
      <c r="M226" t="inlineStr">
        <is>
          <t>2026-06-11 13:19:26</t>
        </is>
      </c>
      <c r="N226" t="inlineStr">
        <is>
          <t>system</t>
        </is>
      </c>
      <c r="O226" t="inlineStr">
        <is>
          <t>2026-06-08 04:47:44</t>
        </is>
      </c>
      <c r="P226" t="inlineStr">
        <is>
          <t>2026-06-08 04:47:44</t>
        </is>
      </c>
      <c r="Y226" t="inlineStr">
        <is>
          <t>27664183660</t>
        </is>
      </c>
    </row>
    <row r="227">
      <c r="A227" t="inlineStr">
        <is>
          <t>14814946</t>
        </is>
      </c>
      <c r="B227" t="inlineStr">
        <is>
          <t>71de7806-054c-4a28-a434-f1f8c6d73e53</t>
        </is>
      </c>
      <c r="D227" t="inlineStr">
        <is>
          <t>30001085</t>
        </is>
      </c>
      <c r="E227" t="inlineStr">
        <is>
          <t>ussd_funeral_leads_altitude_20260601</t>
        </is>
      </c>
      <c r="J227" t="inlineStr">
        <is>
          <t>NA</t>
        </is>
      </c>
      <c r="K227" t="inlineStr">
        <is>
          <t>No Answer Autodial</t>
        </is>
      </c>
      <c r="L227" t="n">
        <v>6</v>
      </c>
      <c r="M227" t="inlineStr">
        <is>
          <t>2026-06-11 13:19:08</t>
        </is>
      </c>
      <c r="N227" t="inlineStr">
        <is>
          <t>system</t>
        </is>
      </c>
      <c r="O227" t="inlineStr">
        <is>
          <t>2026-06-08 04:47:44</t>
        </is>
      </c>
      <c r="P227" t="inlineStr">
        <is>
          <t>2026-06-08 04:47:44</t>
        </is>
      </c>
      <c r="Y227" t="inlineStr">
        <is>
          <t>27646764502</t>
        </is>
      </c>
    </row>
    <row r="228">
      <c r="A228" t="inlineStr">
        <is>
          <t>14814944</t>
        </is>
      </c>
      <c r="B228" t="inlineStr">
        <is>
          <t>1ccd91bf-e117-442c-aad1-d962b3dcc16a</t>
        </is>
      </c>
      <c r="D228" t="inlineStr">
        <is>
          <t>30001085</t>
        </is>
      </c>
      <c r="E228" t="inlineStr">
        <is>
          <t>ussd_funeral_leads_altitude_20260601</t>
        </is>
      </c>
      <c r="J228" t="inlineStr">
        <is>
          <t>ADC</t>
        </is>
      </c>
      <c r="K228" t="inlineStr">
        <is>
          <t>Auto Dial Disconnected</t>
        </is>
      </c>
      <c r="L228" t="n">
        <v>6</v>
      </c>
      <c r="M228" t="inlineStr">
        <is>
          <t>2026-06-11 13:19:07</t>
        </is>
      </c>
      <c r="N228" t="inlineStr">
        <is>
          <t>system</t>
        </is>
      </c>
      <c r="O228" t="inlineStr">
        <is>
          <t>2026-06-08 04:47:44</t>
        </is>
      </c>
      <c r="P228" t="inlineStr">
        <is>
          <t>2026-06-08 04:47:44</t>
        </is>
      </c>
      <c r="Y228" t="inlineStr">
        <is>
          <t>27636781893</t>
        </is>
      </c>
    </row>
    <row r="229">
      <c r="A229" t="inlineStr">
        <is>
          <t>14814941</t>
        </is>
      </c>
      <c r="B229" t="inlineStr">
        <is>
          <t>69433bff-8620-48c3-a10a-cae7d8dac5ed</t>
        </is>
      </c>
      <c r="D229" t="inlineStr">
        <is>
          <t>30001085</t>
        </is>
      </c>
      <c r="E229" t="inlineStr">
        <is>
          <t>ussd_funeral_leads_altitude_20260601</t>
        </is>
      </c>
      <c r="J229" t="inlineStr">
        <is>
          <t>ADC</t>
        </is>
      </c>
      <c r="K229" t="inlineStr">
        <is>
          <t>Auto Dial Disconnected</t>
        </is>
      </c>
      <c r="L229" t="n">
        <v>6</v>
      </c>
      <c r="M229" t="inlineStr">
        <is>
          <t>2026-06-11 13:19:06</t>
        </is>
      </c>
      <c r="N229" t="inlineStr">
        <is>
          <t>system</t>
        </is>
      </c>
      <c r="O229" t="inlineStr">
        <is>
          <t>2026-06-08 04:47:44</t>
        </is>
      </c>
      <c r="P229" t="inlineStr">
        <is>
          <t>2026-06-08 04:47:44</t>
        </is>
      </c>
      <c r="Y229" t="inlineStr">
        <is>
          <t>27673401628</t>
        </is>
      </c>
    </row>
    <row r="230">
      <c r="A230" t="inlineStr">
        <is>
          <t>14814940</t>
        </is>
      </c>
      <c r="B230" t="inlineStr">
        <is>
          <t>b35274d1-f0b4-406b-8a52-12ed7aa113d9</t>
        </is>
      </c>
      <c r="D230" t="inlineStr">
        <is>
          <t>30001085</t>
        </is>
      </c>
      <c r="E230" t="inlineStr">
        <is>
          <t>ussd_funeral_leads_altitude_20260601</t>
        </is>
      </c>
      <c r="J230" t="inlineStr">
        <is>
          <t>ADC</t>
        </is>
      </c>
      <c r="K230" t="inlineStr">
        <is>
          <t>Auto Dial Disconnected</t>
        </is>
      </c>
      <c r="L230" t="n">
        <v>6</v>
      </c>
      <c r="M230" t="inlineStr">
        <is>
          <t>2026-06-11 13:18:37</t>
        </is>
      </c>
      <c r="N230" t="inlineStr">
        <is>
          <t>system</t>
        </is>
      </c>
      <c r="O230" t="inlineStr">
        <is>
          <t>2026-06-08 04:47:44</t>
        </is>
      </c>
      <c r="P230" t="inlineStr">
        <is>
          <t>2026-06-08 04:47:44</t>
        </is>
      </c>
      <c r="Y230" t="inlineStr">
        <is>
          <t>27606134440</t>
        </is>
      </c>
    </row>
    <row r="231">
      <c r="A231" t="inlineStr">
        <is>
          <t>14815255</t>
        </is>
      </c>
      <c r="B231" t="inlineStr">
        <is>
          <t>9f855902-6e48-43d8-847c-93002fc1eb9f</t>
        </is>
      </c>
      <c r="D231" t="inlineStr">
        <is>
          <t>30001085</t>
        </is>
      </c>
      <c r="E231" t="inlineStr">
        <is>
          <t>ussd_funeral_leads_altitude_20260601</t>
        </is>
      </c>
      <c r="J231" t="inlineStr">
        <is>
          <t>AA</t>
        </is>
      </c>
      <c r="K231" t="inlineStr">
        <is>
          <t>Answering Machine Autodial</t>
        </is>
      </c>
      <c r="L231" t="n">
        <v>6</v>
      </c>
      <c r="M231" t="inlineStr">
        <is>
          <t>2026-06-11 13:18:26</t>
        </is>
      </c>
      <c r="N231" t="inlineStr">
        <is>
          <t>system</t>
        </is>
      </c>
      <c r="O231" t="inlineStr">
        <is>
          <t>2026-06-08 04:47:44</t>
        </is>
      </c>
      <c r="P231" t="inlineStr">
        <is>
          <t>2026-06-08 04:47:44</t>
        </is>
      </c>
      <c r="Y231" t="inlineStr">
        <is>
          <t>27715378342</t>
        </is>
      </c>
    </row>
    <row r="232">
      <c r="A232" t="inlineStr">
        <is>
          <t>14814988</t>
        </is>
      </c>
      <c r="B232" t="inlineStr">
        <is>
          <t>7040fa19-4473-4dc2-a2cc-6b1c4cec0a4f</t>
        </is>
      </c>
      <c r="D232" t="inlineStr">
        <is>
          <t>30001085</t>
        </is>
      </c>
      <c r="E232" t="inlineStr">
        <is>
          <t>ussd_funeral_leads_altitude_20260601</t>
        </is>
      </c>
      <c r="J232" t="inlineStr">
        <is>
          <t>AE</t>
        </is>
      </c>
      <c r="K232" t="inlineStr">
        <is>
          <t>Auto Engaged</t>
        </is>
      </c>
      <c r="L232" t="n">
        <v>6</v>
      </c>
      <c r="M232" t="inlineStr">
        <is>
          <t>2026-06-11 13:18:10</t>
        </is>
      </c>
      <c r="N232" t="inlineStr">
        <is>
          <t>system</t>
        </is>
      </c>
      <c r="O232" t="inlineStr">
        <is>
          <t>2026-06-08 04:47:44</t>
        </is>
      </c>
      <c r="P232" t="inlineStr">
        <is>
          <t>2026-06-08 04:47:44</t>
        </is>
      </c>
      <c r="Y232" t="inlineStr">
        <is>
          <t>27727183599</t>
        </is>
      </c>
    </row>
    <row r="233">
      <c r="A233" t="inlineStr">
        <is>
          <t>14814989</t>
        </is>
      </c>
      <c r="B233" t="inlineStr">
        <is>
          <t>73387888-f9ef-4418-871c-64065a6530b3</t>
        </is>
      </c>
      <c r="D233" t="inlineStr">
        <is>
          <t>30001085</t>
        </is>
      </c>
      <c r="E233" t="inlineStr">
        <is>
          <t>ussd_funeral_leads_altitude_20260601</t>
        </is>
      </c>
      <c r="J233" t="inlineStr">
        <is>
          <t>TDN</t>
        </is>
      </c>
      <c r="K233" t="inlineStr">
        <is>
          <t>Temporary Disconnected Number</t>
        </is>
      </c>
      <c r="L233" t="n">
        <v>6</v>
      </c>
      <c r="M233" t="inlineStr">
        <is>
          <t>2026-06-11 13:18:10</t>
        </is>
      </c>
      <c r="N233" t="inlineStr">
        <is>
          <t>system</t>
        </is>
      </c>
      <c r="O233" t="inlineStr">
        <is>
          <t>2026-06-08 04:47:44</t>
        </is>
      </c>
      <c r="P233" t="inlineStr">
        <is>
          <t>2026-06-08 04:47:44</t>
        </is>
      </c>
      <c r="Y233" t="inlineStr">
        <is>
          <t>27828165687</t>
        </is>
      </c>
    </row>
    <row r="234">
      <c r="A234" t="inlineStr">
        <is>
          <t>14814987</t>
        </is>
      </c>
      <c r="B234" t="inlineStr">
        <is>
          <t>ca5ab62f-fedf-41fd-a059-01aa893c0cc1</t>
        </is>
      </c>
      <c r="D234" t="inlineStr">
        <is>
          <t>30001085</t>
        </is>
      </c>
      <c r="E234" t="inlineStr">
        <is>
          <t>ussd_funeral_leads_altitude_20260601</t>
        </is>
      </c>
      <c r="J234" t="inlineStr">
        <is>
          <t>AA</t>
        </is>
      </c>
      <c r="K234" t="inlineStr">
        <is>
          <t>Answering Machine Autodial</t>
        </is>
      </c>
      <c r="L234" t="n">
        <v>6</v>
      </c>
      <c r="M234" t="inlineStr">
        <is>
          <t>2026-06-11 13:18:09</t>
        </is>
      </c>
      <c r="N234" t="inlineStr">
        <is>
          <t>system</t>
        </is>
      </c>
      <c r="O234" t="inlineStr">
        <is>
          <t>2026-06-08 04:47:44</t>
        </is>
      </c>
      <c r="P234" t="inlineStr">
        <is>
          <t>2026-06-08 04:47:44</t>
        </is>
      </c>
      <c r="Y234" t="inlineStr">
        <is>
          <t>27665956492</t>
        </is>
      </c>
    </row>
    <row r="235">
      <c r="A235" t="inlineStr">
        <is>
          <t>14814981</t>
        </is>
      </c>
      <c r="B235" t="inlineStr">
        <is>
          <t>cc4f9a1b-1f71-4783-a471-41f144685073</t>
        </is>
      </c>
      <c r="D235" t="inlineStr">
        <is>
          <t>30001085</t>
        </is>
      </c>
      <c r="E235" t="inlineStr">
        <is>
          <t>ussd_funeral_leads_altitude_20260601</t>
        </is>
      </c>
      <c r="J235" t="inlineStr">
        <is>
          <t>NA</t>
        </is>
      </c>
      <c r="K235" t="inlineStr">
        <is>
          <t>No Answer Autodial</t>
        </is>
      </c>
      <c r="L235" t="n">
        <v>6</v>
      </c>
      <c r="M235" t="inlineStr">
        <is>
          <t>2026-06-11 13:17:55</t>
        </is>
      </c>
      <c r="N235" t="inlineStr">
        <is>
          <t>system</t>
        </is>
      </c>
      <c r="O235" t="inlineStr">
        <is>
          <t>2026-06-08 04:47:44</t>
        </is>
      </c>
      <c r="P235" t="inlineStr">
        <is>
          <t>2026-06-08 04:47:44</t>
        </is>
      </c>
      <c r="Y235" t="inlineStr">
        <is>
          <t>27818251083</t>
        </is>
      </c>
    </row>
    <row r="236">
      <c r="A236" t="inlineStr">
        <is>
          <t>14814980</t>
        </is>
      </c>
      <c r="B236" t="inlineStr">
        <is>
          <t>6d8d3e78-a7ab-4264-a21e-062ac1e1a138</t>
        </is>
      </c>
      <c r="D236" t="inlineStr">
        <is>
          <t>30001085</t>
        </is>
      </c>
      <c r="E236" t="inlineStr">
        <is>
          <t>ussd_funeral_leads_altitude_20260601</t>
        </is>
      </c>
      <c r="J236" t="inlineStr">
        <is>
          <t>TDN</t>
        </is>
      </c>
      <c r="K236" t="inlineStr">
        <is>
          <t>Temporary Disconnected Number</t>
        </is>
      </c>
      <c r="L236" t="n">
        <v>6</v>
      </c>
      <c r="M236" t="inlineStr">
        <is>
          <t>2026-06-11 13:17:53</t>
        </is>
      </c>
      <c r="N236" t="inlineStr">
        <is>
          <t>system</t>
        </is>
      </c>
      <c r="O236" t="inlineStr">
        <is>
          <t>2026-06-08 04:47:44</t>
        </is>
      </c>
      <c r="P236" t="inlineStr">
        <is>
          <t>2026-06-08 04:47:44</t>
        </is>
      </c>
      <c r="Y236" t="inlineStr">
        <is>
          <t>27663725358</t>
        </is>
      </c>
    </row>
    <row r="237">
      <c r="A237" t="inlineStr">
        <is>
          <t>14814975</t>
        </is>
      </c>
      <c r="B237" t="inlineStr">
        <is>
          <t>2d4b1d1a-20c6-4e6c-859c-5c8225128dbb</t>
        </is>
      </c>
      <c r="D237" t="inlineStr">
        <is>
          <t>30001085</t>
        </is>
      </c>
      <c r="E237" t="inlineStr">
        <is>
          <t>ussd_funeral_leads_altitude_20260601</t>
        </is>
      </c>
      <c r="J237" t="inlineStr">
        <is>
          <t>AA</t>
        </is>
      </c>
      <c r="K237" t="inlineStr">
        <is>
          <t>Answering Machine Autodial</t>
        </is>
      </c>
      <c r="L237" t="n">
        <v>6</v>
      </c>
      <c r="M237" t="inlineStr">
        <is>
          <t>2026-06-11 13:17:50</t>
        </is>
      </c>
      <c r="N237" t="inlineStr">
        <is>
          <t>system</t>
        </is>
      </c>
      <c r="O237" t="inlineStr">
        <is>
          <t>2026-06-08 04:47:44</t>
        </is>
      </c>
      <c r="P237" t="inlineStr">
        <is>
          <t>2026-06-08 04:47:44</t>
        </is>
      </c>
      <c r="Y237" t="inlineStr">
        <is>
          <t>27761499708</t>
        </is>
      </c>
    </row>
    <row r="238">
      <c r="A238" t="inlineStr">
        <is>
          <t>14814974</t>
        </is>
      </c>
      <c r="B238" t="inlineStr">
        <is>
          <t>39657f62-6d23-4d52-801c-e46bb730eefe</t>
        </is>
      </c>
      <c r="D238" t="inlineStr">
        <is>
          <t>30001085</t>
        </is>
      </c>
      <c r="E238" t="inlineStr">
        <is>
          <t>ussd_funeral_leads_altitude_20260601</t>
        </is>
      </c>
      <c r="J238" t="inlineStr">
        <is>
          <t>AA</t>
        </is>
      </c>
      <c r="K238" t="inlineStr">
        <is>
          <t>Answering Machine Autodial</t>
        </is>
      </c>
      <c r="L238" t="n">
        <v>6</v>
      </c>
      <c r="M238" t="inlineStr">
        <is>
          <t>2026-06-11 13:17:48</t>
        </is>
      </c>
      <c r="N238" t="inlineStr">
        <is>
          <t>system</t>
        </is>
      </c>
      <c r="O238" t="inlineStr">
        <is>
          <t>2026-06-08 04:47:44</t>
        </is>
      </c>
      <c r="P238" t="inlineStr">
        <is>
          <t>2026-06-08 04:47:44</t>
        </is>
      </c>
      <c r="Y238" t="inlineStr">
        <is>
          <t>27606128980</t>
        </is>
      </c>
    </row>
    <row r="239">
      <c r="A239" t="inlineStr">
        <is>
          <t>14814973</t>
        </is>
      </c>
      <c r="B239" t="inlineStr">
        <is>
          <t>733a84b0-5e16-4171-819f-5da81d6797e3</t>
        </is>
      </c>
      <c r="D239" t="inlineStr">
        <is>
          <t>30001085</t>
        </is>
      </c>
      <c r="E239" t="inlineStr">
        <is>
          <t>ussd_funeral_leads_altitude_20260601</t>
        </is>
      </c>
      <c r="J239" t="inlineStr">
        <is>
          <t>AA</t>
        </is>
      </c>
      <c r="K239" t="inlineStr">
        <is>
          <t>Answering Machine Autodial</t>
        </is>
      </c>
      <c r="L239" t="n">
        <v>6</v>
      </c>
      <c r="M239" t="inlineStr">
        <is>
          <t>2026-06-11 13:17:43</t>
        </is>
      </c>
      <c r="N239" t="inlineStr">
        <is>
          <t>system</t>
        </is>
      </c>
      <c r="O239" t="inlineStr">
        <is>
          <t>2026-06-08 04:47:44</t>
        </is>
      </c>
      <c r="P239" t="inlineStr">
        <is>
          <t>2026-06-08 04:47:44</t>
        </is>
      </c>
      <c r="Y239" t="inlineStr">
        <is>
          <t>27725629566</t>
        </is>
      </c>
    </row>
    <row r="240">
      <c r="A240" t="inlineStr">
        <is>
          <t>14814971</t>
        </is>
      </c>
      <c r="B240" t="inlineStr">
        <is>
          <t>559985a1-7da1-431f-b63b-8948c2bbb94b</t>
        </is>
      </c>
      <c r="D240" t="inlineStr">
        <is>
          <t>30001085</t>
        </is>
      </c>
      <c r="E240" t="inlineStr">
        <is>
          <t>ussd_funeral_leads_altitude_20260601</t>
        </is>
      </c>
      <c r="J240" t="inlineStr">
        <is>
          <t>AA</t>
        </is>
      </c>
      <c r="K240" t="inlineStr">
        <is>
          <t>Answering Machine Autodial</t>
        </is>
      </c>
      <c r="L240" t="n">
        <v>6</v>
      </c>
      <c r="M240" t="inlineStr">
        <is>
          <t>2026-06-11 13:17:29</t>
        </is>
      </c>
      <c r="N240" t="inlineStr">
        <is>
          <t>system</t>
        </is>
      </c>
      <c r="O240" t="inlineStr">
        <is>
          <t>2026-06-08 04:47:44</t>
        </is>
      </c>
      <c r="P240" t="inlineStr">
        <is>
          <t>2026-06-08 04:47:44</t>
        </is>
      </c>
      <c r="Y240" t="inlineStr">
        <is>
          <t>27715595433</t>
        </is>
      </c>
    </row>
    <row r="241">
      <c r="A241" t="inlineStr">
        <is>
          <t>14800000</t>
        </is>
      </c>
      <c r="B241" t="inlineStr">
        <is>
          <t>5e023050-648e-45d2-a5b2-5b8597f167a5</t>
        </is>
      </c>
      <c r="D241" t="inlineStr">
        <is>
          <t>30001085</t>
        </is>
      </c>
      <c r="E241" t="inlineStr">
        <is>
          <t>ussd_funeral_leads_altitude_20260601</t>
        </is>
      </c>
      <c r="J241" t="inlineStr">
        <is>
          <t>AE</t>
        </is>
      </c>
      <c r="K241" t="inlineStr">
        <is>
          <t>Auto Engaged</t>
        </is>
      </c>
      <c r="L241" t="n">
        <v>6</v>
      </c>
      <c r="M241" t="inlineStr">
        <is>
          <t>2026-06-11 13:17:23</t>
        </is>
      </c>
      <c r="N241" t="inlineStr">
        <is>
          <t>system</t>
        </is>
      </c>
      <c r="O241" t="inlineStr">
        <is>
          <t>2026-06-08 04:47:44</t>
        </is>
      </c>
      <c r="P241" t="inlineStr">
        <is>
          <t>2026-06-08 04:47:44</t>
        </is>
      </c>
      <c r="Y241" t="inlineStr">
        <is>
          <t>27608289237</t>
        </is>
      </c>
    </row>
    <row r="242">
      <c r="A242" t="inlineStr">
        <is>
          <t>14815256</t>
        </is>
      </c>
      <c r="B242" t="inlineStr">
        <is>
          <t>02932e73-adf8-49cf-b08d-c34909c51d8d</t>
        </is>
      </c>
      <c r="D242" t="inlineStr">
        <is>
          <t>30001085</t>
        </is>
      </c>
      <c r="E242" t="inlineStr">
        <is>
          <t>ussd_funeral_leads_altitude_20260601</t>
        </is>
      </c>
      <c r="J242" t="inlineStr">
        <is>
          <t>AA</t>
        </is>
      </c>
      <c r="K242" t="inlineStr">
        <is>
          <t>Answering Machine Autodial</t>
        </is>
      </c>
      <c r="L242" t="n">
        <v>6</v>
      </c>
      <c r="M242" t="inlineStr">
        <is>
          <t>2026-06-11 13:17:22</t>
        </is>
      </c>
      <c r="N242" t="inlineStr">
        <is>
          <t>system</t>
        </is>
      </c>
      <c r="O242" t="inlineStr">
        <is>
          <t>2026-06-08 04:47:44</t>
        </is>
      </c>
      <c r="P242" t="inlineStr">
        <is>
          <t>2026-06-08 04:47:44</t>
        </is>
      </c>
      <c r="Y242" t="inlineStr">
        <is>
          <t>27774725838</t>
        </is>
      </c>
    </row>
    <row r="243">
      <c r="A243" t="inlineStr">
        <is>
          <t>14814963</t>
        </is>
      </c>
      <c r="B243" t="inlineStr">
        <is>
          <t>6b0c80b4-0407-4fe3-bed2-bec9772bfda8</t>
        </is>
      </c>
      <c r="D243" t="inlineStr">
        <is>
          <t>30001085</t>
        </is>
      </c>
      <c r="E243" t="inlineStr">
        <is>
          <t>ussd_funeral_leads_altitude_20260601</t>
        </is>
      </c>
      <c r="H243" t="inlineStr">
        <is>
          <t>27762065834</t>
        </is>
      </c>
      <c r="J243" t="inlineStr">
        <is>
          <t>CUA</t>
        </is>
      </c>
      <c r="K243" t="inlineStr">
        <is>
          <t>Client Underage</t>
        </is>
      </c>
      <c r="L243" t="n">
        <v>6</v>
      </c>
      <c r="M243" t="inlineStr">
        <is>
          <t>2026-06-11 13:15:52</t>
        </is>
      </c>
      <c r="N243" t="inlineStr">
        <is>
          <t>Vuyiswa Nxumalo</t>
        </is>
      </c>
      <c r="O243" t="inlineStr">
        <is>
          <t>2026-06-08 04:47:44</t>
        </is>
      </c>
      <c r="P243" t="inlineStr">
        <is>
          <t>2026-06-08 04:47:44</t>
        </is>
      </c>
      <c r="Y243" t="inlineStr">
        <is>
          <t>27762065834</t>
        </is>
      </c>
    </row>
    <row r="244">
      <c r="A244" t="inlineStr">
        <is>
          <t>14814965</t>
        </is>
      </c>
      <c r="B244" t="inlineStr">
        <is>
          <t>46b44cdf-4372-4c4f-b602-9f0bfbfc5959</t>
        </is>
      </c>
      <c r="D244" t="inlineStr">
        <is>
          <t>30001085</t>
        </is>
      </c>
      <c r="E244" t="inlineStr">
        <is>
          <t>ussd_funeral_leads_altitude_20260601</t>
        </is>
      </c>
      <c r="J244" t="inlineStr">
        <is>
          <t>NA</t>
        </is>
      </c>
      <c r="K244" t="inlineStr">
        <is>
          <t>No Answer Autodial</t>
        </is>
      </c>
      <c r="L244" t="n">
        <v>6</v>
      </c>
      <c r="M244" t="inlineStr">
        <is>
          <t>2026-06-11 13:15:52</t>
        </is>
      </c>
      <c r="N244" t="inlineStr">
        <is>
          <t>system</t>
        </is>
      </c>
      <c r="O244" t="inlineStr">
        <is>
          <t>2026-06-08 04:47:44</t>
        </is>
      </c>
      <c r="P244" t="inlineStr">
        <is>
          <t>2026-06-08 04:47:44</t>
        </is>
      </c>
      <c r="Y244" t="inlineStr">
        <is>
          <t>27763621368</t>
        </is>
      </c>
    </row>
    <row r="245">
      <c r="A245" t="inlineStr">
        <is>
          <t>14815257</t>
        </is>
      </c>
      <c r="B245" t="inlineStr">
        <is>
          <t>808a7523-c56b-4b8e-aac0-96ed28c36323</t>
        </is>
      </c>
      <c r="D245" t="inlineStr">
        <is>
          <t>30001085</t>
        </is>
      </c>
      <c r="E245" t="inlineStr">
        <is>
          <t>ussd_funeral_leads_altitude_20260601</t>
        </is>
      </c>
      <c r="J245" t="inlineStr">
        <is>
          <t>ADC</t>
        </is>
      </c>
      <c r="K245" t="inlineStr">
        <is>
          <t>Auto Dial Disconnected</t>
        </is>
      </c>
      <c r="L245" t="n">
        <v>6</v>
      </c>
      <c r="M245" t="inlineStr">
        <is>
          <t>2026-06-11 13:15:51</t>
        </is>
      </c>
      <c r="N245" t="inlineStr">
        <is>
          <t>system</t>
        </is>
      </c>
      <c r="O245" t="inlineStr">
        <is>
          <t>2026-06-08 04:47:44</t>
        </is>
      </c>
      <c r="P245" t="inlineStr">
        <is>
          <t>2026-06-08 04:47:44</t>
        </is>
      </c>
      <c r="Y245" t="inlineStr">
        <is>
          <t>27823669080</t>
        </is>
      </c>
    </row>
    <row r="246">
      <c r="A246" t="inlineStr">
        <is>
          <t>14814985</t>
        </is>
      </c>
      <c r="B246" t="inlineStr">
        <is>
          <t>1689fee9-5245-49c7-a15d-2b48c8586de1</t>
        </is>
      </c>
      <c r="D246" t="inlineStr">
        <is>
          <t>30001085</t>
        </is>
      </c>
      <c r="E246" t="inlineStr">
        <is>
          <t>ussd_funeral_leads_altitude_20260601</t>
        </is>
      </c>
      <c r="H246" t="inlineStr">
        <is>
          <t>27769182543</t>
        </is>
      </c>
      <c r="J246" t="inlineStr">
        <is>
          <t>DROP</t>
        </is>
      </c>
      <c r="K246" t="inlineStr">
        <is>
          <t>Dropped</t>
        </is>
      </c>
      <c r="L246" t="n">
        <v>6</v>
      </c>
      <c r="M246" t="inlineStr">
        <is>
          <t>2026-06-11 13:14:57</t>
        </is>
      </c>
      <c r="N246" t="inlineStr">
        <is>
          <t>system</t>
        </is>
      </c>
      <c r="O246" t="inlineStr">
        <is>
          <t>2026-06-08 04:47:44</t>
        </is>
      </c>
      <c r="P246" t="inlineStr">
        <is>
          <t>2026-06-08 04:47:44</t>
        </is>
      </c>
      <c r="Y246" t="inlineStr">
        <is>
          <t>27769182543</t>
        </is>
      </c>
    </row>
    <row r="247">
      <c r="A247" t="inlineStr">
        <is>
          <t>14814983</t>
        </is>
      </c>
      <c r="B247" t="inlineStr">
        <is>
          <t>3e3a86f0-c3b0-48cb-8e9e-aed96929ef77</t>
        </is>
      </c>
      <c r="D247" t="inlineStr">
        <is>
          <t>30001085</t>
        </is>
      </c>
      <c r="E247" t="inlineStr">
        <is>
          <t>ussd_funeral_leads_altitude_20260601</t>
        </is>
      </c>
      <c r="J247" t="inlineStr">
        <is>
          <t>ADC</t>
        </is>
      </c>
      <c r="K247" t="inlineStr">
        <is>
          <t>Auto Dial Disconnected</t>
        </is>
      </c>
      <c r="L247" t="n">
        <v>6</v>
      </c>
      <c r="M247" t="inlineStr">
        <is>
          <t>2026-06-11 13:14:55</t>
        </is>
      </c>
      <c r="N247" t="inlineStr">
        <is>
          <t>system</t>
        </is>
      </c>
      <c r="O247" t="inlineStr">
        <is>
          <t>2026-06-08 04:47:44</t>
        </is>
      </c>
      <c r="P247" t="inlineStr">
        <is>
          <t>2026-06-08 04:47:44</t>
        </is>
      </c>
      <c r="Y247" t="inlineStr">
        <is>
          <t>27761344269</t>
        </is>
      </c>
    </row>
    <row r="248">
      <c r="A248" t="inlineStr">
        <is>
          <t>14814982</t>
        </is>
      </c>
      <c r="B248" t="inlineStr">
        <is>
          <t>127ba2d3-2b86-483f-9b06-0af8e21238e7</t>
        </is>
      </c>
      <c r="D248" t="inlineStr">
        <is>
          <t>30001085</t>
        </is>
      </c>
      <c r="E248" t="inlineStr">
        <is>
          <t>ussd_funeral_leads_altitude_20260601</t>
        </is>
      </c>
      <c r="J248" t="inlineStr">
        <is>
          <t>AA</t>
        </is>
      </c>
      <c r="K248" t="inlineStr">
        <is>
          <t>Answering Machine Autodial</t>
        </is>
      </c>
      <c r="L248" t="n">
        <v>6</v>
      </c>
      <c r="M248" t="inlineStr">
        <is>
          <t>2026-06-11 13:14:42</t>
        </is>
      </c>
      <c r="N248" t="inlineStr">
        <is>
          <t>system</t>
        </is>
      </c>
      <c r="O248" t="inlineStr">
        <is>
          <t>2026-06-08 04:47:44</t>
        </is>
      </c>
      <c r="P248" t="inlineStr">
        <is>
          <t>2026-06-08 04:47:44</t>
        </is>
      </c>
      <c r="Y248" t="inlineStr">
        <is>
          <t>27798793986</t>
        </is>
      </c>
    </row>
    <row r="249">
      <c r="A249" t="inlineStr">
        <is>
          <t>14815258</t>
        </is>
      </c>
      <c r="B249" t="inlineStr">
        <is>
          <t>be53677e-b297-4eca-a5bd-7b7f13ab7b6d</t>
        </is>
      </c>
      <c r="D249" t="inlineStr">
        <is>
          <t>30001085</t>
        </is>
      </c>
      <c r="E249" t="inlineStr">
        <is>
          <t>ussd_funeral_leads_altitude_20260601</t>
        </is>
      </c>
      <c r="J249" t="inlineStr">
        <is>
          <t>AA</t>
        </is>
      </c>
      <c r="K249" t="inlineStr">
        <is>
          <t>Answering Machine Autodial</t>
        </is>
      </c>
      <c r="L249" t="n">
        <v>6</v>
      </c>
      <c r="M249" t="inlineStr">
        <is>
          <t>2026-06-11 13:14:42</t>
        </is>
      </c>
      <c r="N249" t="inlineStr">
        <is>
          <t>system</t>
        </is>
      </c>
      <c r="O249" t="inlineStr">
        <is>
          <t>2026-06-08 04:47:44</t>
        </is>
      </c>
      <c r="P249" t="inlineStr">
        <is>
          <t>2026-06-08 04:47:44</t>
        </is>
      </c>
      <c r="Y249" t="inlineStr">
        <is>
          <t>27648521827</t>
        </is>
      </c>
    </row>
    <row r="250">
      <c r="A250" t="inlineStr">
        <is>
          <t>14815129</t>
        </is>
      </c>
      <c r="B250" t="inlineStr">
        <is>
          <t>1fbe3eb6-b205-4d13-81bf-8d087d5ef500</t>
        </is>
      </c>
      <c r="D250" t="inlineStr">
        <is>
          <t>30001085</t>
        </is>
      </c>
      <c r="E250" t="inlineStr">
        <is>
          <t>ussd_funeral_leads_altitude_20260601</t>
        </is>
      </c>
      <c r="H250" t="inlineStr">
        <is>
          <t>27799752263</t>
        </is>
      </c>
      <c r="J250" t="inlineStr">
        <is>
          <t>IABDN</t>
        </is>
      </c>
      <c r="K250" t="inlineStr">
        <is>
          <t>Inbound Abandon</t>
        </is>
      </c>
      <c r="L250" t="n">
        <v>6</v>
      </c>
      <c r="M250" t="inlineStr">
        <is>
          <t>2026-06-11 13:14:26</t>
        </is>
      </c>
      <c r="N250" t="inlineStr">
        <is>
          <t>system</t>
        </is>
      </c>
      <c r="O250" t="inlineStr">
        <is>
          <t>2026-06-08 04:47:44</t>
        </is>
      </c>
      <c r="P250" t="inlineStr">
        <is>
          <t>2026-06-08 04:47:44</t>
        </is>
      </c>
      <c r="Y250" t="inlineStr">
        <is>
          <t>27799752263</t>
        </is>
      </c>
    </row>
    <row r="251">
      <c r="A251" t="inlineStr">
        <is>
          <t>14814979</t>
        </is>
      </c>
      <c r="B251" t="inlineStr">
        <is>
          <t>09e9d314-4bfa-4e47-b120-7b1f333836ee</t>
        </is>
      </c>
      <c r="D251" t="inlineStr">
        <is>
          <t>30001085</t>
        </is>
      </c>
      <c r="E251" t="inlineStr">
        <is>
          <t>ussd_funeral_leads_altitude_20260601</t>
        </is>
      </c>
      <c r="J251" t="inlineStr">
        <is>
          <t>DROP</t>
        </is>
      </c>
      <c r="K251" t="inlineStr">
        <is>
          <t>Dropped</t>
        </is>
      </c>
      <c r="L251" t="n">
        <v>6</v>
      </c>
      <c r="M251" t="inlineStr">
        <is>
          <t>2026-06-11 13:13:32</t>
        </is>
      </c>
      <c r="N251" t="inlineStr">
        <is>
          <t>system</t>
        </is>
      </c>
      <c r="O251" t="inlineStr">
        <is>
          <t>2026-06-08 04:47:44</t>
        </is>
      </c>
      <c r="P251" t="inlineStr">
        <is>
          <t>2026-06-08 04:47:44</t>
        </is>
      </c>
      <c r="Y251" t="inlineStr">
        <is>
          <t>27794197230</t>
        </is>
      </c>
    </row>
    <row r="252">
      <c r="A252" t="inlineStr">
        <is>
          <t>14814978</t>
        </is>
      </c>
      <c r="B252" t="inlineStr">
        <is>
          <t>bb37b013-8098-43eb-8162-811e802582fd</t>
        </is>
      </c>
      <c r="D252" t="inlineStr">
        <is>
          <t>30001085</t>
        </is>
      </c>
      <c r="E252" t="inlineStr">
        <is>
          <t>ussd_funeral_leads_altitude_20260601</t>
        </is>
      </c>
      <c r="J252" t="inlineStr">
        <is>
          <t>ADC</t>
        </is>
      </c>
      <c r="K252" t="inlineStr">
        <is>
          <t>Auto Dial Disconnected</t>
        </is>
      </c>
      <c r="L252" t="n">
        <v>6</v>
      </c>
      <c r="M252" t="inlineStr">
        <is>
          <t>2026-06-11 13:13:30</t>
        </is>
      </c>
      <c r="N252" t="inlineStr">
        <is>
          <t>system</t>
        </is>
      </c>
      <c r="O252" t="inlineStr">
        <is>
          <t>2026-06-08 04:47:44</t>
        </is>
      </c>
      <c r="P252" t="inlineStr">
        <is>
          <t>2026-06-08 04:47:44</t>
        </is>
      </c>
      <c r="Y252" t="inlineStr">
        <is>
          <t>27773575165</t>
        </is>
      </c>
    </row>
    <row r="253">
      <c r="A253" t="inlineStr">
        <is>
          <t>14815260</t>
        </is>
      </c>
      <c r="B253" t="inlineStr">
        <is>
          <t>cf415718-d412-49eb-9106-ed25f4f85a4d</t>
        </is>
      </c>
      <c r="D253" t="inlineStr">
        <is>
          <t>30001085</t>
        </is>
      </c>
      <c r="E253" t="inlineStr">
        <is>
          <t>ussd_funeral_leads_altitude_20260601</t>
        </is>
      </c>
      <c r="J253" t="inlineStr">
        <is>
          <t>TDN</t>
        </is>
      </c>
      <c r="K253" t="inlineStr">
        <is>
          <t>Temporary Disconnected Number</t>
        </is>
      </c>
      <c r="L253" t="n">
        <v>6</v>
      </c>
      <c r="M253" t="inlineStr">
        <is>
          <t>2026-06-11 13:13:30</t>
        </is>
      </c>
      <c r="N253" t="inlineStr">
        <is>
          <t>system</t>
        </is>
      </c>
      <c r="O253" t="inlineStr">
        <is>
          <t>2026-06-08 04:47:44</t>
        </is>
      </c>
      <c r="P253" t="inlineStr">
        <is>
          <t>2026-06-08 04:47:44</t>
        </is>
      </c>
      <c r="Y253" t="inlineStr">
        <is>
          <t>27765938917</t>
        </is>
      </c>
    </row>
    <row r="254">
      <c r="A254" t="inlineStr">
        <is>
          <t>14815067</t>
        </is>
      </c>
      <c r="B254" t="inlineStr">
        <is>
          <t>154c12dd-6220-433f-925c-21ed0a9758a2</t>
        </is>
      </c>
      <c r="D254" t="inlineStr">
        <is>
          <t>30001085</t>
        </is>
      </c>
      <c r="E254" t="inlineStr">
        <is>
          <t>ussd_funeral_leads_altitude_20260601</t>
        </is>
      </c>
      <c r="J254" t="inlineStr">
        <is>
          <t>NA</t>
        </is>
      </c>
      <c r="K254" t="inlineStr">
        <is>
          <t>No Answer Autodial</t>
        </is>
      </c>
      <c r="L254" t="n">
        <v>6</v>
      </c>
      <c r="M254" t="inlineStr">
        <is>
          <t>2026-06-11 13:12:02</t>
        </is>
      </c>
      <c r="N254" t="inlineStr">
        <is>
          <t>system</t>
        </is>
      </c>
      <c r="O254" t="inlineStr">
        <is>
          <t>2026-06-08 04:47:44</t>
        </is>
      </c>
      <c r="P254" t="inlineStr">
        <is>
          <t>2026-06-08 04:47:44</t>
        </is>
      </c>
      <c r="Y254" t="inlineStr">
        <is>
          <t>27649199454</t>
        </is>
      </c>
    </row>
    <row r="255">
      <c r="A255" t="inlineStr">
        <is>
          <t>14815058</t>
        </is>
      </c>
      <c r="B255" t="inlineStr">
        <is>
          <t>091385c4-beef-4c22-b61e-7ed39bb30191</t>
        </is>
      </c>
      <c r="D255" t="inlineStr">
        <is>
          <t>30001085</t>
        </is>
      </c>
      <c r="E255" t="inlineStr">
        <is>
          <t>ussd_funeral_leads_altitude_20260601</t>
        </is>
      </c>
      <c r="J255" t="inlineStr">
        <is>
          <t>AA</t>
        </is>
      </c>
      <c r="K255" t="inlineStr">
        <is>
          <t>Answering Machine Autodial</t>
        </is>
      </c>
      <c r="L255" t="n">
        <v>6</v>
      </c>
      <c r="M255" t="inlineStr">
        <is>
          <t>2026-06-11 13:11:55</t>
        </is>
      </c>
      <c r="N255" t="inlineStr">
        <is>
          <t>system</t>
        </is>
      </c>
      <c r="O255" t="inlineStr">
        <is>
          <t>2026-06-08 04:47:44</t>
        </is>
      </c>
      <c r="P255" t="inlineStr">
        <is>
          <t>2026-06-08 04:47:44</t>
        </is>
      </c>
      <c r="Y255" t="inlineStr">
        <is>
          <t>27767144586</t>
        </is>
      </c>
    </row>
    <row r="256">
      <c r="A256" t="inlineStr">
        <is>
          <t>14815055</t>
        </is>
      </c>
      <c r="B256" t="inlineStr">
        <is>
          <t>66e1e5f5-4233-4492-93ff-84a9bc0f9e9b</t>
        </is>
      </c>
      <c r="D256" t="inlineStr">
        <is>
          <t>30001085</t>
        </is>
      </c>
      <c r="E256" t="inlineStr">
        <is>
          <t>ussd_funeral_leads_altitude_20260601</t>
        </is>
      </c>
      <c r="J256" t="inlineStr">
        <is>
          <t>CUA</t>
        </is>
      </c>
      <c r="K256" t="inlineStr">
        <is>
          <t>Client Underage</t>
        </is>
      </c>
      <c r="L256" t="n">
        <v>6</v>
      </c>
      <c r="M256" t="inlineStr">
        <is>
          <t>2026-06-11 13:11:52</t>
        </is>
      </c>
      <c r="N256" t="inlineStr">
        <is>
          <t>Lebohang Mabotja</t>
        </is>
      </c>
      <c r="O256" t="inlineStr">
        <is>
          <t>2026-06-08 04:47:44</t>
        </is>
      </c>
      <c r="P256" t="inlineStr">
        <is>
          <t>2026-06-08 04:47:44</t>
        </is>
      </c>
      <c r="Y256" t="inlineStr">
        <is>
          <t>27794171856</t>
        </is>
      </c>
    </row>
    <row r="257">
      <c r="A257" t="inlineStr">
        <is>
          <t>14815046</t>
        </is>
      </c>
      <c r="B257" t="inlineStr">
        <is>
          <t>f37bc3d9-21b7-4dc4-a825-c25f3edd654e</t>
        </is>
      </c>
      <c r="D257" t="inlineStr">
        <is>
          <t>30001085</t>
        </is>
      </c>
      <c r="E257" t="inlineStr">
        <is>
          <t>ussd_funeral_leads_altitude_20260601</t>
        </is>
      </c>
      <c r="J257" t="inlineStr">
        <is>
          <t>CBACK</t>
        </is>
      </c>
      <c r="K257" t="inlineStr">
        <is>
          <t>Callback</t>
        </is>
      </c>
      <c r="L257" t="n">
        <v>6</v>
      </c>
      <c r="M257" t="inlineStr">
        <is>
          <t>2026-06-11 13:11:51</t>
        </is>
      </c>
      <c r="N257" t="inlineStr">
        <is>
          <t>Gontse Monageng</t>
        </is>
      </c>
      <c r="O257" t="inlineStr">
        <is>
          <t>2026-06-08 04:47:44</t>
        </is>
      </c>
      <c r="P257" t="inlineStr">
        <is>
          <t>2026-06-08 04:47:44</t>
        </is>
      </c>
      <c r="Y257" t="inlineStr">
        <is>
          <t>27729441534</t>
        </is>
      </c>
    </row>
    <row r="258">
      <c r="A258" t="inlineStr">
        <is>
          <t>14815045</t>
        </is>
      </c>
      <c r="B258" t="inlineStr">
        <is>
          <t>9983f2e1-876f-42ab-b4e0-5f66298e7275</t>
        </is>
      </c>
      <c r="D258" t="inlineStr">
        <is>
          <t>30001085</t>
        </is>
      </c>
      <c r="E258" t="inlineStr">
        <is>
          <t>ussd_funeral_leads_altitude_20260601</t>
        </is>
      </c>
      <c r="J258" t="inlineStr">
        <is>
          <t>AE</t>
        </is>
      </c>
      <c r="K258" t="inlineStr">
        <is>
          <t>Auto Engaged</t>
        </is>
      </c>
      <c r="L258" t="n">
        <v>6</v>
      </c>
      <c r="M258" t="inlineStr">
        <is>
          <t>2026-06-11 13:11:48</t>
        </is>
      </c>
      <c r="N258" t="inlineStr">
        <is>
          <t>system</t>
        </is>
      </c>
      <c r="O258" t="inlineStr">
        <is>
          <t>2026-06-08 04:47:44</t>
        </is>
      </c>
      <c r="P258" t="inlineStr">
        <is>
          <t>2026-06-08 04:47:44</t>
        </is>
      </c>
      <c r="Y258" t="inlineStr">
        <is>
          <t>27720840849</t>
        </is>
      </c>
    </row>
    <row r="259">
      <c r="A259" t="inlineStr">
        <is>
          <t>14815042</t>
        </is>
      </c>
      <c r="B259" t="inlineStr">
        <is>
          <t>69ba3060-2f2a-40ca-89d7-1131dd531654</t>
        </is>
      </c>
      <c r="D259" t="inlineStr">
        <is>
          <t>30001085</t>
        </is>
      </c>
      <c r="E259" t="inlineStr">
        <is>
          <t>ussd_funeral_leads_altitude_20260601</t>
        </is>
      </c>
      <c r="J259" t="inlineStr">
        <is>
          <t>AE</t>
        </is>
      </c>
      <c r="K259" t="inlineStr">
        <is>
          <t>Auto Engaged</t>
        </is>
      </c>
      <c r="L259" t="n">
        <v>6</v>
      </c>
      <c r="M259" t="inlineStr">
        <is>
          <t>2026-06-11 13:11:47</t>
        </is>
      </c>
      <c r="N259" t="inlineStr">
        <is>
          <t>system</t>
        </is>
      </c>
      <c r="O259" t="inlineStr">
        <is>
          <t>2026-06-08 04:47:44</t>
        </is>
      </c>
      <c r="P259" t="inlineStr">
        <is>
          <t>2026-06-08 04:47:44</t>
        </is>
      </c>
      <c r="Y259" t="inlineStr">
        <is>
          <t>27722478667</t>
        </is>
      </c>
    </row>
    <row r="260">
      <c r="A260" t="inlineStr">
        <is>
          <t>14815043</t>
        </is>
      </c>
      <c r="B260" t="inlineStr">
        <is>
          <t>7a6b9865-f13d-4b85-871c-2bfaadce6f81</t>
        </is>
      </c>
      <c r="D260" t="inlineStr">
        <is>
          <t>30001085</t>
        </is>
      </c>
      <c r="E260" t="inlineStr">
        <is>
          <t>ussd_funeral_leads_altitude_20260601</t>
        </is>
      </c>
      <c r="J260" t="inlineStr">
        <is>
          <t>NA</t>
        </is>
      </c>
      <c r="K260" t="inlineStr">
        <is>
          <t>No Answer Autodial</t>
        </is>
      </c>
      <c r="L260" t="n">
        <v>6</v>
      </c>
      <c r="M260" t="inlineStr">
        <is>
          <t>2026-06-11 13:11:47</t>
        </is>
      </c>
      <c r="N260" t="inlineStr">
        <is>
          <t>system</t>
        </is>
      </c>
      <c r="O260" t="inlineStr">
        <is>
          <t>2026-06-08 04:47:44</t>
        </is>
      </c>
      <c r="P260" t="inlineStr">
        <is>
          <t>2026-06-08 04:47:44</t>
        </is>
      </c>
      <c r="Y260" t="inlineStr">
        <is>
          <t>27722768231</t>
        </is>
      </c>
    </row>
    <row r="261">
      <c r="A261" t="inlineStr">
        <is>
          <t>14815040</t>
        </is>
      </c>
      <c r="B261" t="inlineStr">
        <is>
          <t>b350b2ea-adf9-4a54-9c00-4f82bdfde0aa</t>
        </is>
      </c>
      <c r="D261" t="inlineStr">
        <is>
          <t>30001085</t>
        </is>
      </c>
      <c r="E261" t="inlineStr">
        <is>
          <t>ussd_funeral_leads_altitude_20260601</t>
        </is>
      </c>
      <c r="J261" t="inlineStr">
        <is>
          <t>ADC</t>
        </is>
      </c>
      <c r="K261" t="inlineStr">
        <is>
          <t>Auto Dial Disconnected</t>
        </is>
      </c>
      <c r="L261" t="n">
        <v>6</v>
      </c>
      <c r="M261" t="inlineStr">
        <is>
          <t>2026-06-11 13:11:40</t>
        </is>
      </c>
      <c r="N261" t="inlineStr">
        <is>
          <t>system</t>
        </is>
      </c>
      <c r="O261" t="inlineStr">
        <is>
          <t>2026-06-08 04:47:44</t>
        </is>
      </c>
      <c r="P261" t="inlineStr">
        <is>
          <t>2026-06-08 04:47:44</t>
        </is>
      </c>
      <c r="Y261" t="inlineStr">
        <is>
          <t>27608122362</t>
        </is>
      </c>
    </row>
    <row r="262">
      <c r="A262" t="inlineStr">
        <is>
          <t>14815038</t>
        </is>
      </c>
      <c r="B262" t="inlineStr">
        <is>
          <t>900c52a0-eb7e-46da-8da6-d468fd808143</t>
        </is>
      </c>
      <c r="D262" t="inlineStr">
        <is>
          <t>30001085</t>
        </is>
      </c>
      <c r="E262" t="inlineStr">
        <is>
          <t>ussd_funeral_leads_altitude_20260601</t>
        </is>
      </c>
      <c r="J262" t="inlineStr">
        <is>
          <t>ADC</t>
        </is>
      </c>
      <c r="K262" t="inlineStr">
        <is>
          <t>Auto Dial Disconnected</t>
        </is>
      </c>
      <c r="L262" t="n">
        <v>6</v>
      </c>
      <c r="M262" t="inlineStr">
        <is>
          <t>2026-06-11 13:11:38</t>
        </is>
      </c>
      <c r="N262" t="inlineStr">
        <is>
          <t>system</t>
        </is>
      </c>
      <c r="O262" t="inlineStr">
        <is>
          <t>2026-06-08 04:47:44</t>
        </is>
      </c>
      <c r="P262" t="inlineStr">
        <is>
          <t>2026-06-08 04:47:44</t>
        </is>
      </c>
      <c r="Y262" t="inlineStr">
        <is>
          <t>27765398902</t>
        </is>
      </c>
    </row>
    <row r="263">
      <c r="A263" t="inlineStr">
        <is>
          <t>14815034</t>
        </is>
      </c>
      <c r="B263" t="inlineStr">
        <is>
          <t>74dcdb07-a1c2-4240-a2f9-71acc650e91d</t>
        </is>
      </c>
      <c r="D263" t="inlineStr">
        <is>
          <t>30001085</t>
        </is>
      </c>
      <c r="E263" t="inlineStr">
        <is>
          <t>ussd_funeral_leads_altitude_20260601</t>
        </is>
      </c>
      <c r="J263" t="inlineStr">
        <is>
          <t>NA</t>
        </is>
      </c>
      <c r="K263" t="inlineStr">
        <is>
          <t>No Answer Autodial</t>
        </is>
      </c>
      <c r="L263" t="n">
        <v>6</v>
      </c>
      <c r="M263" t="inlineStr">
        <is>
          <t>2026-06-11 13:11:32</t>
        </is>
      </c>
      <c r="N263" t="inlineStr">
        <is>
          <t>system</t>
        </is>
      </c>
      <c r="O263" t="inlineStr">
        <is>
          <t>2026-06-08 04:47:44</t>
        </is>
      </c>
      <c r="P263" t="inlineStr">
        <is>
          <t>2026-06-08 04:47:44</t>
        </is>
      </c>
      <c r="Y263" t="inlineStr">
        <is>
          <t>27795580302</t>
        </is>
      </c>
    </row>
    <row r="264">
      <c r="A264" t="inlineStr">
        <is>
          <t>14800000</t>
        </is>
      </c>
      <c r="B264" t="inlineStr">
        <is>
          <t>14e35821-d916-4aec-ade1-9af761a4ba48</t>
        </is>
      </c>
      <c r="D264" t="inlineStr">
        <is>
          <t>30001085</t>
        </is>
      </c>
      <c r="E264" t="inlineStr">
        <is>
          <t>ussd_funeral_leads_altitude_20260601</t>
        </is>
      </c>
      <c r="J264" t="inlineStr">
        <is>
          <t>ADC</t>
        </is>
      </c>
      <c r="K264" t="inlineStr">
        <is>
          <t>Auto Dial Disconnected</t>
        </is>
      </c>
      <c r="L264" t="n">
        <v>6</v>
      </c>
      <c r="M264" t="inlineStr">
        <is>
          <t>2026-06-11 13:11:32</t>
        </is>
      </c>
      <c r="N264" t="inlineStr">
        <is>
          <t>system</t>
        </is>
      </c>
      <c r="O264" t="inlineStr">
        <is>
          <t>2026-06-08 04:47:44</t>
        </is>
      </c>
      <c r="P264" t="inlineStr">
        <is>
          <t>2026-06-08 04:47:44</t>
        </is>
      </c>
      <c r="Y264" t="inlineStr">
        <is>
          <t>27796066650</t>
        </is>
      </c>
    </row>
    <row r="265">
      <c r="A265" t="inlineStr">
        <is>
          <t>14815033</t>
        </is>
      </c>
      <c r="B265" t="inlineStr">
        <is>
          <t>4c2db43c-07e3-4b7e-9c76-a0dfa7eddd71</t>
        </is>
      </c>
      <c r="D265" t="inlineStr">
        <is>
          <t>30001085</t>
        </is>
      </c>
      <c r="E265" t="inlineStr">
        <is>
          <t>ussd_funeral_leads_altitude_20260601</t>
        </is>
      </c>
      <c r="J265" t="inlineStr">
        <is>
          <t>AE</t>
        </is>
      </c>
      <c r="K265" t="inlineStr">
        <is>
          <t>Auto Engaged</t>
        </is>
      </c>
      <c r="L265" t="n">
        <v>6</v>
      </c>
      <c r="M265" t="inlineStr">
        <is>
          <t>2026-06-11 13:11:27</t>
        </is>
      </c>
      <c r="N265" t="inlineStr">
        <is>
          <t>system</t>
        </is>
      </c>
      <c r="O265" t="inlineStr">
        <is>
          <t>2026-06-08 04:47:44</t>
        </is>
      </c>
      <c r="P265" t="inlineStr">
        <is>
          <t>2026-06-08 04:47:44</t>
        </is>
      </c>
      <c r="Y265" t="inlineStr">
        <is>
          <t>27725754501</t>
        </is>
      </c>
    </row>
    <row r="266">
      <c r="A266" t="inlineStr">
        <is>
          <t>14815032</t>
        </is>
      </c>
      <c r="B266" t="inlineStr">
        <is>
          <t>885d4666-6955-4b8c-bd40-56eca05d09c3</t>
        </is>
      </c>
      <c r="D266" t="inlineStr">
        <is>
          <t>30001085</t>
        </is>
      </c>
      <c r="E266" t="inlineStr">
        <is>
          <t>ussd_funeral_leads_altitude_20260601</t>
        </is>
      </c>
      <c r="J266" t="inlineStr">
        <is>
          <t>AA</t>
        </is>
      </c>
      <c r="K266" t="inlineStr">
        <is>
          <t>Answering Machine Autodial</t>
        </is>
      </c>
      <c r="L266" t="n">
        <v>6</v>
      </c>
      <c r="M266" t="inlineStr">
        <is>
          <t>2026-06-11 13:11:17</t>
        </is>
      </c>
      <c r="N266" t="inlineStr">
        <is>
          <t>system</t>
        </is>
      </c>
      <c r="O266" t="inlineStr">
        <is>
          <t>2026-06-08 04:47:44</t>
        </is>
      </c>
      <c r="P266" t="inlineStr">
        <is>
          <t>2026-06-08 04:47:44</t>
        </is>
      </c>
      <c r="Y266" t="inlineStr">
        <is>
          <t>27661442334</t>
        </is>
      </c>
    </row>
    <row r="267">
      <c r="A267" t="inlineStr">
        <is>
          <t>14815030</t>
        </is>
      </c>
      <c r="B267" t="inlineStr">
        <is>
          <t>75ad8371-1cc8-4b96-b7aa-c7c032e0b0c8</t>
        </is>
      </c>
      <c r="D267" t="inlineStr">
        <is>
          <t>30001085</t>
        </is>
      </c>
      <c r="E267" t="inlineStr">
        <is>
          <t>ussd_funeral_leads_altitude_20260601</t>
        </is>
      </c>
      <c r="J267" t="inlineStr">
        <is>
          <t>AA</t>
        </is>
      </c>
      <c r="K267" t="inlineStr">
        <is>
          <t>Answering Machine Autodial</t>
        </is>
      </c>
      <c r="L267" t="n">
        <v>6</v>
      </c>
      <c r="M267" t="inlineStr">
        <is>
          <t>2026-06-11 13:11:15</t>
        </is>
      </c>
      <c r="N267" t="inlineStr">
        <is>
          <t>system</t>
        </is>
      </c>
      <c r="O267" t="inlineStr">
        <is>
          <t>2026-06-08 04:47:44</t>
        </is>
      </c>
      <c r="P267" t="inlineStr">
        <is>
          <t>2026-06-08 04:47:44</t>
        </is>
      </c>
      <c r="Y267" t="inlineStr">
        <is>
          <t>27609699866</t>
        </is>
      </c>
    </row>
    <row r="268">
      <c r="A268" t="inlineStr">
        <is>
          <t>14815031</t>
        </is>
      </c>
      <c r="B268" t="inlineStr">
        <is>
          <t>8b09f9ab-c08a-46bd-bc5a-f42a412082a4</t>
        </is>
      </c>
      <c r="D268" t="inlineStr">
        <is>
          <t>30001085</t>
        </is>
      </c>
      <c r="E268" t="inlineStr">
        <is>
          <t>ussd_funeral_leads_altitude_20260601</t>
        </is>
      </c>
      <c r="J268" t="inlineStr">
        <is>
          <t>TDN</t>
        </is>
      </c>
      <c r="K268" t="inlineStr">
        <is>
          <t>Temporary Disconnected Number</t>
        </is>
      </c>
      <c r="L268" t="n">
        <v>6</v>
      </c>
      <c r="M268" t="inlineStr">
        <is>
          <t>2026-06-11 13:11:15</t>
        </is>
      </c>
      <c r="N268" t="inlineStr">
        <is>
          <t>system</t>
        </is>
      </c>
      <c r="O268" t="inlineStr">
        <is>
          <t>2026-06-08 04:47:44</t>
        </is>
      </c>
      <c r="P268" t="inlineStr">
        <is>
          <t>2026-06-08 04:47:44</t>
        </is>
      </c>
      <c r="Y268" t="inlineStr">
        <is>
          <t>27760243458</t>
        </is>
      </c>
    </row>
    <row r="269">
      <c r="A269" t="inlineStr">
        <is>
          <t>14815023</t>
        </is>
      </c>
      <c r="B269" t="inlineStr">
        <is>
          <t>f71170af-9fac-44bb-b95c-673c1f581312</t>
        </is>
      </c>
      <c r="D269" t="inlineStr">
        <is>
          <t>30001085</t>
        </is>
      </c>
      <c r="E269" t="inlineStr">
        <is>
          <t>ussd_funeral_leads_altitude_20260601</t>
        </is>
      </c>
      <c r="J269" t="inlineStr">
        <is>
          <t>ADC</t>
        </is>
      </c>
      <c r="K269" t="inlineStr">
        <is>
          <t>Auto Dial Disconnected</t>
        </is>
      </c>
      <c r="L269" t="n">
        <v>6</v>
      </c>
      <c r="M269" t="inlineStr">
        <is>
          <t>2026-06-11 13:11:09</t>
        </is>
      </c>
      <c r="N269" t="inlineStr">
        <is>
          <t>system</t>
        </is>
      </c>
      <c r="O269" t="inlineStr">
        <is>
          <t>2026-06-08 04:47:44</t>
        </is>
      </c>
      <c r="P269" t="inlineStr">
        <is>
          <t>2026-06-08 04:47:44</t>
        </is>
      </c>
      <c r="Y269" t="inlineStr">
        <is>
          <t>27772920393</t>
        </is>
      </c>
    </row>
    <row r="270">
      <c r="A270" t="inlineStr">
        <is>
          <t>14815029</t>
        </is>
      </c>
      <c r="B270" t="inlineStr">
        <is>
          <t>0f47809c-0e49-4763-ad3a-3ce8fc23d5ba</t>
        </is>
      </c>
      <c r="D270" t="inlineStr">
        <is>
          <t>30001085</t>
        </is>
      </c>
      <c r="E270" t="inlineStr">
        <is>
          <t>ussd_funeral_leads_altitude_20260601</t>
        </is>
      </c>
      <c r="J270" t="inlineStr">
        <is>
          <t>ADC</t>
        </is>
      </c>
      <c r="K270" t="inlineStr">
        <is>
          <t>Auto Dial Disconnected</t>
        </is>
      </c>
      <c r="L270" t="n">
        <v>6</v>
      </c>
      <c r="M270" t="inlineStr">
        <is>
          <t>2026-06-11 13:11:09</t>
        </is>
      </c>
      <c r="N270" t="inlineStr">
        <is>
          <t>system</t>
        </is>
      </c>
      <c r="O270" t="inlineStr">
        <is>
          <t>2026-06-08 04:47:44</t>
        </is>
      </c>
      <c r="P270" t="inlineStr">
        <is>
          <t>2026-06-08 04:47:44</t>
        </is>
      </c>
      <c r="Y270" t="inlineStr">
        <is>
          <t>27765520821</t>
        </is>
      </c>
    </row>
    <row r="271">
      <c r="A271" t="inlineStr">
        <is>
          <t>14815019</t>
        </is>
      </c>
      <c r="B271" t="inlineStr">
        <is>
          <t>d8e72e74-26df-4810-b59f-e804a6aa2d5a</t>
        </is>
      </c>
      <c r="D271" t="inlineStr">
        <is>
          <t>30001085</t>
        </is>
      </c>
      <c r="E271" t="inlineStr">
        <is>
          <t>ussd_funeral_leads_altitude_20260601</t>
        </is>
      </c>
      <c r="J271" t="inlineStr">
        <is>
          <t>AE</t>
        </is>
      </c>
      <c r="K271" t="inlineStr">
        <is>
          <t>Auto Engaged</t>
        </is>
      </c>
      <c r="L271" t="n">
        <v>6</v>
      </c>
      <c r="M271" t="inlineStr">
        <is>
          <t>2026-06-11 13:10:55</t>
        </is>
      </c>
      <c r="N271" t="inlineStr">
        <is>
          <t>system</t>
        </is>
      </c>
      <c r="O271" t="inlineStr">
        <is>
          <t>2026-06-08 04:47:44</t>
        </is>
      </c>
      <c r="P271" t="inlineStr">
        <is>
          <t>2026-06-08 04:47:44</t>
        </is>
      </c>
      <c r="Y271" t="inlineStr">
        <is>
          <t>27764033522</t>
        </is>
      </c>
    </row>
    <row r="272">
      <c r="A272" t="inlineStr">
        <is>
          <t>14815018</t>
        </is>
      </c>
      <c r="B272" t="inlineStr">
        <is>
          <t>9ff7bb6b-1191-4a03-80ec-126cf059218e</t>
        </is>
      </c>
      <c r="D272" t="inlineStr">
        <is>
          <t>30001085</t>
        </is>
      </c>
      <c r="E272" t="inlineStr">
        <is>
          <t>ussd_funeral_leads_altitude_20260601</t>
        </is>
      </c>
      <c r="J272" t="inlineStr">
        <is>
          <t>ADC</t>
        </is>
      </c>
      <c r="K272" t="inlineStr">
        <is>
          <t>Auto Dial Disconnected</t>
        </is>
      </c>
      <c r="L272" t="n">
        <v>6</v>
      </c>
      <c r="M272" t="inlineStr">
        <is>
          <t>2026-06-11 13:10:52</t>
        </is>
      </c>
      <c r="N272" t="inlineStr">
        <is>
          <t>system</t>
        </is>
      </c>
      <c r="O272" t="inlineStr">
        <is>
          <t>2026-06-08 04:47:44</t>
        </is>
      </c>
      <c r="P272" t="inlineStr">
        <is>
          <t>2026-06-08 04:47:44</t>
        </is>
      </c>
      <c r="Y272" t="inlineStr">
        <is>
          <t>27712425312</t>
        </is>
      </c>
    </row>
    <row r="273">
      <c r="A273" t="inlineStr">
        <is>
          <t>14815261</t>
        </is>
      </c>
      <c r="B273" t="inlineStr">
        <is>
          <t>09fc3b20-497d-4b15-9f7a-9cb2bf90b670</t>
        </is>
      </c>
      <c r="D273" t="inlineStr">
        <is>
          <t>30001085</t>
        </is>
      </c>
      <c r="E273" t="inlineStr">
        <is>
          <t>ussd_funeral_leads_altitude_20260601</t>
        </is>
      </c>
      <c r="J273" t="inlineStr">
        <is>
          <t>AE</t>
        </is>
      </c>
      <c r="K273" t="inlineStr">
        <is>
          <t>Auto Engaged</t>
        </is>
      </c>
      <c r="L273" t="n">
        <v>6</v>
      </c>
      <c r="M273" t="inlineStr">
        <is>
          <t>2026-06-11 13:10:52</t>
        </is>
      </c>
      <c r="N273" t="inlineStr">
        <is>
          <t>system</t>
        </is>
      </c>
      <c r="O273" t="inlineStr">
        <is>
          <t>2026-06-08 04:47:44</t>
        </is>
      </c>
      <c r="P273" t="inlineStr">
        <is>
          <t>2026-06-08 04:47:44</t>
        </is>
      </c>
      <c r="Y273" t="inlineStr">
        <is>
          <t>27793790400</t>
        </is>
      </c>
    </row>
    <row r="274">
      <c r="A274" t="inlineStr">
        <is>
          <t>14815066</t>
        </is>
      </c>
      <c r="B274" t="inlineStr">
        <is>
          <t>feac7bae-0744-4ea7-b423-dbc7f8696b6c</t>
        </is>
      </c>
      <c r="D274" t="inlineStr">
        <is>
          <t>30001085</t>
        </is>
      </c>
      <c r="E274" t="inlineStr">
        <is>
          <t>ussd_funeral_leads_altitude_20260601</t>
        </is>
      </c>
      <c r="J274" t="inlineStr">
        <is>
          <t>DROP</t>
        </is>
      </c>
      <c r="K274" t="inlineStr">
        <is>
          <t>Dropped</t>
        </is>
      </c>
      <c r="L274" t="n">
        <v>6</v>
      </c>
      <c r="M274" t="inlineStr">
        <is>
          <t>2026-06-11 13:10:26</t>
        </is>
      </c>
      <c r="N274" t="inlineStr">
        <is>
          <t>system</t>
        </is>
      </c>
      <c r="O274" t="inlineStr">
        <is>
          <t>2026-06-08 04:47:44</t>
        </is>
      </c>
      <c r="P274" t="inlineStr">
        <is>
          <t>2026-06-08 04:47:44</t>
        </is>
      </c>
      <c r="Y274" t="inlineStr">
        <is>
          <t>27665910738</t>
        </is>
      </c>
    </row>
    <row r="275">
      <c r="A275" t="inlineStr">
        <is>
          <t>14815060</t>
        </is>
      </c>
      <c r="B275" t="inlineStr">
        <is>
          <t>96cd9e8e-262f-41f0-8d79-d7c8dc9299eb</t>
        </is>
      </c>
      <c r="D275" t="inlineStr">
        <is>
          <t>30001085</t>
        </is>
      </c>
      <c r="E275" t="inlineStr">
        <is>
          <t>ussd_funeral_leads_altitude_20260601</t>
        </is>
      </c>
      <c r="J275" t="inlineStr">
        <is>
          <t>AA</t>
        </is>
      </c>
      <c r="K275" t="inlineStr">
        <is>
          <t>Answering Machine Autodial</t>
        </is>
      </c>
      <c r="L275" t="n">
        <v>6</v>
      </c>
      <c r="M275" t="inlineStr">
        <is>
          <t>2026-06-11 13:10:21</t>
        </is>
      </c>
      <c r="N275" t="inlineStr">
        <is>
          <t>system</t>
        </is>
      </c>
      <c r="O275" t="inlineStr">
        <is>
          <t>2026-06-08 04:47:44</t>
        </is>
      </c>
      <c r="P275" t="inlineStr">
        <is>
          <t>2026-06-08 04:47:44</t>
        </is>
      </c>
      <c r="Y275" t="inlineStr">
        <is>
          <t>27762933779</t>
        </is>
      </c>
    </row>
    <row r="276">
      <c r="A276" t="inlineStr">
        <is>
          <t>14815059</t>
        </is>
      </c>
      <c r="B276" t="inlineStr">
        <is>
          <t>200e5efc-4281-4860-99dd-abe7b6a0809e</t>
        </is>
      </c>
      <c r="D276" t="inlineStr">
        <is>
          <t>30001085</t>
        </is>
      </c>
      <c r="E276" t="inlineStr">
        <is>
          <t>ussd_funeral_leads_altitude_20260601</t>
        </is>
      </c>
      <c r="J276" t="inlineStr">
        <is>
          <t>CU</t>
        </is>
      </c>
      <c r="K276" t="inlineStr">
        <is>
          <t>Client Hung Up</t>
        </is>
      </c>
      <c r="L276" t="n">
        <v>6</v>
      </c>
      <c r="M276" t="inlineStr">
        <is>
          <t>2026-06-11 13:10:20</t>
        </is>
      </c>
      <c r="N276" t="inlineStr">
        <is>
          <t>Lebohang Mabotja</t>
        </is>
      </c>
      <c r="O276" t="inlineStr">
        <is>
          <t>2026-06-08 04:47:44</t>
        </is>
      </c>
      <c r="P276" t="inlineStr">
        <is>
          <t>2026-06-08 04:47:44</t>
        </is>
      </c>
      <c r="Y276" t="inlineStr">
        <is>
          <t>27663235606</t>
        </is>
      </c>
    </row>
    <row r="277">
      <c r="A277" t="inlineStr">
        <is>
          <t>14815056</t>
        </is>
      </c>
      <c r="B277" t="inlineStr">
        <is>
          <t>a3dd040a-0264-4117-a188-319bee5e3e5c</t>
        </is>
      </c>
      <c r="D277" t="inlineStr">
        <is>
          <t>30001085</t>
        </is>
      </c>
      <c r="E277" t="inlineStr">
        <is>
          <t>ussd_funeral_leads_altitude_20260601</t>
        </is>
      </c>
      <c r="J277" t="inlineStr">
        <is>
          <t>AA</t>
        </is>
      </c>
      <c r="K277" t="inlineStr">
        <is>
          <t>Answering Machine Autodial</t>
        </is>
      </c>
      <c r="L277" t="n">
        <v>6</v>
      </c>
      <c r="M277" t="inlineStr">
        <is>
          <t>2026-06-11 13:10:16</t>
        </is>
      </c>
      <c r="N277" t="inlineStr">
        <is>
          <t>system</t>
        </is>
      </c>
      <c r="O277" t="inlineStr">
        <is>
          <t>2026-06-08 04:47:44</t>
        </is>
      </c>
      <c r="P277" t="inlineStr">
        <is>
          <t>2026-06-08 04:47:44</t>
        </is>
      </c>
      <c r="Y277" t="inlineStr">
        <is>
          <t>27797080590</t>
        </is>
      </c>
    </row>
    <row r="278">
      <c r="A278" t="inlineStr">
        <is>
          <t>14815054</t>
        </is>
      </c>
      <c r="B278" t="inlineStr">
        <is>
          <t>703414c4-8a03-4901-a820-96ccbd33e03d</t>
        </is>
      </c>
      <c r="D278" t="inlineStr">
        <is>
          <t>30001085</t>
        </is>
      </c>
      <c r="E278" t="inlineStr">
        <is>
          <t>ussd_funeral_leads_altitude_20260601</t>
        </is>
      </c>
      <c r="J278" t="inlineStr">
        <is>
          <t>AA</t>
        </is>
      </c>
      <c r="K278" t="inlineStr">
        <is>
          <t>Answering Machine Autodial</t>
        </is>
      </c>
      <c r="L278" t="n">
        <v>6</v>
      </c>
      <c r="M278" t="inlineStr">
        <is>
          <t>2026-06-11 13:10:13</t>
        </is>
      </c>
      <c r="N278" t="inlineStr">
        <is>
          <t>system</t>
        </is>
      </c>
      <c r="O278" t="inlineStr">
        <is>
          <t>2026-06-08 04:47:44</t>
        </is>
      </c>
      <c r="P278" t="inlineStr">
        <is>
          <t>2026-06-08 04:47:44</t>
        </is>
      </c>
      <c r="Y278" t="inlineStr">
        <is>
          <t>27824003199</t>
        </is>
      </c>
    </row>
    <row r="279">
      <c r="A279" t="inlineStr">
        <is>
          <t>14815052</t>
        </is>
      </c>
      <c r="B279" t="inlineStr">
        <is>
          <t>b937f508-5d74-4b75-b2ca-a1ecfcb8ed84</t>
        </is>
      </c>
      <c r="D279" t="inlineStr">
        <is>
          <t>30001085</t>
        </is>
      </c>
      <c r="E279" t="inlineStr">
        <is>
          <t>ussd_funeral_leads_altitude_20260601</t>
        </is>
      </c>
      <c r="J279" t="inlineStr">
        <is>
          <t>CU</t>
        </is>
      </c>
      <c r="K279" t="inlineStr">
        <is>
          <t>Client Hung Up</t>
        </is>
      </c>
      <c r="L279" t="n">
        <v>6</v>
      </c>
      <c r="M279" t="inlineStr">
        <is>
          <t>2026-06-11 13:08:54</t>
        </is>
      </c>
      <c r="N279" t="inlineStr">
        <is>
          <t>Gontse Monageng</t>
        </is>
      </c>
      <c r="O279" t="inlineStr">
        <is>
          <t>2026-06-08 04:47:44</t>
        </is>
      </c>
      <c r="P279" t="inlineStr">
        <is>
          <t>2026-06-08 04:47:44</t>
        </is>
      </c>
      <c r="Y279" t="inlineStr">
        <is>
          <t>27825953898</t>
        </is>
      </c>
    </row>
    <row r="280">
      <c r="A280" t="inlineStr">
        <is>
          <t>14815053</t>
        </is>
      </c>
      <c r="B280" t="inlineStr">
        <is>
          <t>8a8141ab-03a8-4772-968e-c37e931e78db</t>
        </is>
      </c>
      <c r="D280" t="inlineStr">
        <is>
          <t>30001085</t>
        </is>
      </c>
      <c r="E280" t="inlineStr">
        <is>
          <t>ussd_funeral_leads_altitude_20260601</t>
        </is>
      </c>
      <c r="H280" t="inlineStr">
        <is>
          <t>27722611806</t>
        </is>
      </c>
      <c r="J280" t="inlineStr">
        <is>
          <t>ADC</t>
        </is>
      </c>
      <c r="K280" t="inlineStr">
        <is>
          <t>Auto Dial Disconnected</t>
        </is>
      </c>
      <c r="L280" t="n">
        <v>6</v>
      </c>
      <c r="M280" t="inlineStr">
        <is>
          <t>2026-06-11 13:08:54</t>
        </is>
      </c>
      <c r="N280" t="inlineStr">
        <is>
          <t>system</t>
        </is>
      </c>
      <c r="O280" t="inlineStr">
        <is>
          <t>2026-06-08 04:47:44</t>
        </is>
      </c>
      <c r="P280" t="inlineStr">
        <is>
          <t>2026-06-08 04:47:44</t>
        </is>
      </c>
      <c r="Y280" t="inlineStr">
        <is>
          <t>27722611806</t>
        </is>
      </c>
    </row>
    <row r="281">
      <c r="A281" t="inlineStr">
        <is>
          <t>14815051</t>
        </is>
      </c>
      <c r="B281" t="inlineStr">
        <is>
          <t>2cc8cee7-bb5c-4bed-88b2-9d6950371f8e</t>
        </is>
      </c>
      <c r="D281" t="inlineStr">
        <is>
          <t>30001085</t>
        </is>
      </c>
      <c r="E281" t="inlineStr">
        <is>
          <t>ussd_funeral_leads_altitude_20260601</t>
        </is>
      </c>
      <c r="J281" t="inlineStr">
        <is>
          <t>NA</t>
        </is>
      </c>
      <c r="K281" t="inlineStr">
        <is>
          <t>No Answer Autodial</t>
        </is>
      </c>
      <c r="L281" t="n">
        <v>6</v>
      </c>
      <c r="M281" t="inlineStr">
        <is>
          <t>2026-06-11 13:08:49</t>
        </is>
      </c>
      <c r="N281" t="inlineStr">
        <is>
          <t>system</t>
        </is>
      </c>
      <c r="O281" t="inlineStr">
        <is>
          <t>2026-06-08 04:47:44</t>
        </is>
      </c>
      <c r="P281" t="inlineStr">
        <is>
          <t>2026-06-08 04:47:44</t>
        </is>
      </c>
      <c r="Y281" t="inlineStr">
        <is>
          <t>27729276979</t>
        </is>
      </c>
    </row>
    <row r="282">
      <c r="A282" t="inlineStr">
        <is>
          <t>14815049</t>
        </is>
      </c>
      <c r="B282" t="inlineStr">
        <is>
          <t>626c5570-d604-4c77-bf0f-b81fa187c73b</t>
        </is>
      </c>
      <c r="D282" t="inlineStr">
        <is>
          <t>30001085</t>
        </is>
      </c>
      <c r="E282" t="inlineStr">
        <is>
          <t>ussd_funeral_leads_altitude_20260601</t>
        </is>
      </c>
      <c r="J282" t="inlineStr">
        <is>
          <t>NA</t>
        </is>
      </c>
      <c r="K282" t="inlineStr">
        <is>
          <t>No Answer Autodial</t>
        </is>
      </c>
      <c r="L282" t="n">
        <v>6</v>
      </c>
      <c r="M282" t="inlineStr">
        <is>
          <t>2026-06-11 13:08:45</t>
        </is>
      </c>
      <c r="N282" t="inlineStr">
        <is>
          <t>system</t>
        </is>
      </c>
      <c r="O282" t="inlineStr">
        <is>
          <t>2026-06-08 04:47:44</t>
        </is>
      </c>
      <c r="P282" t="inlineStr">
        <is>
          <t>2026-06-08 04:47:44</t>
        </is>
      </c>
      <c r="Y282" t="inlineStr">
        <is>
          <t>27726511280</t>
        </is>
      </c>
    </row>
    <row r="283">
      <c r="A283" t="inlineStr">
        <is>
          <t>14815047</t>
        </is>
      </c>
      <c r="B283" t="inlineStr">
        <is>
          <t>1a13da2d-862d-4313-ae33-636c9112cc84</t>
        </is>
      </c>
      <c r="D283" t="inlineStr">
        <is>
          <t>30001085</t>
        </is>
      </c>
      <c r="E283" t="inlineStr">
        <is>
          <t>ussd_funeral_leads_altitude_20260601</t>
        </is>
      </c>
      <c r="J283" t="inlineStr">
        <is>
          <t>AA</t>
        </is>
      </c>
      <c r="K283" t="inlineStr">
        <is>
          <t>Answering Machine Autodial</t>
        </is>
      </c>
      <c r="L283" t="n">
        <v>6</v>
      </c>
      <c r="M283" t="inlineStr">
        <is>
          <t>2026-06-11 13:08:44</t>
        </is>
      </c>
      <c r="N283" t="inlineStr">
        <is>
          <t>system</t>
        </is>
      </c>
      <c r="O283" t="inlineStr">
        <is>
          <t>2026-06-08 04:47:44</t>
        </is>
      </c>
      <c r="P283" t="inlineStr">
        <is>
          <t>2026-06-08 04:47:44</t>
        </is>
      </c>
      <c r="Y283" t="inlineStr">
        <is>
          <t>27774781894</t>
        </is>
      </c>
    </row>
    <row r="284">
      <c r="A284" t="inlineStr">
        <is>
          <t>14815262</t>
        </is>
      </c>
      <c r="B284" t="inlineStr">
        <is>
          <t>2f7216c9-02cb-4684-a0a4-c2ba6143dbbe</t>
        </is>
      </c>
      <c r="D284" t="inlineStr">
        <is>
          <t>30001085</t>
        </is>
      </c>
      <c r="E284" t="inlineStr">
        <is>
          <t>ussd_funeral_leads_altitude_20260601</t>
        </is>
      </c>
      <c r="J284" t="inlineStr">
        <is>
          <t>AA</t>
        </is>
      </c>
      <c r="K284" t="inlineStr">
        <is>
          <t>Answering Machine Autodial</t>
        </is>
      </c>
      <c r="L284" t="n">
        <v>6</v>
      </c>
      <c r="M284" t="inlineStr">
        <is>
          <t>2026-06-11 13:08:40</t>
        </is>
      </c>
      <c r="N284" t="inlineStr">
        <is>
          <t>system</t>
        </is>
      </c>
      <c r="O284" t="inlineStr">
        <is>
          <t>2026-06-08 04:47:44</t>
        </is>
      </c>
      <c r="P284" t="inlineStr">
        <is>
          <t>2026-06-08 04:47:44</t>
        </is>
      </c>
      <c r="Y284" t="inlineStr">
        <is>
          <t>27765000697</t>
        </is>
      </c>
    </row>
    <row r="285">
      <c r="A285" t="inlineStr">
        <is>
          <t>14815065</t>
        </is>
      </c>
      <c r="B285" t="inlineStr">
        <is>
          <t>1db27e1f-6749-47ab-80d5-5812fec86b73</t>
        </is>
      </c>
      <c r="D285" t="inlineStr">
        <is>
          <t>30001085</t>
        </is>
      </c>
      <c r="E285" t="inlineStr">
        <is>
          <t>ussd_funeral_leads_altitude_20260601</t>
        </is>
      </c>
      <c r="J285" t="inlineStr">
        <is>
          <t>DROP</t>
        </is>
      </c>
      <c r="K285" t="inlineStr">
        <is>
          <t>Dropped</t>
        </is>
      </c>
      <c r="L285" t="n">
        <v>6</v>
      </c>
      <c r="M285" t="inlineStr">
        <is>
          <t>2026-06-11 13:07:18</t>
        </is>
      </c>
      <c r="N285" t="inlineStr">
        <is>
          <t>system</t>
        </is>
      </c>
      <c r="O285" t="inlineStr">
        <is>
          <t>2026-06-08 04:47:44</t>
        </is>
      </c>
      <c r="P285" t="inlineStr">
        <is>
          <t>2026-06-08 04:47:44</t>
        </is>
      </c>
      <c r="Y285" t="inlineStr">
        <is>
          <t>27795437789</t>
        </is>
      </c>
    </row>
    <row r="286">
      <c r="A286" t="inlineStr">
        <is>
          <t>14815062</t>
        </is>
      </c>
      <c r="B286" t="inlineStr">
        <is>
          <t>14cfc96c-b6bf-44e2-9390-3a3532e5b7a5</t>
        </is>
      </c>
      <c r="D286" t="inlineStr">
        <is>
          <t>30001085</t>
        </is>
      </c>
      <c r="E286" t="inlineStr">
        <is>
          <t>ussd_funeral_leads_altitude_20260601</t>
        </is>
      </c>
      <c r="J286" t="inlineStr">
        <is>
          <t>NA</t>
        </is>
      </c>
      <c r="K286" t="inlineStr">
        <is>
          <t>No Answer Autodial</t>
        </is>
      </c>
      <c r="L286" t="n">
        <v>6</v>
      </c>
      <c r="M286" t="inlineStr">
        <is>
          <t>2026-06-11 13:07:17</t>
        </is>
      </c>
      <c r="N286" t="inlineStr">
        <is>
          <t>system</t>
        </is>
      </c>
      <c r="O286" t="inlineStr">
        <is>
          <t>2026-06-08 04:47:44</t>
        </is>
      </c>
      <c r="P286" t="inlineStr">
        <is>
          <t>2026-06-08 04:47:44</t>
        </is>
      </c>
      <c r="Y286" t="inlineStr">
        <is>
          <t>27729078890</t>
        </is>
      </c>
    </row>
    <row r="287">
      <c r="A287" t="inlineStr">
        <is>
          <t>14815064</t>
        </is>
      </c>
      <c r="B287" t="inlineStr">
        <is>
          <t>3ca0c110-82c7-4abe-9ffb-be58e02a328f</t>
        </is>
      </c>
      <c r="D287" t="inlineStr">
        <is>
          <t>30001085</t>
        </is>
      </c>
      <c r="E287" t="inlineStr">
        <is>
          <t>ussd_funeral_leads_altitude_20260601</t>
        </is>
      </c>
      <c r="J287" t="inlineStr">
        <is>
          <t>AA</t>
        </is>
      </c>
      <c r="K287" t="inlineStr">
        <is>
          <t>Answering Machine Autodial</t>
        </is>
      </c>
      <c r="L287" t="n">
        <v>6</v>
      </c>
      <c r="M287" t="inlineStr">
        <is>
          <t>2026-06-11 13:07:17</t>
        </is>
      </c>
      <c r="N287" t="inlineStr">
        <is>
          <t>system</t>
        </is>
      </c>
      <c r="O287" t="inlineStr">
        <is>
          <t>2026-06-08 04:47:44</t>
        </is>
      </c>
      <c r="P287" t="inlineStr">
        <is>
          <t>2026-06-08 04:47:44</t>
        </is>
      </c>
      <c r="Y287" t="inlineStr">
        <is>
          <t>27794950077</t>
        </is>
      </c>
    </row>
    <row r="288">
      <c r="A288" t="inlineStr">
        <is>
          <t>14815061</t>
        </is>
      </c>
      <c r="B288" t="inlineStr">
        <is>
          <t>f8ce1d11-69de-4e6a-9e47-17801c6c9744</t>
        </is>
      </c>
      <c r="D288" t="inlineStr">
        <is>
          <t>30001085</t>
        </is>
      </c>
      <c r="E288" t="inlineStr">
        <is>
          <t>ussd_funeral_leads_altitude_20260601</t>
        </is>
      </c>
      <c r="J288" t="inlineStr">
        <is>
          <t>AA</t>
        </is>
      </c>
      <c r="K288" t="inlineStr">
        <is>
          <t>Answering Machine Autodial</t>
        </is>
      </c>
      <c r="L288" t="n">
        <v>6</v>
      </c>
      <c r="M288" t="inlineStr">
        <is>
          <t>2026-06-11 13:07:12</t>
        </is>
      </c>
      <c r="N288" t="inlineStr">
        <is>
          <t>system</t>
        </is>
      </c>
      <c r="O288" t="inlineStr">
        <is>
          <t>2026-06-08 04:47:44</t>
        </is>
      </c>
      <c r="P288" t="inlineStr">
        <is>
          <t>2026-06-08 04:47:44</t>
        </is>
      </c>
      <c r="Y288" t="inlineStr">
        <is>
          <t>27647988484</t>
        </is>
      </c>
    </row>
    <row r="289">
      <c r="A289" t="inlineStr">
        <is>
          <t>14815263</t>
        </is>
      </c>
      <c r="B289" t="inlineStr">
        <is>
          <t>db63b5d6-294f-4b77-8b71-bc3044c6ab0c</t>
        </is>
      </c>
      <c r="D289" t="inlineStr">
        <is>
          <t>30001085</t>
        </is>
      </c>
      <c r="E289" t="inlineStr">
        <is>
          <t>ussd_funeral_leads_altitude_20260601</t>
        </is>
      </c>
      <c r="J289" t="inlineStr">
        <is>
          <t>NA</t>
        </is>
      </c>
      <c r="K289" t="inlineStr">
        <is>
          <t>No Answer Autodial</t>
        </is>
      </c>
      <c r="L289" t="n">
        <v>6</v>
      </c>
      <c r="M289" t="inlineStr">
        <is>
          <t>2026-06-11 13:06:34</t>
        </is>
      </c>
      <c r="N289" t="inlineStr">
        <is>
          <t>system</t>
        </is>
      </c>
      <c r="O289" t="inlineStr">
        <is>
          <t>2026-06-08 04:47:44</t>
        </is>
      </c>
      <c r="P289" t="inlineStr">
        <is>
          <t>2026-06-08 04:47:44</t>
        </is>
      </c>
      <c r="Y289" t="inlineStr">
        <is>
          <t>27607372152</t>
        </is>
      </c>
    </row>
    <row r="290">
      <c r="A290" t="inlineStr">
        <is>
          <t>14815099</t>
        </is>
      </c>
      <c r="B290" t="inlineStr">
        <is>
          <t>ed80ede6-4f87-4358-bcd2-b3985cbf3eba</t>
        </is>
      </c>
      <c r="D290" t="inlineStr">
        <is>
          <t>30001085</t>
        </is>
      </c>
      <c r="E290" t="inlineStr">
        <is>
          <t>ussd_funeral_leads_altitude_20260601</t>
        </is>
      </c>
      <c r="J290" t="inlineStr">
        <is>
          <t>AA</t>
        </is>
      </c>
      <c r="K290" t="inlineStr">
        <is>
          <t>Answering Machine Autodial</t>
        </is>
      </c>
      <c r="L290" t="n">
        <v>6</v>
      </c>
      <c r="M290" t="inlineStr">
        <is>
          <t>2026-06-11 13:06:29</t>
        </is>
      </c>
      <c r="N290" t="inlineStr">
        <is>
          <t>system</t>
        </is>
      </c>
      <c r="O290" t="inlineStr">
        <is>
          <t>2026-06-08 04:47:44</t>
        </is>
      </c>
      <c r="P290" t="inlineStr">
        <is>
          <t>2026-06-08 04:47:44</t>
        </is>
      </c>
      <c r="Y290" t="inlineStr">
        <is>
          <t>27729178588</t>
        </is>
      </c>
    </row>
    <row r="291">
      <c r="A291" t="inlineStr">
        <is>
          <t>14815097</t>
        </is>
      </c>
      <c r="B291" t="inlineStr">
        <is>
          <t>be7f1cb1-edea-440f-b3ee-52073c330519</t>
        </is>
      </c>
      <c r="D291" t="inlineStr">
        <is>
          <t>30001085</t>
        </is>
      </c>
      <c r="E291" t="inlineStr">
        <is>
          <t>ussd_funeral_leads_altitude_20260601</t>
        </is>
      </c>
      <c r="J291" t="inlineStr">
        <is>
          <t>AA</t>
        </is>
      </c>
      <c r="K291" t="inlineStr">
        <is>
          <t>Answering Machine Autodial</t>
        </is>
      </c>
      <c r="L291" t="n">
        <v>6</v>
      </c>
      <c r="M291" t="inlineStr">
        <is>
          <t>2026-06-11 13:06:24</t>
        </is>
      </c>
      <c r="N291" t="inlineStr">
        <is>
          <t>system</t>
        </is>
      </c>
      <c r="O291" t="inlineStr">
        <is>
          <t>2026-06-08 04:47:44</t>
        </is>
      </c>
      <c r="P291" t="inlineStr">
        <is>
          <t>2026-06-08 04:47:44</t>
        </is>
      </c>
      <c r="Y291" t="inlineStr">
        <is>
          <t>27713083935</t>
        </is>
      </c>
    </row>
    <row r="292">
      <c r="A292" t="inlineStr">
        <is>
          <t>14815088</t>
        </is>
      </c>
      <c r="B292" t="inlineStr">
        <is>
          <t>a1f4793f-7aad-4f41-913b-7702c76c0ab7</t>
        </is>
      </c>
      <c r="D292" t="inlineStr">
        <is>
          <t>30001085</t>
        </is>
      </c>
      <c r="E292" t="inlineStr">
        <is>
          <t>ussd_funeral_leads_altitude_20260601</t>
        </is>
      </c>
      <c r="J292" t="inlineStr">
        <is>
          <t>AA</t>
        </is>
      </c>
      <c r="K292" t="inlineStr">
        <is>
          <t>Answering Machine Autodial</t>
        </is>
      </c>
      <c r="L292" t="n">
        <v>6</v>
      </c>
      <c r="M292" t="inlineStr">
        <is>
          <t>2026-06-11 13:06:02</t>
        </is>
      </c>
      <c r="N292" t="inlineStr">
        <is>
          <t>system</t>
        </is>
      </c>
      <c r="O292" t="inlineStr">
        <is>
          <t>2026-06-08 04:47:44</t>
        </is>
      </c>
      <c r="P292" t="inlineStr">
        <is>
          <t>2026-06-08 04:47:44</t>
        </is>
      </c>
      <c r="Y292" t="inlineStr">
        <is>
          <t>27715335100</t>
        </is>
      </c>
    </row>
    <row r="293">
      <c r="A293" t="inlineStr">
        <is>
          <t>14815086</t>
        </is>
      </c>
      <c r="B293" t="inlineStr">
        <is>
          <t>c247bc7a-f659-4d25-9251-e315c8d5df98</t>
        </is>
      </c>
      <c r="D293" t="inlineStr">
        <is>
          <t>30001085</t>
        </is>
      </c>
      <c r="E293" t="inlineStr">
        <is>
          <t>ussd_funeral_leads_altitude_20260601</t>
        </is>
      </c>
      <c r="J293" t="inlineStr">
        <is>
          <t>AA</t>
        </is>
      </c>
      <c r="K293" t="inlineStr">
        <is>
          <t>Answering Machine Autodial</t>
        </is>
      </c>
      <c r="L293" t="n">
        <v>6</v>
      </c>
      <c r="M293" t="inlineStr">
        <is>
          <t>2026-06-11 13:05:50</t>
        </is>
      </c>
      <c r="N293" t="inlineStr">
        <is>
          <t>system</t>
        </is>
      </c>
      <c r="O293" t="inlineStr">
        <is>
          <t>2026-06-08 04:47:44</t>
        </is>
      </c>
      <c r="P293" t="inlineStr">
        <is>
          <t>2026-06-08 04:47:44</t>
        </is>
      </c>
      <c r="Y293" t="inlineStr">
        <is>
          <t>27769740997</t>
        </is>
      </c>
    </row>
    <row r="294">
      <c r="A294" t="inlineStr">
        <is>
          <t>14815084</t>
        </is>
      </c>
      <c r="B294" t="inlineStr">
        <is>
          <t>1740c849-dd1f-4281-8dd7-0fc311fbd24d</t>
        </is>
      </c>
      <c r="D294" t="inlineStr">
        <is>
          <t>30001085</t>
        </is>
      </c>
      <c r="E294" t="inlineStr">
        <is>
          <t>ussd_funeral_leads_altitude_20260601</t>
        </is>
      </c>
      <c r="J294" t="inlineStr">
        <is>
          <t>NA</t>
        </is>
      </c>
      <c r="K294" t="inlineStr">
        <is>
          <t>No Answer Autodial</t>
        </is>
      </c>
      <c r="L294" t="n">
        <v>6</v>
      </c>
      <c r="M294" t="inlineStr">
        <is>
          <t>2026-06-11 13:05:45</t>
        </is>
      </c>
      <c r="N294" t="inlineStr">
        <is>
          <t>system</t>
        </is>
      </c>
      <c r="O294" t="inlineStr">
        <is>
          <t>2026-06-08 04:47:44</t>
        </is>
      </c>
      <c r="P294" t="inlineStr">
        <is>
          <t>2026-06-08 04:47:44</t>
        </is>
      </c>
      <c r="Y294" t="inlineStr">
        <is>
          <t>27637692780</t>
        </is>
      </c>
    </row>
    <row r="295">
      <c r="A295" t="inlineStr">
        <is>
          <t>14815085</t>
        </is>
      </c>
      <c r="B295" t="inlineStr">
        <is>
          <t>2a998f97-1fed-4d52-9e94-eae4ec1084cf</t>
        </is>
      </c>
      <c r="D295" t="inlineStr">
        <is>
          <t>30001085</t>
        </is>
      </c>
      <c r="E295" t="inlineStr">
        <is>
          <t>ussd_funeral_leads_altitude_20260601</t>
        </is>
      </c>
      <c r="J295" t="inlineStr">
        <is>
          <t>AA</t>
        </is>
      </c>
      <c r="K295" t="inlineStr">
        <is>
          <t>Answering Machine Autodial</t>
        </is>
      </c>
      <c r="L295" t="n">
        <v>6</v>
      </c>
      <c r="M295" t="inlineStr">
        <is>
          <t>2026-06-11 13:05:45</t>
        </is>
      </c>
      <c r="N295" t="inlineStr">
        <is>
          <t>system</t>
        </is>
      </c>
      <c r="O295" t="inlineStr">
        <is>
          <t>2026-06-08 04:47:44</t>
        </is>
      </c>
      <c r="P295" t="inlineStr">
        <is>
          <t>2026-06-08 04:47:44</t>
        </is>
      </c>
      <c r="Y295" t="inlineStr">
        <is>
          <t>27712734424</t>
        </is>
      </c>
    </row>
    <row r="296">
      <c r="A296" t="inlineStr">
        <is>
          <t>14800000</t>
        </is>
      </c>
      <c r="B296" t="inlineStr">
        <is>
          <t>e535665e-e1f2-4fa3-a9d0-d0232a5ad004</t>
        </is>
      </c>
      <c r="D296" t="inlineStr">
        <is>
          <t>30001085</t>
        </is>
      </c>
      <c r="E296" t="inlineStr">
        <is>
          <t>ussd_funeral_leads_altitude_20260601</t>
        </is>
      </c>
      <c r="J296" t="inlineStr">
        <is>
          <t>CBACK</t>
        </is>
      </c>
      <c r="K296" t="inlineStr">
        <is>
          <t>Callback</t>
        </is>
      </c>
      <c r="L296" t="n">
        <v>6</v>
      </c>
      <c r="M296" t="inlineStr">
        <is>
          <t>2026-06-11 13:05:43</t>
        </is>
      </c>
      <c r="N296" t="inlineStr">
        <is>
          <t>Gontse Monageng</t>
        </is>
      </c>
      <c r="O296" t="inlineStr">
        <is>
          <t>2026-06-08 04:47:44</t>
        </is>
      </c>
      <c r="P296" t="inlineStr">
        <is>
          <t>2026-06-08 04:47:44</t>
        </is>
      </c>
      <c r="Y296" t="inlineStr">
        <is>
          <t>27798107891</t>
        </is>
      </c>
    </row>
    <row r="297">
      <c r="A297" t="inlineStr">
        <is>
          <t>14815082</t>
        </is>
      </c>
      <c r="B297" t="inlineStr">
        <is>
          <t>44ab28a7-555f-4881-aada-36eb15e99114</t>
        </is>
      </c>
      <c r="D297" t="inlineStr">
        <is>
          <t>30001085</t>
        </is>
      </c>
      <c r="E297" t="inlineStr">
        <is>
          <t>ussd_funeral_leads_altitude_20260601</t>
        </is>
      </c>
      <c r="J297" t="inlineStr">
        <is>
          <t>NA</t>
        </is>
      </c>
      <c r="K297" t="inlineStr">
        <is>
          <t>No Answer Autodial</t>
        </is>
      </c>
      <c r="L297" t="n">
        <v>6</v>
      </c>
      <c r="M297" t="inlineStr">
        <is>
          <t>2026-06-11 13:04:54</t>
        </is>
      </c>
      <c r="N297" t="inlineStr">
        <is>
          <t>system</t>
        </is>
      </c>
      <c r="O297" t="inlineStr">
        <is>
          <t>2026-06-08 04:47:44</t>
        </is>
      </c>
      <c r="P297" t="inlineStr">
        <is>
          <t>2026-06-08 04:47:44</t>
        </is>
      </c>
      <c r="Y297" t="inlineStr">
        <is>
          <t>27646984265</t>
        </is>
      </c>
    </row>
    <row r="298">
      <c r="A298" t="inlineStr">
        <is>
          <t>14815080</t>
        </is>
      </c>
      <c r="B298" t="inlineStr">
        <is>
          <t>3456995d-c02d-4e08-a926-aa8d431752b3</t>
        </is>
      </c>
      <c r="D298" t="inlineStr">
        <is>
          <t>30001085</t>
        </is>
      </c>
      <c r="E298" t="inlineStr">
        <is>
          <t>ussd_funeral_leads_altitude_20260601</t>
        </is>
      </c>
      <c r="J298" t="inlineStr">
        <is>
          <t>CU</t>
        </is>
      </c>
      <c r="K298" t="inlineStr">
        <is>
          <t>Client Hung Up</t>
        </is>
      </c>
      <c r="L298" t="n">
        <v>6</v>
      </c>
      <c r="M298" t="inlineStr">
        <is>
          <t>2026-06-11 13:04:49</t>
        </is>
      </c>
      <c r="N298" t="inlineStr">
        <is>
          <t>Lebohang Mabotja</t>
        </is>
      </c>
      <c r="O298" t="inlineStr">
        <is>
          <t>2026-06-08 04:47:44</t>
        </is>
      </c>
      <c r="P298" t="inlineStr">
        <is>
          <t>2026-06-08 04:47:44</t>
        </is>
      </c>
      <c r="Y298" t="inlineStr">
        <is>
          <t>27769579450</t>
        </is>
      </c>
    </row>
    <row r="299">
      <c r="A299" t="inlineStr">
        <is>
          <t>14815268</t>
        </is>
      </c>
      <c r="B299" t="inlineStr">
        <is>
          <t>34a693b6-c38d-4060-b0a9-f7df5cc0248a</t>
        </is>
      </c>
      <c r="D299" t="inlineStr">
        <is>
          <t>30001085</t>
        </is>
      </c>
      <c r="E299" t="inlineStr">
        <is>
          <t>ussd_funeral_leads_altitude_20260601</t>
        </is>
      </c>
      <c r="J299" t="inlineStr">
        <is>
          <t>AA</t>
        </is>
      </c>
      <c r="K299" t="inlineStr">
        <is>
          <t>Answering Machine Autodial</t>
        </is>
      </c>
      <c r="L299" t="n">
        <v>6</v>
      </c>
      <c r="M299" t="inlineStr">
        <is>
          <t>2026-06-11 13:04:48</t>
        </is>
      </c>
      <c r="N299" t="inlineStr">
        <is>
          <t>system</t>
        </is>
      </c>
      <c r="O299" t="inlineStr">
        <is>
          <t>2026-06-08 04:47:44</t>
        </is>
      </c>
      <c r="P299" t="inlineStr">
        <is>
          <t>2026-06-08 04:47:44</t>
        </is>
      </c>
      <c r="Y299" t="inlineStr">
        <is>
          <t>27646678606</t>
        </is>
      </c>
    </row>
    <row r="300">
      <c r="A300" t="inlineStr">
        <is>
          <t>14815096</t>
        </is>
      </c>
      <c r="B300" t="inlineStr">
        <is>
          <t>d5d72666-adfb-45f0-a286-c69e715ba4ed</t>
        </is>
      </c>
      <c r="D300" t="inlineStr">
        <is>
          <t>30001085</t>
        </is>
      </c>
      <c r="E300" t="inlineStr">
        <is>
          <t>ussd_funeral_leads_altitude_20260601</t>
        </is>
      </c>
      <c r="J300" t="inlineStr">
        <is>
          <t>AA</t>
        </is>
      </c>
      <c r="K300" t="inlineStr">
        <is>
          <t>Answering Machine Autodial</t>
        </is>
      </c>
      <c r="L300" t="n">
        <v>6</v>
      </c>
      <c r="M300" t="inlineStr">
        <is>
          <t>2026-06-11 13:04:42</t>
        </is>
      </c>
      <c r="N300" t="inlineStr">
        <is>
          <t>system</t>
        </is>
      </c>
      <c r="O300" t="inlineStr">
        <is>
          <t>2026-06-08 04:47:44</t>
        </is>
      </c>
      <c r="P300" t="inlineStr">
        <is>
          <t>2026-06-08 04:47:44</t>
        </is>
      </c>
      <c r="Y300" t="inlineStr">
        <is>
          <t>27674762909</t>
        </is>
      </c>
    </row>
    <row r="301">
      <c r="A301" t="inlineStr">
        <is>
          <t>14815095</t>
        </is>
      </c>
      <c r="B301" t="inlineStr">
        <is>
          <t>be15406d-61ec-4a24-b4f7-8b5ae12f3af8</t>
        </is>
      </c>
      <c r="D301" t="inlineStr">
        <is>
          <t>30001085</t>
        </is>
      </c>
      <c r="E301" t="inlineStr">
        <is>
          <t>ussd_funeral_leads_altitude_20260601</t>
        </is>
      </c>
      <c r="H301" t="inlineStr">
        <is>
          <t>27715597628</t>
        </is>
      </c>
      <c r="J301" t="inlineStr">
        <is>
          <t>AA</t>
        </is>
      </c>
      <c r="K301" t="inlineStr">
        <is>
          <t>Answering Machine Autodial</t>
        </is>
      </c>
      <c r="L301" t="n">
        <v>6</v>
      </c>
      <c r="M301" t="inlineStr">
        <is>
          <t>2026-06-11 13:04:33</t>
        </is>
      </c>
      <c r="N301" t="inlineStr">
        <is>
          <t>system</t>
        </is>
      </c>
      <c r="O301" t="inlineStr">
        <is>
          <t>2026-06-08 04:47:44</t>
        </is>
      </c>
      <c r="P301" t="inlineStr">
        <is>
          <t>2026-06-08 04:47:44</t>
        </is>
      </c>
      <c r="Y301" t="inlineStr">
        <is>
          <t>27715597628</t>
        </is>
      </c>
    </row>
    <row r="302">
      <c r="A302" t="inlineStr">
        <is>
          <t>14815094</t>
        </is>
      </c>
      <c r="B302" t="inlineStr">
        <is>
          <t>dcd572c1-e132-48f9-8b8a-fbd1f41a5466</t>
        </is>
      </c>
      <c r="D302" t="inlineStr">
        <is>
          <t>30001085</t>
        </is>
      </c>
      <c r="E302" t="inlineStr">
        <is>
          <t>ussd_funeral_leads_altitude_20260601</t>
        </is>
      </c>
      <c r="J302" t="inlineStr">
        <is>
          <t>AA</t>
        </is>
      </c>
      <c r="K302" t="inlineStr">
        <is>
          <t>Answering Machine Autodial</t>
        </is>
      </c>
      <c r="L302" t="n">
        <v>6</v>
      </c>
      <c r="M302" t="inlineStr">
        <is>
          <t>2026-06-11 13:04:21</t>
        </is>
      </c>
      <c r="N302" t="inlineStr">
        <is>
          <t>system</t>
        </is>
      </c>
      <c r="O302" t="inlineStr">
        <is>
          <t>2026-06-08 04:47:44</t>
        </is>
      </c>
      <c r="P302" t="inlineStr">
        <is>
          <t>2026-06-08 04:47:44</t>
        </is>
      </c>
      <c r="Y302" t="inlineStr">
        <is>
          <t>27799791053</t>
        </is>
      </c>
    </row>
    <row r="303">
      <c r="A303" t="inlineStr">
        <is>
          <t>14815093</t>
        </is>
      </c>
      <c r="B303" t="inlineStr">
        <is>
          <t>96536189-83e1-4b1f-bad6-30e1d50c5530</t>
        </is>
      </c>
      <c r="D303" t="inlineStr">
        <is>
          <t>30001085</t>
        </is>
      </c>
      <c r="E303" t="inlineStr">
        <is>
          <t>ussd_funeral_leads_altitude_20260601</t>
        </is>
      </c>
      <c r="J303" t="inlineStr">
        <is>
          <t>AA</t>
        </is>
      </c>
      <c r="K303" t="inlineStr">
        <is>
          <t>Answering Machine Autodial</t>
        </is>
      </c>
      <c r="L303" t="n">
        <v>6</v>
      </c>
      <c r="M303" t="inlineStr">
        <is>
          <t>2026-06-11 13:04:14</t>
        </is>
      </c>
      <c r="N303" t="inlineStr">
        <is>
          <t>system</t>
        </is>
      </c>
      <c r="O303" t="inlineStr">
        <is>
          <t>2026-06-08 04:47:44</t>
        </is>
      </c>
      <c r="P303" t="inlineStr">
        <is>
          <t>2026-06-08 04:47:44</t>
        </is>
      </c>
      <c r="Y303" t="inlineStr">
        <is>
          <t>27765949715</t>
        </is>
      </c>
    </row>
    <row r="304">
      <c r="A304" t="inlineStr">
        <is>
          <t>14815092</t>
        </is>
      </c>
      <c r="B304" t="inlineStr">
        <is>
          <t>1f5ae5cb-5622-4fde-ae8b-3d87cdb9bd12</t>
        </is>
      </c>
      <c r="D304" t="inlineStr">
        <is>
          <t>30001085</t>
        </is>
      </c>
      <c r="E304" t="inlineStr">
        <is>
          <t>ussd_funeral_leads_altitude_20260601</t>
        </is>
      </c>
      <c r="J304" t="inlineStr">
        <is>
          <t>AA</t>
        </is>
      </c>
      <c r="K304" t="inlineStr">
        <is>
          <t>Answering Machine Autodial</t>
        </is>
      </c>
      <c r="L304" t="n">
        <v>6</v>
      </c>
      <c r="M304" t="inlineStr">
        <is>
          <t>2026-06-11 13:04:08</t>
        </is>
      </c>
      <c r="N304" t="inlineStr">
        <is>
          <t>system</t>
        </is>
      </c>
      <c r="O304" t="inlineStr">
        <is>
          <t>2026-06-08 04:47:44</t>
        </is>
      </c>
      <c r="P304" t="inlineStr">
        <is>
          <t>2026-06-08 04:47:44</t>
        </is>
      </c>
      <c r="Y304" t="inlineStr">
        <is>
          <t>27715595506</t>
        </is>
      </c>
    </row>
    <row r="305">
      <c r="A305" t="inlineStr">
        <is>
          <t>14815091</t>
        </is>
      </c>
      <c r="B305" t="inlineStr">
        <is>
          <t>32387d52-fd73-4933-ac75-422c2ca9fd53</t>
        </is>
      </c>
      <c r="D305" t="inlineStr">
        <is>
          <t>30001085</t>
        </is>
      </c>
      <c r="E305" t="inlineStr">
        <is>
          <t>ussd_funeral_leads_altitude_20260601</t>
        </is>
      </c>
      <c r="J305" t="inlineStr">
        <is>
          <t>AA</t>
        </is>
      </c>
      <c r="K305" t="inlineStr">
        <is>
          <t>Answering Machine Autodial</t>
        </is>
      </c>
      <c r="L305" t="n">
        <v>6</v>
      </c>
      <c r="M305" t="inlineStr">
        <is>
          <t>2026-06-11 13:03:28</t>
        </is>
      </c>
      <c r="N305" t="inlineStr">
        <is>
          <t>system</t>
        </is>
      </c>
      <c r="O305" t="inlineStr">
        <is>
          <t>2026-06-08 04:47:44</t>
        </is>
      </c>
      <c r="P305" t="inlineStr">
        <is>
          <t>2026-06-08 04:47:44</t>
        </is>
      </c>
      <c r="Y305" t="inlineStr">
        <is>
          <t>27767574081</t>
        </is>
      </c>
    </row>
    <row r="306">
      <c r="A306" t="inlineStr">
        <is>
          <t>14815089</t>
        </is>
      </c>
      <c r="B306" t="inlineStr">
        <is>
          <t>cd9588f4-29ba-4a72-9708-75806d63ffff</t>
        </is>
      </c>
      <c r="D306" t="inlineStr">
        <is>
          <t>30001085</t>
        </is>
      </c>
      <c r="E306" t="inlineStr">
        <is>
          <t>ussd_funeral_leads_altitude_20260601</t>
        </is>
      </c>
      <c r="J306" t="inlineStr">
        <is>
          <t>NA</t>
        </is>
      </c>
      <c r="K306" t="inlineStr">
        <is>
          <t>No Answer Autodial</t>
        </is>
      </c>
      <c r="L306" t="n">
        <v>6</v>
      </c>
      <c r="M306" t="inlineStr">
        <is>
          <t>2026-06-11 13:03:14</t>
        </is>
      </c>
      <c r="N306" t="inlineStr">
        <is>
          <t>system</t>
        </is>
      </c>
      <c r="O306" t="inlineStr">
        <is>
          <t>2026-06-08 04:47:44</t>
        </is>
      </c>
      <c r="P306" t="inlineStr">
        <is>
          <t>2026-06-08 04:47:44</t>
        </is>
      </c>
      <c r="Y306" t="inlineStr">
        <is>
          <t>27723673403</t>
        </is>
      </c>
    </row>
    <row r="307">
      <c r="A307" t="inlineStr">
        <is>
          <t>14815090</t>
        </is>
      </c>
      <c r="B307" t="inlineStr">
        <is>
          <t>89d373c4-495d-401e-809b-f94e8d9c8e52</t>
        </is>
      </c>
      <c r="D307" t="inlineStr">
        <is>
          <t>30001085</t>
        </is>
      </c>
      <c r="E307" t="inlineStr">
        <is>
          <t>ussd_funeral_leads_altitude_20260601</t>
        </is>
      </c>
      <c r="J307" t="inlineStr">
        <is>
          <t>AA</t>
        </is>
      </c>
      <c r="K307" t="inlineStr">
        <is>
          <t>Answering Machine Autodial</t>
        </is>
      </c>
      <c r="L307" t="n">
        <v>6</v>
      </c>
      <c r="M307" t="inlineStr">
        <is>
          <t>2026-06-11 13:03:13</t>
        </is>
      </c>
      <c r="N307" t="inlineStr">
        <is>
          <t>system</t>
        </is>
      </c>
      <c r="O307" t="inlineStr">
        <is>
          <t>2026-06-08 04:47:44</t>
        </is>
      </c>
      <c r="P307" t="inlineStr">
        <is>
          <t>2026-06-08 04:47:44</t>
        </is>
      </c>
      <c r="Y307" t="inlineStr">
        <is>
          <t>27661019870</t>
        </is>
      </c>
    </row>
    <row r="308">
      <c r="A308" t="inlineStr">
        <is>
          <t>14815272</t>
        </is>
      </c>
      <c r="B308" t="inlineStr">
        <is>
          <t>32ff409d-e7b8-4078-9c6f-0b9bbd88f159</t>
        </is>
      </c>
      <c r="D308" t="inlineStr">
        <is>
          <t>30001085</t>
        </is>
      </c>
      <c r="E308" t="inlineStr">
        <is>
          <t>ussd_funeral_leads_altitude_20260601</t>
        </is>
      </c>
      <c r="J308" t="inlineStr">
        <is>
          <t>AA</t>
        </is>
      </c>
      <c r="K308" t="inlineStr">
        <is>
          <t>Answering Machine Autodial</t>
        </is>
      </c>
      <c r="L308" t="n">
        <v>6</v>
      </c>
      <c r="M308" t="inlineStr">
        <is>
          <t>2026-06-11 13:02:52</t>
        </is>
      </c>
      <c r="N308" t="inlineStr">
        <is>
          <t>system</t>
        </is>
      </c>
      <c r="O308" t="inlineStr">
        <is>
          <t>2026-06-08 04:47:44</t>
        </is>
      </c>
      <c r="P308" t="inlineStr">
        <is>
          <t>2026-06-08 04:47:44</t>
        </is>
      </c>
      <c r="Y308" t="inlineStr">
        <is>
          <t>27636725756</t>
        </is>
      </c>
    </row>
    <row r="309">
      <c r="A309" t="inlineStr">
        <is>
          <t>14815168</t>
        </is>
      </c>
      <c r="B309" t="inlineStr">
        <is>
          <t>82724009-a3de-4df3-9592-4b38133c5d8d</t>
        </is>
      </c>
      <c r="D309" t="inlineStr">
        <is>
          <t>30001085</t>
        </is>
      </c>
      <c r="E309" t="inlineStr">
        <is>
          <t>ussd_funeral_leads_altitude_20260601</t>
        </is>
      </c>
      <c r="J309" t="inlineStr">
        <is>
          <t>ADC</t>
        </is>
      </c>
      <c r="K309" t="inlineStr">
        <is>
          <t>Auto Dial Disconnected</t>
        </is>
      </c>
      <c r="L309" t="n">
        <v>6</v>
      </c>
      <c r="M309" t="inlineStr">
        <is>
          <t>2026-06-11 13:02:19</t>
        </is>
      </c>
      <c r="N309" t="inlineStr">
        <is>
          <t>system</t>
        </is>
      </c>
      <c r="O309" t="inlineStr">
        <is>
          <t>2026-06-08 04:47:44</t>
        </is>
      </c>
      <c r="P309" t="inlineStr">
        <is>
          <t>2026-06-08 04:47:44</t>
        </is>
      </c>
      <c r="Y309" t="inlineStr">
        <is>
          <t>27609203683</t>
        </is>
      </c>
    </row>
    <row r="310">
      <c r="A310" t="inlineStr">
        <is>
          <t>14815165</t>
        </is>
      </c>
      <c r="B310" t="inlineStr">
        <is>
          <t>924d37fa-fc40-4217-bb79-1366116c52ee</t>
        </is>
      </c>
      <c r="D310" t="inlineStr">
        <is>
          <t>30001085</t>
        </is>
      </c>
      <c r="E310" t="inlineStr">
        <is>
          <t>ussd_funeral_leads_altitude_20260601</t>
        </is>
      </c>
      <c r="J310" t="inlineStr">
        <is>
          <t>AA</t>
        </is>
      </c>
      <c r="K310" t="inlineStr">
        <is>
          <t>Answering Machine Autodial</t>
        </is>
      </c>
      <c r="L310" t="n">
        <v>6</v>
      </c>
      <c r="M310" t="inlineStr">
        <is>
          <t>2026-06-11 13:02:12</t>
        </is>
      </c>
      <c r="N310" t="inlineStr">
        <is>
          <t>system</t>
        </is>
      </c>
      <c r="O310" t="inlineStr">
        <is>
          <t>2026-06-08 04:47:44</t>
        </is>
      </c>
      <c r="P310" t="inlineStr">
        <is>
          <t>2026-06-08 04:47:44</t>
        </is>
      </c>
      <c r="Y310" t="inlineStr">
        <is>
          <t>27663488808</t>
        </is>
      </c>
    </row>
    <row r="311">
      <c r="A311" t="inlineStr">
        <is>
          <t>14800000</t>
        </is>
      </c>
      <c r="B311" t="inlineStr">
        <is>
          <t>0968e866-8f54-45df-ae0e-599ee1c0a099</t>
        </is>
      </c>
      <c r="D311" t="inlineStr">
        <is>
          <t>30001085</t>
        </is>
      </c>
      <c r="E311" t="inlineStr">
        <is>
          <t>ussd_funeral_leads_altitude_20260601</t>
        </is>
      </c>
      <c r="J311" t="inlineStr">
        <is>
          <t>DROP</t>
        </is>
      </c>
      <c r="K311" t="inlineStr">
        <is>
          <t>Dropped</t>
        </is>
      </c>
      <c r="L311" t="n">
        <v>6</v>
      </c>
      <c r="M311" t="inlineStr">
        <is>
          <t>2026-06-11 13:02:12</t>
        </is>
      </c>
      <c r="N311" t="inlineStr">
        <is>
          <t>system</t>
        </is>
      </c>
      <c r="O311" t="inlineStr">
        <is>
          <t>2026-06-08 04:47:44</t>
        </is>
      </c>
      <c r="P311" t="inlineStr">
        <is>
          <t>2026-06-08 04:47:44</t>
        </is>
      </c>
      <c r="Y311" t="inlineStr">
        <is>
          <t>27712069957</t>
        </is>
      </c>
    </row>
    <row r="312">
      <c r="A312" t="inlineStr">
        <is>
          <t>14815164</t>
        </is>
      </c>
      <c r="B312" t="inlineStr">
        <is>
          <t>f82131f2-96f4-4c79-ab06-ac08de3b9cad</t>
        </is>
      </c>
      <c r="D312" t="inlineStr">
        <is>
          <t>30001085</t>
        </is>
      </c>
      <c r="E312" t="inlineStr">
        <is>
          <t>ussd_funeral_leads_altitude_20260601</t>
        </is>
      </c>
      <c r="J312" t="inlineStr">
        <is>
          <t>CU</t>
        </is>
      </c>
      <c r="K312" t="inlineStr">
        <is>
          <t>Client Hung Up</t>
        </is>
      </c>
      <c r="L312" t="n">
        <v>6</v>
      </c>
      <c r="M312" t="inlineStr">
        <is>
          <t>2026-06-11 13:02:10</t>
        </is>
      </c>
      <c r="N312" t="inlineStr">
        <is>
          <t>Vuyiswa Nxumalo</t>
        </is>
      </c>
      <c r="O312" t="inlineStr">
        <is>
          <t>2026-06-08 04:47:44</t>
        </is>
      </c>
      <c r="P312" t="inlineStr">
        <is>
          <t>2026-06-08 04:47:44</t>
        </is>
      </c>
      <c r="Y312" t="inlineStr">
        <is>
          <t>27769658463</t>
        </is>
      </c>
    </row>
    <row r="313">
      <c r="A313" t="inlineStr">
        <is>
          <t>14815158</t>
        </is>
      </c>
      <c r="B313" t="inlineStr">
        <is>
          <t>3cf18f21-929d-44e8-9fcc-fe97459f4c18</t>
        </is>
      </c>
      <c r="D313" t="inlineStr">
        <is>
          <t>30001085</t>
        </is>
      </c>
      <c r="E313" t="inlineStr">
        <is>
          <t>ussd_funeral_leads_altitude_20260601</t>
        </is>
      </c>
      <c r="J313" t="inlineStr">
        <is>
          <t>TDN</t>
        </is>
      </c>
      <c r="K313" t="inlineStr">
        <is>
          <t>Temporary Disconnected Number</t>
        </is>
      </c>
      <c r="L313" t="n">
        <v>6</v>
      </c>
      <c r="M313" t="inlineStr">
        <is>
          <t>2026-06-11 13:01:38</t>
        </is>
      </c>
      <c r="N313" t="inlineStr">
        <is>
          <t>system</t>
        </is>
      </c>
      <c r="O313" t="inlineStr">
        <is>
          <t>2026-06-08 04:47:44</t>
        </is>
      </c>
      <c r="P313" t="inlineStr">
        <is>
          <t>2026-06-08 04:47:44</t>
        </is>
      </c>
      <c r="Y313" t="inlineStr">
        <is>
          <t>27660840800</t>
        </is>
      </c>
    </row>
    <row r="314">
      <c r="A314" t="inlineStr">
        <is>
          <t>14815162</t>
        </is>
      </c>
      <c r="B314" t="inlineStr">
        <is>
          <t>b9a04d03-d5ef-4386-b55c-b6d98a94176b</t>
        </is>
      </c>
      <c r="D314" t="inlineStr">
        <is>
          <t>30001085</t>
        </is>
      </c>
      <c r="E314" t="inlineStr">
        <is>
          <t>ussd_funeral_leads_altitude_20260601</t>
        </is>
      </c>
      <c r="H314" t="inlineStr">
        <is>
          <t>27660932286</t>
        </is>
      </c>
      <c r="J314" t="inlineStr">
        <is>
          <t>AA</t>
        </is>
      </c>
      <c r="K314" t="inlineStr">
        <is>
          <t>Answering Machine Autodial</t>
        </is>
      </c>
      <c r="L314" t="n">
        <v>6</v>
      </c>
      <c r="M314" t="inlineStr">
        <is>
          <t>2026-06-11 13:01:38</t>
        </is>
      </c>
      <c r="N314" t="inlineStr">
        <is>
          <t>system</t>
        </is>
      </c>
      <c r="O314" t="inlineStr">
        <is>
          <t>2026-06-08 04:47:44</t>
        </is>
      </c>
      <c r="P314" t="inlineStr">
        <is>
          <t>2026-06-08 04:47:44</t>
        </is>
      </c>
      <c r="Y314" t="inlineStr">
        <is>
          <t>27660932286</t>
        </is>
      </c>
    </row>
    <row r="315">
      <c r="A315" t="inlineStr">
        <is>
          <t>14815156</t>
        </is>
      </c>
      <c r="B315" t="inlineStr">
        <is>
          <t>a15dbb59-4960-409c-bcf9-72c419c982a7</t>
        </is>
      </c>
      <c r="D315" t="inlineStr">
        <is>
          <t>30001085</t>
        </is>
      </c>
      <c r="E315" t="inlineStr">
        <is>
          <t>ussd_funeral_leads_altitude_20260601</t>
        </is>
      </c>
      <c r="J315" t="inlineStr">
        <is>
          <t>NI</t>
        </is>
      </c>
      <c r="K315" t="inlineStr">
        <is>
          <t>Not Interested</t>
        </is>
      </c>
      <c r="L315" t="n">
        <v>6</v>
      </c>
      <c r="M315" t="inlineStr">
        <is>
          <t>2026-06-11 13:01:35</t>
        </is>
      </c>
      <c r="N315" t="inlineStr">
        <is>
          <t>Lebohang Mabotja</t>
        </is>
      </c>
      <c r="O315" t="inlineStr">
        <is>
          <t>2026-06-08 04:47:44</t>
        </is>
      </c>
      <c r="P315" t="inlineStr">
        <is>
          <t>2026-06-08 04:47:44</t>
        </is>
      </c>
      <c r="Y315" t="inlineStr">
        <is>
          <t>27636738521</t>
        </is>
      </c>
    </row>
    <row r="316">
      <c r="A316" t="inlineStr">
        <is>
          <t>14815149</t>
        </is>
      </c>
      <c r="B316" t="inlineStr">
        <is>
          <t>8fb3b266-d8e9-47c0-ba4a-4495dc9f4dab</t>
        </is>
      </c>
      <c r="D316" t="inlineStr">
        <is>
          <t>30001085</t>
        </is>
      </c>
      <c r="E316" t="inlineStr">
        <is>
          <t>ussd_funeral_leads_altitude_20260601</t>
        </is>
      </c>
      <c r="J316" t="inlineStr">
        <is>
          <t>ADC</t>
        </is>
      </c>
      <c r="K316" t="inlineStr">
        <is>
          <t>Auto Dial Disconnected</t>
        </is>
      </c>
      <c r="L316" t="n">
        <v>6</v>
      </c>
      <c r="M316" t="inlineStr">
        <is>
          <t>2026-06-11 13:01:34</t>
        </is>
      </c>
      <c r="N316" t="inlineStr">
        <is>
          <t>system</t>
        </is>
      </c>
      <c r="O316" t="inlineStr">
        <is>
          <t>2026-06-08 04:47:44</t>
        </is>
      </c>
      <c r="P316" t="inlineStr">
        <is>
          <t>2026-06-08 04:47:44</t>
        </is>
      </c>
      <c r="Y316" t="inlineStr">
        <is>
          <t>27791549241</t>
        </is>
      </c>
    </row>
    <row r="317">
      <c r="A317" t="inlineStr">
        <is>
          <t>14815148</t>
        </is>
      </c>
      <c r="B317" t="inlineStr">
        <is>
          <t>34a57a0a-7b8b-4215-b27d-b68a402dd2d9</t>
        </is>
      </c>
      <c r="D317" t="inlineStr">
        <is>
          <t>30001085</t>
        </is>
      </c>
      <c r="E317" t="inlineStr">
        <is>
          <t>ussd_funeral_leads_altitude_20260601</t>
        </is>
      </c>
      <c r="J317" t="inlineStr">
        <is>
          <t>CU</t>
        </is>
      </c>
      <c r="K317" t="inlineStr">
        <is>
          <t>Client Hung Up</t>
        </is>
      </c>
      <c r="L317" t="n">
        <v>6</v>
      </c>
      <c r="M317" t="inlineStr">
        <is>
          <t>2026-06-11 13:01:28</t>
        </is>
      </c>
      <c r="N317" t="inlineStr">
        <is>
          <t>Vuyiswa Nxumalo</t>
        </is>
      </c>
      <c r="O317" t="inlineStr">
        <is>
          <t>2026-06-08 04:47:44</t>
        </is>
      </c>
      <c r="P317" t="inlineStr">
        <is>
          <t>2026-06-08 04:47:44</t>
        </is>
      </c>
      <c r="Y317" t="inlineStr">
        <is>
          <t>27760723628</t>
        </is>
      </c>
    </row>
    <row r="318">
      <c r="A318" t="inlineStr">
        <is>
          <t>14815145</t>
        </is>
      </c>
      <c r="B318" t="inlineStr">
        <is>
          <t>ad2b0674-f3e7-4834-bb5a-69cffe506294</t>
        </is>
      </c>
      <c r="D318" t="inlineStr">
        <is>
          <t>30001085</t>
        </is>
      </c>
      <c r="E318" t="inlineStr">
        <is>
          <t>ussd_funeral_leads_altitude_20260601</t>
        </is>
      </c>
      <c r="H318" t="inlineStr">
        <is>
          <t>27765112862</t>
        </is>
      </c>
      <c r="J318" t="inlineStr">
        <is>
          <t>AE</t>
        </is>
      </c>
      <c r="K318" t="inlineStr">
        <is>
          <t>Auto Engaged</t>
        </is>
      </c>
      <c r="L318" t="n">
        <v>6</v>
      </c>
      <c r="M318" t="inlineStr">
        <is>
          <t>2026-06-11 13:01:24</t>
        </is>
      </c>
      <c r="N318" t="inlineStr">
        <is>
          <t>system</t>
        </is>
      </c>
      <c r="O318" t="inlineStr">
        <is>
          <t>2026-06-08 04:47:44</t>
        </is>
      </c>
      <c r="P318" t="inlineStr">
        <is>
          <t>2026-06-08 04:47:44</t>
        </is>
      </c>
      <c r="Y318" t="inlineStr">
        <is>
          <t>27765112862</t>
        </is>
      </c>
    </row>
    <row r="319">
      <c r="A319" t="inlineStr">
        <is>
          <t>14815144</t>
        </is>
      </c>
      <c r="B319" t="inlineStr">
        <is>
          <t>ad9ef99d-4e67-4e84-82c6-91fca0f1318a</t>
        </is>
      </c>
      <c r="D319" t="inlineStr">
        <is>
          <t>30001085</t>
        </is>
      </c>
      <c r="E319" t="inlineStr">
        <is>
          <t>ussd_funeral_leads_altitude_20260601</t>
        </is>
      </c>
      <c r="J319" t="inlineStr">
        <is>
          <t>ADC</t>
        </is>
      </c>
      <c r="K319" t="inlineStr">
        <is>
          <t>Auto Dial Disconnected</t>
        </is>
      </c>
      <c r="L319" t="n">
        <v>6</v>
      </c>
      <c r="M319" t="inlineStr">
        <is>
          <t>2026-06-11 13:01:11</t>
        </is>
      </c>
      <c r="N319" t="inlineStr">
        <is>
          <t>system</t>
        </is>
      </c>
      <c r="O319" t="inlineStr">
        <is>
          <t>2026-06-08 04:47:44</t>
        </is>
      </c>
      <c r="P319" t="inlineStr">
        <is>
          <t>2026-06-08 04:47:44</t>
        </is>
      </c>
      <c r="Y319" t="inlineStr">
        <is>
          <t>27797388741</t>
        </is>
      </c>
    </row>
    <row r="320">
      <c r="A320" t="inlineStr">
        <is>
          <t>14815143</t>
        </is>
      </c>
      <c r="B320" t="inlineStr">
        <is>
          <t>952176a8-865f-4d85-b260-5788bfe42920</t>
        </is>
      </c>
      <c r="D320" t="inlineStr">
        <is>
          <t>30001085</t>
        </is>
      </c>
      <c r="E320" t="inlineStr">
        <is>
          <t>ussd_funeral_leads_altitude_20260601</t>
        </is>
      </c>
      <c r="J320" t="inlineStr">
        <is>
          <t>AA</t>
        </is>
      </c>
      <c r="K320" t="inlineStr">
        <is>
          <t>Answering Machine Autodial</t>
        </is>
      </c>
      <c r="L320" t="n">
        <v>6</v>
      </c>
      <c r="M320" t="inlineStr">
        <is>
          <t>2026-06-11 13:01:10</t>
        </is>
      </c>
      <c r="N320" t="inlineStr">
        <is>
          <t>system</t>
        </is>
      </c>
      <c r="O320" t="inlineStr">
        <is>
          <t>2026-06-08 04:47:44</t>
        </is>
      </c>
      <c r="P320" t="inlineStr">
        <is>
          <t>2026-06-08 04:47:44</t>
        </is>
      </c>
      <c r="Y320" t="inlineStr">
        <is>
          <t>27647473060</t>
        </is>
      </c>
    </row>
    <row r="321">
      <c r="A321" t="inlineStr">
        <is>
          <t>14815141</t>
        </is>
      </c>
      <c r="B321" t="inlineStr">
        <is>
          <t>880b6c9c-6cbb-4ced-8347-5a5541babe93</t>
        </is>
      </c>
      <c r="D321" t="inlineStr">
        <is>
          <t>30001085</t>
        </is>
      </c>
      <c r="E321" t="inlineStr">
        <is>
          <t>ussd_funeral_leads_altitude_20260601</t>
        </is>
      </c>
      <c r="J321" t="inlineStr">
        <is>
          <t>AE</t>
        </is>
      </c>
      <c r="K321" t="inlineStr">
        <is>
          <t>Auto Engaged</t>
        </is>
      </c>
      <c r="L321" t="n">
        <v>6</v>
      </c>
      <c r="M321" t="inlineStr">
        <is>
          <t>2026-06-11 13:01:06</t>
        </is>
      </c>
      <c r="N321" t="inlineStr">
        <is>
          <t>system</t>
        </is>
      </c>
      <c r="O321" t="inlineStr">
        <is>
          <t>2026-06-08 04:47:44</t>
        </is>
      </c>
      <c r="P321" t="inlineStr">
        <is>
          <t>2026-06-08 04:47:44</t>
        </is>
      </c>
      <c r="Y321" t="inlineStr">
        <is>
          <t>27796705956</t>
        </is>
      </c>
    </row>
    <row r="322">
      <c r="A322" t="inlineStr">
        <is>
          <t>14815142</t>
        </is>
      </c>
      <c r="B322" t="inlineStr">
        <is>
          <t>04b89d53-d546-4f50-b16b-947d83eb14dd</t>
        </is>
      </c>
      <c r="D322" t="inlineStr">
        <is>
          <t>30001085</t>
        </is>
      </c>
      <c r="E322" t="inlineStr">
        <is>
          <t>ussd_funeral_leads_altitude_20260601</t>
        </is>
      </c>
      <c r="J322" t="inlineStr">
        <is>
          <t>NA</t>
        </is>
      </c>
      <c r="K322" t="inlineStr">
        <is>
          <t>No Answer Autodial</t>
        </is>
      </c>
      <c r="L322" t="n">
        <v>6</v>
      </c>
      <c r="M322" t="inlineStr">
        <is>
          <t>2026-06-11 13:01:06</t>
        </is>
      </c>
      <c r="N322" t="inlineStr">
        <is>
          <t>system</t>
        </is>
      </c>
      <c r="O322" t="inlineStr">
        <is>
          <t>2026-06-08 04:47:44</t>
        </is>
      </c>
      <c r="P322" t="inlineStr">
        <is>
          <t>2026-06-08 04:47:44</t>
        </is>
      </c>
      <c r="Y322" t="inlineStr">
        <is>
          <t>27823983464</t>
        </is>
      </c>
    </row>
    <row r="323">
      <c r="A323" t="inlineStr">
        <is>
          <t>14815140</t>
        </is>
      </c>
      <c r="B323" t="inlineStr">
        <is>
          <t>11892be2-f64e-4ccf-9572-5b23ad71994e</t>
        </is>
      </c>
      <c r="D323" t="inlineStr">
        <is>
          <t>30001085</t>
        </is>
      </c>
      <c r="E323" t="inlineStr">
        <is>
          <t>ussd_funeral_leads_altitude_20260601</t>
        </is>
      </c>
      <c r="J323" t="inlineStr">
        <is>
          <t>CU</t>
        </is>
      </c>
      <c r="K323" t="inlineStr">
        <is>
          <t>Client Hung Up</t>
        </is>
      </c>
      <c r="L323" t="n">
        <v>6</v>
      </c>
      <c r="M323" t="inlineStr">
        <is>
          <t>2026-06-11 13:00:52</t>
        </is>
      </c>
      <c r="N323" t="inlineStr">
        <is>
          <t>Vuyiswa Nxumalo</t>
        </is>
      </c>
      <c r="O323" t="inlineStr">
        <is>
          <t>2026-06-08 04:47:44</t>
        </is>
      </c>
      <c r="P323" t="inlineStr">
        <is>
          <t>2026-06-08 04:47:44</t>
        </is>
      </c>
      <c r="Y323" t="inlineStr">
        <is>
          <t>27663800796</t>
        </is>
      </c>
    </row>
    <row r="324">
      <c r="A324" t="inlineStr">
        <is>
          <t>14815135</t>
        </is>
      </c>
      <c r="B324" t="inlineStr">
        <is>
          <t>f2ec4188-03b6-4246-b743-f0645d50dd32</t>
        </is>
      </c>
      <c r="D324" t="inlineStr">
        <is>
          <t>30001085</t>
        </is>
      </c>
      <c r="E324" t="inlineStr">
        <is>
          <t>ussd_funeral_leads_altitude_20260601</t>
        </is>
      </c>
      <c r="J324" t="inlineStr">
        <is>
          <t>ADC</t>
        </is>
      </c>
      <c r="K324" t="inlineStr">
        <is>
          <t>Auto Dial Disconnected</t>
        </is>
      </c>
      <c r="L324" t="n">
        <v>6</v>
      </c>
      <c r="M324" t="inlineStr">
        <is>
          <t>2026-06-11 13:00:43</t>
        </is>
      </c>
      <c r="N324" t="inlineStr">
        <is>
          <t>system</t>
        </is>
      </c>
      <c r="O324" t="inlineStr">
        <is>
          <t>2026-06-08 04:47:44</t>
        </is>
      </c>
      <c r="P324" t="inlineStr">
        <is>
          <t>2026-06-08 04:47:44</t>
        </is>
      </c>
      <c r="Y324" t="inlineStr">
        <is>
          <t>27767611304</t>
        </is>
      </c>
    </row>
    <row r="325">
      <c r="A325" t="inlineStr">
        <is>
          <t>14815134</t>
        </is>
      </c>
      <c r="B325" t="inlineStr">
        <is>
          <t>582f95a0-ee92-4935-88f2-1468d40cc454</t>
        </is>
      </c>
      <c r="D325" t="inlineStr">
        <is>
          <t>30001085</t>
        </is>
      </c>
      <c r="E325" t="inlineStr">
        <is>
          <t>ussd_funeral_leads_altitude_20260601</t>
        </is>
      </c>
      <c r="J325" t="inlineStr">
        <is>
          <t>TDN</t>
        </is>
      </c>
      <c r="K325" t="inlineStr">
        <is>
          <t>Temporary Disconnected Number</t>
        </is>
      </c>
      <c r="L325" t="n">
        <v>6</v>
      </c>
      <c r="M325" t="inlineStr">
        <is>
          <t>2026-06-11 13:00:03</t>
        </is>
      </c>
      <c r="N325" t="inlineStr">
        <is>
          <t>system</t>
        </is>
      </c>
      <c r="O325" t="inlineStr">
        <is>
          <t>2026-06-08 04:47:44</t>
        </is>
      </c>
      <c r="P325" t="inlineStr">
        <is>
          <t>2026-06-08 04:47:44</t>
        </is>
      </c>
      <c r="Y325" t="inlineStr">
        <is>
          <t>27792638454</t>
        </is>
      </c>
    </row>
    <row r="326">
      <c r="A326" t="inlineStr">
        <is>
          <t>14815133</t>
        </is>
      </c>
      <c r="B326" t="inlineStr">
        <is>
          <t>359e44d0-9462-4e8b-9240-c39e20057753</t>
        </is>
      </c>
      <c r="D326" t="inlineStr">
        <is>
          <t>30001085</t>
        </is>
      </c>
      <c r="E326" t="inlineStr">
        <is>
          <t>ussd_funeral_leads_altitude_20260601</t>
        </is>
      </c>
      <c r="J326" t="inlineStr">
        <is>
          <t>ADC</t>
        </is>
      </c>
      <c r="K326" t="inlineStr">
        <is>
          <t>Auto Dial Disconnected</t>
        </is>
      </c>
      <c r="L326" t="n">
        <v>6</v>
      </c>
      <c r="M326" t="inlineStr">
        <is>
          <t>2026-06-11 12:59:44</t>
        </is>
      </c>
      <c r="N326" t="inlineStr">
        <is>
          <t>system</t>
        </is>
      </c>
      <c r="O326" t="inlineStr">
        <is>
          <t>2026-06-08 04:47:44</t>
        </is>
      </c>
      <c r="P326" t="inlineStr">
        <is>
          <t>2026-06-08 04:47:44</t>
        </is>
      </c>
      <c r="Y326" t="inlineStr">
        <is>
          <t>27673992223</t>
        </is>
      </c>
    </row>
    <row r="327">
      <c r="A327" t="inlineStr">
        <is>
          <t>14815128</t>
        </is>
      </c>
      <c r="B327" t="inlineStr">
        <is>
          <t>e01d5831-a10b-4bbf-b5b4-aab58f410da5</t>
        </is>
      </c>
      <c r="D327" t="inlineStr">
        <is>
          <t>30001085</t>
        </is>
      </c>
      <c r="E327" t="inlineStr">
        <is>
          <t>ussd_funeral_leads_altitude_20260601</t>
        </is>
      </c>
      <c r="J327" t="inlineStr">
        <is>
          <t>NA</t>
        </is>
      </c>
      <c r="K327" t="inlineStr">
        <is>
          <t>No Answer Autodial</t>
        </is>
      </c>
      <c r="L327" t="n">
        <v>6</v>
      </c>
      <c r="M327" t="inlineStr">
        <is>
          <t>2026-06-11 12:59:15</t>
        </is>
      </c>
      <c r="N327" t="inlineStr">
        <is>
          <t>system</t>
        </is>
      </c>
      <c r="O327" t="inlineStr">
        <is>
          <t>2026-06-08 04:47:44</t>
        </is>
      </c>
      <c r="P327" t="inlineStr">
        <is>
          <t>2026-06-08 04:47:44</t>
        </is>
      </c>
      <c r="Y327" t="inlineStr">
        <is>
          <t>27827968345</t>
        </is>
      </c>
    </row>
    <row r="328">
      <c r="A328" t="inlineStr">
        <is>
          <t>14815127</t>
        </is>
      </c>
      <c r="B328" t="inlineStr">
        <is>
          <t>a62f704f-ed3d-4c68-9ff4-ccb8bee711e9</t>
        </is>
      </c>
      <c r="D328" t="inlineStr">
        <is>
          <t>30001085</t>
        </is>
      </c>
      <c r="E328" t="inlineStr">
        <is>
          <t>ussd_funeral_leads_altitude_20260601</t>
        </is>
      </c>
      <c r="J328" t="inlineStr">
        <is>
          <t>NA</t>
        </is>
      </c>
      <c r="K328" t="inlineStr">
        <is>
          <t>No Answer Autodial</t>
        </is>
      </c>
      <c r="L328" t="n">
        <v>6</v>
      </c>
      <c r="M328" t="inlineStr">
        <is>
          <t>2026-06-11 12:59:13</t>
        </is>
      </c>
      <c r="N328" t="inlineStr">
        <is>
          <t>system</t>
        </is>
      </c>
      <c r="O328" t="inlineStr">
        <is>
          <t>2026-06-08 04:47:44</t>
        </is>
      </c>
      <c r="P328" t="inlineStr">
        <is>
          <t>2026-06-08 04:47:44</t>
        </is>
      </c>
      <c r="Y328" t="inlineStr">
        <is>
          <t>27818623710</t>
        </is>
      </c>
    </row>
    <row r="329">
      <c r="A329" t="inlineStr">
        <is>
          <t>14815126</t>
        </is>
      </c>
      <c r="B329" t="inlineStr">
        <is>
          <t>c9f35001-0c24-4c2d-8d40-acf1e654aebb</t>
        </is>
      </c>
      <c r="D329" t="inlineStr">
        <is>
          <t>30001085</t>
        </is>
      </c>
      <c r="E329" t="inlineStr">
        <is>
          <t>ussd_funeral_leads_altitude_20260601</t>
        </is>
      </c>
      <c r="J329" t="inlineStr">
        <is>
          <t>TDN</t>
        </is>
      </c>
      <c r="K329" t="inlineStr">
        <is>
          <t>Temporary Disconnected Number</t>
        </is>
      </c>
      <c r="L329" t="n">
        <v>6</v>
      </c>
      <c r="M329" t="inlineStr">
        <is>
          <t>2026-06-11 12:58:21</t>
        </is>
      </c>
      <c r="N329" t="inlineStr">
        <is>
          <t>system</t>
        </is>
      </c>
      <c r="O329" t="inlineStr">
        <is>
          <t>2026-06-08 04:47:44</t>
        </is>
      </c>
      <c r="P329" t="inlineStr">
        <is>
          <t>2026-06-08 04:47:44</t>
        </is>
      </c>
      <c r="Y329" t="inlineStr">
        <is>
          <t>27673281126</t>
        </is>
      </c>
    </row>
    <row r="330">
      <c r="A330" t="inlineStr">
        <is>
          <t>14815125</t>
        </is>
      </c>
      <c r="B330" t="inlineStr">
        <is>
          <t>48242a76-8871-45dc-842e-39572c5736c7</t>
        </is>
      </c>
      <c r="D330" t="inlineStr">
        <is>
          <t>30001085</t>
        </is>
      </c>
      <c r="E330" t="inlineStr">
        <is>
          <t>ussd_funeral_leads_altitude_20260601</t>
        </is>
      </c>
      <c r="J330" t="inlineStr">
        <is>
          <t>CU</t>
        </is>
      </c>
      <c r="K330" t="inlineStr">
        <is>
          <t>Client Hung Up</t>
        </is>
      </c>
      <c r="L330" t="n">
        <v>6</v>
      </c>
      <c r="M330" t="inlineStr">
        <is>
          <t>2026-06-11 12:58:20</t>
        </is>
      </c>
      <c r="N330" t="inlineStr">
        <is>
          <t>Gontse Monageng</t>
        </is>
      </c>
      <c r="O330" t="inlineStr">
        <is>
          <t>2026-06-08 04:47:44</t>
        </is>
      </c>
      <c r="P330" t="inlineStr">
        <is>
          <t>2026-06-08 04:47:44</t>
        </is>
      </c>
      <c r="Y330" t="inlineStr">
        <is>
          <t>27818839076</t>
        </is>
      </c>
    </row>
    <row r="331">
      <c r="A331" t="inlineStr">
        <is>
          <t>14815124</t>
        </is>
      </c>
      <c r="B331" t="inlineStr">
        <is>
          <t>d7899834-bb49-4ab7-9528-3bd7c716ed05</t>
        </is>
      </c>
      <c r="D331" t="inlineStr">
        <is>
          <t>30001085</t>
        </is>
      </c>
      <c r="E331" t="inlineStr">
        <is>
          <t>ussd_funeral_leads_altitude_20260601</t>
        </is>
      </c>
      <c r="J331" t="inlineStr">
        <is>
          <t>TDN</t>
        </is>
      </c>
      <c r="K331" t="inlineStr">
        <is>
          <t>Temporary Disconnected Number</t>
        </is>
      </c>
      <c r="L331" t="n">
        <v>6</v>
      </c>
      <c r="M331" t="inlineStr">
        <is>
          <t>2026-06-11 12:58:13</t>
        </is>
      </c>
      <c r="N331" t="inlineStr">
        <is>
          <t>system</t>
        </is>
      </c>
      <c r="O331" t="inlineStr">
        <is>
          <t>2026-06-08 04:47:44</t>
        </is>
      </c>
      <c r="P331" t="inlineStr">
        <is>
          <t>2026-06-08 04:47:44</t>
        </is>
      </c>
      <c r="Y331" t="inlineStr">
        <is>
          <t>27661679017</t>
        </is>
      </c>
    </row>
    <row r="332">
      <c r="A332" t="inlineStr">
        <is>
          <t>14815122</t>
        </is>
      </c>
      <c r="B332" t="inlineStr">
        <is>
          <t>9ed065d2-d720-4ff6-9b83-253e7db9f9d9</t>
        </is>
      </c>
      <c r="D332" t="inlineStr">
        <is>
          <t>30001085</t>
        </is>
      </c>
      <c r="E332" t="inlineStr">
        <is>
          <t>ussd_funeral_leads_altitude_20260601</t>
        </is>
      </c>
      <c r="J332" t="inlineStr">
        <is>
          <t>AE</t>
        </is>
      </c>
      <c r="K332" t="inlineStr">
        <is>
          <t>Auto Engaged</t>
        </is>
      </c>
      <c r="L332" t="n">
        <v>6</v>
      </c>
      <c r="M332" t="inlineStr">
        <is>
          <t>2026-06-11 12:57:53</t>
        </is>
      </c>
      <c r="N332" t="inlineStr">
        <is>
          <t>system</t>
        </is>
      </c>
      <c r="O332" t="inlineStr">
        <is>
          <t>2026-06-08 04:47:44</t>
        </is>
      </c>
      <c r="P332" t="inlineStr">
        <is>
          <t>2026-06-08 04:47:44</t>
        </is>
      </c>
      <c r="Y332" t="inlineStr">
        <is>
          <t>27714602928</t>
        </is>
      </c>
    </row>
    <row r="333">
      <c r="A333" t="inlineStr">
        <is>
          <t>14815264</t>
        </is>
      </c>
      <c r="B333" t="inlineStr">
        <is>
          <t>6ff693fb-6c08-4c57-aed8-f186fd8c8c1b</t>
        </is>
      </c>
      <c r="D333" t="inlineStr">
        <is>
          <t>30001085</t>
        </is>
      </c>
      <c r="E333" t="inlineStr">
        <is>
          <t>ussd_funeral_leads_altitude_20260601</t>
        </is>
      </c>
      <c r="J333" t="inlineStr">
        <is>
          <t>NA</t>
        </is>
      </c>
      <c r="K333" t="inlineStr">
        <is>
          <t>No Answer Autodial</t>
        </is>
      </c>
      <c r="L333" t="n">
        <v>6</v>
      </c>
      <c r="M333" t="inlineStr">
        <is>
          <t>2026-06-11 12:57:48</t>
        </is>
      </c>
      <c r="N333" t="inlineStr">
        <is>
          <t>system</t>
        </is>
      </c>
      <c r="O333" t="inlineStr">
        <is>
          <t>2026-06-08 04:47:44</t>
        </is>
      </c>
      <c r="P333" t="inlineStr">
        <is>
          <t>2026-06-08 04:47:44</t>
        </is>
      </c>
      <c r="Y333" t="inlineStr">
        <is>
          <t>27763397442</t>
        </is>
      </c>
    </row>
    <row r="334">
      <c r="A334" t="inlineStr">
        <is>
          <t>14814828</t>
        </is>
      </c>
      <c r="B334" t="inlineStr">
        <is>
          <t>6879104b-aec8-4dc6-b147-635bce3cd4fa</t>
        </is>
      </c>
      <c r="D334" t="inlineStr">
        <is>
          <t>30001085</t>
        </is>
      </c>
      <c r="E334" t="inlineStr">
        <is>
          <t>ussd_funeral_leads_altitude_20260601</t>
        </is>
      </c>
      <c r="J334" t="inlineStr">
        <is>
          <t>TDN</t>
        </is>
      </c>
      <c r="K334" t="inlineStr">
        <is>
          <t>Temporary Disconnected Number</t>
        </is>
      </c>
      <c r="L334" t="n">
        <v>6</v>
      </c>
      <c r="M334" t="inlineStr">
        <is>
          <t>2026-06-11 12:57:21</t>
        </is>
      </c>
      <c r="N334" t="inlineStr">
        <is>
          <t>system</t>
        </is>
      </c>
      <c r="O334" t="inlineStr">
        <is>
          <t>2026-06-08 04:47:44</t>
        </is>
      </c>
      <c r="P334" t="inlineStr">
        <is>
          <t>2026-06-08 04:47:44</t>
        </is>
      </c>
      <c r="Y334" t="inlineStr">
        <is>
          <t>27765490428</t>
        </is>
      </c>
    </row>
    <row r="335">
      <c r="A335" t="inlineStr">
        <is>
          <t>14814826</t>
        </is>
      </c>
      <c r="B335" t="inlineStr">
        <is>
          <t>3bbca6f7-b493-4e20-97f6-bb67bf323372</t>
        </is>
      </c>
      <c r="D335" t="inlineStr">
        <is>
          <t>30001085</t>
        </is>
      </c>
      <c r="E335" t="inlineStr">
        <is>
          <t>ussd_funeral_leads_altitude_20260601</t>
        </is>
      </c>
      <c r="J335" t="inlineStr">
        <is>
          <t>TDN</t>
        </is>
      </c>
      <c r="K335" t="inlineStr">
        <is>
          <t>Temporary Disconnected Number</t>
        </is>
      </c>
      <c r="L335" t="n">
        <v>6</v>
      </c>
      <c r="M335" t="inlineStr">
        <is>
          <t>2026-06-11 12:57:20</t>
        </is>
      </c>
      <c r="N335" t="inlineStr">
        <is>
          <t>system</t>
        </is>
      </c>
      <c r="O335" t="inlineStr">
        <is>
          <t>2026-06-08 04:47:44</t>
        </is>
      </c>
      <c r="P335" t="inlineStr">
        <is>
          <t>2026-06-08 04:47:44</t>
        </is>
      </c>
      <c r="Y335" t="inlineStr">
        <is>
          <t>27818584353</t>
        </is>
      </c>
    </row>
    <row r="336">
      <c r="A336" t="inlineStr">
        <is>
          <t>14814825</t>
        </is>
      </c>
      <c r="B336" t="inlineStr">
        <is>
          <t>7d3c2ae6-2bea-4ae6-beee-d15556fab3ff</t>
        </is>
      </c>
      <c r="D336" t="inlineStr">
        <is>
          <t>30001085</t>
        </is>
      </c>
      <c r="E336" t="inlineStr">
        <is>
          <t>ussd_funeral_leads_altitude_20260601</t>
        </is>
      </c>
      <c r="J336" t="inlineStr">
        <is>
          <t>AA</t>
        </is>
      </c>
      <c r="K336" t="inlineStr">
        <is>
          <t>Answering Machine Autodial</t>
        </is>
      </c>
      <c r="L336" t="n">
        <v>6</v>
      </c>
      <c r="M336" t="inlineStr">
        <is>
          <t>2026-06-11 12:56:30</t>
        </is>
      </c>
      <c r="N336" t="inlineStr">
        <is>
          <t>system</t>
        </is>
      </c>
      <c r="O336" t="inlineStr">
        <is>
          <t>2026-06-08 04:47:44</t>
        </is>
      </c>
      <c r="P336" t="inlineStr">
        <is>
          <t>2026-06-08 04:47:44</t>
        </is>
      </c>
      <c r="Y336" t="inlineStr">
        <is>
          <t>27646412369</t>
        </is>
      </c>
    </row>
    <row r="337">
      <c r="A337" t="inlineStr">
        <is>
          <t>14815174</t>
        </is>
      </c>
      <c r="B337" t="inlineStr">
        <is>
          <t>64bcbe25-55e1-4638-ab03-b78832f2ca74</t>
        </is>
      </c>
      <c r="D337" t="inlineStr">
        <is>
          <t>30001085</t>
        </is>
      </c>
      <c r="E337" t="inlineStr">
        <is>
          <t>ussd_funeral_leads_altitude_20260601</t>
        </is>
      </c>
      <c r="J337" t="inlineStr">
        <is>
          <t>A</t>
        </is>
      </c>
      <c r="K337" t="inlineStr">
        <is>
          <t>Answering Machine</t>
        </is>
      </c>
      <c r="L337" t="n">
        <v>7</v>
      </c>
      <c r="M337" t="inlineStr">
        <is>
          <t>2026-06-11 12:56:29</t>
        </is>
      </c>
      <c r="N337" t="inlineStr">
        <is>
          <t>Virginia Letsatsi</t>
        </is>
      </c>
      <c r="O337" t="inlineStr">
        <is>
          <t>2026-06-08 04:47:44</t>
        </is>
      </c>
      <c r="P337" t="inlineStr">
        <is>
          <t>2026-06-08 04:47:44</t>
        </is>
      </c>
      <c r="Y337" t="inlineStr">
        <is>
          <t>27799509157</t>
        </is>
      </c>
    </row>
    <row r="338">
      <c r="A338" t="inlineStr">
        <is>
          <t>14814824</t>
        </is>
      </c>
      <c r="B338" t="inlineStr">
        <is>
          <t>3255452e-0f5c-4cff-84c3-93fdb097a9f2</t>
        </is>
      </c>
      <c r="D338" t="inlineStr">
        <is>
          <t>30001085</t>
        </is>
      </c>
      <c r="E338" t="inlineStr">
        <is>
          <t>ussd_funeral_leads_altitude_20260601</t>
        </is>
      </c>
      <c r="J338" t="inlineStr">
        <is>
          <t>AA</t>
        </is>
      </c>
      <c r="K338" t="inlineStr">
        <is>
          <t>Answering Machine Autodial</t>
        </is>
      </c>
      <c r="L338" t="n">
        <v>6</v>
      </c>
      <c r="M338" t="inlineStr">
        <is>
          <t>2026-06-11 12:56:28</t>
        </is>
      </c>
      <c r="N338" t="inlineStr">
        <is>
          <t>system</t>
        </is>
      </c>
      <c r="O338" t="inlineStr">
        <is>
          <t>2026-06-08 04:47:44</t>
        </is>
      </c>
      <c r="P338" t="inlineStr">
        <is>
          <t>2026-06-08 04:47:44</t>
        </is>
      </c>
      <c r="Y338" t="inlineStr">
        <is>
          <t>27768638901</t>
        </is>
      </c>
    </row>
    <row r="339">
      <c r="A339" t="inlineStr">
        <is>
          <t>14814823</t>
        </is>
      </c>
      <c r="B339" t="inlineStr">
        <is>
          <t>e23a15f5-636f-4ae7-8b5c-27a5b0eaa391</t>
        </is>
      </c>
      <c r="D339" t="inlineStr">
        <is>
          <t>30001085</t>
        </is>
      </c>
      <c r="E339" t="inlineStr">
        <is>
          <t>ussd_funeral_leads_altitude_20260601</t>
        </is>
      </c>
      <c r="J339" t="inlineStr">
        <is>
          <t>NA</t>
        </is>
      </c>
      <c r="K339" t="inlineStr">
        <is>
          <t>No Answer Autodial</t>
        </is>
      </c>
      <c r="L339" t="n">
        <v>6</v>
      </c>
      <c r="M339" t="inlineStr">
        <is>
          <t>2026-06-11 12:56:25</t>
        </is>
      </c>
      <c r="N339" t="inlineStr">
        <is>
          <t>system</t>
        </is>
      </c>
      <c r="O339" t="inlineStr">
        <is>
          <t>2026-06-08 04:47:44</t>
        </is>
      </c>
      <c r="P339" t="inlineStr">
        <is>
          <t>2026-06-08 04:47:44</t>
        </is>
      </c>
      <c r="Y339" t="inlineStr">
        <is>
          <t>27724823824</t>
        </is>
      </c>
    </row>
    <row r="340">
      <c r="A340" t="inlineStr">
        <is>
          <t>14814822</t>
        </is>
      </c>
      <c r="B340" t="inlineStr">
        <is>
          <t>4c81f301-6469-4cb3-bbb3-1ecd4b362e70</t>
        </is>
      </c>
      <c r="D340" t="inlineStr">
        <is>
          <t>30001085</t>
        </is>
      </c>
      <c r="E340" t="inlineStr">
        <is>
          <t>ussd_funeral_leads_altitude_20260601</t>
        </is>
      </c>
      <c r="J340" t="inlineStr">
        <is>
          <t>ADC</t>
        </is>
      </c>
      <c r="K340" t="inlineStr">
        <is>
          <t>Auto Dial Disconnected</t>
        </is>
      </c>
      <c r="L340" t="n">
        <v>6</v>
      </c>
      <c r="M340" t="inlineStr">
        <is>
          <t>2026-06-11 12:56:22</t>
        </is>
      </c>
      <c r="N340" t="inlineStr">
        <is>
          <t>system</t>
        </is>
      </c>
      <c r="O340" t="inlineStr">
        <is>
          <t>2026-06-08 04:47:44</t>
        </is>
      </c>
      <c r="P340" t="inlineStr">
        <is>
          <t>2026-06-08 04:47:44</t>
        </is>
      </c>
      <c r="Y340" t="inlineStr">
        <is>
          <t>27763465492</t>
        </is>
      </c>
    </row>
    <row r="341">
      <c r="A341" t="inlineStr">
        <is>
          <t>14814815</t>
        </is>
      </c>
      <c r="B341" t="inlineStr">
        <is>
          <t>86552dcc-5192-4582-acdb-e158cfc196d7</t>
        </is>
      </c>
      <c r="D341" t="inlineStr">
        <is>
          <t>30001085</t>
        </is>
      </c>
      <c r="E341" t="inlineStr">
        <is>
          <t>ussd_funeral_leads_altitude_20260601</t>
        </is>
      </c>
      <c r="J341" t="inlineStr">
        <is>
          <t>ADC</t>
        </is>
      </c>
      <c r="K341" t="inlineStr">
        <is>
          <t>Auto Dial Disconnected</t>
        </is>
      </c>
      <c r="L341" t="n">
        <v>6</v>
      </c>
      <c r="M341" t="inlineStr">
        <is>
          <t>2026-06-11 12:56:11</t>
        </is>
      </c>
      <c r="N341" t="inlineStr">
        <is>
          <t>system</t>
        </is>
      </c>
      <c r="O341" t="inlineStr">
        <is>
          <t>2026-06-08 04:47:44</t>
        </is>
      </c>
      <c r="P341" t="inlineStr">
        <is>
          <t>2026-06-08 04:47:44</t>
        </is>
      </c>
      <c r="Y341" t="inlineStr">
        <is>
          <t>27724358874</t>
        </is>
      </c>
    </row>
    <row r="342">
      <c r="A342" t="inlineStr">
        <is>
          <t>14814818</t>
        </is>
      </c>
      <c r="B342" t="inlineStr">
        <is>
          <t>3eda82c9-6261-4211-8cb6-5699c8ff1aae</t>
        </is>
      </c>
      <c r="D342" t="inlineStr">
        <is>
          <t>30001085</t>
        </is>
      </c>
      <c r="E342" t="inlineStr">
        <is>
          <t>ussd_funeral_leads_altitude_20260601</t>
        </is>
      </c>
      <c r="J342" t="inlineStr">
        <is>
          <t>NA</t>
        </is>
      </c>
      <c r="K342" t="inlineStr">
        <is>
          <t>No Answer Autodial</t>
        </is>
      </c>
      <c r="L342" t="n">
        <v>6</v>
      </c>
      <c r="M342" t="inlineStr">
        <is>
          <t>2026-06-11 12:56:11</t>
        </is>
      </c>
      <c r="N342" t="inlineStr">
        <is>
          <t>system</t>
        </is>
      </c>
      <c r="O342" t="inlineStr">
        <is>
          <t>2026-06-08 04:47:44</t>
        </is>
      </c>
      <c r="P342" t="inlineStr">
        <is>
          <t>2026-06-08 04:47:44</t>
        </is>
      </c>
      <c r="Y342" t="inlineStr">
        <is>
          <t>27794790689</t>
        </is>
      </c>
    </row>
    <row r="343">
      <c r="A343" t="inlineStr">
        <is>
          <t>14800000</t>
        </is>
      </c>
      <c r="B343" t="inlineStr">
        <is>
          <t>6612e548-3894-4007-aae6-8c6dce979549</t>
        </is>
      </c>
      <c r="D343" t="inlineStr">
        <is>
          <t>30001085</t>
        </is>
      </c>
      <c r="E343" t="inlineStr">
        <is>
          <t>ussd_funeral_leads_altitude_20260601</t>
        </is>
      </c>
      <c r="J343" t="inlineStr">
        <is>
          <t>TDN</t>
        </is>
      </c>
      <c r="K343" t="inlineStr">
        <is>
          <t>Temporary Disconnected Number</t>
        </is>
      </c>
      <c r="L343" t="n">
        <v>6</v>
      </c>
      <c r="M343" t="inlineStr">
        <is>
          <t>2026-06-11 12:56:05</t>
        </is>
      </c>
      <c r="N343" t="inlineStr">
        <is>
          <t>system</t>
        </is>
      </c>
      <c r="O343" t="inlineStr">
        <is>
          <t>2026-06-08 04:47:44</t>
        </is>
      </c>
      <c r="P343" t="inlineStr">
        <is>
          <t>2026-06-08 04:47:44</t>
        </is>
      </c>
      <c r="Y343" t="inlineStr">
        <is>
          <t>27794612924</t>
        </is>
      </c>
    </row>
    <row r="344">
      <c r="A344" t="inlineStr">
        <is>
          <t>14814809</t>
        </is>
      </c>
      <c r="B344" t="inlineStr">
        <is>
          <t>6b74b4fe-31e9-46ee-ab55-28865a94d3c9</t>
        </is>
      </c>
      <c r="D344" t="inlineStr">
        <is>
          <t>30001085</t>
        </is>
      </c>
      <c r="E344" t="inlineStr">
        <is>
          <t>ussd_funeral_leads_altitude_20260601</t>
        </is>
      </c>
      <c r="H344" t="inlineStr">
        <is>
          <t>27664933215</t>
        </is>
      </c>
      <c r="J344" t="inlineStr">
        <is>
          <t>AA</t>
        </is>
      </c>
      <c r="K344" t="inlineStr">
        <is>
          <t>Answering Machine Autodial</t>
        </is>
      </c>
      <c r="L344" t="n">
        <v>6</v>
      </c>
      <c r="M344" t="inlineStr">
        <is>
          <t>2026-06-11 12:56:00</t>
        </is>
      </c>
      <c r="N344" t="inlineStr">
        <is>
          <t>system</t>
        </is>
      </c>
      <c r="O344" t="inlineStr">
        <is>
          <t>2026-06-08 04:47:44</t>
        </is>
      </c>
      <c r="P344" t="inlineStr">
        <is>
          <t>2026-06-08 04:47:44</t>
        </is>
      </c>
      <c r="Y344" t="inlineStr">
        <is>
          <t>27664933215</t>
        </is>
      </c>
    </row>
    <row r="345">
      <c r="A345" t="inlineStr">
        <is>
          <t>14814802</t>
        </is>
      </c>
      <c r="B345" t="inlineStr">
        <is>
          <t>6d18351a-7ea4-47b4-87cb-60da02e533b0</t>
        </is>
      </c>
      <c r="D345" t="inlineStr">
        <is>
          <t>30001085</t>
        </is>
      </c>
      <c r="E345" t="inlineStr">
        <is>
          <t>ussd_funeral_leads_altitude_20260601</t>
        </is>
      </c>
      <c r="J345" t="inlineStr">
        <is>
          <t>TDN</t>
        </is>
      </c>
      <c r="K345" t="inlineStr">
        <is>
          <t>Temporary Disconnected Number</t>
        </is>
      </c>
      <c r="L345" t="n">
        <v>6</v>
      </c>
      <c r="M345" t="inlineStr">
        <is>
          <t>2026-06-11 12:55:59</t>
        </is>
      </c>
      <c r="N345" t="inlineStr">
        <is>
          <t>system</t>
        </is>
      </c>
      <c r="O345" t="inlineStr">
        <is>
          <t>2026-06-08 04:47:44</t>
        </is>
      </c>
      <c r="P345" t="inlineStr">
        <is>
          <t>2026-06-08 04:47:44</t>
        </is>
      </c>
      <c r="Y345" t="inlineStr">
        <is>
          <t>27764293612</t>
        </is>
      </c>
    </row>
    <row r="346">
      <c r="A346" t="inlineStr">
        <is>
          <t>14814804</t>
        </is>
      </c>
      <c r="B346" t="inlineStr">
        <is>
          <t>d8dd8144-6708-4420-b2b1-34e6bc1da8b4</t>
        </is>
      </c>
      <c r="D346" t="inlineStr">
        <is>
          <t>30001085</t>
        </is>
      </c>
      <c r="E346" t="inlineStr">
        <is>
          <t>ussd_funeral_leads_altitude_20260601</t>
        </is>
      </c>
      <c r="J346" t="inlineStr">
        <is>
          <t>OAL</t>
        </is>
      </c>
      <c r="K346" t="inlineStr">
        <is>
          <t>Over Age Limit</t>
        </is>
      </c>
      <c r="L346" t="n">
        <v>6</v>
      </c>
      <c r="M346" t="inlineStr">
        <is>
          <t>2026-06-11 12:55:59</t>
        </is>
      </c>
      <c r="N346" t="inlineStr">
        <is>
          <t>Vuyiswa Nxumalo</t>
        </is>
      </c>
      <c r="O346" t="inlineStr">
        <is>
          <t>2026-06-08 04:47:44</t>
        </is>
      </c>
      <c r="P346" t="inlineStr">
        <is>
          <t>2026-06-08 04:47:44</t>
        </is>
      </c>
      <c r="Y346" t="inlineStr">
        <is>
          <t>27724690643</t>
        </is>
      </c>
    </row>
    <row r="347">
      <c r="A347" t="inlineStr">
        <is>
          <t>14814797</t>
        </is>
      </c>
      <c r="B347" t="inlineStr">
        <is>
          <t>c23bd065-8a84-4d10-a46f-fa160ad31d57</t>
        </is>
      </c>
      <c r="D347" t="inlineStr">
        <is>
          <t>30001085</t>
        </is>
      </c>
      <c r="E347" t="inlineStr">
        <is>
          <t>ussd_funeral_leads_altitude_20260601</t>
        </is>
      </c>
      <c r="J347" t="inlineStr">
        <is>
          <t>AA</t>
        </is>
      </c>
      <c r="K347" t="inlineStr">
        <is>
          <t>Answering Machine Autodial</t>
        </is>
      </c>
      <c r="L347" t="n">
        <v>6</v>
      </c>
      <c r="M347" t="inlineStr">
        <is>
          <t>2026-06-11 12:55:54</t>
        </is>
      </c>
      <c r="N347" t="inlineStr">
        <is>
          <t>system</t>
        </is>
      </c>
      <c r="O347" t="inlineStr">
        <is>
          <t>2026-06-08 04:47:44</t>
        </is>
      </c>
      <c r="P347" t="inlineStr">
        <is>
          <t>2026-06-08 04:47:44</t>
        </is>
      </c>
      <c r="Y347" t="inlineStr">
        <is>
          <t>27606951025</t>
        </is>
      </c>
    </row>
    <row r="348">
      <c r="A348" t="inlineStr">
        <is>
          <t>14814796</t>
        </is>
      </c>
      <c r="B348" t="inlineStr">
        <is>
          <t>2dadaad2-13df-4106-b5ee-8a4351e49264</t>
        </is>
      </c>
      <c r="D348" t="inlineStr">
        <is>
          <t>30001085</t>
        </is>
      </c>
      <c r="E348" t="inlineStr">
        <is>
          <t>ussd_funeral_leads_altitude_20260601</t>
        </is>
      </c>
      <c r="J348" t="inlineStr">
        <is>
          <t>DROP</t>
        </is>
      </c>
      <c r="K348" t="inlineStr">
        <is>
          <t>Dropped</t>
        </is>
      </c>
      <c r="L348" t="n">
        <v>6</v>
      </c>
      <c r="M348" t="inlineStr">
        <is>
          <t>2026-06-11 12:54:55</t>
        </is>
      </c>
      <c r="N348" t="inlineStr">
        <is>
          <t>system</t>
        </is>
      </c>
      <c r="O348" t="inlineStr">
        <is>
          <t>2026-06-08 04:47:44</t>
        </is>
      </c>
      <c r="P348" t="inlineStr">
        <is>
          <t>2026-06-08 04:47:44</t>
        </is>
      </c>
      <c r="Y348" t="inlineStr">
        <is>
          <t>27721451097</t>
        </is>
      </c>
    </row>
    <row r="349">
      <c r="A349" t="inlineStr">
        <is>
          <t>14815176</t>
        </is>
      </c>
      <c r="B349" t="inlineStr">
        <is>
          <t>479630e6-96c3-4ab9-b483-5c7154bfbf2b</t>
        </is>
      </c>
      <c r="D349" t="inlineStr">
        <is>
          <t>30001085</t>
        </is>
      </c>
      <c r="E349" t="inlineStr">
        <is>
          <t>ussd_funeral_leads_altitude_20260601</t>
        </is>
      </c>
      <c r="J349" t="inlineStr">
        <is>
          <t>DROP</t>
        </is>
      </c>
      <c r="K349" t="inlineStr">
        <is>
          <t>Dropped</t>
        </is>
      </c>
      <c r="L349" t="n">
        <v>6</v>
      </c>
      <c r="M349" t="inlineStr">
        <is>
          <t>2026-06-11 12:54:51</t>
        </is>
      </c>
      <c r="N349" t="inlineStr">
        <is>
          <t>system</t>
        </is>
      </c>
      <c r="O349" t="inlineStr">
        <is>
          <t>2026-06-08 04:47:44</t>
        </is>
      </c>
      <c r="P349" t="inlineStr">
        <is>
          <t>2026-06-08 04:47:44</t>
        </is>
      </c>
      <c r="Y349" t="inlineStr">
        <is>
          <t>27714120730</t>
        </is>
      </c>
    </row>
    <row r="350">
      <c r="A350" t="inlineStr">
        <is>
          <t>14815180</t>
        </is>
      </c>
      <c r="B350" t="inlineStr">
        <is>
          <t>c53f10ea-cf4f-4ab2-9569-0eb32a83234f</t>
        </is>
      </c>
      <c r="D350" t="inlineStr">
        <is>
          <t>30001085</t>
        </is>
      </c>
      <c r="E350" t="inlineStr">
        <is>
          <t>ussd_funeral_leads_altitude_20260601</t>
        </is>
      </c>
      <c r="J350" t="inlineStr">
        <is>
          <t>ADC</t>
        </is>
      </c>
      <c r="K350" t="inlineStr">
        <is>
          <t>Auto Dial Disconnected</t>
        </is>
      </c>
      <c r="L350" t="n">
        <v>6</v>
      </c>
      <c r="M350" t="inlineStr">
        <is>
          <t>2026-06-11 12:54:51</t>
        </is>
      </c>
      <c r="N350" t="inlineStr">
        <is>
          <t>system</t>
        </is>
      </c>
      <c r="O350" t="inlineStr">
        <is>
          <t>2026-06-08 04:47:44</t>
        </is>
      </c>
      <c r="P350" t="inlineStr">
        <is>
          <t>2026-06-08 04:47:44</t>
        </is>
      </c>
      <c r="Y350" t="inlineStr">
        <is>
          <t>27760681165</t>
        </is>
      </c>
    </row>
    <row r="351">
      <c r="A351" t="inlineStr">
        <is>
          <t>14815173</t>
        </is>
      </c>
      <c r="B351" t="inlineStr">
        <is>
          <t>aa7bd2f3-049b-4ff5-a385-1bf4110a7946</t>
        </is>
      </c>
      <c r="D351" t="inlineStr">
        <is>
          <t>30001085</t>
        </is>
      </c>
      <c r="E351" t="inlineStr">
        <is>
          <t>ussd_funeral_leads_altitude_20260601</t>
        </is>
      </c>
      <c r="J351" t="inlineStr">
        <is>
          <t>AE</t>
        </is>
      </c>
      <c r="K351" t="inlineStr">
        <is>
          <t>Auto Engaged</t>
        </is>
      </c>
      <c r="L351" t="n">
        <v>6</v>
      </c>
      <c r="M351" t="inlineStr">
        <is>
          <t>2026-06-11 12:54:43</t>
        </is>
      </c>
      <c r="N351" t="inlineStr">
        <is>
          <t>system</t>
        </is>
      </c>
      <c r="O351" t="inlineStr">
        <is>
          <t>2026-06-08 04:47:44</t>
        </is>
      </c>
      <c r="P351" t="inlineStr">
        <is>
          <t>2026-06-08 04:47:44</t>
        </is>
      </c>
      <c r="Y351" t="inlineStr">
        <is>
          <t>27720744367</t>
        </is>
      </c>
    </row>
    <row r="352">
      <c r="A352" t="inlineStr">
        <is>
          <t>14815172</t>
        </is>
      </c>
      <c r="B352" t="inlineStr">
        <is>
          <t>416f1334-1706-4051-8ee2-3cb9658dd903</t>
        </is>
      </c>
      <c r="D352" t="inlineStr">
        <is>
          <t>30001085</t>
        </is>
      </c>
      <c r="E352" t="inlineStr">
        <is>
          <t>ussd_funeral_leads_altitude_20260601</t>
        </is>
      </c>
      <c r="J352" t="inlineStr">
        <is>
          <t>AE</t>
        </is>
      </c>
      <c r="K352" t="inlineStr">
        <is>
          <t>Auto Engaged</t>
        </is>
      </c>
      <c r="L352" t="n">
        <v>6</v>
      </c>
      <c r="M352" t="inlineStr">
        <is>
          <t>2026-06-11 12:54:32</t>
        </is>
      </c>
      <c r="N352" t="inlineStr">
        <is>
          <t>system</t>
        </is>
      </c>
      <c r="O352" t="inlineStr">
        <is>
          <t>2026-06-08 04:47:44</t>
        </is>
      </c>
      <c r="P352" t="inlineStr">
        <is>
          <t>2026-06-08 04:47:44</t>
        </is>
      </c>
      <c r="Y352" t="inlineStr">
        <is>
          <t>27795386473</t>
        </is>
      </c>
    </row>
    <row r="353">
      <c r="A353" t="inlineStr">
        <is>
          <t>14815170</t>
        </is>
      </c>
      <c r="B353" t="inlineStr">
        <is>
          <t>adbce58a-79a3-453b-933b-85ad83ea9d1e</t>
        </is>
      </c>
      <c r="D353" t="inlineStr">
        <is>
          <t>30001085</t>
        </is>
      </c>
      <c r="E353" t="inlineStr">
        <is>
          <t>ussd_funeral_leads_altitude_20260601</t>
        </is>
      </c>
      <c r="J353" t="inlineStr">
        <is>
          <t>AA</t>
        </is>
      </c>
      <c r="K353" t="inlineStr">
        <is>
          <t>Answering Machine Autodial</t>
        </is>
      </c>
      <c r="L353" t="n">
        <v>6</v>
      </c>
      <c r="M353" t="inlineStr">
        <is>
          <t>2026-06-11 12:54:26</t>
        </is>
      </c>
      <c r="N353" t="inlineStr">
        <is>
          <t>system</t>
        </is>
      </c>
      <c r="O353" t="inlineStr">
        <is>
          <t>2026-06-08 04:47:44</t>
        </is>
      </c>
      <c r="P353" t="inlineStr">
        <is>
          <t>2026-06-08 04:47:44</t>
        </is>
      </c>
      <c r="Y353" t="inlineStr">
        <is>
          <t>27608314278</t>
        </is>
      </c>
    </row>
    <row r="354">
      <c r="A354" t="inlineStr">
        <is>
          <t>14815171</t>
        </is>
      </c>
      <c r="B354" t="inlineStr">
        <is>
          <t>35eb4983-94b1-420d-b192-8b3cb2a3d06c</t>
        </is>
      </c>
      <c r="D354" t="inlineStr">
        <is>
          <t>30001085</t>
        </is>
      </c>
      <c r="E354" t="inlineStr">
        <is>
          <t>ussd_funeral_leads_altitude_20260601</t>
        </is>
      </c>
      <c r="J354" t="inlineStr">
        <is>
          <t>TDN</t>
        </is>
      </c>
      <c r="K354" t="inlineStr">
        <is>
          <t>Temporary Disconnected Number</t>
        </is>
      </c>
      <c r="L354" t="n">
        <v>6</v>
      </c>
      <c r="M354" t="inlineStr">
        <is>
          <t>2026-06-11 12:54:26</t>
        </is>
      </c>
      <c r="N354" t="inlineStr">
        <is>
          <t>system</t>
        </is>
      </c>
      <c r="O354" t="inlineStr">
        <is>
          <t>2026-06-08 04:47:44</t>
        </is>
      </c>
      <c r="P354" t="inlineStr">
        <is>
          <t>2026-06-08 04:47:44</t>
        </is>
      </c>
      <c r="Y354" t="inlineStr">
        <is>
          <t>27799347504</t>
        </is>
      </c>
    </row>
    <row r="355">
      <c r="A355" t="inlineStr">
        <is>
          <t>14815169</t>
        </is>
      </c>
      <c r="B355" t="inlineStr">
        <is>
          <t>d795c8c8-1892-4b10-9829-e40d5a6a3b4e</t>
        </is>
      </c>
      <c r="D355" t="inlineStr">
        <is>
          <t>30001085</t>
        </is>
      </c>
      <c r="E355" t="inlineStr">
        <is>
          <t>ussd_funeral_leads_altitude_20260601</t>
        </is>
      </c>
      <c r="J355" t="inlineStr">
        <is>
          <t>ADC</t>
        </is>
      </c>
      <c r="K355" t="inlineStr">
        <is>
          <t>Auto Dial Disconnected</t>
        </is>
      </c>
      <c r="L355" t="n">
        <v>6</v>
      </c>
      <c r="M355" t="inlineStr">
        <is>
          <t>2026-06-11 12:53:33</t>
        </is>
      </c>
      <c r="N355" t="inlineStr">
        <is>
          <t>system</t>
        </is>
      </c>
      <c r="O355" t="inlineStr">
        <is>
          <t>2026-06-08 04:47:44</t>
        </is>
      </c>
      <c r="P355" t="inlineStr">
        <is>
          <t>2026-06-08 04:47:44</t>
        </is>
      </c>
      <c r="Y355" t="inlineStr">
        <is>
          <t>27795625456</t>
        </is>
      </c>
    </row>
    <row r="356">
      <c r="A356" t="inlineStr">
        <is>
          <t>14815265</t>
        </is>
      </c>
      <c r="B356" t="inlineStr">
        <is>
          <t>01c689a0-2943-4937-aa00-28e589d1228c</t>
        </is>
      </c>
      <c r="D356" t="inlineStr">
        <is>
          <t>30001085</t>
        </is>
      </c>
      <c r="E356" t="inlineStr">
        <is>
          <t>ussd_funeral_leads_altitude_20260601</t>
        </is>
      </c>
      <c r="J356" t="inlineStr">
        <is>
          <t>ADC</t>
        </is>
      </c>
      <c r="K356" t="inlineStr">
        <is>
          <t>Auto Dial Disconnected</t>
        </is>
      </c>
      <c r="L356" t="n">
        <v>6</v>
      </c>
      <c r="M356" t="inlineStr">
        <is>
          <t>2026-06-11 12:53:08</t>
        </is>
      </c>
      <c r="N356" t="inlineStr">
        <is>
          <t>system</t>
        </is>
      </c>
      <c r="O356" t="inlineStr">
        <is>
          <t>2026-06-08 04:47:44</t>
        </is>
      </c>
      <c r="P356" t="inlineStr">
        <is>
          <t>2026-06-08 04:47:44</t>
        </is>
      </c>
      <c r="Y356" t="inlineStr">
        <is>
          <t>27795138901</t>
        </is>
      </c>
    </row>
    <row r="357">
      <c r="A357" t="inlineStr">
        <is>
          <t>14815201</t>
        </is>
      </c>
      <c r="B357" t="inlineStr">
        <is>
          <t>0a498449-b08a-4612-85c5-6a676db129fc</t>
        </is>
      </c>
      <c r="D357" t="inlineStr">
        <is>
          <t>30001085</t>
        </is>
      </c>
      <c r="E357" t="inlineStr">
        <is>
          <t>ussd_funeral_leads_altitude_20260601</t>
        </is>
      </c>
      <c r="J357" t="inlineStr">
        <is>
          <t>NA</t>
        </is>
      </c>
      <c r="K357" t="inlineStr">
        <is>
          <t>No Answer Autodial</t>
        </is>
      </c>
      <c r="L357" t="n">
        <v>6</v>
      </c>
      <c r="M357" t="inlineStr">
        <is>
          <t>2026-06-11 12:52:22</t>
        </is>
      </c>
      <c r="N357" t="inlineStr">
        <is>
          <t>system</t>
        </is>
      </c>
      <c r="O357" t="inlineStr">
        <is>
          <t>2026-06-08 04:47:44</t>
        </is>
      </c>
      <c r="P357" t="inlineStr">
        <is>
          <t>2026-06-08 04:47:44</t>
        </is>
      </c>
      <c r="Y357" t="inlineStr">
        <is>
          <t>27646946029</t>
        </is>
      </c>
    </row>
    <row r="358">
      <c r="A358" t="inlineStr">
        <is>
          <t>14815199</t>
        </is>
      </c>
      <c r="B358" t="inlineStr">
        <is>
          <t>bf311964-a1c0-4588-b374-c785e1453a8b</t>
        </is>
      </c>
      <c r="D358" t="inlineStr">
        <is>
          <t>30001085</t>
        </is>
      </c>
      <c r="E358" t="inlineStr">
        <is>
          <t>ussd_funeral_leads_altitude_20260601</t>
        </is>
      </c>
      <c r="J358" t="inlineStr">
        <is>
          <t>ADC</t>
        </is>
      </c>
      <c r="K358" t="inlineStr">
        <is>
          <t>Auto Dial Disconnected</t>
        </is>
      </c>
      <c r="L358" t="n">
        <v>6</v>
      </c>
      <c r="M358" t="inlineStr">
        <is>
          <t>2026-06-11 12:52:09</t>
        </is>
      </c>
      <c r="N358" t="inlineStr">
        <is>
          <t>system</t>
        </is>
      </c>
      <c r="O358" t="inlineStr">
        <is>
          <t>2026-06-08 04:47:44</t>
        </is>
      </c>
      <c r="P358" t="inlineStr">
        <is>
          <t>2026-06-08 04:47:44</t>
        </is>
      </c>
      <c r="Y358" t="inlineStr">
        <is>
          <t>27646182867</t>
        </is>
      </c>
    </row>
    <row r="359">
      <c r="A359" t="inlineStr">
        <is>
          <t>14815196</t>
        </is>
      </c>
      <c r="B359" t="inlineStr">
        <is>
          <t>35766834-584f-419a-a1e3-15817649fb6f</t>
        </is>
      </c>
      <c r="D359" t="inlineStr">
        <is>
          <t>30001085</t>
        </is>
      </c>
      <c r="E359" t="inlineStr">
        <is>
          <t>ussd_funeral_leads_altitude_20260601</t>
        </is>
      </c>
      <c r="J359" t="inlineStr">
        <is>
          <t>ADC</t>
        </is>
      </c>
      <c r="K359" t="inlineStr">
        <is>
          <t>Auto Dial Disconnected</t>
        </is>
      </c>
      <c r="L359" t="n">
        <v>6</v>
      </c>
      <c r="M359" t="inlineStr">
        <is>
          <t>2026-06-11 12:52:05</t>
        </is>
      </c>
      <c r="N359" t="inlineStr">
        <is>
          <t>system</t>
        </is>
      </c>
      <c r="O359" t="inlineStr">
        <is>
          <t>2026-06-08 04:47:44</t>
        </is>
      </c>
      <c r="P359" t="inlineStr">
        <is>
          <t>2026-06-08 04:47:44</t>
        </is>
      </c>
      <c r="Y359" t="inlineStr">
        <is>
          <t>27825985074</t>
        </is>
      </c>
    </row>
    <row r="360">
      <c r="A360" t="inlineStr">
        <is>
          <t>14815198</t>
        </is>
      </c>
      <c r="B360" t="inlineStr">
        <is>
          <t>c51d2481-3632-485a-a08c-12b76b99ca7d</t>
        </is>
      </c>
      <c r="D360" t="inlineStr">
        <is>
          <t>30001085</t>
        </is>
      </c>
      <c r="E360" t="inlineStr">
        <is>
          <t>ussd_funeral_leads_altitude_20260601</t>
        </is>
      </c>
      <c r="J360" t="inlineStr">
        <is>
          <t>AE</t>
        </is>
      </c>
      <c r="K360" t="inlineStr">
        <is>
          <t>Auto Engaged</t>
        </is>
      </c>
      <c r="L360" t="n">
        <v>6</v>
      </c>
      <c r="M360" t="inlineStr">
        <is>
          <t>2026-06-11 12:52:04</t>
        </is>
      </c>
      <c r="N360" t="inlineStr">
        <is>
          <t>system</t>
        </is>
      </c>
      <c r="O360" t="inlineStr">
        <is>
          <t>2026-06-08 04:47:44</t>
        </is>
      </c>
      <c r="P360" t="inlineStr">
        <is>
          <t>2026-06-08 04:47:44</t>
        </is>
      </c>
      <c r="Y360" t="inlineStr">
        <is>
          <t>27637642510</t>
        </is>
      </c>
    </row>
    <row r="361">
      <c r="A361" t="inlineStr">
        <is>
          <t>14815194</t>
        </is>
      </c>
      <c r="B361" t="inlineStr">
        <is>
          <t>be8a6d50-22e5-4bb7-a84b-d6ae0aeb2458</t>
        </is>
      </c>
      <c r="D361" t="inlineStr">
        <is>
          <t>30001085</t>
        </is>
      </c>
      <c r="E361" t="inlineStr">
        <is>
          <t>ussd_funeral_leads_altitude_20260601</t>
        </is>
      </c>
      <c r="J361" t="inlineStr">
        <is>
          <t>ADC</t>
        </is>
      </c>
      <c r="K361" t="inlineStr">
        <is>
          <t>Auto Dial Disconnected</t>
        </is>
      </c>
      <c r="L361" t="n">
        <v>6</v>
      </c>
      <c r="M361" t="inlineStr">
        <is>
          <t>2026-06-11 12:52:01</t>
        </is>
      </c>
      <c r="N361" t="inlineStr">
        <is>
          <t>system</t>
        </is>
      </c>
      <c r="O361" t="inlineStr">
        <is>
          <t>2026-06-08 04:47:44</t>
        </is>
      </c>
      <c r="P361" t="inlineStr">
        <is>
          <t>2026-06-08 04:47:44</t>
        </is>
      </c>
      <c r="Y361" t="inlineStr">
        <is>
          <t>27711187605</t>
        </is>
      </c>
    </row>
    <row r="362">
      <c r="A362" t="inlineStr">
        <is>
          <t>14815193</t>
        </is>
      </c>
      <c r="B362" t="inlineStr">
        <is>
          <t>f063a49f-e476-446e-a1a8-815c15443941</t>
        </is>
      </c>
      <c r="D362" t="inlineStr">
        <is>
          <t>30001085</t>
        </is>
      </c>
      <c r="E362" t="inlineStr">
        <is>
          <t>ussd_funeral_leads_altitude_20260601</t>
        </is>
      </c>
      <c r="J362" t="inlineStr">
        <is>
          <t>AA</t>
        </is>
      </c>
      <c r="K362" t="inlineStr">
        <is>
          <t>Answering Machine Autodial</t>
        </is>
      </c>
      <c r="L362" t="n">
        <v>6</v>
      </c>
      <c r="M362" t="inlineStr">
        <is>
          <t>2026-06-11 12:51:56</t>
        </is>
      </c>
      <c r="N362" t="inlineStr">
        <is>
          <t>system</t>
        </is>
      </c>
      <c r="O362" t="inlineStr">
        <is>
          <t>2026-06-08 04:47:44</t>
        </is>
      </c>
      <c r="P362" t="inlineStr">
        <is>
          <t>2026-06-08 04:47:44</t>
        </is>
      </c>
      <c r="Y362" t="inlineStr">
        <is>
          <t>27673474964</t>
        </is>
      </c>
    </row>
    <row r="363">
      <c r="A363" t="inlineStr">
        <is>
          <t>14815192</t>
        </is>
      </c>
      <c r="B363" t="inlineStr">
        <is>
          <t>01e3aac5-80bb-432e-91f2-f31b1988d8f2</t>
        </is>
      </c>
      <c r="D363" t="inlineStr">
        <is>
          <t>30001085</t>
        </is>
      </c>
      <c r="E363" t="inlineStr">
        <is>
          <t>ussd_funeral_leads_altitude_20260601</t>
        </is>
      </c>
      <c r="J363" t="inlineStr">
        <is>
          <t>NA</t>
        </is>
      </c>
      <c r="K363" t="inlineStr">
        <is>
          <t>No Answer Autodial</t>
        </is>
      </c>
      <c r="L363" t="n">
        <v>6</v>
      </c>
      <c r="M363" t="inlineStr">
        <is>
          <t>2026-06-11 12:51:48</t>
        </is>
      </c>
      <c r="N363" t="inlineStr">
        <is>
          <t>system</t>
        </is>
      </c>
      <c r="O363" t="inlineStr">
        <is>
          <t>2026-06-08 04:47:44</t>
        </is>
      </c>
      <c r="P363" t="inlineStr">
        <is>
          <t>2026-06-08 04:47:44</t>
        </is>
      </c>
      <c r="Y363" t="inlineStr">
        <is>
          <t>27795211479</t>
        </is>
      </c>
    </row>
    <row r="364">
      <c r="A364" t="inlineStr">
        <is>
          <t>14815190</t>
        </is>
      </c>
      <c r="B364" t="inlineStr">
        <is>
          <t>dfd1d755-3797-43ea-aca3-fda17cc779f0</t>
        </is>
      </c>
      <c r="D364" t="inlineStr">
        <is>
          <t>30001085</t>
        </is>
      </c>
      <c r="E364" t="inlineStr">
        <is>
          <t>ussd_funeral_leads_altitude_20260601</t>
        </is>
      </c>
      <c r="J364" t="inlineStr">
        <is>
          <t>NA</t>
        </is>
      </c>
      <c r="K364" t="inlineStr">
        <is>
          <t>No Answer Autodial</t>
        </is>
      </c>
      <c r="L364" t="n">
        <v>6</v>
      </c>
      <c r="M364" t="inlineStr">
        <is>
          <t>2026-06-11 12:51:39</t>
        </is>
      </c>
      <c r="N364" t="inlineStr">
        <is>
          <t>system</t>
        </is>
      </c>
      <c r="O364" t="inlineStr">
        <is>
          <t>2026-06-08 04:47:44</t>
        </is>
      </c>
      <c r="P364" t="inlineStr">
        <is>
          <t>2026-06-08 04:47:44</t>
        </is>
      </c>
      <c r="Y364" t="inlineStr">
        <is>
          <t>27763651800</t>
        </is>
      </c>
    </row>
    <row r="365">
      <c r="A365" t="inlineStr">
        <is>
          <t>14815185</t>
        </is>
      </c>
      <c r="B365" t="inlineStr">
        <is>
          <t>deaa16ff-3b8d-4eb1-8ab8-295b66c70d60</t>
        </is>
      </c>
      <c r="D365" t="inlineStr">
        <is>
          <t>30001085</t>
        </is>
      </c>
      <c r="E365" t="inlineStr">
        <is>
          <t>ussd_funeral_leads_altitude_20260601</t>
        </is>
      </c>
      <c r="J365" t="inlineStr">
        <is>
          <t>NA</t>
        </is>
      </c>
      <c r="K365" t="inlineStr">
        <is>
          <t>No Answer Autodial</t>
        </is>
      </c>
      <c r="L365" t="n">
        <v>6</v>
      </c>
      <c r="M365" t="inlineStr">
        <is>
          <t>2026-06-11 12:51:38</t>
        </is>
      </c>
      <c r="N365" t="inlineStr">
        <is>
          <t>system</t>
        </is>
      </c>
      <c r="O365" t="inlineStr">
        <is>
          <t>2026-06-08 04:47:44</t>
        </is>
      </c>
      <c r="P365" t="inlineStr">
        <is>
          <t>2026-06-08 04:47:44</t>
        </is>
      </c>
      <c r="Y365" t="inlineStr">
        <is>
          <t>27727565750</t>
        </is>
      </c>
    </row>
    <row r="366">
      <c r="A366" t="inlineStr">
        <is>
          <t>14815187</t>
        </is>
      </c>
      <c r="B366" t="inlineStr">
        <is>
          <t>ab851bfd-4f87-4f15-b739-c8e888806935</t>
        </is>
      </c>
      <c r="D366" t="inlineStr">
        <is>
          <t>30001085</t>
        </is>
      </c>
      <c r="E366" t="inlineStr">
        <is>
          <t>ussd_funeral_leads_altitude_20260601</t>
        </is>
      </c>
      <c r="H366" t="inlineStr">
        <is>
          <t>27647788362</t>
        </is>
      </c>
      <c r="J366" t="inlineStr">
        <is>
          <t>ADC</t>
        </is>
      </c>
      <c r="K366" t="inlineStr">
        <is>
          <t>Auto Dial Disconnected</t>
        </is>
      </c>
      <c r="L366" t="n">
        <v>6</v>
      </c>
      <c r="M366" t="inlineStr">
        <is>
          <t>2026-06-11 12:51:38</t>
        </is>
      </c>
      <c r="N366" t="inlineStr">
        <is>
          <t>system</t>
        </is>
      </c>
      <c r="O366" t="inlineStr">
        <is>
          <t>2026-06-08 04:47:44</t>
        </is>
      </c>
      <c r="P366" t="inlineStr">
        <is>
          <t>2026-06-08 04:47:44</t>
        </is>
      </c>
      <c r="Y366" t="inlineStr">
        <is>
          <t>27647788362</t>
        </is>
      </c>
    </row>
    <row r="367">
      <c r="A367" t="inlineStr">
        <is>
          <t>14814912</t>
        </is>
      </c>
      <c r="B367" t="inlineStr">
        <is>
          <t>de3f9628-7d7b-4ac4-92d9-6c918dc049a0</t>
        </is>
      </c>
      <c r="D367" t="inlineStr">
        <is>
          <t>30001085</t>
        </is>
      </c>
      <c r="E367" t="inlineStr">
        <is>
          <t>ussd_funeral_leads_altitude_20260601</t>
        </is>
      </c>
      <c r="J367" t="inlineStr">
        <is>
          <t>AA</t>
        </is>
      </c>
      <c r="K367" t="inlineStr">
        <is>
          <t>Answering Machine Autodial</t>
        </is>
      </c>
      <c r="L367" t="n">
        <v>6</v>
      </c>
      <c r="M367" t="inlineStr">
        <is>
          <t>2026-06-11 12:51:09</t>
        </is>
      </c>
      <c r="N367" t="inlineStr">
        <is>
          <t>system</t>
        </is>
      </c>
      <c r="O367" t="inlineStr">
        <is>
          <t>2026-06-08 04:47:44</t>
        </is>
      </c>
      <c r="P367" t="inlineStr">
        <is>
          <t>2026-06-08 04:47:44</t>
        </is>
      </c>
      <c r="Y367" t="inlineStr">
        <is>
          <t>27725729776</t>
        </is>
      </c>
    </row>
    <row r="368">
      <c r="A368" t="inlineStr">
        <is>
          <t>14814911</t>
        </is>
      </c>
      <c r="B368" t="inlineStr">
        <is>
          <t>87737752-ce70-497c-abc9-1ac9418d5d6c</t>
        </is>
      </c>
      <c r="D368" t="inlineStr">
        <is>
          <t>30001085</t>
        </is>
      </c>
      <c r="E368" t="inlineStr">
        <is>
          <t>ussd_funeral_leads_altitude_20260601</t>
        </is>
      </c>
      <c r="J368" t="inlineStr">
        <is>
          <t>TDN</t>
        </is>
      </c>
      <c r="K368" t="inlineStr">
        <is>
          <t>Temporary Disconnected Number</t>
        </is>
      </c>
      <c r="L368" t="n">
        <v>6</v>
      </c>
      <c r="M368" t="inlineStr">
        <is>
          <t>2026-06-11 12:50:52</t>
        </is>
      </c>
      <c r="N368" t="inlineStr">
        <is>
          <t>system</t>
        </is>
      </c>
      <c r="O368" t="inlineStr">
        <is>
          <t>2026-06-08 04:47:44</t>
        </is>
      </c>
      <c r="P368" t="inlineStr">
        <is>
          <t>2026-06-08 04:47:44</t>
        </is>
      </c>
      <c r="Y368" t="inlineStr">
        <is>
          <t>27766804433</t>
        </is>
      </c>
    </row>
    <row r="369">
      <c r="A369" t="inlineStr">
        <is>
          <t>14814910</t>
        </is>
      </c>
      <c r="B369" t="inlineStr">
        <is>
          <t>c79b4d13-f1c9-408c-886e-bb601d913932</t>
        </is>
      </c>
      <c r="D369" t="inlineStr">
        <is>
          <t>30001085</t>
        </is>
      </c>
      <c r="E369" t="inlineStr">
        <is>
          <t>ussd_funeral_leads_altitude_20260601</t>
        </is>
      </c>
      <c r="J369" t="inlineStr">
        <is>
          <t>ADC</t>
        </is>
      </c>
      <c r="K369" t="inlineStr">
        <is>
          <t>Auto Dial Disconnected</t>
        </is>
      </c>
      <c r="L369" t="n">
        <v>6</v>
      </c>
      <c r="M369" t="inlineStr">
        <is>
          <t>2026-06-11 12:50:50</t>
        </is>
      </c>
      <c r="N369" t="inlineStr">
        <is>
          <t>system</t>
        </is>
      </c>
      <c r="O369" t="inlineStr">
        <is>
          <t>2026-06-08 04:47:44</t>
        </is>
      </c>
      <c r="P369" t="inlineStr">
        <is>
          <t>2026-06-08 04:47:44</t>
        </is>
      </c>
      <c r="Y369" t="inlineStr">
        <is>
          <t>27649966618</t>
        </is>
      </c>
    </row>
    <row r="370">
      <c r="A370" t="inlineStr">
        <is>
          <t>14814909</t>
        </is>
      </c>
      <c r="B370" t="inlineStr">
        <is>
          <t>bdc4691e-230a-4df3-b073-5b7eed915741</t>
        </is>
      </c>
      <c r="D370" t="inlineStr">
        <is>
          <t>30001085</t>
        </is>
      </c>
      <c r="E370" t="inlineStr">
        <is>
          <t>ussd_funeral_leads_altitude_20260601</t>
        </is>
      </c>
      <c r="J370" t="inlineStr">
        <is>
          <t>NA</t>
        </is>
      </c>
      <c r="K370" t="inlineStr">
        <is>
          <t>No Answer Autodial</t>
        </is>
      </c>
      <c r="L370" t="n">
        <v>6</v>
      </c>
      <c r="M370" t="inlineStr">
        <is>
          <t>2026-06-11 12:50:43</t>
        </is>
      </c>
      <c r="N370" t="inlineStr">
        <is>
          <t>system</t>
        </is>
      </c>
      <c r="O370" t="inlineStr">
        <is>
          <t>2026-06-08 04:47:44</t>
        </is>
      </c>
      <c r="P370" t="inlineStr">
        <is>
          <t>2026-06-08 04:47:44</t>
        </is>
      </c>
      <c r="Y370" t="inlineStr">
        <is>
          <t>27767442029</t>
        </is>
      </c>
    </row>
    <row r="371">
      <c r="A371" t="inlineStr">
        <is>
          <t>14814905</t>
        </is>
      </c>
      <c r="B371" t="inlineStr">
        <is>
          <t>e11ba456-9fe5-4d60-8308-e18dddbb55d2</t>
        </is>
      </c>
      <c r="D371" t="inlineStr">
        <is>
          <t>30001085</t>
        </is>
      </c>
      <c r="E371" t="inlineStr">
        <is>
          <t>ussd_funeral_leads_altitude_20260601</t>
        </is>
      </c>
      <c r="J371" t="inlineStr">
        <is>
          <t>NA</t>
        </is>
      </c>
      <c r="K371" t="inlineStr">
        <is>
          <t>No Answer Autodial</t>
        </is>
      </c>
      <c r="L371" t="n">
        <v>6</v>
      </c>
      <c r="M371" t="inlineStr">
        <is>
          <t>2026-06-11 12:50:34</t>
        </is>
      </c>
      <c r="N371" t="inlineStr">
        <is>
          <t>system</t>
        </is>
      </c>
      <c r="O371" t="inlineStr">
        <is>
          <t>2026-06-08 04:47:44</t>
        </is>
      </c>
      <c r="P371" t="inlineStr">
        <is>
          <t>2026-06-08 04:47:44</t>
        </is>
      </c>
      <c r="Y371" t="inlineStr">
        <is>
          <t>27713783497</t>
        </is>
      </c>
    </row>
    <row r="372">
      <c r="A372" t="inlineStr">
        <is>
          <t>14814902</t>
        </is>
      </c>
      <c r="B372" t="inlineStr">
        <is>
          <t>eeb101c0-c96b-4573-8a48-347c9612a8a8</t>
        </is>
      </c>
      <c r="D372" t="inlineStr">
        <is>
          <t>30001085</t>
        </is>
      </c>
      <c r="E372" t="inlineStr">
        <is>
          <t>ussd_funeral_leads_altitude_20260601</t>
        </is>
      </c>
      <c r="J372" t="inlineStr">
        <is>
          <t>AA</t>
        </is>
      </c>
      <c r="K372" t="inlineStr">
        <is>
          <t>Answering Machine Autodial</t>
        </is>
      </c>
      <c r="L372" t="n">
        <v>6</v>
      </c>
      <c r="M372" t="inlineStr">
        <is>
          <t>2026-06-11 12:50:29</t>
        </is>
      </c>
      <c r="N372" t="inlineStr">
        <is>
          <t>system</t>
        </is>
      </c>
      <c r="O372" t="inlineStr">
        <is>
          <t>2026-06-08 04:47:44</t>
        </is>
      </c>
      <c r="P372" t="inlineStr">
        <is>
          <t>2026-06-08 04:47:44</t>
        </is>
      </c>
      <c r="Y372" t="inlineStr">
        <is>
          <t>27764358242</t>
        </is>
      </c>
    </row>
    <row r="373">
      <c r="A373" t="inlineStr">
        <is>
          <t>14814903</t>
        </is>
      </c>
      <c r="B373" t="inlineStr">
        <is>
          <t>b9fbbe89-d7ab-4482-b7ac-f2635c2ab6db</t>
        </is>
      </c>
      <c r="D373" t="inlineStr">
        <is>
          <t>30001085</t>
        </is>
      </c>
      <c r="E373" t="inlineStr">
        <is>
          <t>ussd_funeral_leads_altitude_20260601</t>
        </is>
      </c>
      <c r="J373" t="inlineStr">
        <is>
          <t>AA</t>
        </is>
      </c>
      <c r="K373" t="inlineStr">
        <is>
          <t>Answering Machine Autodial</t>
        </is>
      </c>
      <c r="L373" t="n">
        <v>6</v>
      </c>
      <c r="M373" t="inlineStr">
        <is>
          <t>2026-06-11 12:50:29</t>
        </is>
      </c>
      <c r="N373" t="inlineStr">
        <is>
          <t>system</t>
        </is>
      </c>
      <c r="O373" t="inlineStr">
        <is>
          <t>2026-06-08 04:47:44</t>
        </is>
      </c>
      <c r="P373" t="inlineStr">
        <is>
          <t>2026-06-08 04:47:44</t>
        </is>
      </c>
      <c r="Y373" t="inlineStr">
        <is>
          <t>27711284422</t>
        </is>
      </c>
    </row>
    <row r="374">
      <c r="A374" t="inlineStr">
        <is>
          <t>14814900</t>
        </is>
      </c>
      <c r="B374" t="inlineStr">
        <is>
          <t>2f01ef7a-b4ed-4b84-a5fd-ee918a3ea726</t>
        </is>
      </c>
      <c r="D374" t="inlineStr">
        <is>
          <t>30001085</t>
        </is>
      </c>
      <c r="E374" t="inlineStr">
        <is>
          <t>ussd_funeral_leads_altitude_20260601</t>
        </is>
      </c>
      <c r="J374" t="inlineStr">
        <is>
          <t>TDN</t>
        </is>
      </c>
      <c r="K374" t="inlineStr">
        <is>
          <t>Temporary Disconnected Number</t>
        </is>
      </c>
      <c r="L374" t="n">
        <v>6</v>
      </c>
      <c r="M374" t="inlineStr">
        <is>
          <t>2026-06-11 12:50:26</t>
        </is>
      </c>
      <c r="N374" t="inlineStr">
        <is>
          <t>system</t>
        </is>
      </c>
      <c r="O374" t="inlineStr">
        <is>
          <t>2026-06-08 04:47:44</t>
        </is>
      </c>
      <c r="P374" t="inlineStr">
        <is>
          <t>2026-06-08 04:47:44</t>
        </is>
      </c>
      <c r="Y374" t="inlineStr">
        <is>
          <t>27791916464</t>
        </is>
      </c>
    </row>
    <row r="375">
      <c r="A375" t="inlineStr">
        <is>
          <t>14814891</t>
        </is>
      </c>
      <c r="B375" t="inlineStr">
        <is>
          <t>bc9356fa-a310-47d8-ab81-2f55dc5afcdb</t>
        </is>
      </c>
      <c r="D375" t="inlineStr">
        <is>
          <t>30001085</t>
        </is>
      </c>
      <c r="E375" t="inlineStr">
        <is>
          <t>ussd_funeral_leads_altitude_20260601</t>
        </is>
      </c>
      <c r="J375" t="inlineStr">
        <is>
          <t>TDN</t>
        </is>
      </c>
      <c r="K375" t="inlineStr">
        <is>
          <t>Temporary Disconnected Number</t>
        </is>
      </c>
      <c r="L375" t="n">
        <v>6</v>
      </c>
      <c r="M375" t="inlineStr">
        <is>
          <t>2026-06-11 12:50:25</t>
        </is>
      </c>
      <c r="N375" t="inlineStr">
        <is>
          <t>system</t>
        </is>
      </c>
      <c r="O375" t="inlineStr">
        <is>
          <t>2026-06-08 04:47:44</t>
        </is>
      </c>
      <c r="P375" t="inlineStr">
        <is>
          <t>2026-06-08 04:47:44</t>
        </is>
      </c>
      <c r="Y375" t="inlineStr">
        <is>
          <t>27827418221</t>
        </is>
      </c>
    </row>
    <row r="376">
      <c r="A376" t="inlineStr">
        <is>
          <t>14814897</t>
        </is>
      </c>
      <c r="B376" t="inlineStr">
        <is>
          <t>11af012e-4f8e-42ca-b5df-9d223cecadf7</t>
        </is>
      </c>
      <c r="D376" t="inlineStr">
        <is>
          <t>30001085</t>
        </is>
      </c>
      <c r="E376" t="inlineStr">
        <is>
          <t>ussd_funeral_leads_altitude_20260601</t>
        </is>
      </c>
      <c r="J376" t="inlineStr">
        <is>
          <t>TDN</t>
        </is>
      </c>
      <c r="K376" t="inlineStr">
        <is>
          <t>Temporary Disconnected Number</t>
        </is>
      </c>
      <c r="L376" t="n">
        <v>6</v>
      </c>
      <c r="M376" t="inlineStr">
        <is>
          <t>2026-06-11 12:50:25</t>
        </is>
      </c>
      <c r="N376" t="inlineStr">
        <is>
          <t>system</t>
        </is>
      </c>
      <c r="O376" t="inlineStr">
        <is>
          <t>2026-06-08 04:47:44</t>
        </is>
      </c>
      <c r="P376" t="inlineStr">
        <is>
          <t>2026-06-08 04:47:44</t>
        </is>
      </c>
      <c r="Y376" t="inlineStr">
        <is>
          <t>27664125280</t>
        </is>
      </c>
    </row>
    <row r="377">
      <c r="A377" t="inlineStr">
        <is>
          <t>14814899</t>
        </is>
      </c>
      <c r="B377" t="inlineStr">
        <is>
          <t>43a1ccac-1e9d-49e7-8a68-02253e223281</t>
        </is>
      </c>
      <c r="D377" t="inlineStr">
        <is>
          <t>30001085</t>
        </is>
      </c>
      <c r="E377" t="inlineStr">
        <is>
          <t>ussd_funeral_leads_altitude_20260601</t>
        </is>
      </c>
      <c r="J377" t="inlineStr">
        <is>
          <t>NA</t>
        </is>
      </c>
      <c r="K377" t="inlineStr">
        <is>
          <t>No Answer Autodial</t>
        </is>
      </c>
      <c r="L377" t="n">
        <v>6</v>
      </c>
      <c r="M377" t="inlineStr">
        <is>
          <t>2026-06-11 12:50:25</t>
        </is>
      </c>
      <c r="N377" t="inlineStr">
        <is>
          <t>system</t>
        </is>
      </c>
      <c r="O377" t="inlineStr">
        <is>
          <t>2026-06-08 04:47:44</t>
        </is>
      </c>
      <c r="P377" t="inlineStr">
        <is>
          <t>2026-06-08 04:47:44</t>
        </is>
      </c>
      <c r="Y377" t="inlineStr">
        <is>
          <t>27649582357</t>
        </is>
      </c>
    </row>
    <row r="378">
      <c r="A378" t="inlineStr">
        <is>
          <t>14814889</t>
        </is>
      </c>
      <c r="B378" t="inlineStr">
        <is>
          <t>c8ade8e6-745e-46d1-ac6f-8b4e77943d1b</t>
        </is>
      </c>
      <c r="D378" t="inlineStr">
        <is>
          <t>30001085</t>
        </is>
      </c>
      <c r="E378" t="inlineStr">
        <is>
          <t>ussd_funeral_leads_altitude_20260601</t>
        </is>
      </c>
      <c r="J378" t="inlineStr">
        <is>
          <t>ADC</t>
        </is>
      </c>
      <c r="K378" t="inlineStr">
        <is>
          <t>Auto Dial Disconnected</t>
        </is>
      </c>
      <c r="L378" t="n">
        <v>6</v>
      </c>
      <c r="M378" t="inlineStr">
        <is>
          <t>2026-06-11 12:50:17</t>
        </is>
      </c>
      <c r="N378" t="inlineStr">
        <is>
          <t>system</t>
        </is>
      </c>
      <c r="O378" t="inlineStr">
        <is>
          <t>2026-06-08 04:47:44</t>
        </is>
      </c>
      <c r="P378" t="inlineStr">
        <is>
          <t>2026-06-08 04:47:44</t>
        </is>
      </c>
      <c r="Y378" t="inlineStr">
        <is>
          <t>27726245763</t>
        </is>
      </c>
    </row>
    <row r="379">
      <c r="A379" t="inlineStr">
        <is>
          <t>14814856</t>
        </is>
      </c>
      <c r="B379" t="inlineStr">
        <is>
          <t>efbf71f9-7949-48d2-a849-826df1057814</t>
        </is>
      </c>
      <c r="D379" t="inlineStr">
        <is>
          <t>30001085</t>
        </is>
      </c>
      <c r="E379" t="inlineStr">
        <is>
          <t>ussd_funeral_leads_altitude_20260601</t>
        </is>
      </c>
      <c r="J379" t="inlineStr">
        <is>
          <t>ADC</t>
        </is>
      </c>
      <c r="K379" t="inlineStr">
        <is>
          <t>Auto Dial Disconnected</t>
        </is>
      </c>
      <c r="L379" t="n">
        <v>6</v>
      </c>
      <c r="M379" t="inlineStr">
        <is>
          <t>2026-06-11 12:50:07</t>
        </is>
      </c>
      <c r="N379" t="inlineStr">
        <is>
          <t>system</t>
        </is>
      </c>
      <c r="O379" t="inlineStr">
        <is>
          <t>2026-06-08 04:47:44</t>
        </is>
      </c>
      <c r="P379" t="inlineStr">
        <is>
          <t>2026-06-08 04:47:44</t>
        </is>
      </c>
      <c r="Y379" t="inlineStr">
        <is>
          <t>27661791623</t>
        </is>
      </c>
    </row>
    <row r="380">
      <c r="A380" t="inlineStr">
        <is>
          <t>14814886</t>
        </is>
      </c>
      <c r="B380" t="inlineStr">
        <is>
          <t>568a95c1-04d5-4f89-9244-a812f7b5ce72</t>
        </is>
      </c>
      <c r="D380" t="inlineStr">
        <is>
          <t>30001085</t>
        </is>
      </c>
      <c r="E380" t="inlineStr">
        <is>
          <t>ussd_funeral_leads_altitude_20260601</t>
        </is>
      </c>
      <c r="J380" t="inlineStr">
        <is>
          <t>ADC</t>
        </is>
      </c>
      <c r="K380" t="inlineStr">
        <is>
          <t>Auto Dial Disconnected</t>
        </is>
      </c>
      <c r="L380" t="n">
        <v>6</v>
      </c>
      <c r="M380" t="inlineStr">
        <is>
          <t>2026-06-11 12:50:07</t>
        </is>
      </c>
      <c r="N380" t="inlineStr">
        <is>
          <t>system</t>
        </is>
      </c>
      <c r="O380" t="inlineStr">
        <is>
          <t>2026-06-08 04:47:44</t>
        </is>
      </c>
      <c r="P380" t="inlineStr">
        <is>
          <t>2026-06-08 04:47:44</t>
        </is>
      </c>
      <c r="Y380" t="inlineStr">
        <is>
          <t>27664473444</t>
        </is>
      </c>
    </row>
    <row r="381">
      <c r="A381" t="inlineStr">
        <is>
          <t>14814855</t>
        </is>
      </c>
      <c r="B381" t="inlineStr">
        <is>
          <t>bcf3aa6e-06c3-425c-8611-ef60af79e128</t>
        </is>
      </c>
      <c r="D381" t="inlineStr">
        <is>
          <t>30001085</t>
        </is>
      </c>
      <c r="E381" t="inlineStr">
        <is>
          <t>ussd_funeral_leads_altitude_20260601</t>
        </is>
      </c>
      <c r="J381" t="inlineStr">
        <is>
          <t>ADC</t>
        </is>
      </c>
      <c r="K381" t="inlineStr">
        <is>
          <t>Auto Dial Disconnected</t>
        </is>
      </c>
      <c r="L381" t="n">
        <v>6</v>
      </c>
      <c r="M381" t="inlineStr">
        <is>
          <t>2026-06-11 12:49:56</t>
        </is>
      </c>
      <c r="N381" t="inlineStr">
        <is>
          <t>system</t>
        </is>
      </c>
      <c r="O381" t="inlineStr">
        <is>
          <t>2026-06-08 04:47:44</t>
        </is>
      </c>
      <c r="P381" t="inlineStr">
        <is>
          <t>2026-06-08 04:47:44</t>
        </is>
      </c>
      <c r="Y381" t="inlineStr">
        <is>
          <t>27796397983</t>
        </is>
      </c>
    </row>
    <row r="382">
      <c r="A382" t="inlineStr">
        <is>
          <t>14814850</t>
        </is>
      </c>
      <c r="B382" t="inlineStr">
        <is>
          <t>969f3bf1-b140-41c8-b8fb-1b85b15c9148</t>
        </is>
      </c>
      <c r="D382" t="inlineStr">
        <is>
          <t>30001085</t>
        </is>
      </c>
      <c r="E382" t="inlineStr">
        <is>
          <t>ussd_funeral_leads_altitude_20260601</t>
        </is>
      </c>
      <c r="J382" t="inlineStr">
        <is>
          <t>TDN</t>
        </is>
      </c>
      <c r="K382" t="inlineStr">
        <is>
          <t>Temporary Disconnected Number</t>
        </is>
      </c>
      <c r="L382" t="n">
        <v>6</v>
      </c>
      <c r="M382" t="inlineStr">
        <is>
          <t>2026-06-11 12:49:47</t>
        </is>
      </c>
      <c r="N382" t="inlineStr">
        <is>
          <t>system</t>
        </is>
      </c>
      <c r="O382" t="inlineStr">
        <is>
          <t>2026-06-08 04:47:44</t>
        </is>
      </c>
      <c r="P382" t="inlineStr">
        <is>
          <t>2026-06-08 04:47:44</t>
        </is>
      </c>
      <c r="Y382" t="inlineStr">
        <is>
          <t>27766885075</t>
        </is>
      </c>
    </row>
    <row r="383">
      <c r="A383" t="inlineStr">
        <is>
          <t>14814847</t>
        </is>
      </c>
      <c r="B383" t="inlineStr">
        <is>
          <t>14335447-1508-4a19-b909-3acf36c150cd</t>
        </is>
      </c>
      <c r="D383" t="inlineStr">
        <is>
          <t>30001085</t>
        </is>
      </c>
      <c r="E383" t="inlineStr">
        <is>
          <t>ussd_funeral_leads_altitude_20260601</t>
        </is>
      </c>
      <c r="J383" t="inlineStr">
        <is>
          <t>AA</t>
        </is>
      </c>
      <c r="K383" t="inlineStr">
        <is>
          <t>Answering Machine Autodial</t>
        </is>
      </c>
      <c r="L383" t="n">
        <v>6</v>
      </c>
      <c r="M383" t="inlineStr">
        <is>
          <t>2026-06-11 12:49:24</t>
        </is>
      </c>
      <c r="N383" t="inlineStr">
        <is>
          <t>system</t>
        </is>
      </c>
      <c r="O383" t="inlineStr">
        <is>
          <t>2026-06-08 04:47:44</t>
        </is>
      </c>
      <c r="P383" t="inlineStr">
        <is>
          <t>2026-06-08 04:47:44</t>
        </is>
      </c>
      <c r="Y383" t="inlineStr">
        <is>
          <t>27646783702</t>
        </is>
      </c>
    </row>
    <row r="384">
      <c r="A384" t="inlineStr">
        <is>
          <t>14814843</t>
        </is>
      </c>
      <c r="B384" t="inlineStr">
        <is>
          <t>fc2639f3-1f94-45e9-acba-f5e0f464a497</t>
        </is>
      </c>
      <c r="D384" t="inlineStr">
        <is>
          <t>30001085</t>
        </is>
      </c>
      <c r="E384" t="inlineStr">
        <is>
          <t>ussd_funeral_leads_altitude_20260601</t>
        </is>
      </c>
      <c r="J384" t="inlineStr">
        <is>
          <t>AA</t>
        </is>
      </c>
      <c r="K384" t="inlineStr">
        <is>
          <t>Answering Machine Autodial</t>
        </is>
      </c>
      <c r="L384" t="n">
        <v>6</v>
      </c>
      <c r="M384" t="inlineStr">
        <is>
          <t>2026-06-11 12:49:18</t>
        </is>
      </c>
      <c r="N384" t="inlineStr">
        <is>
          <t>system</t>
        </is>
      </c>
      <c r="O384" t="inlineStr">
        <is>
          <t>2026-06-08 04:47:44</t>
        </is>
      </c>
      <c r="P384" t="inlineStr">
        <is>
          <t>2026-06-08 04:47:44</t>
        </is>
      </c>
      <c r="Y384" t="inlineStr">
        <is>
          <t>27765796823</t>
        </is>
      </c>
    </row>
    <row r="385">
      <c r="A385" t="inlineStr">
        <is>
          <t>14815266</t>
        </is>
      </c>
      <c r="B385" t="inlineStr">
        <is>
          <t>f8a0ec1e-675a-408c-a869-781d5fb8f3ed</t>
        </is>
      </c>
      <c r="D385" t="inlineStr">
        <is>
          <t>30001085</t>
        </is>
      </c>
      <c r="E385" t="inlineStr">
        <is>
          <t>ussd_funeral_leads_altitude_20260601</t>
        </is>
      </c>
      <c r="J385" t="inlineStr">
        <is>
          <t>AE</t>
        </is>
      </c>
      <c r="K385" t="inlineStr">
        <is>
          <t>Auto Engaged</t>
        </is>
      </c>
      <c r="L385" t="n">
        <v>6</v>
      </c>
      <c r="M385" t="inlineStr">
        <is>
          <t>2026-06-11 12:49:15</t>
        </is>
      </c>
      <c r="N385" t="inlineStr">
        <is>
          <t>system</t>
        </is>
      </c>
      <c r="O385" t="inlineStr">
        <is>
          <t>2026-06-08 04:47:44</t>
        </is>
      </c>
      <c r="P385" t="inlineStr">
        <is>
          <t>2026-06-08 04:47:44</t>
        </is>
      </c>
      <c r="Y385" t="inlineStr">
        <is>
          <t>27724210898</t>
        </is>
      </c>
    </row>
    <row r="386">
      <c r="A386" t="inlineStr">
        <is>
          <t>14814884</t>
        </is>
      </c>
      <c r="B386" t="inlineStr">
        <is>
          <t>4088cf3e-8367-49a9-bc9f-b404068e828e</t>
        </is>
      </c>
      <c r="D386" t="inlineStr">
        <is>
          <t>30001085</t>
        </is>
      </c>
      <c r="E386" t="inlineStr">
        <is>
          <t>ussd_funeral_leads_altitude_20260601</t>
        </is>
      </c>
      <c r="J386" t="inlineStr">
        <is>
          <t>NA</t>
        </is>
      </c>
      <c r="K386" t="inlineStr">
        <is>
          <t>No Answer Autodial</t>
        </is>
      </c>
      <c r="L386" t="n">
        <v>6</v>
      </c>
      <c r="M386" t="inlineStr">
        <is>
          <t>2026-06-11 12:48:56</t>
        </is>
      </c>
      <c r="N386" t="inlineStr">
        <is>
          <t>system</t>
        </is>
      </c>
      <c r="O386" t="inlineStr">
        <is>
          <t>2026-06-08 04:47:44</t>
        </is>
      </c>
      <c r="P386" t="inlineStr">
        <is>
          <t>2026-06-08 04:47:44</t>
        </is>
      </c>
      <c r="Y386" t="inlineStr">
        <is>
          <t>27712716729</t>
        </is>
      </c>
    </row>
    <row r="387">
      <c r="A387" t="inlineStr">
        <is>
          <t>14814883</t>
        </is>
      </c>
      <c r="B387" t="inlineStr">
        <is>
          <t>019f938f-a3b4-45df-b27b-b79eace3f0df</t>
        </is>
      </c>
      <c r="D387" t="inlineStr">
        <is>
          <t>30001085</t>
        </is>
      </c>
      <c r="E387" t="inlineStr">
        <is>
          <t>ussd_funeral_leads_altitude_20260601</t>
        </is>
      </c>
      <c r="J387" t="inlineStr">
        <is>
          <t>ADC</t>
        </is>
      </c>
      <c r="K387" t="inlineStr">
        <is>
          <t>Auto Dial Disconnected</t>
        </is>
      </c>
      <c r="L387" t="n">
        <v>6</v>
      </c>
      <c r="M387" t="inlineStr">
        <is>
          <t>2026-06-11 12:48:54</t>
        </is>
      </c>
      <c r="N387" t="inlineStr">
        <is>
          <t>system</t>
        </is>
      </c>
      <c r="O387" t="inlineStr">
        <is>
          <t>2026-06-08 04:47:44</t>
        </is>
      </c>
      <c r="P387" t="inlineStr">
        <is>
          <t>2026-06-08 04:47:44</t>
        </is>
      </c>
      <c r="Y387" t="inlineStr">
        <is>
          <t>27766871137</t>
        </is>
      </c>
    </row>
    <row r="388">
      <c r="A388" t="inlineStr">
        <is>
          <t>14814882</t>
        </is>
      </c>
      <c r="B388" t="inlineStr">
        <is>
          <t>de145810-162f-4615-be84-f49a5f1baeb7</t>
        </is>
      </c>
      <c r="D388" t="inlineStr">
        <is>
          <t>30001085</t>
        </is>
      </c>
      <c r="E388" t="inlineStr">
        <is>
          <t>ussd_funeral_leads_altitude_20260601</t>
        </is>
      </c>
      <c r="J388" t="inlineStr">
        <is>
          <t>TDN</t>
        </is>
      </c>
      <c r="K388" t="inlineStr">
        <is>
          <t>Temporary Disconnected Number</t>
        </is>
      </c>
      <c r="L388" t="n">
        <v>6</v>
      </c>
      <c r="M388" t="inlineStr">
        <is>
          <t>2026-06-11 12:48:37</t>
        </is>
      </c>
      <c r="N388" t="inlineStr">
        <is>
          <t>system</t>
        </is>
      </c>
      <c r="O388" t="inlineStr">
        <is>
          <t>2026-06-08 04:47:44</t>
        </is>
      </c>
      <c r="P388" t="inlineStr">
        <is>
          <t>2026-06-08 04:47:44</t>
        </is>
      </c>
      <c r="Y388" t="inlineStr">
        <is>
          <t>27796790068</t>
        </is>
      </c>
    </row>
    <row r="389">
      <c r="A389" t="inlineStr">
        <is>
          <t>14814875</t>
        </is>
      </c>
      <c r="B389" t="inlineStr">
        <is>
          <t>22b716c6-2c03-438f-b986-445177168dde</t>
        </is>
      </c>
      <c r="D389" t="inlineStr">
        <is>
          <t>30001085</t>
        </is>
      </c>
      <c r="E389" t="inlineStr">
        <is>
          <t>ussd_funeral_leads_altitude_20260601</t>
        </is>
      </c>
      <c r="J389" t="inlineStr">
        <is>
          <t>AE</t>
        </is>
      </c>
      <c r="K389" t="inlineStr">
        <is>
          <t>Auto Engaged</t>
        </is>
      </c>
      <c r="L389" t="n">
        <v>6</v>
      </c>
      <c r="M389" t="inlineStr">
        <is>
          <t>2026-06-11 12:48:31</t>
        </is>
      </c>
      <c r="N389" t="inlineStr">
        <is>
          <t>system</t>
        </is>
      </c>
      <c r="O389" t="inlineStr">
        <is>
          <t>2026-06-08 04:47:44</t>
        </is>
      </c>
      <c r="P389" t="inlineStr">
        <is>
          <t>2026-06-08 04:47:44</t>
        </is>
      </c>
      <c r="Y389" t="inlineStr">
        <is>
          <t>27767551994</t>
        </is>
      </c>
    </row>
    <row r="390">
      <c r="A390" t="inlineStr">
        <is>
          <t>14814860</t>
        </is>
      </c>
      <c r="B390" t="inlineStr">
        <is>
          <t>e2d8305a-458c-4697-b35b-34e94baf1a5f</t>
        </is>
      </c>
      <c r="D390" t="inlineStr">
        <is>
          <t>30001085</t>
        </is>
      </c>
      <c r="E390" t="inlineStr">
        <is>
          <t>ussd_funeral_leads_altitude_20260601</t>
        </is>
      </c>
      <c r="J390" t="inlineStr">
        <is>
          <t>NA</t>
        </is>
      </c>
      <c r="K390" t="inlineStr">
        <is>
          <t>No Answer Autodial</t>
        </is>
      </c>
      <c r="L390" t="n">
        <v>6</v>
      </c>
      <c r="M390" t="inlineStr">
        <is>
          <t>2026-06-11 12:48:19</t>
        </is>
      </c>
      <c r="N390" t="inlineStr">
        <is>
          <t>system</t>
        </is>
      </c>
      <c r="O390" t="inlineStr">
        <is>
          <t>2026-06-08 04:47:44</t>
        </is>
      </c>
      <c r="P390" t="inlineStr">
        <is>
          <t>2026-06-08 04:47:44</t>
        </is>
      </c>
      <c r="Y390" t="inlineStr">
        <is>
          <t>27791891518</t>
        </is>
      </c>
    </row>
    <row r="391">
      <c r="A391" t="inlineStr">
        <is>
          <t>14814858</t>
        </is>
      </c>
      <c r="B391" t="inlineStr">
        <is>
          <t>3753c06f-27a1-4b5f-a2a0-a9ea3f60b154</t>
        </is>
      </c>
      <c r="D391" t="inlineStr">
        <is>
          <t>30001085</t>
        </is>
      </c>
      <c r="E391" t="inlineStr">
        <is>
          <t>ussd_funeral_leads_altitude_20260601</t>
        </is>
      </c>
      <c r="J391" t="inlineStr">
        <is>
          <t>ADC</t>
        </is>
      </c>
      <c r="K391" t="inlineStr">
        <is>
          <t>Auto Dial Disconnected</t>
        </is>
      </c>
      <c r="L391" t="n">
        <v>6</v>
      </c>
      <c r="M391" t="inlineStr">
        <is>
          <t>2026-06-11 12:48:11</t>
        </is>
      </c>
      <c r="N391" t="inlineStr">
        <is>
          <t>system</t>
        </is>
      </c>
      <c r="O391" t="inlineStr">
        <is>
          <t>2026-06-08 04:47:44</t>
        </is>
      </c>
      <c r="P391" t="inlineStr">
        <is>
          <t>2026-06-08 04:47:44</t>
        </is>
      </c>
      <c r="Y391" t="inlineStr">
        <is>
          <t>27727981412</t>
        </is>
      </c>
    </row>
    <row r="392">
      <c r="A392" t="inlineStr">
        <is>
          <t>14814857</t>
        </is>
      </c>
      <c r="B392" t="inlineStr">
        <is>
          <t>c1035627-a70b-47f5-a3b9-6037d2236993</t>
        </is>
      </c>
      <c r="D392" t="inlineStr">
        <is>
          <t>30001085</t>
        </is>
      </c>
      <c r="E392" t="inlineStr">
        <is>
          <t>ussd_funeral_leads_altitude_20260601</t>
        </is>
      </c>
      <c r="J392" t="inlineStr">
        <is>
          <t>AA</t>
        </is>
      </c>
      <c r="K392" t="inlineStr">
        <is>
          <t>Answering Machine Autodial</t>
        </is>
      </c>
      <c r="L392" t="n">
        <v>6</v>
      </c>
      <c r="M392" t="inlineStr">
        <is>
          <t>2026-06-11 12:47:48</t>
        </is>
      </c>
      <c r="N392" t="inlineStr">
        <is>
          <t>system</t>
        </is>
      </c>
      <c r="O392" t="inlineStr">
        <is>
          <t>2026-06-08 04:47:44</t>
        </is>
      </c>
      <c r="P392" t="inlineStr">
        <is>
          <t>2026-06-08 04:47:44</t>
        </is>
      </c>
      <c r="Y392" t="inlineStr">
        <is>
          <t>27823664503</t>
        </is>
      </c>
    </row>
    <row r="393">
      <c r="A393" t="inlineStr">
        <is>
          <t>14815269</t>
        </is>
      </c>
      <c r="B393" t="inlineStr">
        <is>
          <t>b6dbe4d1-c4f1-4074-9cb9-11b0c472576a</t>
        </is>
      </c>
      <c r="D393" t="inlineStr">
        <is>
          <t>30001085</t>
        </is>
      </c>
      <c r="E393" t="inlineStr">
        <is>
          <t>ussd_funeral_leads_altitude_20260601</t>
        </is>
      </c>
      <c r="J393" t="inlineStr">
        <is>
          <t>CU</t>
        </is>
      </c>
      <c r="K393" t="inlineStr">
        <is>
          <t>Client Hung Up</t>
        </is>
      </c>
      <c r="L393" t="n">
        <v>6</v>
      </c>
      <c r="M393" t="inlineStr">
        <is>
          <t>2026-06-11 12:46:21</t>
        </is>
      </c>
      <c r="N393" t="inlineStr">
        <is>
          <t>Lebohang Mabotja</t>
        </is>
      </c>
      <c r="O393" t="inlineStr">
        <is>
          <t>2026-06-08 04:47:44</t>
        </is>
      </c>
      <c r="P393" t="inlineStr">
        <is>
          <t>2026-06-08 04:47:44</t>
        </is>
      </c>
      <c r="Y393" t="inlineStr">
        <is>
          <t>27762502689</t>
        </is>
      </c>
    </row>
    <row r="394">
      <c r="A394" t="inlineStr">
        <is>
          <t>14814873</t>
        </is>
      </c>
      <c r="B394" t="inlineStr">
        <is>
          <t>27eb54fd-85bb-4af0-82ac-dfa8ee3cacff</t>
        </is>
      </c>
      <c r="D394" t="inlineStr">
        <is>
          <t>30001085</t>
        </is>
      </c>
      <c r="E394" t="inlineStr">
        <is>
          <t>ussd_funeral_leads_altitude_20260601</t>
        </is>
      </c>
      <c r="J394" t="inlineStr">
        <is>
          <t>ADC</t>
        </is>
      </c>
      <c r="K394" t="inlineStr">
        <is>
          <t>Auto Dial Disconnected</t>
        </is>
      </c>
      <c r="L394" t="n">
        <v>6</v>
      </c>
      <c r="M394" t="inlineStr">
        <is>
          <t>2026-06-11 12:46:13</t>
        </is>
      </c>
      <c r="N394" t="inlineStr">
        <is>
          <t>system</t>
        </is>
      </c>
      <c r="O394" t="inlineStr">
        <is>
          <t>2026-06-08 04:47:44</t>
        </is>
      </c>
      <c r="P394" t="inlineStr">
        <is>
          <t>2026-06-08 04:47:44</t>
        </is>
      </c>
      <c r="Y394" t="inlineStr">
        <is>
          <t>27818175518</t>
        </is>
      </c>
    </row>
    <row r="395">
      <c r="A395" t="inlineStr">
        <is>
          <t>14814870</t>
        </is>
      </c>
      <c r="B395" t="inlineStr">
        <is>
          <t>d6b7833f-40fd-40ed-ad1d-6222997e4ab1</t>
        </is>
      </c>
      <c r="D395" t="inlineStr">
        <is>
          <t>30001085</t>
        </is>
      </c>
      <c r="E395" t="inlineStr">
        <is>
          <t>ussd_funeral_leads_altitude_20260601</t>
        </is>
      </c>
      <c r="J395" t="inlineStr">
        <is>
          <t>DROP</t>
        </is>
      </c>
      <c r="K395" t="inlineStr">
        <is>
          <t>Dropped</t>
        </is>
      </c>
      <c r="L395" t="n">
        <v>6</v>
      </c>
      <c r="M395" t="inlineStr">
        <is>
          <t>2026-06-11 12:45:44</t>
        </is>
      </c>
      <c r="N395" t="inlineStr">
        <is>
          <t>system</t>
        </is>
      </c>
      <c r="O395" t="inlineStr">
        <is>
          <t>2026-06-08 04:47:44</t>
        </is>
      </c>
      <c r="P395" t="inlineStr">
        <is>
          <t>2026-06-08 04:47:44</t>
        </is>
      </c>
      <c r="Y395" t="inlineStr">
        <is>
          <t>27663812452</t>
        </is>
      </c>
    </row>
    <row r="396">
      <c r="A396" t="inlineStr">
        <is>
          <t>14814868</t>
        </is>
      </c>
      <c r="B396" t="inlineStr">
        <is>
          <t>c9bb770b-68ca-4cd3-b873-b93a0fdc41b5</t>
        </is>
      </c>
      <c r="D396" t="inlineStr">
        <is>
          <t>30001085</t>
        </is>
      </c>
      <c r="E396" t="inlineStr">
        <is>
          <t>ussd_funeral_leads_altitude_20260601</t>
        </is>
      </c>
      <c r="J396" t="inlineStr">
        <is>
          <t>CU</t>
        </is>
      </c>
      <c r="K396" t="inlineStr">
        <is>
          <t>Client Hung Up</t>
        </is>
      </c>
      <c r="L396" t="n">
        <v>6</v>
      </c>
      <c r="M396" t="inlineStr">
        <is>
          <t>2026-06-11 12:45:32</t>
        </is>
      </c>
      <c r="N396" t="inlineStr">
        <is>
          <t>Goitsimang Mogwasa</t>
        </is>
      </c>
      <c r="O396" t="inlineStr">
        <is>
          <t>2026-06-08 04:47:44</t>
        </is>
      </c>
      <c r="P396" t="inlineStr">
        <is>
          <t>2026-06-08 04:47:44</t>
        </is>
      </c>
      <c r="Y396" t="inlineStr">
        <is>
          <t>27768730269</t>
        </is>
      </c>
    </row>
    <row r="397">
      <c r="A397" t="inlineStr">
        <is>
          <t>14814861</t>
        </is>
      </c>
      <c r="B397" t="inlineStr">
        <is>
          <t>4b8da4a4-f7e2-4aeb-9ae6-7c28b8d30e07</t>
        </is>
      </c>
      <c r="D397" t="inlineStr">
        <is>
          <t>30001085</t>
        </is>
      </c>
      <c r="E397" t="inlineStr">
        <is>
          <t>ussd_funeral_leads_altitude_20260601</t>
        </is>
      </c>
      <c r="J397" t="inlineStr">
        <is>
          <t>ADC</t>
        </is>
      </c>
      <c r="K397" t="inlineStr">
        <is>
          <t>Auto Dial Disconnected</t>
        </is>
      </c>
      <c r="L397" t="n">
        <v>6</v>
      </c>
      <c r="M397" t="inlineStr">
        <is>
          <t>2026-06-11 12:45:23</t>
        </is>
      </c>
      <c r="N397" t="inlineStr">
        <is>
          <t>system</t>
        </is>
      </c>
      <c r="O397" t="inlineStr">
        <is>
          <t>2026-06-08 04:47:44</t>
        </is>
      </c>
      <c r="P397" t="inlineStr">
        <is>
          <t>2026-06-08 04:47:44</t>
        </is>
      </c>
      <c r="Y397" t="inlineStr">
        <is>
          <t>27674971834</t>
        </is>
      </c>
    </row>
    <row r="398">
      <c r="A398" t="inlineStr">
        <is>
          <t>14815270</t>
        </is>
      </c>
      <c r="B398" t="inlineStr">
        <is>
          <t>4bd05b47-1db5-4489-ba1f-ff18d6b2bc5f</t>
        </is>
      </c>
      <c r="D398" t="inlineStr">
        <is>
          <t>30001085</t>
        </is>
      </c>
      <c r="E398" t="inlineStr">
        <is>
          <t>ussd_funeral_leads_altitude_20260601</t>
        </is>
      </c>
      <c r="J398" t="inlineStr">
        <is>
          <t>NA</t>
        </is>
      </c>
      <c r="K398" t="inlineStr">
        <is>
          <t>No Answer Autodial</t>
        </is>
      </c>
      <c r="L398" t="n">
        <v>6</v>
      </c>
      <c r="M398" t="inlineStr">
        <is>
          <t>2026-06-11 12:45:23</t>
        </is>
      </c>
      <c r="N398" t="inlineStr">
        <is>
          <t>system</t>
        </is>
      </c>
      <c r="O398" t="inlineStr">
        <is>
          <t>2026-06-08 04:47:44</t>
        </is>
      </c>
      <c r="P398" t="inlineStr">
        <is>
          <t>2026-06-08 04:47:44</t>
        </is>
      </c>
      <c r="Y398" t="inlineStr">
        <is>
          <t>27729682904</t>
        </is>
      </c>
    </row>
    <row r="399">
      <c r="A399" t="inlineStr">
        <is>
          <t>14815271</t>
        </is>
      </c>
      <c r="B399" t="inlineStr">
        <is>
          <t>6512d763-0d2b-4138-bad8-142532f8062f</t>
        </is>
      </c>
      <c r="D399" t="inlineStr">
        <is>
          <t>30001085</t>
        </is>
      </c>
      <c r="E399" t="inlineStr">
        <is>
          <t>ussd_funeral_leads_altitude_20260601</t>
        </is>
      </c>
      <c r="J399" t="inlineStr">
        <is>
          <t>TDN</t>
        </is>
      </c>
      <c r="K399" t="inlineStr">
        <is>
          <t>Temporary Disconnected Number</t>
        </is>
      </c>
      <c r="L399" t="n">
        <v>6</v>
      </c>
      <c r="M399" t="inlineStr">
        <is>
          <t>2026-06-11 12:42:46</t>
        </is>
      </c>
      <c r="N399" t="inlineStr">
        <is>
          <t>system</t>
        </is>
      </c>
      <c r="O399" t="inlineStr">
        <is>
          <t>2026-06-08 04:47:44</t>
        </is>
      </c>
      <c r="P399" t="inlineStr">
        <is>
          <t>2026-06-08 04:47:44</t>
        </is>
      </c>
      <c r="Y399" t="inlineStr">
        <is>
          <t>27792913191</t>
        </is>
      </c>
    </row>
    <row r="400">
      <c r="A400" t="inlineStr">
        <is>
          <t>14815098</t>
        </is>
      </c>
      <c r="B400" t="inlineStr">
        <is>
          <t>350fb17d-fd72-4c7c-b60d-4c43742c1fbb</t>
        </is>
      </c>
      <c r="D400" t="inlineStr">
        <is>
          <t>30001085</t>
        </is>
      </c>
      <c r="E400" t="inlineStr">
        <is>
          <t>ussd_funeral_leads_altitude_20260601</t>
        </is>
      </c>
      <c r="J400" t="inlineStr">
        <is>
          <t>A</t>
        </is>
      </c>
      <c r="K400" t="inlineStr">
        <is>
          <t>Answering Machine</t>
        </is>
      </c>
      <c r="L400" t="n">
        <v>6</v>
      </c>
      <c r="M400" t="inlineStr">
        <is>
          <t>2026-06-11 12:39:52</t>
        </is>
      </c>
      <c r="N400" t="inlineStr">
        <is>
          <t>Virginia Letsatsi</t>
        </is>
      </c>
      <c r="O400" t="inlineStr">
        <is>
          <t>2026-06-08 04:47:44</t>
        </is>
      </c>
      <c r="P400" t="inlineStr">
        <is>
          <t>2026-06-08 04:47:44</t>
        </is>
      </c>
      <c r="Y400" t="inlineStr">
        <is>
          <t>27728295218</t>
        </is>
      </c>
    </row>
    <row r="401">
      <c r="A401" t="inlineStr">
        <is>
          <t>14815138</t>
        </is>
      </c>
      <c r="B401" t="inlineStr">
        <is>
          <t>0b4368e3-839e-4e42-aed1-61721e329d7e</t>
        </is>
      </c>
      <c r="D401" t="inlineStr">
        <is>
          <t>30001085</t>
        </is>
      </c>
      <c r="E401" t="inlineStr">
        <is>
          <t>ussd_funeral_leads_altitude_20260601</t>
        </is>
      </c>
      <c r="J401" t="inlineStr">
        <is>
          <t>CU</t>
        </is>
      </c>
      <c r="K401" t="inlineStr">
        <is>
          <t>Client Hung Up</t>
        </is>
      </c>
      <c r="L401" t="n">
        <v>8</v>
      </c>
      <c r="M401" t="inlineStr">
        <is>
          <t>2026-06-11 12:37:13</t>
        </is>
      </c>
      <c r="N401" t="inlineStr">
        <is>
          <t>Goitsimang Mogwasa</t>
        </is>
      </c>
      <c r="O401" t="inlineStr">
        <is>
          <t>2026-06-08 04:47:44</t>
        </is>
      </c>
      <c r="P401" t="inlineStr">
        <is>
          <t>2026-06-08 04:47:44</t>
        </is>
      </c>
      <c r="Y401" t="inlineStr">
        <is>
          <t>27823773783</t>
        </is>
      </c>
    </row>
    <row r="402">
      <c r="A402" t="inlineStr">
        <is>
          <t>14815073</t>
        </is>
      </c>
      <c r="B402" t="inlineStr">
        <is>
          <t>34115369-b9a8-466a-ae88-1b6e7061902f</t>
        </is>
      </c>
      <c r="D402" t="inlineStr">
        <is>
          <t>30001085</t>
        </is>
      </c>
      <c r="E402" t="inlineStr">
        <is>
          <t>ussd_funeral_leads_altitude_20260601</t>
        </is>
      </c>
      <c r="J402" t="inlineStr">
        <is>
          <t>CU</t>
        </is>
      </c>
      <c r="K402" t="inlineStr">
        <is>
          <t>Client Hung Up</t>
        </is>
      </c>
      <c r="L402" t="n">
        <v>6</v>
      </c>
      <c r="M402" t="inlineStr">
        <is>
          <t>2026-06-11 12:27:24</t>
        </is>
      </c>
      <c r="N402" t="inlineStr">
        <is>
          <t>Goitsimang Mogwasa</t>
        </is>
      </c>
      <c r="O402" t="inlineStr">
        <is>
          <t>2026-06-08 04:47:44</t>
        </is>
      </c>
      <c r="P402" t="inlineStr">
        <is>
          <t>2026-06-08 04:47:44</t>
        </is>
      </c>
      <c r="Y402" t="inlineStr">
        <is>
          <t>27761301645</t>
        </is>
      </c>
    </row>
    <row r="403">
      <c r="A403" t="inlineStr">
        <is>
          <t>14800000</t>
        </is>
      </c>
      <c r="B403" t="inlineStr">
        <is>
          <t>e0314ac3-7491-490a-98b8-eb3e8d896a3e</t>
        </is>
      </c>
      <c r="D403" t="inlineStr">
        <is>
          <t>30001085</t>
        </is>
      </c>
      <c r="E403" t="inlineStr">
        <is>
          <t>ussd_funeral_leads_altitude_20260601</t>
        </is>
      </c>
      <c r="J403" t="inlineStr">
        <is>
          <t>A</t>
        </is>
      </c>
      <c r="K403" t="inlineStr">
        <is>
          <t>Answering Machine</t>
        </is>
      </c>
      <c r="L403" t="n">
        <v>6</v>
      </c>
      <c r="M403" t="inlineStr">
        <is>
          <t>2026-06-11 10:45:10</t>
        </is>
      </c>
      <c r="N403" t="inlineStr">
        <is>
          <t>Goitsimang Mogwasa</t>
        </is>
      </c>
      <c r="O403" t="inlineStr">
        <is>
          <t>2026-06-08 04:47:44</t>
        </is>
      </c>
      <c r="P403" t="inlineStr">
        <is>
          <t>2026-06-08 04:47:44</t>
        </is>
      </c>
      <c r="Y403" t="inlineStr">
        <is>
          <t>27663836988</t>
        </is>
      </c>
    </row>
    <row r="404">
      <c r="A404" t="inlineStr">
        <is>
          <t>14814811</t>
        </is>
      </c>
      <c r="B404" t="inlineStr">
        <is>
          <t>e5da5c5f-f23d-4c21-b061-e6f7d9c1903c</t>
        </is>
      </c>
      <c r="D404" t="inlineStr">
        <is>
          <t>30001085</t>
        </is>
      </c>
      <c r="E404" t="inlineStr">
        <is>
          <t>ussd_funeral_leads_altitude_20260601</t>
        </is>
      </c>
      <c r="J404" t="inlineStr">
        <is>
          <t>BLQ</t>
        </is>
      </c>
      <c r="K404" t="inlineStr">
        <is>
          <t>Bad Line Quality</t>
        </is>
      </c>
      <c r="L404" t="n">
        <v>6</v>
      </c>
      <c r="M404" t="inlineStr">
        <is>
          <t>2026-06-11 10:29:33</t>
        </is>
      </c>
      <c r="N404" t="inlineStr">
        <is>
          <t>Vuyiswa Nxumalo</t>
        </is>
      </c>
      <c r="O404" t="inlineStr">
        <is>
          <t>2026-06-08 04:47:44</t>
        </is>
      </c>
      <c r="P404" t="inlineStr">
        <is>
          <t>2026-06-08 04:47:44</t>
        </is>
      </c>
      <c r="Y404" t="inlineStr">
        <is>
          <t>27661829642</t>
        </is>
      </c>
    </row>
    <row r="405">
      <c r="A405" t="inlineStr">
        <is>
          <t>14815146</t>
        </is>
      </c>
      <c r="B405" t="inlineStr">
        <is>
          <t>7be42836-c9cb-49e9-90a3-2f9d2ea3b8fe</t>
        </is>
      </c>
      <c r="D405" t="inlineStr">
        <is>
          <t>30001085</t>
        </is>
      </c>
      <c r="E405" t="inlineStr">
        <is>
          <t>ussd_funeral_leads_altitude_20260601</t>
        </is>
      </c>
      <c r="J405" t="inlineStr">
        <is>
          <t>A</t>
        </is>
      </c>
      <c r="K405" t="inlineStr">
        <is>
          <t>Answering Machine</t>
        </is>
      </c>
      <c r="L405" t="n">
        <v>6</v>
      </c>
      <c r="M405" t="inlineStr">
        <is>
          <t>2026-06-11 09:41:52</t>
        </is>
      </c>
      <c r="N405" t="inlineStr">
        <is>
          <t>Virginia Letsatsi</t>
        </is>
      </c>
      <c r="O405" t="inlineStr">
        <is>
          <t>2026-06-08 04:47:44</t>
        </is>
      </c>
      <c r="P405" t="inlineStr">
        <is>
          <t>2026-06-08 04:47:44</t>
        </is>
      </c>
      <c r="Y405" t="inlineStr">
        <is>
          <t>27792091013</t>
        </is>
      </c>
    </row>
    <row r="406">
      <c r="A406" t="inlineStr">
        <is>
          <t>14814821</t>
        </is>
      </c>
      <c r="B406" t="inlineStr">
        <is>
          <t>62ba1ddf-00cd-4197-a71d-19f56a8e5d66</t>
        </is>
      </c>
      <c r="D406" t="inlineStr">
        <is>
          <t>30001085</t>
        </is>
      </c>
      <c r="E406" t="inlineStr">
        <is>
          <t>ussd_funeral_leads_altitude_20260601</t>
        </is>
      </c>
      <c r="J406" t="inlineStr">
        <is>
          <t>AF</t>
        </is>
      </c>
      <c r="K406" t="inlineStr">
        <is>
          <t>Cannot Afford</t>
        </is>
      </c>
      <c r="L406" t="n">
        <v>5</v>
      </c>
      <c r="M406" t="inlineStr">
        <is>
          <t>2026-06-11 09:41:26</t>
        </is>
      </c>
      <c r="N406" t="inlineStr">
        <is>
          <t>Lebohang Mabotja</t>
        </is>
      </c>
      <c r="O406" t="inlineStr">
        <is>
          <t>2026-06-08 04:47:44</t>
        </is>
      </c>
      <c r="P406" t="inlineStr">
        <is>
          <t>2026-06-08 04:47:44</t>
        </is>
      </c>
      <c r="Y406" t="inlineStr">
        <is>
          <t>27724069975</t>
        </is>
      </c>
    </row>
    <row r="407">
      <c r="A407" t="inlineStr">
        <is>
          <t>14814913</t>
        </is>
      </c>
      <c r="B407" t="inlineStr">
        <is>
          <t>dbbfec8b-e5d7-44f1-acf9-92fea290e79d</t>
        </is>
      </c>
      <c r="D407" t="inlineStr">
        <is>
          <t>30001085</t>
        </is>
      </c>
      <c r="E407" t="inlineStr">
        <is>
          <t>ussd_funeral_leads_altitude_20260601</t>
        </is>
      </c>
      <c r="H407" t="inlineStr">
        <is>
          <t>27784005327</t>
        </is>
      </c>
      <c r="J407" t="inlineStr">
        <is>
          <t>SELECTED</t>
        </is>
      </c>
      <c r="K407" t="inlineStr">
        <is>
          <t>Selected</t>
        </is>
      </c>
      <c r="L407" t="n">
        <v>6</v>
      </c>
      <c r="M407" t="inlineStr">
        <is>
          <t>2026-06-11 09:35:50</t>
        </is>
      </c>
      <c r="N407" t="inlineStr">
        <is>
          <t>Virginia Letsatsi</t>
        </is>
      </c>
      <c r="O407" t="inlineStr">
        <is>
          <t>2026-06-08 04:47:44</t>
        </is>
      </c>
      <c r="P407" t="inlineStr">
        <is>
          <t>2026-06-08 04:47:44</t>
        </is>
      </c>
      <c r="Y407" t="inlineStr">
        <is>
          <t>27784005327</t>
        </is>
      </c>
    </row>
    <row r="408">
      <c r="A408" t="inlineStr">
        <is>
          <t>14814966</t>
        </is>
      </c>
      <c r="B408" t="inlineStr">
        <is>
          <t>9760e6bf-32cf-47e5-81f2-dd520f843a89</t>
        </is>
      </c>
      <c r="D408" t="inlineStr">
        <is>
          <t>30001085</t>
        </is>
      </c>
      <c r="E408" t="inlineStr">
        <is>
          <t>ussd_funeral_leads_altitude_20260601</t>
        </is>
      </c>
      <c r="J408" t="inlineStr">
        <is>
          <t>A</t>
        </is>
      </c>
      <c r="K408" t="inlineStr">
        <is>
          <t>Answering Machine</t>
        </is>
      </c>
      <c r="L408" t="n">
        <v>6</v>
      </c>
      <c r="M408" t="inlineStr">
        <is>
          <t>2026-06-11 09:33:36</t>
        </is>
      </c>
      <c r="N408" t="inlineStr">
        <is>
          <t>Virginia Letsatsi</t>
        </is>
      </c>
      <c r="O408" t="inlineStr">
        <is>
          <t>2026-06-08 04:47:44</t>
        </is>
      </c>
      <c r="P408" t="inlineStr">
        <is>
          <t>2026-06-08 04:47:44</t>
        </is>
      </c>
      <c r="Y408" t="inlineStr">
        <is>
          <t>27713351359</t>
        </is>
      </c>
    </row>
    <row r="409">
      <c r="A409" t="inlineStr">
        <is>
          <t>14814997</t>
        </is>
      </c>
      <c r="B409" t="inlineStr">
        <is>
          <t>5c0d2259-2e0f-42cf-9e75-47a5666afef2</t>
        </is>
      </c>
      <c r="D409" t="inlineStr">
        <is>
          <t>30001085</t>
        </is>
      </c>
      <c r="E409" t="inlineStr">
        <is>
          <t>ussd_funeral_leads_altitude_20260601</t>
        </is>
      </c>
      <c r="J409" t="inlineStr">
        <is>
          <t>CBACK</t>
        </is>
      </c>
      <c r="K409" t="inlineStr">
        <is>
          <t>Callback</t>
        </is>
      </c>
      <c r="L409" t="n">
        <v>5</v>
      </c>
      <c r="M409" t="inlineStr">
        <is>
          <t>2026-06-11 09:26:57</t>
        </is>
      </c>
      <c r="N409" t="inlineStr">
        <is>
          <t>Gontse Monageng</t>
        </is>
      </c>
      <c r="O409" t="inlineStr">
        <is>
          <t>2026-06-08 04:47:44</t>
        </is>
      </c>
      <c r="P409" t="inlineStr">
        <is>
          <t>2026-06-08 04:47:44</t>
        </is>
      </c>
      <c r="Y409" t="inlineStr">
        <is>
          <t>27664390955</t>
        </is>
      </c>
    </row>
    <row r="410">
      <c r="A410" t="inlineStr">
        <is>
          <t>14814890</t>
        </is>
      </c>
      <c r="B410" t="inlineStr">
        <is>
          <t>58ade95f-dfb0-4289-9fa1-dac0878feb49</t>
        </is>
      </c>
      <c r="D410" t="inlineStr">
        <is>
          <t>30001085</t>
        </is>
      </c>
      <c r="E410" t="inlineStr">
        <is>
          <t>ussd_funeral_leads_altitude_20260601</t>
        </is>
      </c>
      <c r="J410" t="inlineStr">
        <is>
          <t>DNQS</t>
        </is>
      </c>
      <c r="K410" t="inlineStr">
        <is>
          <t>Does Not Qualify</t>
        </is>
      </c>
      <c r="L410" t="n">
        <v>5</v>
      </c>
      <c r="M410" t="inlineStr">
        <is>
          <t>2026-06-11 08:57:38</t>
        </is>
      </c>
      <c r="N410" t="inlineStr">
        <is>
          <t>Virginia Letsatsi</t>
        </is>
      </c>
      <c r="O410" t="inlineStr">
        <is>
          <t>2026-06-08 04:47:44</t>
        </is>
      </c>
      <c r="P410" t="inlineStr">
        <is>
          <t>2026-06-08 04:47:44</t>
        </is>
      </c>
      <c r="Y410" t="inlineStr">
        <is>
          <t>27765994639</t>
        </is>
      </c>
    </row>
    <row r="411">
      <c r="A411" t="inlineStr">
        <is>
          <t>14815188</t>
        </is>
      </c>
      <c r="B411" t="inlineStr">
        <is>
          <t>f7a0238b-4f24-462a-8ffd-a818a8fdffa8</t>
        </is>
      </c>
      <c r="D411" t="inlineStr">
        <is>
          <t>30001085</t>
        </is>
      </c>
      <c r="E411" t="inlineStr">
        <is>
          <t>ussd_funeral_leads_altitude_20260601</t>
        </is>
      </c>
      <c r="H411" t="inlineStr">
        <is>
          <t>27724731306</t>
        </is>
      </c>
      <c r="J411" t="inlineStr">
        <is>
          <t>AF</t>
        </is>
      </c>
      <c r="K411" t="inlineStr">
        <is>
          <t>Cannot Afford</t>
        </is>
      </c>
      <c r="L411" t="n">
        <v>5</v>
      </c>
      <c r="M411" t="inlineStr">
        <is>
          <t>2026-06-11 08:43:42</t>
        </is>
      </c>
      <c r="N411" t="inlineStr">
        <is>
          <t>Vuyiswa Nxumalo</t>
        </is>
      </c>
      <c r="O411" t="inlineStr">
        <is>
          <t>2026-06-08 04:47:44</t>
        </is>
      </c>
      <c r="P411" t="inlineStr">
        <is>
          <t>2026-06-08 04:47:44</t>
        </is>
      </c>
      <c r="Y411" t="inlineStr">
        <is>
          <t>27724731306</t>
        </is>
      </c>
    </row>
    <row r="412">
      <c r="A412" t="inlineStr">
        <is>
          <t>14814923</t>
        </is>
      </c>
      <c r="B412" t="inlineStr">
        <is>
          <t>cf71ca88-a887-4484-b0fb-336b2fb129f6</t>
        </is>
      </c>
      <c r="D412" t="inlineStr">
        <is>
          <t>30001085</t>
        </is>
      </c>
      <c r="E412" t="inlineStr">
        <is>
          <t>ussd_funeral_leads_altitude_20260601</t>
        </is>
      </c>
      <c r="J412" t="inlineStr">
        <is>
          <t>QAVER</t>
        </is>
      </c>
      <c r="K412" t="inlineStr">
        <is>
          <t>Sale Made</t>
        </is>
      </c>
      <c r="L412" t="n">
        <v>5</v>
      </c>
      <c r="M412" t="inlineStr">
        <is>
          <t>2026-06-11 08:43:24</t>
        </is>
      </c>
      <c r="N412" t="inlineStr">
        <is>
          <t>Goitsimang Mogwasa</t>
        </is>
      </c>
      <c r="O412" t="inlineStr">
        <is>
          <t>2026-06-08 04:47:44</t>
        </is>
      </c>
      <c r="P412" t="inlineStr">
        <is>
          <t>2026-06-08 04:47:44</t>
        </is>
      </c>
      <c r="Y412" t="inlineStr">
        <is>
          <t>27796813320</t>
        </is>
      </c>
    </row>
    <row r="413">
      <c r="A413" t="inlineStr">
        <is>
          <t>14815123</t>
        </is>
      </c>
      <c r="B413" t="inlineStr">
        <is>
          <t>a56bd11a-688b-4185-b82d-406839c25ee9</t>
        </is>
      </c>
      <c r="D413" t="inlineStr">
        <is>
          <t>30001085</t>
        </is>
      </c>
      <c r="E413" t="inlineStr">
        <is>
          <t>ussd_funeral_leads_altitude_20260601</t>
        </is>
      </c>
      <c r="J413" t="inlineStr">
        <is>
          <t>CU</t>
        </is>
      </c>
      <c r="K413" t="inlineStr">
        <is>
          <t>Client Hung Up</t>
        </is>
      </c>
      <c r="L413" t="n">
        <v>6</v>
      </c>
      <c r="M413" t="inlineStr">
        <is>
          <t>2026-06-11 08:42:54</t>
        </is>
      </c>
      <c r="N413" t="inlineStr">
        <is>
          <t>Goitsimang Mogwasa</t>
        </is>
      </c>
      <c r="O413" t="inlineStr">
        <is>
          <t>2026-06-08 04:47:44</t>
        </is>
      </c>
      <c r="P413" t="inlineStr">
        <is>
          <t>2026-06-08 04:47:44</t>
        </is>
      </c>
      <c r="Y413" t="inlineStr">
        <is>
          <t>27661141410</t>
        </is>
      </c>
    </row>
    <row r="414">
      <c r="A414" t="inlineStr">
        <is>
          <t>14814894</t>
        </is>
      </c>
      <c r="B414" t="inlineStr">
        <is>
          <t>7e30dc05-eeee-4130-91c7-0461a83667d1</t>
        </is>
      </c>
      <c r="D414" t="inlineStr">
        <is>
          <t>30001085</t>
        </is>
      </c>
      <c r="E414" t="inlineStr">
        <is>
          <t>ussd_funeral_leads_altitude_20260601</t>
        </is>
      </c>
      <c r="J414" t="inlineStr">
        <is>
          <t>A</t>
        </is>
      </c>
      <c r="K414" t="inlineStr">
        <is>
          <t>Answering Machine</t>
        </is>
      </c>
      <c r="L414" t="n">
        <v>6</v>
      </c>
      <c r="M414" t="inlineStr">
        <is>
          <t>2026-06-11 08:33:29</t>
        </is>
      </c>
      <c r="N414" t="inlineStr">
        <is>
          <t>Vuyiswa Nxumalo</t>
        </is>
      </c>
      <c r="O414" t="inlineStr">
        <is>
          <t>2026-06-08 04:47:44</t>
        </is>
      </c>
      <c r="P414" t="inlineStr">
        <is>
          <t>2026-06-08 04:47:44</t>
        </is>
      </c>
      <c r="Y414" t="inlineStr">
        <is>
          <t>27664913238</t>
        </is>
      </c>
    </row>
    <row r="415">
      <c r="A415" t="inlineStr">
        <is>
          <t>14815104</t>
        </is>
      </c>
      <c r="B415" t="inlineStr">
        <is>
          <t>a2d89136-7cf2-4467-a299-c7bb97e20180</t>
        </is>
      </c>
      <c r="D415" t="inlineStr">
        <is>
          <t>30001085</t>
        </is>
      </c>
      <c r="E415" t="inlineStr">
        <is>
          <t>ussd_funeral_leads_altitude_20260601</t>
        </is>
      </c>
      <c r="J415" t="inlineStr">
        <is>
          <t>A</t>
        </is>
      </c>
      <c r="K415" t="inlineStr">
        <is>
          <t>Answering Machine</t>
        </is>
      </c>
      <c r="L415" t="n">
        <v>6</v>
      </c>
      <c r="M415" t="inlineStr">
        <is>
          <t>2026-06-11 08:23:58</t>
        </is>
      </c>
      <c r="N415" t="inlineStr">
        <is>
          <t>Virginia Letsatsi</t>
        </is>
      </c>
      <c r="O415" t="inlineStr">
        <is>
          <t>2026-06-08 04:47:44</t>
        </is>
      </c>
      <c r="P415" t="inlineStr">
        <is>
          <t>2026-06-08 04:47:44</t>
        </is>
      </c>
      <c r="Y415" t="inlineStr">
        <is>
          <t>27660198701</t>
        </is>
      </c>
    </row>
    <row r="416">
      <c r="A416" t="inlineStr">
        <is>
          <t>14815068</t>
        </is>
      </c>
      <c r="B416" t="inlineStr">
        <is>
          <t>68f6c848-1d5b-4dd8-8a43-fadd729553eb</t>
        </is>
      </c>
      <c r="D416" t="inlineStr">
        <is>
          <t>30001085</t>
        </is>
      </c>
      <c r="E416" t="inlineStr">
        <is>
          <t>ussd_funeral_leads_altitude_20260601</t>
        </is>
      </c>
      <c r="J416" t="inlineStr">
        <is>
          <t>CUA</t>
        </is>
      </c>
      <c r="K416" t="inlineStr">
        <is>
          <t>Client Underage</t>
        </is>
      </c>
      <c r="L416" t="n">
        <v>6</v>
      </c>
      <c r="M416" t="inlineStr">
        <is>
          <t>2026-06-11 07:43:19</t>
        </is>
      </c>
      <c r="N416" t="inlineStr">
        <is>
          <t>Vuyiswa Nxumalo</t>
        </is>
      </c>
      <c r="O416" t="inlineStr">
        <is>
          <t>2026-06-08 04:47:44</t>
        </is>
      </c>
      <c r="P416" t="inlineStr">
        <is>
          <t>2026-06-08 04:47:44</t>
        </is>
      </c>
      <c r="Y416" t="inlineStr">
        <is>
          <t>27723818582</t>
        </is>
      </c>
    </row>
    <row r="417">
      <c r="A417" t="inlineStr">
        <is>
          <t>14814955</t>
        </is>
      </c>
      <c r="B417" t="inlineStr">
        <is>
          <t>5fe74f78-ad64-4076-863b-adc44a1b3e5a</t>
        </is>
      </c>
      <c r="D417" t="inlineStr">
        <is>
          <t>30001085</t>
        </is>
      </c>
      <c r="E417" t="inlineStr">
        <is>
          <t>ussd_funeral_leads_altitude_20260601</t>
        </is>
      </c>
      <c r="J417" t="inlineStr">
        <is>
          <t>CUA</t>
        </is>
      </c>
      <c r="K417" t="inlineStr">
        <is>
          <t>Client Underage</t>
        </is>
      </c>
      <c r="L417" t="n">
        <v>5</v>
      </c>
      <c r="M417" t="inlineStr">
        <is>
          <t>2026-06-10 14:56:59</t>
        </is>
      </c>
      <c r="N417" t="inlineStr">
        <is>
          <t>Virginia Letsatsi</t>
        </is>
      </c>
      <c r="O417" t="inlineStr">
        <is>
          <t>2026-06-08 04:47:44</t>
        </is>
      </c>
      <c r="P417" t="inlineStr">
        <is>
          <t>2026-06-08 04:47:44</t>
        </is>
      </c>
      <c r="Y417" t="inlineStr">
        <is>
          <t>27649425702</t>
        </is>
      </c>
    </row>
    <row r="418">
      <c r="A418" t="inlineStr">
        <is>
          <t>14814938</t>
        </is>
      </c>
      <c r="B418" t="inlineStr">
        <is>
          <t>4b5fb4bf-c5f1-4457-af98-267b766b3616</t>
        </is>
      </c>
      <c r="D418" t="inlineStr">
        <is>
          <t>30001085</t>
        </is>
      </c>
      <c r="E418" t="inlineStr">
        <is>
          <t>ussd_funeral_leads_altitude_20260601</t>
        </is>
      </c>
      <c r="J418" t="inlineStr">
        <is>
          <t>ADC</t>
        </is>
      </c>
      <c r="K418" t="inlineStr">
        <is>
          <t>Auto Dial Disconnected</t>
        </is>
      </c>
      <c r="L418" t="n">
        <v>6</v>
      </c>
      <c r="M418" t="inlineStr">
        <is>
          <t>2026-06-10 14:43:09</t>
        </is>
      </c>
      <c r="N418" t="inlineStr">
        <is>
          <t>system</t>
        </is>
      </c>
      <c r="O418" t="inlineStr">
        <is>
          <t>2026-06-08 04:47:44</t>
        </is>
      </c>
      <c r="P418" t="inlineStr">
        <is>
          <t>2026-06-08 04:47:44</t>
        </is>
      </c>
      <c r="Y418" t="inlineStr">
        <is>
          <t>27636317348</t>
        </is>
      </c>
    </row>
    <row r="419">
      <c r="A419" t="inlineStr">
        <is>
          <t>14800000</t>
        </is>
      </c>
      <c r="B419" t="inlineStr">
        <is>
          <t>52e0643c-aa31-451b-a675-d808c3af3310</t>
        </is>
      </c>
      <c r="D419" t="inlineStr">
        <is>
          <t>30001085</t>
        </is>
      </c>
      <c r="E419" t="inlineStr">
        <is>
          <t>ussd_funeral_leads_altitude_20260601</t>
        </is>
      </c>
      <c r="J419" t="inlineStr">
        <is>
          <t>DROP</t>
        </is>
      </c>
      <c r="K419" t="inlineStr">
        <is>
          <t>Dropped</t>
        </is>
      </c>
      <c r="L419" t="n">
        <v>6</v>
      </c>
      <c r="M419" t="inlineStr">
        <is>
          <t>2026-06-10 14:43:03</t>
        </is>
      </c>
      <c r="N419" t="inlineStr">
        <is>
          <t>system</t>
        </is>
      </c>
      <c r="O419" t="inlineStr">
        <is>
          <t>2026-06-08 04:47:44</t>
        </is>
      </c>
      <c r="P419" t="inlineStr">
        <is>
          <t>2026-06-08 04:47:44</t>
        </is>
      </c>
      <c r="Y419" t="inlineStr">
        <is>
          <t>27663217669</t>
        </is>
      </c>
    </row>
    <row r="420">
      <c r="A420" t="inlineStr">
        <is>
          <t>14814986</t>
        </is>
      </c>
      <c r="B420" t="inlineStr">
        <is>
          <t>9d9414e1-a9ee-438f-944b-d87e0e168a31</t>
        </is>
      </c>
      <c r="D420" t="inlineStr">
        <is>
          <t>30001085</t>
        </is>
      </c>
      <c r="E420" t="inlineStr">
        <is>
          <t>ussd_funeral_leads_altitude_20260601</t>
        </is>
      </c>
      <c r="J420" t="inlineStr">
        <is>
          <t>U</t>
        </is>
      </c>
      <c r="K420" t="inlineStr">
        <is>
          <t>Unemployed</t>
        </is>
      </c>
      <c r="L420" t="n">
        <v>6</v>
      </c>
      <c r="M420" t="inlineStr">
        <is>
          <t>2026-06-10 14:28:18</t>
        </is>
      </c>
      <c r="N420" t="inlineStr">
        <is>
          <t>Virginia Letsatsi</t>
        </is>
      </c>
      <c r="O420" t="inlineStr">
        <is>
          <t>2026-06-08 04:47:44</t>
        </is>
      </c>
      <c r="P420" t="inlineStr">
        <is>
          <t>2026-06-08 04:47:44</t>
        </is>
      </c>
      <c r="Y420" t="inlineStr">
        <is>
          <t>27649966295</t>
        </is>
      </c>
    </row>
    <row r="421">
      <c r="A421" t="inlineStr">
        <is>
          <t>14815035</t>
        </is>
      </c>
      <c r="B421" t="inlineStr">
        <is>
          <t>0ed9e5d5-865d-41ec-90e2-d20cc4d04efa</t>
        </is>
      </c>
      <c r="D421" t="inlineStr">
        <is>
          <t>30001085</t>
        </is>
      </c>
      <c r="E421" t="inlineStr">
        <is>
          <t>ussd_funeral_leads_altitude_20260601</t>
        </is>
      </c>
      <c r="J421" t="inlineStr">
        <is>
          <t>CBACK</t>
        </is>
      </c>
      <c r="K421" t="inlineStr">
        <is>
          <t>Callback</t>
        </is>
      </c>
      <c r="L421" t="n">
        <v>5</v>
      </c>
      <c r="M421" t="inlineStr">
        <is>
          <t>2026-06-10 14:25:20</t>
        </is>
      </c>
      <c r="N421" t="inlineStr">
        <is>
          <t>Gontse Monageng</t>
        </is>
      </c>
      <c r="O421" t="inlineStr">
        <is>
          <t>2026-06-08 04:47:44</t>
        </is>
      </c>
      <c r="P421" t="inlineStr">
        <is>
          <t>2026-06-08 04:47:44</t>
        </is>
      </c>
      <c r="Y421" t="inlineStr">
        <is>
          <t>27766694679</t>
        </is>
      </c>
    </row>
    <row r="422">
      <c r="A422" t="inlineStr">
        <is>
          <t>14815186</t>
        </is>
      </c>
      <c r="B422" t="inlineStr">
        <is>
          <t>7b26cd24-909f-4e05-8c10-c9ee75930fb4</t>
        </is>
      </c>
      <c r="D422" t="inlineStr">
        <is>
          <t>30001085</t>
        </is>
      </c>
      <c r="E422" t="inlineStr">
        <is>
          <t>ussd_funeral_leads_altitude_20260601</t>
        </is>
      </c>
      <c r="J422" t="inlineStr">
        <is>
          <t>CBACK</t>
        </is>
      </c>
      <c r="K422" t="inlineStr">
        <is>
          <t>Callback</t>
        </is>
      </c>
      <c r="L422" t="n">
        <v>4</v>
      </c>
      <c r="M422" t="inlineStr">
        <is>
          <t>2026-06-10 12:53:28</t>
        </is>
      </c>
      <c r="N422" t="inlineStr">
        <is>
          <t>Gontse Monageng</t>
        </is>
      </c>
      <c r="O422" t="inlineStr">
        <is>
          <t>2026-06-08 04:47:44</t>
        </is>
      </c>
      <c r="P422" t="inlineStr">
        <is>
          <t>2026-06-08 04:47:44</t>
        </is>
      </c>
      <c r="Y422" t="inlineStr">
        <is>
          <t>27648518974</t>
        </is>
      </c>
    </row>
    <row r="423">
      <c r="A423" t="inlineStr">
        <is>
          <t>14815017</t>
        </is>
      </c>
      <c r="B423" t="inlineStr">
        <is>
          <t>d075c99c-a305-4ced-9f32-a5f8484c15a4</t>
        </is>
      </c>
      <c r="D423" t="inlineStr">
        <is>
          <t>30001085</t>
        </is>
      </c>
      <c r="E423" t="inlineStr">
        <is>
          <t>ussd_funeral_leads_altitude_20260601</t>
        </is>
      </c>
      <c r="J423" t="inlineStr">
        <is>
          <t>U</t>
        </is>
      </c>
      <c r="K423" t="inlineStr">
        <is>
          <t>Unemployed</t>
        </is>
      </c>
      <c r="L423" t="n">
        <v>4</v>
      </c>
      <c r="M423" t="inlineStr">
        <is>
          <t>2026-06-10 11:50:44</t>
        </is>
      </c>
      <c r="N423" t="inlineStr">
        <is>
          <t>Lebohang Mabotja</t>
        </is>
      </c>
      <c r="O423" t="inlineStr">
        <is>
          <t>2026-06-08 04:47:44</t>
        </is>
      </c>
      <c r="P423" t="inlineStr">
        <is>
          <t>2026-06-08 04:47:44</t>
        </is>
      </c>
      <c r="Y423" t="inlineStr">
        <is>
          <t>27607230252</t>
        </is>
      </c>
    </row>
    <row r="424">
      <c r="A424" t="inlineStr">
        <is>
          <t>14815131</t>
        </is>
      </c>
      <c r="B424" t="inlineStr">
        <is>
          <t>e4a18d47-f0c0-4a5b-a38a-70800d994f19</t>
        </is>
      </c>
      <c r="D424" t="inlineStr">
        <is>
          <t>30001085</t>
        </is>
      </c>
      <c r="E424" t="inlineStr">
        <is>
          <t>ussd_funeral_leads_altitude_20260601</t>
        </is>
      </c>
      <c r="J424" t="inlineStr">
        <is>
          <t>SELECTED</t>
        </is>
      </c>
      <c r="K424" t="inlineStr">
        <is>
          <t>Selected</t>
        </is>
      </c>
      <c r="L424" t="n">
        <v>5</v>
      </c>
      <c r="M424" t="inlineStr">
        <is>
          <t>2026-06-10 11:47:10</t>
        </is>
      </c>
      <c r="N424" t="inlineStr">
        <is>
          <t>system</t>
        </is>
      </c>
      <c r="O424" t="inlineStr">
        <is>
          <t>2026-06-08 04:47:44</t>
        </is>
      </c>
      <c r="P424" t="inlineStr">
        <is>
          <t>2026-06-08 04:47:44</t>
        </is>
      </c>
      <c r="Y424" t="inlineStr">
        <is>
          <t>27711592476</t>
        </is>
      </c>
    </row>
    <row r="425">
      <c r="A425" t="inlineStr">
        <is>
          <t>14815076</t>
        </is>
      </c>
      <c r="B425" t="inlineStr">
        <is>
          <t>1174281a-2065-4ba8-a78a-33a292b78dbd</t>
        </is>
      </c>
      <c r="D425" t="inlineStr">
        <is>
          <t>30001085</t>
        </is>
      </c>
      <c r="E425" t="inlineStr">
        <is>
          <t>ussd_funeral_leads_altitude_20260601</t>
        </is>
      </c>
      <c r="J425" t="inlineStr">
        <is>
          <t>QAVER</t>
        </is>
      </c>
      <c r="K425" t="inlineStr">
        <is>
          <t>Sale Made</t>
        </is>
      </c>
      <c r="L425" t="n">
        <v>4</v>
      </c>
      <c r="M425" t="inlineStr">
        <is>
          <t>2026-06-10 10:49:09</t>
        </is>
      </c>
      <c r="N425" t="inlineStr">
        <is>
          <t>Gontse Monageng</t>
        </is>
      </c>
      <c r="O425" t="inlineStr">
        <is>
          <t>2026-06-08 04:47:44</t>
        </is>
      </c>
      <c r="P425" t="inlineStr">
        <is>
          <t>2026-06-08 04:47:44</t>
        </is>
      </c>
      <c r="Y425" t="inlineStr">
        <is>
          <t>27799234916</t>
        </is>
      </c>
    </row>
    <row r="426">
      <c r="A426" t="inlineStr">
        <is>
          <t>14814877</t>
        </is>
      </c>
      <c r="B426" t="inlineStr">
        <is>
          <t>00c29cfb-52da-4928-8d19-7369811d3f07</t>
        </is>
      </c>
      <c r="D426" t="inlineStr">
        <is>
          <t>30001085</t>
        </is>
      </c>
      <c r="E426" t="inlineStr">
        <is>
          <t>ussd_funeral_leads_altitude_20260601</t>
        </is>
      </c>
      <c r="J426" t="inlineStr">
        <is>
          <t>AF</t>
        </is>
      </c>
      <c r="K426" t="inlineStr">
        <is>
          <t>Cannot Afford</t>
        </is>
      </c>
      <c r="L426" t="n">
        <v>4</v>
      </c>
      <c r="M426" t="inlineStr">
        <is>
          <t>2026-06-10 10:26:43</t>
        </is>
      </c>
      <c r="N426" t="inlineStr">
        <is>
          <t>Gontse Monageng</t>
        </is>
      </c>
      <c r="O426" t="inlineStr">
        <is>
          <t>2026-06-08 04:47:44</t>
        </is>
      </c>
      <c r="P426" t="inlineStr">
        <is>
          <t>2026-06-08 04:47:44</t>
        </is>
      </c>
      <c r="Y426" t="inlineStr">
        <is>
          <t>27798117928</t>
        </is>
      </c>
    </row>
    <row r="427">
      <c r="A427" t="inlineStr">
        <is>
          <t>14814841</t>
        </is>
      </c>
      <c r="B427" t="inlineStr">
        <is>
          <t>11d5fda6-3812-42b4-927b-6ab309a0a3a0</t>
        </is>
      </c>
      <c r="D427" t="inlineStr">
        <is>
          <t>30001085</t>
        </is>
      </c>
      <c r="E427" t="inlineStr">
        <is>
          <t>ussd_funeral_leads_altitude_20260601</t>
        </is>
      </c>
      <c r="J427" t="inlineStr">
        <is>
          <t>NI</t>
        </is>
      </c>
      <c r="K427" t="inlineStr">
        <is>
          <t>Not Interested</t>
        </is>
      </c>
      <c r="L427" t="n">
        <v>4</v>
      </c>
      <c r="M427" t="inlineStr">
        <is>
          <t>2026-06-10 10:16:14</t>
        </is>
      </c>
      <c r="N427" t="inlineStr">
        <is>
          <t>Lebohang Mabotja</t>
        </is>
      </c>
      <c r="O427" t="inlineStr">
        <is>
          <t>2026-06-08 04:47:44</t>
        </is>
      </c>
      <c r="P427" t="inlineStr">
        <is>
          <t>2026-06-08 04:47:44</t>
        </is>
      </c>
      <c r="Y427" t="inlineStr">
        <is>
          <t>27715672300</t>
        </is>
      </c>
    </row>
    <row r="428">
      <c r="A428" t="inlineStr">
        <is>
          <t>14814904</t>
        </is>
      </c>
      <c r="B428" t="inlineStr">
        <is>
          <t>dd6dd539-ce86-4c87-bdf6-4248d5bd4e61</t>
        </is>
      </c>
      <c r="D428" t="inlineStr">
        <is>
          <t>30001085</t>
        </is>
      </c>
      <c r="E428" t="inlineStr">
        <is>
          <t>ussd_funeral_leads_altitude_20260601</t>
        </is>
      </c>
      <c r="J428" t="inlineStr">
        <is>
          <t>NI</t>
        </is>
      </c>
      <c r="K428" t="inlineStr">
        <is>
          <t>Not Interested</t>
        </is>
      </c>
      <c r="L428" t="n">
        <v>4</v>
      </c>
      <c r="M428" t="inlineStr">
        <is>
          <t>2026-06-10 10:00:18</t>
        </is>
      </c>
      <c r="N428" t="inlineStr">
        <is>
          <t>Vuyiswa Nxumalo</t>
        </is>
      </c>
      <c r="O428" t="inlineStr">
        <is>
          <t>2026-06-08 04:47:44</t>
        </is>
      </c>
      <c r="P428" t="inlineStr">
        <is>
          <t>2026-06-08 04:47:44</t>
        </is>
      </c>
      <c r="Y428" t="inlineStr">
        <is>
          <t>27767793794</t>
        </is>
      </c>
    </row>
    <row r="429">
      <c r="A429" t="inlineStr">
        <is>
          <t>14815069</t>
        </is>
      </c>
      <c r="B429" t="inlineStr">
        <is>
          <t>855e09ad-e59c-461c-b771-63263c726780</t>
        </is>
      </c>
      <c r="D429" t="inlineStr">
        <is>
          <t>30001085</t>
        </is>
      </c>
      <c r="E429" t="inlineStr">
        <is>
          <t>ussd_funeral_leads_altitude_20260601</t>
        </is>
      </c>
      <c r="J429" t="inlineStr">
        <is>
          <t>NI</t>
        </is>
      </c>
      <c r="K429" t="inlineStr">
        <is>
          <t>Not Interested</t>
        </is>
      </c>
      <c r="L429" t="n">
        <v>3</v>
      </c>
      <c r="M429" t="inlineStr">
        <is>
          <t>2026-06-10 09:49:29</t>
        </is>
      </c>
      <c r="N429" t="inlineStr">
        <is>
          <t>Lebohang Mabotja</t>
        </is>
      </c>
      <c r="O429" t="inlineStr">
        <is>
          <t>2026-06-08 04:47:44</t>
        </is>
      </c>
      <c r="P429" t="inlineStr">
        <is>
          <t>2026-06-08 04:47:44</t>
        </is>
      </c>
      <c r="Y429" t="inlineStr">
        <is>
          <t>27848197008</t>
        </is>
      </c>
    </row>
    <row r="430">
      <c r="A430" t="inlineStr">
        <is>
          <t>14814878</t>
        </is>
      </c>
      <c r="B430" t="inlineStr">
        <is>
          <t>3fb581f6-aa46-4f96-ad3b-a1214f05ebfb</t>
        </is>
      </c>
      <c r="D430" t="inlineStr">
        <is>
          <t>30001085</t>
        </is>
      </c>
      <c r="E430" t="inlineStr">
        <is>
          <t>ussd_funeral_leads_altitude_20260601</t>
        </is>
      </c>
      <c r="J430" t="inlineStr">
        <is>
          <t>NI</t>
        </is>
      </c>
      <c r="K430" t="inlineStr">
        <is>
          <t>Not Interested</t>
        </is>
      </c>
      <c r="L430" t="n">
        <v>4</v>
      </c>
      <c r="M430" t="inlineStr">
        <is>
          <t>2026-06-10 09:35:15</t>
        </is>
      </c>
      <c r="N430" t="inlineStr">
        <is>
          <t>Gontse Monageng</t>
        </is>
      </c>
      <c r="O430" t="inlineStr">
        <is>
          <t>2026-06-08 04:47:44</t>
        </is>
      </c>
      <c r="P430" t="inlineStr">
        <is>
          <t>2026-06-08 04:47:44</t>
        </is>
      </c>
      <c r="Y430" t="inlineStr">
        <is>
          <t>27607346834</t>
        </is>
      </c>
    </row>
    <row r="431">
      <c r="A431" t="inlineStr">
        <is>
          <t>14814908</t>
        </is>
      </c>
      <c r="B431" t="inlineStr">
        <is>
          <t>fed3acc5-ef65-4848-a247-74ee5e105db4</t>
        </is>
      </c>
      <c r="D431" t="inlineStr">
        <is>
          <t>30001085</t>
        </is>
      </c>
      <c r="E431" t="inlineStr">
        <is>
          <t>ussd_funeral_leads_altitude_20260601</t>
        </is>
      </c>
      <c r="J431" t="inlineStr">
        <is>
          <t>AF</t>
        </is>
      </c>
      <c r="K431" t="inlineStr">
        <is>
          <t>Cannot Afford</t>
        </is>
      </c>
      <c r="L431" t="n">
        <v>3</v>
      </c>
      <c r="M431" t="inlineStr">
        <is>
          <t>2026-06-10 08:28:49</t>
        </is>
      </c>
      <c r="N431" t="inlineStr">
        <is>
          <t>Vuyiswa Nxumalo</t>
        </is>
      </c>
      <c r="O431" t="inlineStr">
        <is>
          <t>2026-06-08 04:47:44</t>
        </is>
      </c>
      <c r="P431" t="inlineStr">
        <is>
          <t>2026-06-08 04:47:44</t>
        </is>
      </c>
      <c r="Y431" t="inlineStr">
        <is>
          <t>27765899385</t>
        </is>
      </c>
    </row>
    <row r="432">
      <c r="A432" t="inlineStr">
        <is>
          <t>14814840</t>
        </is>
      </c>
      <c r="B432" t="inlineStr">
        <is>
          <t>42fe4b2d-eb34-400c-a1d1-61bf8ac53f35</t>
        </is>
      </c>
      <c r="D432" t="inlineStr">
        <is>
          <t>30001085</t>
        </is>
      </c>
      <c r="E432" t="inlineStr">
        <is>
          <t>ussd_funeral_leads_altitude_20260601</t>
        </is>
      </c>
      <c r="J432" t="inlineStr">
        <is>
          <t>N</t>
        </is>
      </c>
      <c r="K432" t="inlineStr">
        <is>
          <t>No Answer</t>
        </is>
      </c>
      <c r="L432" t="n">
        <v>7</v>
      </c>
      <c r="M432" t="inlineStr">
        <is>
          <t>2026-06-10 07:44:36</t>
        </is>
      </c>
      <c r="N432" t="inlineStr">
        <is>
          <t>Lebohang Mabotja</t>
        </is>
      </c>
      <c r="O432" t="inlineStr">
        <is>
          <t>2026-06-08 04:47:44</t>
        </is>
      </c>
      <c r="P432" t="inlineStr">
        <is>
          <t>2026-06-08 04:47:44</t>
        </is>
      </c>
      <c r="Y432" t="inlineStr">
        <is>
          <t>27660808932</t>
        </is>
      </c>
    </row>
    <row r="433">
      <c r="A433" t="inlineStr">
        <is>
          <t>14814994</t>
        </is>
      </c>
      <c r="B433" t="inlineStr">
        <is>
          <t>a82f6147-6ac4-496c-aa2b-24aca92bcece</t>
        </is>
      </c>
      <c r="D433" t="inlineStr">
        <is>
          <t>30001085</t>
        </is>
      </c>
      <c r="E433" t="inlineStr">
        <is>
          <t>ussd_funeral_leads_altitude_20260601</t>
        </is>
      </c>
      <c r="J433" t="inlineStr">
        <is>
          <t>AF</t>
        </is>
      </c>
      <c r="K433" t="inlineStr">
        <is>
          <t>Cannot Afford</t>
        </is>
      </c>
      <c r="L433" t="n">
        <v>3</v>
      </c>
      <c r="M433" t="inlineStr">
        <is>
          <t>2026-06-10 07:36:14</t>
        </is>
      </c>
      <c r="N433" t="inlineStr">
        <is>
          <t>Gontse Monageng</t>
        </is>
      </c>
      <c r="O433" t="inlineStr">
        <is>
          <t>2026-06-08 04:47:44</t>
        </is>
      </c>
      <c r="P433" t="inlineStr">
        <is>
          <t>2026-06-08 04:47:44</t>
        </is>
      </c>
      <c r="Y433" t="inlineStr">
        <is>
          <t>27674611093</t>
        </is>
      </c>
    </row>
    <row r="434">
      <c r="A434" t="inlineStr">
        <is>
          <t>14814950</t>
        </is>
      </c>
      <c r="B434" t="inlineStr">
        <is>
          <t>13195c04-7ae2-4399-8844-0d1c9b618b1d</t>
        </is>
      </c>
      <c r="D434" t="inlineStr">
        <is>
          <t>30001085</t>
        </is>
      </c>
      <c r="E434" t="inlineStr">
        <is>
          <t>ussd_funeral_leads_altitude_20260601</t>
        </is>
      </c>
      <c r="J434" t="inlineStr">
        <is>
          <t>QAVER</t>
        </is>
      </c>
      <c r="K434" t="inlineStr">
        <is>
          <t>Sale Made</t>
        </is>
      </c>
      <c r="L434" t="n">
        <v>6</v>
      </c>
      <c r="M434" t="inlineStr">
        <is>
          <t>2026-06-10 07:28:15</t>
        </is>
      </c>
      <c r="N434" t="inlineStr">
        <is>
          <t>Virginia Letsatsi</t>
        </is>
      </c>
      <c r="O434" t="inlineStr">
        <is>
          <t>2026-06-08 04:47:44</t>
        </is>
      </c>
      <c r="P434" t="inlineStr">
        <is>
          <t>2026-06-08 04:47:44</t>
        </is>
      </c>
      <c r="Y434" t="inlineStr">
        <is>
          <t>27609501231</t>
        </is>
      </c>
    </row>
    <row r="435">
      <c r="A435" t="inlineStr">
        <is>
          <t>14814798</t>
        </is>
      </c>
      <c r="B435" t="inlineStr">
        <is>
          <t>4601b4e9-f40a-4995-b33e-64721001c530</t>
        </is>
      </c>
      <c r="D435" t="inlineStr">
        <is>
          <t>30001085</t>
        </is>
      </c>
      <c r="E435" t="inlineStr">
        <is>
          <t>ussd_funeral_leads_altitude_20260601</t>
        </is>
      </c>
      <c r="J435" t="inlineStr">
        <is>
          <t>CBACK</t>
        </is>
      </c>
      <c r="K435" t="inlineStr">
        <is>
          <t>Callback</t>
        </is>
      </c>
      <c r="L435" t="n">
        <v>3</v>
      </c>
      <c r="M435" t="inlineStr">
        <is>
          <t>2026-06-10 07:22:16</t>
        </is>
      </c>
      <c r="N435" t="inlineStr">
        <is>
          <t>Gontse Monageng</t>
        </is>
      </c>
      <c r="O435" t="inlineStr">
        <is>
          <t>2026-06-08 04:47:44</t>
        </is>
      </c>
      <c r="P435" t="inlineStr">
        <is>
          <t>2026-06-08 04:47:44</t>
        </is>
      </c>
      <c r="Y435" t="inlineStr">
        <is>
          <t>27727620948</t>
        </is>
      </c>
    </row>
    <row r="436">
      <c r="A436" t="inlineStr">
        <is>
          <t>14814814</t>
        </is>
      </c>
      <c r="B436" t="inlineStr">
        <is>
          <t>10eacef0-1148-4ac2-9574-232b81208e05</t>
        </is>
      </c>
      <c r="D436" t="inlineStr">
        <is>
          <t>30001085</t>
        </is>
      </c>
      <c r="E436" t="inlineStr">
        <is>
          <t>ussd_funeral_leads_altitude_20260601</t>
        </is>
      </c>
      <c r="J436" t="inlineStr">
        <is>
          <t>NI</t>
        </is>
      </c>
      <c r="K436" t="inlineStr">
        <is>
          <t>Not Interested</t>
        </is>
      </c>
      <c r="L436" t="n">
        <v>3</v>
      </c>
      <c r="M436" t="inlineStr">
        <is>
          <t>2026-06-10 07:20:22</t>
        </is>
      </c>
      <c r="N436" t="inlineStr">
        <is>
          <t>Lebohang Mabotja</t>
        </is>
      </c>
      <c r="O436" t="inlineStr">
        <is>
          <t>2026-06-08 04:47:44</t>
        </is>
      </c>
      <c r="P436" t="inlineStr">
        <is>
          <t>2026-06-08 04:47:44</t>
        </is>
      </c>
      <c r="Y436" t="inlineStr">
        <is>
          <t>27728491558</t>
        </is>
      </c>
    </row>
    <row r="437">
      <c r="A437" t="inlineStr">
        <is>
          <t>14814872</t>
        </is>
      </c>
      <c r="B437" t="inlineStr">
        <is>
          <t>5ee8b9d6-45c3-4394-b43a-36281d6747ad</t>
        </is>
      </c>
      <c r="D437" t="inlineStr">
        <is>
          <t>30001085</t>
        </is>
      </c>
      <c r="E437" t="inlineStr">
        <is>
          <t>ussd_funeral_leads_altitude_20260601</t>
        </is>
      </c>
      <c r="J437" t="inlineStr">
        <is>
          <t>QAVER</t>
        </is>
      </c>
      <c r="K437" t="inlineStr">
        <is>
          <t>Sale Made</t>
        </is>
      </c>
      <c r="L437" t="n">
        <v>3</v>
      </c>
      <c r="M437" t="inlineStr">
        <is>
          <t>2026-06-10 07:10:31</t>
        </is>
      </c>
      <c r="N437" t="inlineStr">
        <is>
          <t>Goitsimang Mogwasa</t>
        </is>
      </c>
      <c r="O437" t="inlineStr">
        <is>
          <t>2026-06-08 04:47:44</t>
        </is>
      </c>
      <c r="P437" t="inlineStr">
        <is>
          <t>2026-06-08 04:47:44</t>
        </is>
      </c>
      <c r="Y437" t="inlineStr">
        <is>
          <t>27674900592</t>
        </is>
      </c>
    </row>
    <row r="438">
      <c r="A438" t="inlineStr">
        <is>
          <t>14814917</t>
        </is>
      </c>
      <c r="B438" t="inlineStr">
        <is>
          <t>24455c1d-a865-44dc-9de9-294394319111</t>
        </is>
      </c>
      <c r="D438" t="inlineStr">
        <is>
          <t>30001085</t>
        </is>
      </c>
      <c r="E438" t="inlineStr">
        <is>
          <t>ussd_funeral_leads_altitude_20260601</t>
        </is>
      </c>
      <c r="J438" t="inlineStr">
        <is>
          <t>AF</t>
        </is>
      </c>
      <c r="K438" t="inlineStr">
        <is>
          <t>Cannot Afford</t>
        </is>
      </c>
      <c r="L438" t="n">
        <v>3</v>
      </c>
      <c r="M438" t="inlineStr">
        <is>
          <t>2026-06-10 07:03:03</t>
        </is>
      </c>
      <c r="N438" t="inlineStr">
        <is>
          <t>Gontse Monageng</t>
        </is>
      </c>
      <c r="O438" t="inlineStr">
        <is>
          <t>2026-06-08 04:47:44</t>
        </is>
      </c>
      <c r="P438" t="inlineStr">
        <is>
          <t>2026-06-08 04:47:44</t>
        </is>
      </c>
      <c r="Y438" t="inlineStr">
        <is>
          <t>27712667817</t>
        </is>
      </c>
    </row>
    <row r="439">
      <c r="A439" t="inlineStr">
        <is>
          <t>14815197</t>
        </is>
      </c>
      <c r="B439" t="inlineStr">
        <is>
          <t>5e71e148-e78f-4cf1-8098-4c2306ba1d64</t>
        </is>
      </c>
      <c r="D439" t="inlineStr">
        <is>
          <t>30001085</t>
        </is>
      </c>
      <c r="E439" t="inlineStr">
        <is>
          <t>ussd_funeral_leads_altitude_20260601</t>
        </is>
      </c>
      <c r="J439" t="inlineStr">
        <is>
          <t>CUA</t>
        </is>
      </c>
      <c r="K439" t="inlineStr">
        <is>
          <t>Client Underage</t>
        </is>
      </c>
      <c r="L439" t="n">
        <v>3</v>
      </c>
      <c r="M439" t="inlineStr">
        <is>
          <t>2026-06-10 06:53:14</t>
        </is>
      </c>
      <c r="N439" t="inlineStr">
        <is>
          <t>Vuyiswa Nxumalo</t>
        </is>
      </c>
      <c r="O439" t="inlineStr">
        <is>
          <t>2026-06-08 04:47:44</t>
        </is>
      </c>
      <c r="P439" t="inlineStr">
        <is>
          <t>2026-06-08 04:47:44</t>
        </is>
      </c>
      <c r="Y439" t="inlineStr">
        <is>
          <t>27764315224</t>
        </is>
      </c>
    </row>
    <row r="440">
      <c r="A440" t="inlineStr">
        <is>
          <t>14815189</t>
        </is>
      </c>
      <c r="B440" t="inlineStr">
        <is>
          <t>aeb7abaf-c0b0-45d6-bdef-500ee106a188</t>
        </is>
      </c>
      <c r="D440" t="inlineStr">
        <is>
          <t>30001085</t>
        </is>
      </c>
      <c r="E440" t="inlineStr">
        <is>
          <t>ussd_funeral_leads_altitude_20260601</t>
        </is>
      </c>
      <c r="J440" t="inlineStr">
        <is>
          <t>CBACK</t>
        </is>
      </c>
      <c r="K440" t="inlineStr">
        <is>
          <t>Callback</t>
        </is>
      </c>
      <c r="L440" t="n">
        <v>3</v>
      </c>
      <c r="M440" t="inlineStr">
        <is>
          <t>2026-06-10 06:51:24</t>
        </is>
      </c>
      <c r="N440" t="inlineStr">
        <is>
          <t>Gontse Monageng</t>
        </is>
      </c>
      <c r="O440" t="inlineStr">
        <is>
          <t>2026-06-08 04:47:44</t>
        </is>
      </c>
      <c r="P440" t="inlineStr">
        <is>
          <t>2026-06-08 04:47:44</t>
        </is>
      </c>
      <c r="Y440" t="inlineStr">
        <is>
          <t>27824293106</t>
        </is>
      </c>
    </row>
    <row r="441">
      <c r="A441" t="inlineStr">
        <is>
          <t>14815078</t>
        </is>
      </c>
      <c r="B441" t="inlineStr">
        <is>
          <t>2d9d2eb9-0150-4382-9475-efa8409da2b2</t>
        </is>
      </c>
      <c r="D441" t="inlineStr">
        <is>
          <t>30001085</t>
        </is>
      </c>
      <c r="E441" t="inlineStr">
        <is>
          <t>ussd_funeral_leads_altitude_20260601</t>
        </is>
      </c>
      <c r="J441" t="inlineStr">
        <is>
          <t>CBACK</t>
        </is>
      </c>
      <c r="K441" t="inlineStr">
        <is>
          <t>Callback</t>
        </is>
      </c>
      <c r="L441" t="n">
        <v>3</v>
      </c>
      <c r="M441" t="inlineStr">
        <is>
          <t>2026-06-10 06:46:19</t>
        </is>
      </c>
      <c r="N441" t="inlineStr">
        <is>
          <t>Gontse Monageng</t>
        </is>
      </c>
      <c r="O441" t="inlineStr">
        <is>
          <t>2026-06-08 04:47:44</t>
        </is>
      </c>
      <c r="P441" t="inlineStr">
        <is>
          <t>2026-06-08 04:47:44</t>
        </is>
      </c>
      <c r="Y441" t="inlineStr">
        <is>
          <t>27636085677</t>
        </is>
      </c>
    </row>
    <row r="442">
      <c r="A442" t="inlineStr">
        <is>
          <t>14815050</t>
        </is>
      </c>
      <c r="B442" t="inlineStr">
        <is>
          <t>7356d975-16a3-4d6b-bc4c-3d14c9c14ab9</t>
        </is>
      </c>
      <c r="D442" t="inlineStr">
        <is>
          <t>30001085</t>
        </is>
      </c>
      <c r="E442" t="inlineStr">
        <is>
          <t>ussd_funeral_leads_altitude_20260601</t>
        </is>
      </c>
      <c r="H442" t="inlineStr">
        <is>
          <t>27729749366</t>
        </is>
      </c>
      <c r="J442" t="inlineStr">
        <is>
          <t>SELECTED</t>
        </is>
      </c>
      <c r="K442" t="inlineStr">
        <is>
          <t>Selected</t>
        </is>
      </c>
      <c r="L442" t="n">
        <v>4</v>
      </c>
      <c r="M442" t="inlineStr">
        <is>
          <t>2026-06-10 06:46:05</t>
        </is>
      </c>
      <c r="N442" t="inlineStr">
        <is>
          <t>system</t>
        </is>
      </c>
      <c r="O442" t="inlineStr">
        <is>
          <t>2026-06-08 04:47:44</t>
        </is>
      </c>
      <c r="P442" t="inlineStr">
        <is>
          <t>2026-06-08 04:47:44</t>
        </is>
      </c>
      <c r="Y442" t="inlineStr">
        <is>
          <t>27729749366</t>
        </is>
      </c>
    </row>
    <row r="443">
      <c r="A443" t="inlineStr">
        <is>
          <t>14814937</t>
        </is>
      </c>
      <c r="B443" t="inlineStr">
        <is>
          <t>faa0a235-c0c9-416e-8d0a-e8432b057cc5</t>
        </is>
      </c>
      <c r="D443" t="inlineStr">
        <is>
          <t>30001085</t>
        </is>
      </c>
      <c r="E443" t="inlineStr">
        <is>
          <t>ussd_funeral_leads_altitude_20260601</t>
        </is>
      </c>
      <c r="J443" t="inlineStr">
        <is>
          <t>CBACK</t>
        </is>
      </c>
      <c r="K443" t="inlineStr">
        <is>
          <t>Callback</t>
        </is>
      </c>
      <c r="L443" t="n">
        <v>3</v>
      </c>
      <c r="M443" t="inlineStr">
        <is>
          <t>2026-06-10 06:38:55</t>
        </is>
      </c>
      <c r="N443" t="inlineStr">
        <is>
          <t>Gontse Monageng</t>
        </is>
      </c>
      <c r="O443" t="inlineStr">
        <is>
          <t>2026-06-08 04:47:44</t>
        </is>
      </c>
      <c r="P443" t="inlineStr">
        <is>
          <t>2026-06-08 04:47:44</t>
        </is>
      </c>
      <c r="Y443" t="inlineStr">
        <is>
          <t>27727521164</t>
        </is>
      </c>
    </row>
    <row r="444">
      <c r="A444" t="inlineStr">
        <is>
          <t>14814935</t>
        </is>
      </c>
      <c r="B444" t="inlineStr">
        <is>
          <t>28f5d92a-5339-4d36-bc39-8469ac0b2f0d</t>
        </is>
      </c>
      <c r="D444" t="inlineStr">
        <is>
          <t>30001085</t>
        </is>
      </c>
      <c r="E444" t="inlineStr">
        <is>
          <t>ussd_funeral_leads_altitude_20260601</t>
        </is>
      </c>
      <c r="J444" t="inlineStr">
        <is>
          <t>NI</t>
        </is>
      </c>
      <c r="K444" t="inlineStr">
        <is>
          <t>Not Interested</t>
        </is>
      </c>
      <c r="L444" t="n">
        <v>3</v>
      </c>
      <c r="M444" t="inlineStr">
        <is>
          <t>2026-06-10 06:38:54</t>
        </is>
      </c>
      <c r="N444" t="inlineStr">
        <is>
          <t>Lebohang Mabotja</t>
        </is>
      </c>
      <c r="O444" t="inlineStr">
        <is>
          <t>2026-06-08 04:47:44</t>
        </is>
      </c>
      <c r="P444" t="inlineStr">
        <is>
          <t>2026-06-08 04:47:44</t>
        </is>
      </c>
      <c r="Y444" t="inlineStr">
        <is>
          <t>27721250695</t>
        </is>
      </c>
    </row>
    <row r="445">
      <c r="A445" t="inlineStr">
        <is>
          <t>14814972</t>
        </is>
      </c>
      <c r="B445" t="inlineStr">
        <is>
          <t>273ad95f-21d2-41f9-8047-9c90ba223c14</t>
        </is>
      </c>
      <c r="D445" t="inlineStr">
        <is>
          <t>30001085</t>
        </is>
      </c>
      <c r="E445" t="inlineStr">
        <is>
          <t>ussd_funeral_leads_altitude_20260601</t>
        </is>
      </c>
      <c r="J445" t="inlineStr">
        <is>
          <t>CBACK</t>
        </is>
      </c>
      <c r="K445" t="inlineStr">
        <is>
          <t>Callback</t>
        </is>
      </c>
      <c r="L445" t="n">
        <v>2</v>
      </c>
      <c r="M445" t="inlineStr">
        <is>
          <t>2026-06-09 10:55:30</t>
        </is>
      </c>
      <c r="N445" t="inlineStr">
        <is>
          <t>Gontse Monageng</t>
        </is>
      </c>
      <c r="O445" t="inlineStr">
        <is>
          <t>2026-06-08 04:47:44</t>
        </is>
      </c>
      <c r="P445" t="inlineStr">
        <is>
          <t>2026-06-08 04:47:44</t>
        </is>
      </c>
      <c r="Y445" t="inlineStr">
        <is>
          <t>27763931498</t>
        </is>
      </c>
    </row>
    <row r="446">
      <c r="A446" t="inlineStr">
        <is>
          <t>14815191</t>
        </is>
      </c>
      <c r="B446" t="inlineStr">
        <is>
          <t>f3f6c6bd-8c60-41ed-9a6b-4d28b6838ffd</t>
        </is>
      </c>
      <c r="D446" t="inlineStr">
        <is>
          <t>30001085</t>
        </is>
      </c>
      <c r="E446" t="inlineStr">
        <is>
          <t>ussd_funeral_leads_altitude_20260601</t>
        </is>
      </c>
      <c r="J446" t="inlineStr">
        <is>
          <t>DNQS</t>
        </is>
      </c>
      <c r="K446" t="inlineStr">
        <is>
          <t>Does Not Qualify</t>
        </is>
      </c>
      <c r="L446" t="n">
        <v>2</v>
      </c>
      <c r="M446" t="inlineStr">
        <is>
          <t>2026-06-09 10:39:03</t>
        </is>
      </c>
      <c r="N446" t="inlineStr">
        <is>
          <t>Vuyiswa Nxumalo</t>
        </is>
      </c>
      <c r="O446" t="inlineStr">
        <is>
          <t>2026-06-08 04:47:44</t>
        </is>
      </c>
      <c r="P446" t="inlineStr">
        <is>
          <t>2026-06-08 04:47:44</t>
        </is>
      </c>
      <c r="Y446" t="inlineStr">
        <is>
          <t>27664547837</t>
        </is>
      </c>
    </row>
    <row r="447">
      <c r="A447" t="inlineStr">
        <is>
          <t>14815214</t>
        </is>
      </c>
      <c r="B447" t="inlineStr">
        <is>
          <t>bab1bb07-a3ad-499c-b137-923313e3620b</t>
        </is>
      </c>
      <c r="D447" t="inlineStr">
        <is>
          <t>30001085</t>
        </is>
      </c>
      <c r="E447" t="inlineStr">
        <is>
          <t>ussd_funeral_leads_altitude_20260601</t>
        </is>
      </c>
      <c r="H447" t="inlineStr">
        <is>
          <t>27763330805</t>
        </is>
      </c>
      <c r="J447" t="inlineStr">
        <is>
          <t>U</t>
        </is>
      </c>
      <c r="K447" t="inlineStr">
        <is>
          <t>Unemployed</t>
        </is>
      </c>
      <c r="L447" t="n">
        <v>2</v>
      </c>
      <c r="M447" t="inlineStr">
        <is>
          <t>2026-06-09 10:04:18</t>
        </is>
      </c>
      <c r="N447" t="inlineStr">
        <is>
          <t>Lebohang Mabotja</t>
        </is>
      </c>
      <c r="O447" t="inlineStr">
        <is>
          <t>2026-06-08 04:47:44</t>
        </is>
      </c>
      <c r="P447" t="inlineStr">
        <is>
          <t>2026-06-08 04:47:44</t>
        </is>
      </c>
      <c r="Y447" t="inlineStr">
        <is>
          <t>27763330805</t>
        </is>
      </c>
    </row>
    <row r="448">
      <c r="A448" t="inlineStr">
        <is>
          <t>14814967</t>
        </is>
      </c>
      <c r="B448" t="inlineStr">
        <is>
          <t>a8d59ee6-b3b2-481b-afb5-8e77dc89973d</t>
        </is>
      </c>
      <c r="D448" t="inlineStr">
        <is>
          <t>30001085</t>
        </is>
      </c>
      <c r="E448" t="inlineStr">
        <is>
          <t>ussd_funeral_leads_altitude_20260601</t>
        </is>
      </c>
      <c r="J448" t="inlineStr">
        <is>
          <t>OAL</t>
        </is>
      </c>
      <c r="K448" t="inlineStr">
        <is>
          <t>Over Age Limit</t>
        </is>
      </c>
      <c r="L448" t="n">
        <v>2</v>
      </c>
      <c r="M448" t="inlineStr">
        <is>
          <t>2026-06-09 09:49:16</t>
        </is>
      </c>
      <c r="N448" t="inlineStr">
        <is>
          <t>Virginia Letsatsi</t>
        </is>
      </c>
      <c r="O448" t="inlineStr">
        <is>
          <t>2026-06-08 04:47:44</t>
        </is>
      </c>
      <c r="P448" t="inlineStr">
        <is>
          <t>2026-06-08 04:47:44</t>
        </is>
      </c>
      <c r="Y448" t="inlineStr">
        <is>
          <t>27796492444</t>
        </is>
      </c>
    </row>
    <row r="449">
      <c r="A449" t="inlineStr">
        <is>
          <t>14800000</t>
        </is>
      </c>
      <c r="B449" t="inlineStr">
        <is>
          <t>e290427f-5ce1-436e-9c3e-298f1639c729</t>
        </is>
      </c>
      <c r="D449" t="inlineStr">
        <is>
          <t>30001085</t>
        </is>
      </c>
      <c r="E449" t="inlineStr">
        <is>
          <t>ussd_funeral_leads_altitude_20260601</t>
        </is>
      </c>
      <c r="H449" t="inlineStr">
        <is>
          <t>27661214988</t>
        </is>
      </c>
      <c r="J449" t="inlineStr">
        <is>
          <t>NI</t>
        </is>
      </c>
      <c r="K449" t="inlineStr">
        <is>
          <t>Not Interested</t>
        </is>
      </c>
      <c r="L449" t="n">
        <v>2</v>
      </c>
      <c r="M449" t="inlineStr">
        <is>
          <t>2026-06-09 09:44:10</t>
        </is>
      </c>
      <c r="N449" t="inlineStr">
        <is>
          <t>Lebohang Mabotja</t>
        </is>
      </c>
      <c r="O449" t="inlineStr">
        <is>
          <t>2026-06-08 04:47:44</t>
        </is>
      </c>
      <c r="P449" t="inlineStr">
        <is>
          <t>2026-06-08 04:47:44</t>
        </is>
      </c>
      <c r="Y449" t="inlineStr">
        <is>
          <t>27661214988</t>
        </is>
      </c>
    </row>
    <row r="450">
      <c r="A450" t="inlineStr">
        <is>
          <t>14815025</t>
        </is>
      </c>
      <c r="B450" t="inlineStr">
        <is>
          <t>27ce51f1-5b55-43d3-88bd-45bc4f4ebda6</t>
        </is>
      </c>
      <c r="D450" t="inlineStr">
        <is>
          <t>30001085</t>
        </is>
      </c>
      <c r="E450" t="inlineStr">
        <is>
          <t>ussd_funeral_leads_altitude_20260601</t>
        </is>
      </c>
      <c r="J450" t="inlineStr">
        <is>
          <t>U</t>
        </is>
      </c>
      <c r="K450" t="inlineStr">
        <is>
          <t>Unemployed</t>
        </is>
      </c>
      <c r="L450" t="n">
        <v>2</v>
      </c>
      <c r="M450" t="inlineStr">
        <is>
          <t>2026-06-09 09:39:54</t>
        </is>
      </c>
      <c r="N450" t="inlineStr">
        <is>
          <t>Lebohang Mabotja</t>
        </is>
      </c>
      <c r="O450" t="inlineStr">
        <is>
          <t>2026-06-08 04:47:44</t>
        </is>
      </c>
      <c r="P450" t="inlineStr">
        <is>
          <t>2026-06-08 04:47:44</t>
        </is>
      </c>
      <c r="Y450" t="inlineStr">
        <is>
          <t>27797774633</t>
        </is>
      </c>
    </row>
    <row r="451">
      <c r="A451" t="inlineStr">
        <is>
          <t>14815100</t>
        </is>
      </c>
      <c r="B451" t="inlineStr">
        <is>
          <t>0d518d3c-a34f-4962-aab4-daf4c25bd001</t>
        </is>
      </c>
      <c r="D451" t="inlineStr">
        <is>
          <t>30001085</t>
        </is>
      </c>
      <c r="E451" t="inlineStr">
        <is>
          <t>ussd_funeral_leads_altitude_20260601</t>
        </is>
      </c>
      <c r="J451" t="inlineStr">
        <is>
          <t>AF</t>
        </is>
      </c>
      <c r="K451" t="inlineStr">
        <is>
          <t>Cannot Afford</t>
        </is>
      </c>
      <c r="L451" t="n">
        <v>2</v>
      </c>
      <c r="M451" t="inlineStr">
        <is>
          <t>2026-06-09 09:23:12</t>
        </is>
      </c>
      <c r="N451" t="inlineStr">
        <is>
          <t>Vuyiswa Nxumalo</t>
        </is>
      </c>
      <c r="O451" t="inlineStr">
        <is>
          <t>2026-06-08 04:47:44</t>
        </is>
      </c>
      <c r="P451" t="inlineStr">
        <is>
          <t>2026-06-08 04:47:44</t>
        </is>
      </c>
      <c r="Y451" t="inlineStr">
        <is>
          <t>27722441477</t>
        </is>
      </c>
    </row>
    <row r="452">
      <c r="A452" t="inlineStr">
        <is>
          <t>14815118</t>
        </is>
      </c>
      <c r="B452" t="inlineStr">
        <is>
          <t>971ab33c-d346-4836-9887-81fdae16f92a</t>
        </is>
      </c>
      <c r="D452" t="inlineStr">
        <is>
          <t>30001085</t>
        </is>
      </c>
      <c r="E452" t="inlineStr">
        <is>
          <t>ussd_funeral_leads_altitude_20260601</t>
        </is>
      </c>
      <c r="J452" t="inlineStr">
        <is>
          <t>U</t>
        </is>
      </c>
      <c r="K452" t="inlineStr">
        <is>
          <t>Unemployed</t>
        </is>
      </c>
      <c r="L452" t="n">
        <v>2</v>
      </c>
      <c r="M452" t="inlineStr">
        <is>
          <t>2026-06-09 09:18:36</t>
        </is>
      </c>
      <c r="N452" t="inlineStr">
        <is>
          <t>Vuyiswa Nxumalo</t>
        </is>
      </c>
      <c r="O452" t="inlineStr">
        <is>
          <t>2026-06-08 04:47:44</t>
        </is>
      </c>
      <c r="P452" t="inlineStr">
        <is>
          <t>2026-06-08 04:47:44</t>
        </is>
      </c>
      <c r="Y452" t="inlineStr">
        <is>
          <t>27765673565</t>
        </is>
      </c>
    </row>
    <row r="453">
      <c r="A453" t="inlineStr">
        <is>
          <t>14815151</t>
        </is>
      </c>
      <c r="B453" t="inlineStr">
        <is>
          <t>918c60cc-2715-4096-931d-362c8af532d2</t>
        </is>
      </c>
      <c r="D453" t="inlineStr">
        <is>
          <t>30001085</t>
        </is>
      </c>
      <c r="E453" t="inlineStr">
        <is>
          <t>ussd_funeral_leads_altitude_20260601</t>
        </is>
      </c>
      <c r="J453" t="inlineStr">
        <is>
          <t>AF</t>
        </is>
      </c>
      <c r="K453" t="inlineStr">
        <is>
          <t>Cannot Afford</t>
        </is>
      </c>
      <c r="L453" t="n">
        <v>2</v>
      </c>
      <c r="M453" t="inlineStr">
        <is>
          <t>2026-06-09 09:14:12</t>
        </is>
      </c>
      <c r="N453" t="inlineStr">
        <is>
          <t>Lebohang Mabotja</t>
        </is>
      </c>
      <c r="O453" t="inlineStr">
        <is>
          <t>2026-06-08 04:47:44</t>
        </is>
      </c>
      <c r="P453" t="inlineStr">
        <is>
          <t>2026-06-08 04:47:44</t>
        </is>
      </c>
      <c r="Y453" t="inlineStr">
        <is>
          <t>27637431363</t>
        </is>
      </c>
    </row>
    <row r="454">
      <c r="A454" t="inlineStr">
        <is>
          <t>14815175</t>
        </is>
      </c>
      <c r="B454" t="inlineStr">
        <is>
          <t>b5c8cd40-b151-49c4-823a-79a231ac19cf</t>
        </is>
      </c>
      <c r="D454" t="inlineStr">
        <is>
          <t>30001085</t>
        </is>
      </c>
      <c r="E454" t="inlineStr">
        <is>
          <t>ussd_funeral_leads_altitude_20260601</t>
        </is>
      </c>
      <c r="J454" t="inlineStr">
        <is>
          <t>CBACK</t>
        </is>
      </c>
      <c r="K454" t="inlineStr">
        <is>
          <t>Callback</t>
        </is>
      </c>
      <c r="L454" t="n">
        <v>2</v>
      </c>
      <c r="M454" t="inlineStr">
        <is>
          <t>2026-06-09 09:09:56</t>
        </is>
      </c>
      <c r="N454" t="inlineStr">
        <is>
          <t>Gontse Monageng</t>
        </is>
      </c>
      <c r="O454" t="inlineStr">
        <is>
          <t>2026-06-08 04:47:44</t>
        </is>
      </c>
      <c r="P454" t="inlineStr">
        <is>
          <t>2026-06-08 04:47:44</t>
        </is>
      </c>
      <c r="Y454" t="inlineStr">
        <is>
          <t>27649154906</t>
        </is>
      </c>
    </row>
    <row r="455">
      <c r="A455" t="inlineStr">
        <is>
          <t>14814852</t>
        </is>
      </c>
      <c r="B455" t="inlineStr">
        <is>
          <t>55e04f7f-7cfd-42fb-9836-54fa9f42ac33</t>
        </is>
      </c>
      <c r="D455" t="inlineStr">
        <is>
          <t>30001085</t>
        </is>
      </c>
      <c r="E455" t="inlineStr">
        <is>
          <t>ussd_funeral_leads_altitude_20260601</t>
        </is>
      </c>
      <c r="J455" t="inlineStr">
        <is>
          <t>AF</t>
        </is>
      </c>
      <c r="K455" t="inlineStr">
        <is>
          <t>Cannot Afford</t>
        </is>
      </c>
      <c r="L455" t="n">
        <v>2</v>
      </c>
      <c r="M455" t="inlineStr">
        <is>
          <t>2026-06-09 09:05:53</t>
        </is>
      </c>
      <c r="N455" t="inlineStr">
        <is>
          <t>Vuyiswa Nxumalo</t>
        </is>
      </c>
      <c r="O455" t="inlineStr">
        <is>
          <t>2026-06-08 04:47:44</t>
        </is>
      </c>
      <c r="P455" t="inlineStr">
        <is>
          <t>2026-06-08 04:47:44</t>
        </is>
      </c>
      <c r="Y455" t="inlineStr">
        <is>
          <t>27727903651</t>
        </is>
      </c>
    </row>
    <row r="456">
      <c r="A456" t="inlineStr">
        <is>
          <t>14814976</t>
        </is>
      </c>
      <c r="B456" t="inlineStr">
        <is>
          <t>e87c65d5-33e7-4cc2-91cd-045b02af2be5</t>
        </is>
      </c>
      <c r="D456" t="inlineStr">
        <is>
          <t>30001085</t>
        </is>
      </c>
      <c r="E456" t="inlineStr">
        <is>
          <t>ussd_funeral_leads_altitude_20260601</t>
        </is>
      </c>
      <c r="J456" t="inlineStr">
        <is>
          <t>QAVER</t>
        </is>
      </c>
      <c r="K456" t="inlineStr">
        <is>
          <t>Sale Made</t>
        </is>
      </c>
      <c r="L456" t="n">
        <v>6</v>
      </c>
      <c r="M456" t="inlineStr">
        <is>
          <t>2026-06-09 07:13:30</t>
        </is>
      </c>
      <c r="N456" t="inlineStr">
        <is>
          <t>Vuyiswa Nxumalo</t>
        </is>
      </c>
      <c r="O456" t="inlineStr">
        <is>
          <t>2026-06-08 04:47:44</t>
        </is>
      </c>
      <c r="P456" t="inlineStr">
        <is>
          <t>2026-06-08 04:47:44</t>
        </is>
      </c>
      <c r="Y456" t="inlineStr">
        <is>
          <t>27721640147</t>
        </is>
      </c>
    </row>
    <row r="457">
      <c r="A457" t="inlineStr">
        <is>
          <t>14814943</t>
        </is>
      </c>
      <c r="B457" t="inlineStr">
        <is>
          <t>31306a76-1069-4bbe-9b25-a67a673d1492</t>
        </is>
      </c>
      <c r="D457" t="inlineStr">
        <is>
          <t>30001085</t>
        </is>
      </c>
      <c r="E457" t="inlineStr">
        <is>
          <t>ussd_funeral_leads_altitude_20260601</t>
        </is>
      </c>
      <c r="H457" t="inlineStr">
        <is>
          <t>27647801130</t>
        </is>
      </c>
      <c r="J457" t="inlineStr">
        <is>
          <t>QAVER</t>
        </is>
      </c>
      <c r="K457" t="inlineStr">
        <is>
          <t>Sale Made</t>
        </is>
      </c>
      <c r="L457" t="n">
        <v>2</v>
      </c>
      <c r="M457" t="inlineStr">
        <is>
          <t>2026-06-08 14:50:19</t>
        </is>
      </c>
      <c r="N457" t="inlineStr">
        <is>
          <t>Lebohang Mabotja</t>
        </is>
      </c>
      <c r="O457" t="inlineStr">
        <is>
          <t>2026-06-08 04:47:44</t>
        </is>
      </c>
      <c r="P457" t="inlineStr">
        <is>
          <t>2026-06-08 04:47:44</t>
        </is>
      </c>
      <c r="Y457" t="inlineStr">
        <is>
          <t>27647801130</t>
        </is>
      </c>
    </row>
    <row r="458">
      <c r="A458" t="inlineStr">
        <is>
          <t>14814947</t>
        </is>
      </c>
      <c r="B458" t="inlineStr">
        <is>
          <t>ed6138d3-3555-4081-8070-29c1e49fe975</t>
        </is>
      </c>
      <c r="D458" t="inlineStr">
        <is>
          <t>30001085</t>
        </is>
      </c>
      <c r="E458" t="inlineStr">
        <is>
          <t>ussd_funeral_leads_altitude_20260601</t>
        </is>
      </c>
      <c r="J458" t="inlineStr">
        <is>
          <t>OAL</t>
        </is>
      </c>
      <c r="K458" t="inlineStr">
        <is>
          <t>Over Age Limit</t>
        </is>
      </c>
      <c r="L458" t="n">
        <v>1</v>
      </c>
      <c r="M458" t="inlineStr">
        <is>
          <t>2026-06-08 13:42:07</t>
        </is>
      </c>
      <c r="N458" t="inlineStr">
        <is>
          <t>Virginia Letsatsi</t>
        </is>
      </c>
      <c r="O458" t="inlineStr">
        <is>
          <t>2026-06-08 04:47:44</t>
        </is>
      </c>
      <c r="P458" t="inlineStr">
        <is>
          <t>2026-06-08 04:47:44</t>
        </is>
      </c>
      <c r="Y458" t="inlineStr">
        <is>
          <t>27660919572</t>
        </is>
      </c>
    </row>
    <row r="459">
      <c r="A459" t="inlineStr">
        <is>
          <t>14815036</t>
        </is>
      </c>
      <c r="B459" t="inlineStr">
        <is>
          <t>9d8d4a1d-0128-4d59-b0f5-b7b5783840d6</t>
        </is>
      </c>
      <c r="D459" t="inlineStr">
        <is>
          <t>30001085</t>
        </is>
      </c>
      <c r="E459" t="inlineStr">
        <is>
          <t>ussd_funeral_leads_altitude_20260601</t>
        </is>
      </c>
      <c r="J459" t="inlineStr">
        <is>
          <t>NI</t>
        </is>
      </c>
      <c r="K459" t="inlineStr">
        <is>
          <t>Not Interested</t>
        </is>
      </c>
      <c r="L459" t="n">
        <v>1</v>
      </c>
      <c r="M459" t="inlineStr">
        <is>
          <t>2026-06-08 13:22:14</t>
        </is>
      </c>
      <c r="N459" t="inlineStr">
        <is>
          <t>Vuyiswa Nxumalo</t>
        </is>
      </c>
      <c r="O459" t="inlineStr">
        <is>
          <t>2026-06-08 04:47:44</t>
        </is>
      </c>
      <c r="P459" t="inlineStr">
        <is>
          <t>2026-06-08 04:47:44</t>
        </is>
      </c>
      <c r="Y459" t="inlineStr">
        <is>
          <t>27795041409</t>
        </is>
      </c>
    </row>
    <row r="460">
      <c r="A460" t="inlineStr">
        <is>
          <t>14815072</t>
        </is>
      </c>
      <c r="B460" t="inlineStr">
        <is>
          <t>c50ae23c-c71b-4f14-b5e1-cce1d13a0a0e</t>
        </is>
      </c>
      <c r="D460" t="inlineStr">
        <is>
          <t>30001085</t>
        </is>
      </c>
      <c r="E460" t="inlineStr">
        <is>
          <t>ussd_funeral_leads_altitude_20260601</t>
        </is>
      </c>
      <c r="J460" t="inlineStr">
        <is>
          <t>AF</t>
        </is>
      </c>
      <c r="K460" t="inlineStr">
        <is>
          <t>Cannot Afford</t>
        </is>
      </c>
      <c r="L460" t="n">
        <v>1</v>
      </c>
      <c r="M460" t="inlineStr">
        <is>
          <t>2026-06-08 12:59:22</t>
        </is>
      </c>
      <c r="N460" t="inlineStr">
        <is>
          <t>Gontse Monageng</t>
        </is>
      </c>
      <c r="O460" t="inlineStr">
        <is>
          <t>2026-06-08 04:47:44</t>
        </is>
      </c>
      <c r="P460" t="inlineStr">
        <is>
          <t>2026-06-08 04:47:44</t>
        </is>
      </c>
      <c r="Y460" t="inlineStr">
        <is>
          <t>27712159327</t>
        </is>
      </c>
    </row>
    <row r="461">
      <c r="A461" t="inlineStr">
        <is>
          <t>14815044</t>
        </is>
      </c>
      <c r="B461" t="inlineStr">
        <is>
          <t>98e216db-474f-4631-8a40-34083cfa1f57</t>
        </is>
      </c>
      <c r="D461" t="inlineStr">
        <is>
          <t>30001085</t>
        </is>
      </c>
      <c r="E461" t="inlineStr">
        <is>
          <t>ussd_funeral_leads_altitude_20260601</t>
        </is>
      </c>
      <c r="J461" t="inlineStr">
        <is>
          <t>DNQS</t>
        </is>
      </c>
      <c r="K461" t="inlineStr">
        <is>
          <t>Does Not Qualify</t>
        </is>
      </c>
      <c r="L461" t="n">
        <v>1</v>
      </c>
      <c r="M461" t="inlineStr">
        <is>
          <t>2026-06-08 12:59:09</t>
        </is>
      </c>
      <c r="N461" t="inlineStr">
        <is>
          <t>Virginia Letsatsi</t>
        </is>
      </c>
      <c r="O461" t="inlineStr">
        <is>
          <t>2026-06-08 04:47:44</t>
        </is>
      </c>
      <c r="P461" t="inlineStr">
        <is>
          <t>2026-06-08 04:47:44</t>
        </is>
      </c>
      <c r="Y461" t="inlineStr">
        <is>
          <t>27675897223</t>
        </is>
      </c>
    </row>
    <row r="462">
      <c r="A462" t="inlineStr">
        <is>
          <t>14815119</t>
        </is>
      </c>
      <c r="B462" t="inlineStr">
        <is>
          <t>733f4418-5e0f-40f4-b5a8-a952ac481e4b</t>
        </is>
      </c>
      <c r="D462" t="inlineStr">
        <is>
          <t>30001085</t>
        </is>
      </c>
      <c r="E462" t="inlineStr">
        <is>
          <t>ussd_funeral_leads_altitude_20260601</t>
        </is>
      </c>
      <c r="J462" t="inlineStr">
        <is>
          <t>CBACK</t>
        </is>
      </c>
      <c r="K462" t="inlineStr">
        <is>
          <t>Callback</t>
        </is>
      </c>
      <c r="L462" t="n">
        <v>1</v>
      </c>
      <c r="M462" t="inlineStr">
        <is>
          <t>2026-06-08 12:46:53</t>
        </is>
      </c>
      <c r="N462" t="inlineStr">
        <is>
          <t>Gontse Monageng</t>
        </is>
      </c>
      <c r="O462" t="inlineStr">
        <is>
          <t>2026-06-08 04:47:44</t>
        </is>
      </c>
      <c r="P462" t="inlineStr">
        <is>
          <t>2026-06-08 04:47:44</t>
        </is>
      </c>
      <c r="Y462" t="inlineStr">
        <is>
          <t>27763042998</t>
        </is>
      </c>
    </row>
    <row r="463">
      <c r="A463" t="inlineStr">
        <is>
          <t>14815167</t>
        </is>
      </c>
      <c r="B463" t="inlineStr">
        <is>
          <t>08cea109-b573-4e43-adc2-ea8ab60474fa</t>
        </is>
      </c>
      <c r="D463" t="inlineStr">
        <is>
          <t>30001085</t>
        </is>
      </c>
      <c r="E463" t="inlineStr">
        <is>
          <t>ussd_funeral_leads_altitude_20260601</t>
        </is>
      </c>
      <c r="J463" t="inlineStr">
        <is>
          <t>NI</t>
        </is>
      </c>
      <c r="K463" t="inlineStr">
        <is>
          <t>Not Interested</t>
        </is>
      </c>
      <c r="L463" t="n">
        <v>1</v>
      </c>
      <c r="M463" t="inlineStr">
        <is>
          <t>2026-06-08 12:37:36</t>
        </is>
      </c>
      <c r="N463" t="inlineStr">
        <is>
          <t>Lebohang Mabotja</t>
        </is>
      </c>
      <c r="O463" t="inlineStr">
        <is>
          <t>2026-06-08 04:47:44</t>
        </is>
      </c>
      <c r="P463" t="inlineStr">
        <is>
          <t>2026-06-08 04:47:44</t>
        </is>
      </c>
      <c r="Y463" t="inlineStr">
        <is>
          <t>27818132732</t>
        </is>
      </c>
    </row>
    <row r="464">
      <c r="A464" t="inlineStr">
        <is>
          <t>14815179</t>
        </is>
      </c>
      <c r="B464" t="inlineStr">
        <is>
          <t>1f881fde-eaed-4dbc-b805-d1252a978f25</t>
        </is>
      </c>
      <c r="D464" t="inlineStr">
        <is>
          <t>30001085</t>
        </is>
      </c>
      <c r="E464" t="inlineStr">
        <is>
          <t>ussd_funeral_leads_altitude_20260601</t>
        </is>
      </c>
      <c r="J464" t="inlineStr">
        <is>
          <t>NI</t>
        </is>
      </c>
      <c r="K464" t="inlineStr">
        <is>
          <t>Not Interested</t>
        </is>
      </c>
      <c r="L464" t="n">
        <v>1</v>
      </c>
      <c r="M464" t="inlineStr">
        <is>
          <t>2026-06-08 12:35:57</t>
        </is>
      </c>
      <c r="N464" t="inlineStr">
        <is>
          <t>Lebohang Mabotja</t>
        </is>
      </c>
      <c r="O464" t="inlineStr">
        <is>
          <t>2026-06-08 04:47:44</t>
        </is>
      </c>
      <c r="P464" t="inlineStr">
        <is>
          <t>2026-06-08 04:47:44</t>
        </is>
      </c>
      <c r="Y464" t="inlineStr">
        <is>
          <t>27785422623</t>
        </is>
      </c>
    </row>
    <row r="465">
      <c r="A465" t="inlineStr">
        <is>
          <t>14815242</t>
        </is>
      </c>
      <c r="B465" t="inlineStr">
        <is>
          <t>550cb461-bda7-4cbc-8ca1-553ca9bee349</t>
        </is>
      </c>
      <c r="D465" t="inlineStr">
        <is>
          <t>30001085</t>
        </is>
      </c>
      <c r="E465" t="inlineStr">
        <is>
          <t>ussd_funeral_leads_altitude_20260601</t>
        </is>
      </c>
      <c r="J465" t="inlineStr">
        <is>
          <t>QAVER</t>
        </is>
      </c>
      <c r="K465" t="inlineStr">
        <is>
          <t>Sale Made</t>
        </is>
      </c>
      <c r="L465" t="n">
        <v>2</v>
      </c>
      <c r="M465" t="inlineStr">
        <is>
          <t>2026-06-08 12:28:55</t>
        </is>
      </c>
      <c r="N465" t="inlineStr">
        <is>
          <t>Vuyiswa Nxumalo</t>
        </is>
      </c>
      <c r="O465" t="inlineStr">
        <is>
          <t>2026-06-08 04:47:44</t>
        </is>
      </c>
      <c r="P465" t="inlineStr">
        <is>
          <t>2026-06-08 04:47:44</t>
        </is>
      </c>
      <c r="Y465" t="inlineStr">
        <is>
          <t>27607570535</t>
        </is>
      </c>
    </row>
    <row r="466">
      <c r="A466" t="inlineStr">
        <is>
          <t>14815252</t>
        </is>
      </c>
      <c r="B466" t="inlineStr">
        <is>
          <t>90bd049d-099e-49e7-99cc-7476a3d7e8ae</t>
        </is>
      </c>
      <c r="D466" t="inlineStr">
        <is>
          <t>30001085</t>
        </is>
      </c>
      <c r="E466" t="inlineStr">
        <is>
          <t>ussd_funeral_leads_altitude_20260601</t>
        </is>
      </c>
      <c r="J466" t="inlineStr">
        <is>
          <t>CUA</t>
        </is>
      </c>
      <c r="K466" t="inlineStr">
        <is>
          <t>Client Underage</t>
        </is>
      </c>
      <c r="L466" t="n">
        <v>1</v>
      </c>
      <c r="M466" t="inlineStr">
        <is>
          <t>2026-06-08 12:19:57</t>
        </is>
      </c>
      <c r="N466" t="inlineStr">
        <is>
          <t>Goitsimang Mogwasa</t>
        </is>
      </c>
      <c r="O466" t="inlineStr">
        <is>
          <t>2026-06-08 04:47:44</t>
        </is>
      </c>
      <c r="P466" t="inlineStr">
        <is>
          <t>2026-06-08 04:47:44</t>
        </is>
      </c>
      <c r="Y466" t="inlineStr">
        <is>
          <t>27660368640</t>
        </is>
      </c>
    </row>
    <row r="467">
      <c r="A467" t="inlineStr">
        <is>
          <t>14800000</t>
        </is>
      </c>
      <c r="B467" t="inlineStr">
        <is>
          <t>e2801f50-fe91-4e2e-81a4-799e2a1bb2a5</t>
        </is>
      </c>
      <c r="D467" t="inlineStr">
        <is>
          <t>30001085</t>
        </is>
      </c>
      <c r="E467" t="inlineStr">
        <is>
          <t>ussd_funeral_leads_altitude_20260601</t>
        </is>
      </c>
      <c r="J467" t="inlineStr">
        <is>
          <t>U</t>
        </is>
      </c>
      <c r="K467" t="inlineStr">
        <is>
          <t>Unemployed</t>
        </is>
      </c>
      <c r="L467" t="n">
        <v>1</v>
      </c>
      <c r="M467" t="inlineStr">
        <is>
          <t>2026-06-08 12:19:48</t>
        </is>
      </c>
      <c r="N467" t="inlineStr">
        <is>
          <t>Lebohang Mabotja</t>
        </is>
      </c>
      <c r="O467" t="inlineStr">
        <is>
          <t>2026-06-08 04:47:44</t>
        </is>
      </c>
      <c r="P467" t="inlineStr">
        <is>
          <t>2026-06-08 04:47:44</t>
        </is>
      </c>
      <c r="Y467" t="inlineStr">
        <is>
          <t>27795609978</t>
        </is>
      </c>
    </row>
    <row r="468">
      <c r="A468" t="inlineStr">
        <is>
          <t>14800000</t>
        </is>
      </c>
      <c r="B468" t="inlineStr">
        <is>
          <t>e4309273-0ce4-4460-a59d-602be0b38600</t>
        </is>
      </c>
      <c r="D468" t="inlineStr">
        <is>
          <t>30001085</t>
        </is>
      </c>
      <c r="E468" t="inlineStr">
        <is>
          <t>ussd_funeral_leads_altitude_20260601</t>
        </is>
      </c>
      <c r="J468" t="inlineStr">
        <is>
          <t>U</t>
        </is>
      </c>
      <c r="K468" t="inlineStr">
        <is>
          <t>Unemployed</t>
        </is>
      </c>
      <c r="L468" t="n">
        <v>1</v>
      </c>
      <c r="M468" t="inlineStr">
        <is>
          <t>2026-06-08 12:17:45</t>
        </is>
      </c>
      <c r="N468" t="inlineStr">
        <is>
          <t>Lebohang Mabotja</t>
        </is>
      </c>
      <c r="O468" t="inlineStr">
        <is>
          <t>2026-06-08 04:47:44</t>
        </is>
      </c>
      <c r="P468" t="inlineStr">
        <is>
          <t>2026-06-08 04:47:44</t>
        </is>
      </c>
      <c r="Y468" t="inlineStr">
        <is>
          <t>27713038509</t>
        </is>
      </c>
    </row>
    <row r="469">
      <c r="A469" t="inlineStr">
        <is>
          <t>14800000</t>
        </is>
      </c>
      <c r="B469" t="inlineStr">
        <is>
          <t>e606806d-06a6-4db7-a487-2523b3a8104f</t>
        </is>
      </c>
      <c r="D469" t="inlineStr">
        <is>
          <t>30001085</t>
        </is>
      </c>
      <c r="E469" t="inlineStr">
        <is>
          <t>ussd_funeral_leads_altitude_20260601</t>
        </is>
      </c>
      <c r="H469" t="inlineStr">
        <is>
          <t>27608411396</t>
        </is>
      </c>
      <c r="J469" t="inlineStr">
        <is>
          <t>CBACK</t>
        </is>
      </c>
      <c r="K469" t="inlineStr">
        <is>
          <t>Callback</t>
        </is>
      </c>
      <c r="L469" t="n">
        <v>2</v>
      </c>
      <c r="M469" t="inlineStr">
        <is>
          <t>2026-06-08 12:09:38</t>
        </is>
      </c>
      <c r="N469" t="inlineStr">
        <is>
          <t>Goitsimang Mogwasa</t>
        </is>
      </c>
      <c r="O469" t="inlineStr">
        <is>
          <t>2026-06-08 04:47:44</t>
        </is>
      </c>
      <c r="P469" t="inlineStr">
        <is>
          <t>2026-06-08 04:47:44</t>
        </is>
      </c>
      <c r="Y469" t="inlineStr">
        <is>
          <t>27608411396</t>
        </is>
      </c>
    </row>
    <row r="470">
      <c r="A470" t="inlineStr">
        <is>
          <t>14800000</t>
        </is>
      </c>
      <c r="B470" t="inlineStr">
        <is>
          <t>5e845e48-60c9-4b03-b002-e76d5bbda8fb</t>
        </is>
      </c>
      <c r="D470" t="inlineStr">
        <is>
          <t>30001085</t>
        </is>
      </c>
      <c r="E470" t="inlineStr">
        <is>
          <t>ussd_funeral_leads_altitude_20260601</t>
        </is>
      </c>
      <c r="J470" t="inlineStr">
        <is>
          <t>CUA</t>
        </is>
      </c>
      <c r="K470" t="inlineStr">
        <is>
          <t>Client Underage</t>
        </is>
      </c>
      <c r="L470" t="n">
        <v>1</v>
      </c>
      <c r="M470" t="inlineStr">
        <is>
          <t>2026-06-08 12:09:06</t>
        </is>
      </c>
      <c r="N470" t="inlineStr">
        <is>
          <t>Lebohang Mabotja</t>
        </is>
      </c>
      <c r="O470" t="inlineStr">
        <is>
          <t>2026-06-08 04:47:44</t>
        </is>
      </c>
      <c r="P470" t="inlineStr">
        <is>
          <t>2026-06-08 04:47:44</t>
        </is>
      </c>
      <c r="Y470" t="inlineStr">
        <is>
          <t>27607076768</t>
        </is>
      </c>
    </row>
    <row r="471">
      <c r="A471" t="inlineStr">
        <is>
          <t>14815218</t>
        </is>
      </c>
      <c r="B471" t="inlineStr">
        <is>
          <t>46402459-8aa0-4c08-9d79-6b6f75c41f3d</t>
        </is>
      </c>
      <c r="D471" t="inlineStr">
        <is>
          <t>30001085</t>
        </is>
      </c>
      <c r="E471" t="inlineStr">
        <is>
          <t>ussd_funeral_leads_altitude_20260601</t>
        </is>
      </c>
      <c r="J471" t="inlineStr">
        <is>
          <t>NI</t>
        </is>
      </c>
      <c r="K471" t="inlineStr">
        <is>
          <t>Not Interested</t>
        </is>
      </c>
      <c r="L471" t="n">
        <v>1</v>
      </c>
      <c r="M471" t="inlineStr">
        <is>
          <t>2026-06-08 12:07:38</t>
        </is>
      </c>
      <c r="N471" t="inlineStr">
        <is>
          <t>Lebohang Mabotja</t>
        </is>
      </c>
      <c r="O471" t="inlineStr">
        <is>
          <t>2026-06-08 04:47:44</t>
        </is>
      </c>
      <c r="P471" t="inlineStr">
        <is>
          <t>2026-06-08 04:47:44</t>
        </is>
      </c>
      <c r="Y471" t="inlineStr">
        <is>
          <t>27774268198</t>
        </is>
      </c>
    </row>
    <row r="472">
      <c r="A472" t="inlineStr">
        <is>
          <t>14814866</t>
        </is>
      </c>
      <c r="B472" t="inlineStr">
        <is>
          <t>d05bdab7-6c52-4003-8b9a-161f02baf812</t>
        </is>
      </c>
      <c r="D472" t="inlineStr">
        <is>
          <t>30001085</t>
        </is>
      </c>
      <c r="E472" t="inlineStr">
        <is>
          <t>ussd_funeral_leads_altitude_20260601</t>
        </is>
      </c>
      <c r="J472" t="inlineStr">
        <is>
          <t>EC</t>
        </is>
      </c>
      <c r="K472" t="inlineStr">
        <is>
          <t>Existing Client</t>
        </is>
      </c>
      <c r="L472" t="n">
        <v>1</v>
      </c>
      <c r="M472" t="inlineStr">
        <is>
          <t>2026-06-08 11:54:35</t>
        </is>
      </c>
      <c r="N472" t="inlineStr">
        <is>
          <t>Lebohang Mabotja</t>
        </is>
      </c>
      <c r="O472" t="inlineStr">
        <is>
          <t>2026-06-08 04:47:44</t>
        </is>
      </c>
      <c r="P472" t="inlineStr">
        <is>
          <t>2026-06-08 04:47:44</t>
        </is>
      </c>
      <c r="Y472" t="inlineStr">
        <is>
          <t>27712027042</t>
        </is>
      </c>
    </row>
    <row r="473">
      <c r="A473" t="inlineStr">
        <is>
          <t>14814867</t>
        </is>
      </c>
      <c r="B473" t="inlineStr">
        <is>
          <t>93bb77bd-7b0f-4325-945b-7040fdb90e8e</t>
        </is>
      </c>
      <c r="D473" t="inlineStr">
        <is>
          <t>30001085</t>
        </is>
      </c>
      <c r="E473" t="inlineStr">
        <is>
          <t>ussd_funeral_leads_altitude_20260601</t>
        </is>
      </c>
      <c r="J473" t="inlineStr">
        <is>
          <t>U</t>
        </is>
      </c>
      <c r="K473" t="inlineStr">
        <is>
          <t>Unemployed</t>
        </is>
      </c>
      <c r="L473" t="n">
        <v>1</v>
      </c>
      <c r="M473" t="inlineStr">
        <is>
          <t>2026-06-08 11:50:56</t>
        </is>
      </c>
      <c r="N473" t="inlineStr">
        <is>
          <t>Lebohang Mabotja</t>
        </is>
      </c>
      <c r="O473" t="inlineStr">
        <is>
          <t>2026-06-08 04:47:44</t>
        </is>
      </c>
      <c r="P473" t="inlineStr">
        <is>
          <t>2026-06-08 04:47:44</t>
        </is>
      </c>
      <c r="Y473" t="inlineStr">
        <is>
          <t>27647458121</t>
        </is>
      </c>
    </row>
    <row r="474">
      <c r="A474" t="inlineStr">
        <is>
          <t>14814844</t>
        </is>
      </c>
      <c r="B474" t="inlineStr">
        <is>
          <t>33076d09-57b9-40c2-aa35-66f8c66dcddd</t>
        </is>
      </c>
      <c r="D474" t="inlineStr">
        <is>
          <t>30001085</t>
        </is>
      </c>
      <c r="E474" t="inlineStr">
        <is>
          <t>ussd_funeral_leads_altitude_20260601</t>
        </is>
      </c>
      <c r="J474" t="inlineStr">
        <is>
          <t>QAVER</t>
        </is>
      </c>
      <c r="K474" t="inlineStr">
        <is>
          <t>Sale Made</t>
        </is>
      </c>
      <c r="L474" t="n">
        <v>1</v>
      </c>
      <c r="M474" t="inlineStr">
        <is>
          <t>2026-06-08 11:43:38</t>
        </is>
      </c>
      <c r="N474" t="inlineStr">
        <is>
          <t>Gontse Monageng</t>
        </is>
      </c>
      <c r="O474" t="inlineStr">
        <is>
          <t>2026-06-08 04:47:44</t>
        </is>
      </c>
      <c r="P474" t="inlineStr">
        <is>
          <t>2026-06-08 04:47:44</t>
        </is>
      </c>
      <c r="Y474" t="inlineStr">
        <is>
          <t>27647707072</t>
        </is>
      </c>
    </row>
    <row r="475">
      <c r="A475" t="inlineStr">
        <is>
          <t>14814945</t>
        </is>
      </c>
      <c r="B475" t="inlineStr">
        <is>
          <t>5004f492-c538-455e-8013-1e3f2a01fb38</t>
        </is>
      </c>
      <c r="D475" t="inlineStr">
        <is>
          <t>30001085</t>
        </is>
      </c>
      <c r="E475" t="inlineStr">
        <is>
          <t>ussd_funeral_leads_altitude_20260601</t>
        </is>
      </c>
      <c r="J475" t="inlineStr">
        <is>
          <t>U</t>
        </is>
      </c>
      <c r="K475" t="inlineStr">
        <is>
          <t>Unemployed</t>
        </is>
      </c>
      <c r="L475" t="n">
        <v>1</v>
      </c>
      <c r="M475" t="inlineStr">
        <is>
          <t>2026-06-08 11:39:43</t>
        </is>
      </c>
      <c r="N475" t="inlineStr">
        <is>
          <t>Lebohang Mabotja</t>
        </is>
      </c>
      <c r="O475" t="inlineStr">
        <is>
          <t>2026-06-08 04:47:44</t>
        </is>
      </c>
      <c r="P475" t="inlineStr">
        <is>
          <t>2026-06-08 04:47:44</t>
        </is>
      </c>
      <c r="Y475" t="inlineStr">
        <is>
          <t>27720544452</t>
        </is>
      </c>
    </row>
    <row r="476">
      <c r="A476" t="inlineStr">
        <is>
          <t>14814942</t>
        </is>
      </c>
      <c r="B476" t="inlineStr">
        <is>
          <t>3b1c3f81-183f-4b8f-a1b6-ad65caa43fbd</t>
        </is>
      </c>
      <c r="D476" t="inlineStr">
        <is>
          <t>30001085</t>
        </is>
      </c>
      <c r="E476" t="inlineStr">
        <is>
          <t>ussd_funeral_leads_altitude_20260601</t>
        </is>
      </c>
      <c r="J476" t="inlineStr">
        <is>
          <t>SELECTED</t>
        </is>
      </c>
      <c r="K476" t="inlineStr">
        <is>
          <t>Selected</t>
        </is>
      </c>
      <c r="L476" t="n">
        <v>2</v>
      </c>
      <c r="M476" t="inlineStr">
        <is>
          <t>2026-06-08 11:39:42</t>
        </is>
      </c>
      <c r="N476" t="inlineStr">
        <is>
          <t>Goitsimang Mogwasa</t>
        </is>
      </c>
      <c r="O476" t="inlineStr">
        <is>
          <t>2026-06-08 04:47:44</t>
        </is>
      </c>
      <c r="P476" t="inlineStr">
        <is>
          <t>2026-06-08 04:47:44</t>
        </is>
      </c>
      <c r="Y476" t="inlineStr">
        <is>
          <t>27761825754</t>
        </is>
      </c>
    </row>
    <row r="477">
      <c r="A477" t="inlineStr">
        <is>
          <t>14815057</t>
        </is>
      </c>
      <c r="B477" t="inlineStr">
        <is>
          <t>d18bd496-0cfa-4e56-b7f3-48e725e4a1d9</t>
        </is>
      </c>
      <c r="D477" t="inlineStr">
        <is>
          <t>30001085</t>
        </is>
      </c>
      <c r="E477" t="inlineStr">
        <is>
          <t>ussd_funeral_leads_altitude_20260601</t>
        </is>
      </c>
      <c r="J477" t="inlineStr">
        <is>
          <t>CUA</t>
        </is>
      </c>
      <c r="K477" t="inlineStr">
        <is>
          <t>Client Underage</t>
        </is>
      </c>
      <c r="L477" t="n">
        <v>1</v>
      </c>
      <c r="M477" t="inlineStr">
        <is>
          <t>2026-06-08 10:10:13</t>
        </is>
      </c>
      <c r="N477" t="inlineStr">
        <is>
          <t>Lebohang Mabotja</t>
        </is>
      </c>
      <c r="O477" t="inlineStr">
        <is>
          <t>2026-06-08 04:47:44</t>
        </is>
      </c>
      <c r="P477" t="inlineStr">
        <is>
          <t>2026-06-08 04:47:44</t>
        </is>
      </c>
      <c r="Y477" t="inlineStr">
        <is>
          <t>27774269032</t>
        </is>
      </c>
    </row>
    <row r="478">
      <c r="A478" t="inlineStr">
        <is>
          <t>14815004</t>
        </is>
      </c>
      <c r="B478" t="inlineStr">
        <is>
          <t>705db437-ffeb-4809-bf3a-e4061c8fdf5a</t>
        </is>
      </c>
      <c r="D478" t="inlineStr">
        <is>
          <t>30001085</t>
        </is>
      </c>
      <c r="E478" t="inlineStr">
        <is>
          <t>ussd_funeral_leads_altitude_20260601</t>
        </is>
      </c>
      <c r="J478" t="inlineStr">
        <is>
          <t>CBACK</t>
        </is>
      </c>
      <c r="K478" t="inlineStr">
        <is>
          <t>Callback</t>
        </is>
      </c>
      <c r="L478" t="n">
        <v>1</v>
      </c>
      <c r="M478" t="inlineStr">
        <is>
          <t>2026-06-08 07:09:25</t>
        </is>
      </c>
      <c r="N478" t="inlineStr">
        <is>
          <t>Gontse Monageng</t>
        </is>
      </c>
      <c r="O478" t="inlineStr">
        <is>
          <t>2026-06-08 04:47:44</t>
        </is>
      </c>
      <c r="P478" t="inlineStr">
        <is>
          <t>2026-06-08 04:47:44</t>
        </is>
      </c>
      <c r="Y478" t="inlineStr">
        <is>
          <t>27711479841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cols>
    <col width="35.7109375" customWidth="1" min="1" max="1"/>
  </cols>
  <sheetData>
    <row r="1">
      <c r="A1" t="inlineStr">
        <is>
          <t>Campaign:</t>
        </is>
      </c>
    </row>
    <row r="2">
      <c r="A2" t="inlineStr">
        <is>
          <t>Product:</t>
        </is>
      </c>
    </row>
    <row r="3" ht="15.75" customHeight="1"/>
    <row r="4">
      <c r="A4" s="2" t="n"/>
    </row>
    <row r="5" ht="15.75" customHeight="1">
      <c r="A5" s="3" t="n"/>
      <c r="B5" s="4" t="n"/>
    </row>
    <row r="6">
      <c r="A6" s="2" t="inlineStr">
        <is>
          <t>Total Leads</t>
        </is>
      </c>
      <c r="B6" s="5" t="n">
        <v>477</v>
      </c>
    </row>
    <row r="7">
      <c r="A7" s="6" t="inlineStr">
        <is>
          <t>Unworked Leads (New Leads)</t>
        </is>
      </c>
      <c r="B7" s="4" t="n">
        <v>0</v>
      </c>
    </row>
    <row r="8">
      <c r="A8" s="6" t="inlineStr">
        <is>
          <t>Succesful Contacts</t>
        </is>
      </c>
      <c r="B8" s="4" t="n">
        <v>89</v>
      </c>
    </row>
    <row r="9">
      <c r="A9" s="6" t="inlineStr">
        <is>
          <t>True Contacts</t>
        </is>
      </c>
      <c r="B9" s="4" t="n">
        <v>79</v>
      </c>
    </row>
    <row r="10">
      <c r="A10" s="6" t="inlineStr">
        <is>
          <t>Conversion</t>
        </is>
      </c>
      <c r="B10" s="4" t="n">
        <v>0.0209643605870021</v>
      </c>
    </row>
    <row r="11">
      <c r="A11" s="6" t="inlineStr">
        <is>
          <t>True Sales (post QA)</t>
        </is>
      </c>
      <c r="B11" s="4" t="n">
        <v>10</v>
      </c>
    </row>
    <row r="12">
      <c r="A12" s="6" t="inlineStr">
        <is>
          <t>Collections</t>
        </is>
      </c>
      <c r="B12" s="4" t="n"/>
    </row>
    <row r="13">
      <c r="A13" s="6" t="inlineStr">
        <is>
          <t>Number of missed 1st Collections</t>
        </is>
      </c>
      <c r="B13" s="4" t="n"/>
    </row>
    <row r="14">
      <c r="A14" s="6" t="inlineStr">
        <is>
          <t>NTU</t>
        </is>
      </c>
      <c r="B14" s="4" t="n"/>
    </row>
    <row r="15">
      <c r="A15" s="6" t="inlineStr">
        <is>
          <t>Cancellations/Lapse</t>
        </is>
      </c>
      <c r="B15" s="4" t="n"/>
    </row>
    <row r="16">
      <c r="A16" s="6" t="n"/>
      <c r="B16" s="4" t="n"/>
    </row>
    <row r="17">
      <c r="A17" s="6" t="inlineStr">
        <is>
          <t>Contactability</t>
        </is>
      </c>
      <c r="B17" s="7">
        <f>B8/B6</f>
        <v/>
      </c>
    </row>
    <row r="18">
      <c r="A18" s="6" t="inlineStr">
        <is>
          <t>Lead to Sale Conversion</t>
        </is>
      </c>
      <c r="B18" s="7">
        <f>B10/B6</f>
        <v/>
      </c>
    </row>
    <row r="19">
      <c r="A19" s="6" t="inlineStr">
        <is>
          <t>Conversion to True Sale</t>
        </is>
      </c>
      <c r="B19" s="7">
        <f>B11/B10</f>
        <v/>
      </c>
    </row>
    <row r="20">
      <c r="A20" s="6" t="inlineStr">
        <is>
          <t>True contacts to sales</t>
        </is>
      </c>
      <c r="B20" s="7">
        <f>B10/B9</f>
        <v/>
      </c>
    </row>
    <row r="21">
      <c r="A21" s="6" t="inlineStr">
        <is>
          <t>True Sale to Collections</t>
        </is>
      </c>
      <c r="B21" s="8" t="n"/>
    </row>
    <row r="22">
      <c r="A22" s="6" t="n"/>
      <c r="B22" s="4" t="n"/>
    </row>
    <row r="23">
      <c r="A23" s="6" t="inlineStr">
        <is>
          <t>Number of Calls to Leads</t>
        </is>
      </c>
      <c r="B23" s="4" t="n"/>
    </row>
    <row r="24">
      <c r="A24" s="6" t="inlineStr">
        <is>
          <t>Number of Calls Made</t>
        </is>
      </c>
      <c r="B24" s="4" t="n"/>
    </row>
    <row r="25">
      <c r="A25" s="6" t="inlineStr">
        <is>
          <t>Number of Calls per Lead</t>
        </is>
      </c>
      <c r="B25" s="9">
        <f>B23/B6</f>
        <v/>
      </c>
    </row>
    <row r="26">
      <c r="A26" s="6" t="inlineStr">
        <is>
          <t>Number of Agents</t>
        </is>
      </c>
      <c r="B26" s="4" t="n"/>
    </row>
    <row r="27">
      <c r="A27" s="6" t="inlineStr">
        <is>
          <t>Number of Working Days</t>
        </is>
      </c>
      <c r="B27" s="4" t="n"/>
    </row>
    <row r="28">
      <c r="A28" s="6" t="n"/>
      <c r="B28" s="4" t="n"/>
    </row>
    <row r="29">
      <c r="A29" s="10" t="inlineStr">
        <is>
          <t>Unsuccesful Contacts Dispositions</t>
        </is>
      </c>
      <c r="B29" s="4" t="n"/>
    </row>
    <row r="30">
      <c r="A30" s="6" t="inlineStr">
        <is>
          <t>Answering Machine Autodial</t>
        </is>
      </c>
      <c r="B30" s="4" t="n">
        <v>112</v>
      </c>
    </row>
    <row r="31">
      <c r="A31" s="6" t="inlineStr">
        <is>
          <t>No Answer AutoDial</t>
        </is>
      </c>
      <c r="B31" s="4" t="n">
        <v>78</v>
      </c>
    </row>
    <row r="32">
      <c r="A32" s="6" t="inlineStr">
        <is>
          <t>Auto Engaged</t>
        </is>
      </c>
      <c r="B32" s="4" t="n">
        <v>28</v>
      </c>
    </row>
    <row r="33">
      <c r="A33" s="6" t="inlineStr">
        <is>
          <t>Answering Machine</t>
        </is>
      </c>
      <c r="B33" s="4" t="n">
        <v>17</v>
      </c>
    </row>
    <row r="34">
      <c r="A34" s="6" t="inlineStr">
        <is>
          <t>Temporary Disconnected Number</t>
        </is>
      </c>
      <c r="B34" s="4" t="n">
        <v>33</v>
      </c>
    </row>
    <row r="35">
      <c r="A35" s="6" t="inlineStr">
        <is>
          <t>Call Dropped</t>
        </is>
      </c>
      <c r="B35" s="4" t="n">
        <v>0</v>
      </c>
    </row>
    <row r="36">
      <c r="A36" s="6" t="inlineStr">
        <is>
          <t>Dropped</t>
        </is>
      </c>
      <c r="B36" s="4" t="n">
        <v>10</v>
      </c>
    </row>
    <row r="37">
      <c r="A37" s="6" t="inlineStr">
        <is>
          <t>No Answer</t>
        </is>
      </c>
      <c r="B37" s="4" t="n">
        <v>5</v>
      </c>
    </row>
    <row r="38">
      <c r="A38" s="6" t="inlineStr">
        <is>
          <t>Bad Line Quality</t>
        </is>
      </c>
      <c r="B38" s="4" t="n">
        <v>2</v>
      </c>
    </row>
    <row r="39">
      <c r="A39" s="6" t="inlineStr">
        <is>
          <t>Busy Tone</t>
        </is>
      </c>
      <c r="B39" s="4" t="n">
        <v>0</v>
      </c>
    </row>
    <row r="40">
      <c r="A40" s="6" t="inlineStr">
        <is>
          <t>Disconnected</t>
        </is>
      </c>
      <c r="B40" s="4" t="n">
        <v>1</v>
      </c>
    </row>
    <row r="41">
      <c r="A41" s="6" t="inlineStr">
        <is>
          <t>Inbound After Hours Drop</t>
        </is>
      </c>
      <c r="B41" s="4" t="n">
        <v>1</v>
      </c>
    </row>
    <row r="42">
      <c r="A42" s="6" t="inlineStr">
        <is>
          <t>Multiple Calls</t>
        </is>
      </c>
      <c r="B42" s="4" t="n">
        <v>0</v>
      </c>
    </row>
    <row r="43">
      <c r="A43" s="6" t="inlineStr">
        <is>
          <t>Engaged</t>
        </is>
      </c>
      <c r="B43" s="4" t="n">
        <v>0</v>
      </c>
    </row>
    <row r="44">
      <c r="A44" s="6" t="inlineStr">
        <is>
          <t>Inbound Abandon</t>
        </is>
      </c>
      <c r="B44" s="4" t="n">
        <v>3</v>
      </c>
    </row>
    <row r="45">
      <c r="A45" s="6" t="inlineStr">
        <is>
          <t>Outbound Pre-Routing Drop</t>
        </is>
      </c>
      <c r="B45" s="4" t="n">
        <v>0</v>
      </c>
    </row>
    <row r="46">
      <c r="A46" s="6" t="inlineStr">
        <is>
          <t>Flow Inbound Abandon</t>
        </is>
      </c>
      <c r="B46" s="4" t="n">
        <v>0</v>
      </c>
    </row>
    <row r="47">
      <c r="A47" s="6" t="inlineStr">
        <is>
          <t>Selected</t>
        </is>
      </c>
      <c r="B47" s="4" t="n">
        <v>4</v>
      </c>
    </row>
    <row r="48">
      <c r="A48" s="6" t="inlineStr">
        <is>
          <t>CONGESTED</t>
        </is>
      </c>
      <c r="B48" s="4" t="n">
        <v>0</v>
      </c>
    </row>
    <row r="49">
      <c r="A49" s="6" t="inlineStr">
        <is>
          <t>Completed</t>
        </is>
      </c>
      <c r="B49" s="4" t="n">
        <v>0</v>
      </c>
    </row>
    <row r="50">
      <c r="A50" s="6" t="inlineStr">
        <is>
          <t>New</t>
        </is>
      </c>
      <c r="B50" s="4" t="n">
        <v>0</v>
      </c>
    </row>
    <row r="51">
      <c r="A51" s="6" t="inlineStr">
        <is>
          <t>Busy</t>
        </is>
      </c>
      <c r="B51" s="4" t="n"/>
    </row>
    <row r="52">
      <c r="A52" s="6" t="inlineStr">
        <is>
          <t>Auto Dial Disconnected</t>
        </is>
      </c>
      <c r="B52" s="4" t="n">
        <v>68</v>
      </c>
    </row>
    <row r="53">
      <c r="A53" s="6" t="inlineStr">
        <is>
          <t>Customer drop</t>
        </is>
      </c>
      <c r="B53" s="4" t="n">
        <v>0</v>
      </c>
    </row>
    <row r="54">
      <c r="A54" s="6" t="inlineStr">
        <is>
          <t>Disconnected Number Auto</t>
        </is>
      </c>
      <c r="B54" s="4" t="n">
        <v>0</v>
      </c>
    </row>
    <row r="55">
      <c r="A55" s="6" t="n"/>
      <c r="B55" s="4" t="n"/>
    </row>
    <row r="56">
      <c r="A56" s="10" t="inlineStr">
        <is>
          <t>Unworkable Leads Dispositions</t>
        </is>
      </c>
      <c r="B56" s="4" t="n"/>
    </row>
    <row r="57">
      <c r="A57" s="6" t="inlineStr">
        <is>
          <t>Unemployed</t>
        </is>
      </c>
      <c r="B57" s="4" t="n">
        <v>9</v>
      </c>
    </row>
    <row r="58">
      <c r="A58" s="6" t="inlineStr">
        <is>
          <t>Already Contacted</t>
        </is>
      </c>
      <c r="B58" s="4" t="n">
        <v>0</v>
      </c>
    </row>
    <row r="59">
      <c r="A59" s="6" t="inlineStr">
        <is>
          <t>Does Not Qualify</t>
        </is>
      </c>
      <c r="B59" s="4" t="n">
        <v>3</v>
      </c>
    </row>
    <row r="60">
      <c r="A60" s="6" t="inlineStr">
        <is>
          <t>Client Overage Limit</t>
        </is>
      </c>
      <c r="B60" s="4" t="n">
        <v>0</v>
      </c>
    </row>
    <row r="61">
      <c r="A61" s="6" t="inlineStr">
        <is>
          <t>Do not call</t>
        </is>
      </c>
      <c r="B61" s="4" t="n">
        <v>0</v>
      </c>
    </row>
    <row r="62">
      <c r="A62" s="6" t="inlineStr">
        <is>
          <t>Under Age</t>
        </is>
      </c>
      <c r="B62" s="4" t="n">
        <v>8</v>
      </c>
    </row>
    <row r="63">
      <c r="A63" s="6" t="inlineStr">
        <is>
          <t>Go To Branch</t>
        </is>
      </c>
      <c r="B63" s="4" t="n">
        <v>0</v>
      </c>
    </row>
    <row r="64">
      <c r="A64" s="6" t="inlineStr">
        <is>
          <t>Wrong number</t>
        </is>
      </c>
      <c r="B64" s="4" t="n">
        <v>0</v>
      </c>
    </row>
    <row r="65">
      <c r="A65" s="6" t="inlineStr">
        <is>
          <t>Existing Client</t>
        </is>
      </c>
      <c r="B65" s="4" t="n">
        <v>2</v>
      </c>
    </row>
    <row r="66">
      <c r="A66" s="6" t="inlineStr">
        <is>
          <t>Language Barrier</t>
        </is>
      </c>
      <c r="B66" s="4" t="n">
        <v>1</v>
      </c>
    </row>
    <row r="67">
      <c r="A67" s="6" t="inlineStr">
        <is>
          <t>Client Deceased</t>
        </is>
      </c>
      <c r="B67" s="4" t="n">
        <v>0</v>
      </c>
    </row>
    <row r="68">
      <c r="A68" s="6" t="inlineStr">
        <is>
          <t>Customer Service Transfer</t>
        </is>
      </c>
      <c r="B68" s="4" t="n"/>
    </row>
    <row r="69">
      <c r="A69" s="6" t="inlineStr">
        <is>
          <t>Unsuccessful Application</t>
        </is>
      </c>
      <c r="B69" s="4" t="n">
        <v>0</v>
      </c>
    </row>
    <row r="70">
      <c r="A70" s="6" t="inlineStr">
        <is>
          <t>DNQ-Income Below Threshold</t>
        </is>
      </c>
      <c r="B70" s="4" t="n"/>
    </row>
    <row r="71">
      <c r="A71" s="6" t="inlineStr">
        <is>
          <t>DNQ Quote Declined</t>
        </is>
      </c>
      <c r="B71" s="4" t="n"/>
    </row>
    <row r="72">
      <c r="A72" s="6" t="inlineStr">
        <is>
          <t>Do Not Qualify Failed Medical Question</t>
        </is>
      </c>
      <c r="B72" s="4" t="n"/>
    </row>
    <row r="73">
      <c r="A73" s="6" t="inlineStr">
        <is>
          <t xml:space="preserve">Right Party Not Available		</t>
        </is>
      </c>
      <c r="B73" s="4" t="n">
        <v>0</v>
      </c>
    </row>
    <row r="74">
      <c r="A74" s="6" t="inlineStr">
        <is>
          <t>Over Age Limit</t>
        </is>
      </c>
      <c r="B74" s="4" t="n">
        <v>3</v>
      </c>
    </row>
    <row r="75">
      <c r="A75" s="6" t="inlineStr">
        <is>
          <t>Funeral Documents Requested</t>
        </is>
      </c>
      <c r="B75" s="4" t="n"/>
    </row>
    <row r="76">
      <c r="A76" s="6" t="inlineStr">
        <is>
          <t>Funeral Policy Query</t>
        </is>
      </c>
      <c r="B76" s="4" t="n"/>
    </row>
    <row r="77">
      <c r="A77" s="6" t="inlineStr">
        <is>
          <t>Non SA Citizen</t>
        </is>
      </c>
      <c r="B77" s="4" t="n">
        <v>0</v>
      </c>
    </row>
    <row r="78">
      <c r="A78" s="6" t="inlineStr">
        <is>
          <t xml:space="preserve">NTU Policy		</t>
        </is>
      </c>
      <c r="B78" s="4" t="n"/>
    </row>
    <row r="79">
      <c r="A79" s="6" t="inlineStr">
        <is>
          <t>Not Working Cannot Afford</t>
        </is>
      </c>
      <c r="B79" s="4" t="n">
        <v>12</v>
      </c>
    </row>
    <row r="80">
      <c r="A80" s="6" t="inlineStr">
        <is>
          <t>Lead Being Called</t>
        </is>
      </c>
      <c r="B80" s="4" t="n"/>
    </row>
    <row r="81">
      <c r="A81" s="6" t="inlineStr">
        <is>
          <t>Did Not Request</t>
        </is>
      </c>
      <c r="B81" s="4" t="n"/>
    </row>
    <row r="82">
      <c r="A82" s="6" t="inlineStr">
        <is>
          <t>Does Not Need It Now</t>
        </is>
      </c>
      <c r="B82" s="4" t="n">
        <v>0</v>
      </c>
    </row>
    <row r="83">
      <c r="A83" s="6" t="n"/>
      <c r="B83" s="4" t="n"/>
    </row>
    <row r="84">
      <c r="A84" s="10" t="inlineStr">
        <is>
          <t>True Contacts</t>
        </is>
      </c>
      <c r="B84" s="4" t="n">
        <v>79</v>
      </c>
    </row>
    <row r="85">
      <c r="A85" s="6" t="inlineStr">
        <is>
          <t>Not Interested</t>
        </is>
      </c>
      <c r="B85" s="4" t="n">
        <v>13</v>
      </c>
    </row>
    <row r="86">
      <c r="A86" s="6" t="inlineStr">
        <is>
          <t>Client Hung Up</t>
        </is>
      </c>
      <c r="B86" s="4" t="n">
        <v>39</v>
      </c>
    </row>
    <row r="87">
      <c r="A87" s="6" t="inlineStr">
        <is>
          <t>Affordability</t>
        </is>
      </c>
      <c r="B87" s="4" t="n">
        <v>0</v>
      </c>
    </row>
    <row r="88">
      <c r="A88" s="6" t="inlineStr">
        <is>
          <t>Callback</t>
        </is>
      </c>
      <c r="B88" s="4" t="n">
        <v>15</v>
      </c>
    </row>
    <row r="89">
      <c r="A89" s="6" t="inlineStr">
        <is>
          <t>Not Interested Transaction Fees</t>
        </is>
      </c>
      <c r="B89" s="4" t="n">
        <v>0</v>
      </c>
    </row>
    <row r="90">
      <c r="A90" s="6" t="inlineStr">
        <is>
          <t>Company Cellphone Number</t>
        </is>
      </c>
      <c r="B90" s="4" t="n"/>
    </row>
    <row r="91">
      <c r="A91" s="6" t="inlineStr">
        <is>
          <t>Not Interested Device Cost</t>
        </is>
      </c>
      <c r="B91" s="4" t="n"/>
    </row>
    <row r="92">
      <c r="A92" s="6" t="inlineStr">
        <is>
          <t>Call Back via MS Teams</t>
        </is>
      </c>
      <c r="B92" s="4" t="n"/>
    </row>
    <row r="93">
      <c r="A93" s="6" t="inlineStr">
        <is>
          <t>Not Interested Upfront</t>
        </is>
      </c>
      <c r="B93" s="4" t="n">
        <v>0</v>
      </c>
    </row>
    <row r="94">
      <c r="A94" s="6" t="inlineStr">
        <is>
          <t>Quoted Not Interested</t>
        </is>
      </c>
      <c r="B94" s="4" t="n"/>
    </row>
    <row r="95">
      <c r="A95" s="6" t="inlineStr">
        <is>
          <t>Client Quoted Not Interested</t>
        </is>
      </c>
      <c r="B95" s="4" t="n"/>
    </row>
    <row r="96">
      <c r="A96" s="6" t="inlineStr">
        <is>
          <t>Cannot Afford</t>
        </is>
      </c>
      <c r="B96" s="4" t="n">
        <v>12</v>
      </c>
    </row>
    <row r="97">
      <c r="A97" s="6" t="inlineStr">
        <is>
          <t>Not Interested Premium Cost</t>
        </is>
      </c>
      <c r="B97" s="4" t="n"/>
    </row>
    <row r="98">
      <c r="A98" s="6" t="inlineStr">
        <is>
          <t>Not interested SMS</t>
        </is>
      </c>
      <c r="B98" s="4" t="n"/>
    </row>
    <row r="99">
      <c r="A99" s="6" t="inlineStr">
        <is>
          <t>Call Back Hold</t>
        </is>
      </c>
      <c r="B99" s="4" t="n">
        <v>0</v>
      </c>
    </row>
    <row r="100">
      <c r="A100" s="6" t="inlineStr">
        <is>
          <t>Declined Sale</t>
        </is>
      </c>
      <c r="B100" s="4" t="n">
        <v>0</v>
      </c>
    </row>
    <row r="101">
      <c r="A101" s="6" t="inlineStr">
        <is>
          <t>QA FAil</t>
        </is>
      </c>
      <c r="B101" s="4" t="n">
        <v>0</v>
      </c>
    </row>
    <row r="102">
      <c r="A102" s="6" t="inlineStr">
        <is>
          <t>QA Rework</t>
        </is>
      </c>
      <c r="B102" s="4" t="n">
        <v>0</v>
      </c>
    </row>
    <row r="103">
      <c r="A103" s="6" t="inlineStr">
        <is>
          <t>Sale Made</t>
        </is>
      </c>
      <c r="B103" s="4" t="n">
        <v>10</v>
      </c>
    </row>
    <row r="104">
      <c r="A104" s="6" t="inlineStr">
        <is>
          <t>Sale SMS</t>
        </is>
      </c>
      <c r="B104" s="4" t="n"/>
    </row>
    <row r="105">
      <c r="A105" s="6" t="inlineStr">
        <is>
          <t>UPSELL</t>
        </is>
      </c>
      <c r="B105" s="4" t="n">
        <v>0</v>
      </c>
    </row>
    <row r="106">
      <c r="A106" s="6" t="n"/>
      <c r="B106" s="7" t="n"/>
    </row>
    <row r="107">
      <c r="A107" s="10" t="inlineStr">
        <is>
          <t>Unsuccesful Contacts Dispositions</t>
        </is>
      </c>
      <c r="B107" s="7" t="n"/>
    </row>
    <row r="108">
      <c r="A108" s="6" t="inlineStr">
        <is>
          <t>Answering Machine Autodial</t>
        </is>
      </c>
      <c r="B108" s="7">
        <f>B30/B$6</f>
        <v/>
      </c>
    </row>
    <row r="109">
      <c r="A109" s="6" t="inlineStr">
        <is>
          <t>No Answer AutoDial</t>
        </is>
      </c>
      <c r="B109" s="7">
        <f>B31/B$6</f>
        <v/>
      </c>
    </row>
    <row r="110">
      <c r="A110" s="6" t="inlineStr">
        <is>
          <t>Auto Engaged</t>
        </is>
      </c>
      <c r="B110" s="7">
        <f>B32/B$6</f>
        <v/>
      </c>
    </row>
    <row r="111">
      <c r="A111" s="6" t="inlineStr">
        <is>
          <t>Answering Machine</t>
        </is>
      </c>
      <c r="B111" s="7">
        <f>B33/B$6</f>
        <v/>
      </c>
    </row>
    <row r="112">
      <c r="A112" s="6" t="inlineStr">
        <is>
          <t>Temporary Disconnected Number</t>
        </is>
      </c>
      <c r="B112" s="7">
        <f>B34/B$6</f>
        <v/>
      </c>
    </row>
    <row r="113">
      <c r="A113" s="6" t="inlineStr">
        <is>
          <t>Call Dropped</t>
        </is>
      </c>
      <c r="B113" s="7">
        <f>B35/B$6</f>
        <v/>
      </c>
    </row>
    <row r="114">
      <c r="A114" s="6" t="inlineStr">
        <is>
          <t>Dropped</t>
        </is>
      </c>
      <c r="B114" s="7">
        <f>B36/B$6</f>
        <v/>
      </c>
    </row>
    <row r="115">
      <c r="A115" s="6" t="inlineStr">
        <is>
          <t>No Answer</t>
        </is>
      </c>
      <c r="B115" s="7">
        <f>B37/B$6</f>
        <v/>
      </c>
    </row>
    <row r="116">
      <c r="A116" s="6" t="inlineStr">
        <is>
          <t>Bad Line Quality</t>
        </is>
      </c>
      <c r="B116" s="7">
        <f>B38/B$6</f>
        <v/>
      </c>
    </row>
    <row r="117">
      <c r="A117" s="6" t="inlineStr">
        <is>
          <t>Busy Tone</t>
        </is>
      </c>
      <c r="B117" s="7">
        <f>B39/B$6</f>
        <v/>
      </c>
    </row>
    <row r="118">
      <c r="A118" s="6" t="inlineStr">
        <is>
          <t>Disconnected</t>
        </is>
      </c>
      <c r="B118" s="7">
        <f>B40/B$6</f>
        <v/>
      </c>
    </row>
    <row r="119">
      <c r="A119" s="6" t="inlineStr">
        <is>
          <t>Inbound After Hours Drop</t>
        </is>
      </c>
      <c r="B119" s="7">
        <f>B41/B$6</f>
        <v/>
      </c>
    </row>
    <row r="120">
      <c r="A120" s="6" t="inlineStr">
        <is>
          <t>Multiple Calls</t>
        </is>
      </c>
      <c r="B120" s="7">
        <f>B42/B$6</f>
        <v/>
      </c>
    </row>
    <row r="121">
      <c r="A121" s="6" t="inlineStr">
        <is>
          <t>Engaged</t>
        </is>
      </c>
      <c r="B121" s="7">
        <f>B43/B$6</f>
        <v/>
      </c>
    </row>
    <row r="122">
      <c r="A122" s="6" t="inlineStr">
        <is>
          <t>Inbound Abandon</t>
        </is>
      </c>
      <c r="B122" s="7">
        <f>B44/B$6</f>
        <v/>
      </c>
    </row>
    <row r="123">
      <c r="A123" s="6" t="inlineStr">
        <is>
          <t>Outbound Pre-Routing Drop</t>
        </is>
      </c>
      <c r="B123" s="7">
        <f>B45/B$6</f>
        <v/>
      </c>
    </row>
    <row r="124">
      <c r="A124" s="6" t="inlineStr">
        <is>
          <t>Flow Inbound Abandon</t>
        </is>
      </c>
      <c r="B124" s="7">
        <f>B46/B$6</f>
        <v/>
      </c>
    </row>
    <row r="125">
      <c r="A125" s="6" t="inlineStr">
        <is>
          <t>Selected</t>
        </is>
      </c>
      <c r="B125" s="7">
        <f>B47/B$6</f>
        <v/>
      </c>
    </row>
    <row r="126">
      <c r="A126" s="6" t="inlineStr">
        <is>
          <t>CONGESTED</t>
        </is>
      </c>
      <c r="B126" s="7">
        <f>B48/B$6</f>
        <v/>
      </c>
    </row>
    <row r="127">
      <c r="A127" s="6" t="inlineStr">
        <is>
          <t>Completed</t>
        </is>
      </c>
      <c r="B127" s="7">
        <f>B49/B$6</f>
        <v/>
      </c>
    </row>
    <row r="128">
      <c r="A128" s="6" t="inlineStr">
        <is>
          <t>New</t>
        </is>
      </c>
      <c r="B128" s="7">
        <f>B50/B$6</f>
        <v/>
      </c>
    </row>
    <row r="129">
      <c r="A129" s="6" t="inlineStr">
        <is>
          <t>Busy</t>
        </is>
      </c>
      <c r="B129" s="7">
        <f>B51/B$6</f>
        <v/>
      </c>
    </row>
    <row r="130">
      <c r="A130" s="6" t="inlineStr">
        <is>
          <t>Auto Dial Disconnected</t>
        </is>
      </c>
      <c r="B130" s="7">
        <f>B52/B$6</f>
        <v/>
      </c>
    </row>
    <row r="131">
      <c r="A131" s="6" t="inlineStr">
        <is>
          <t>Customer drop</t>
        </is>
      </c>
      <c r="B131" s="7">
        <f>B53/B$6</f>
        <v/>
      </c>
    </row>
    <row r="132">
      <c r="A132" s="6" t="inlineStr">
        <is>
          <t>Disconnected Number Auto</t>
        </is>
      </c>
      <c r="B132" s="7">
        <f>B54/B$6</f>
        <v/>
      </c>
    </row>
    <row r="133">
      <c r="A133" s="6" t="n"/>
      <c r="B133" s="7" t="n"/>
    </row>
    <row r="134">
      <c r="A134" s="10" t="inlineStr">
        <is>
          <t>Unworkable Leads Dispositions</t>
        </is>
      </c>
      <c r="B134" s="7" t="n"/>
    </row>
    <row r="135">
      <c r="A135" s="6" t="inlineStr">
        <is>
          <t>Unemployed</t>
        </is>
      </c>
      <c r="B135" s="7">
        <f>B57/B$6</f>
        <v/>
      </c>
    </row>
    <row r="136">
      <c r="A136" s="6" t="inlineStr">
        <is>
          <t>Already Contacted</t>
        </is>
      </c>
      <c r="B136" s="7">
        <f>B58/B$6</f>
        <v/>
      </c>
    </row>
    <row r="137">
      <c r="A137" s="6" t="inlineStr">
        <is>
          <t>Does Not Qualify</t>
        </is>
      </c>
      <c r="B137" s="7">
        <f>B59/B$6</f>
        <v/>
      </c>
    </row>
    <row r="138">
      <c r="A138" s="6" t="inlineStr">
        <is>
          <t>Client Overage Limit</t>
        </is>
      </c>
      <c r="B138" s="7">
        <f>B60/B$6</f>
        <v/>
      </c>
    </row>
    <row r="139">
      <c r="A139" s="6" t="inlineStr">
        <is>
          <t>Do not call</t>
        </is>
      </c>
      <c r="B139" s="7">
        <f>B61/B$6</f>
        <v/>
      </c>
    </row>
    <row r="140">
      <c r="A140" s="6" t="inlineStr">
        <is>
          <t>Under Age</t>
        </is>
      </c>
      <c r="B140" s="7">
        <f>B62/B$6</f>
        <v/>
      </c>
    </row>
    <row r="141">
      <c r="A141" s="6" t="inlineStr">
        <is>
          <t>Go To Branch</t>
        </is>
      </c>
      <c r="B141" s="7">
        <f>B63/B$6</f>
        <v/>
      </c>
    </row>
    <row r="142">
      <c r="A142" s="6" t="inlineStr">
        <is>
          <t>Wrong number</t>
        </is>
      </c>
      <c r="B142" s="7">
        <f>B64/B$6</f>
        <v/>
      </c>
    </row>
    <row r="143">
      <c r="A143" s="6" t="inlineStr">
        <is>
          <t>Existing Client</t>
        </is>
      </c>
      <c r="B143" s="7">
        <f>B65/B$6</f>
        <v/>
      </c>
    </row>
    <row r="144">
      <c r="A144" s="6" t="inlineStr">
        <is>
          <t>Language Barrier</t>
        </is>
      </c>
      <c r="B144" s="7">
        <f>B66/B$6</f>
        <v/>
      </c>
    </row>
    <row r="145">
      <c r="A145" s="6" t="inlineStr">
        <is>
          <t>Client Deceased</t>
        </is>
      </c>
      <c r="B145" s="7">
        <f>B67/B$6</f>
        <v/>
      </c>
    </row>
    <row r="146">
      <c r="A146" s="6" t="inlineStr">
        <is>
          <t>Customer Service Transfer</t>
        </is>
      </c>
      <c r="B146" s="7">
        <f>B68/B$6</f>
        <v/>
      </c>
    </row>
    <row r="147">
      <c r="A147" s="6" t="inlineStr">
        <is>
          <t>Unsuccessful Application</t>
        </is>
      </c>
      <c r="B147" s="7">
        <f>B69/B$6</f>
        <v/>
      </c>
    </row>
    <row r="148">
      <c r="A148" s="6" t="inlineStr">
        <is>
          <t>DNQ-Income Below Threshold</t>
        </is>
      </c>
      <c r="B148" s="7">
        <f>B70/B$6</f>
        <v/>
      </c>
    </row>
    <row r="149">
      <c r="A149" s="6" t="inlineStr">
        <is>
          <t>DNQ Quote Declined</t>
        </is>
      </c>
      <c r="B149" s="7">
        <f>B71/B$6</f>
        <v/>
      </c>
    </row>
    <row r="150">
      <c r="A150" s="6" t="inlineStr">
        <is>
          <t>Do Not Qualify Failed Medical Question</t>
        </is>
      </c>
      <c r="B150" s="7">
        <f>B72/B$6</f>
        <v/>
      </c>
    </row>
    <row r="151">
      <c r="A151" s="6" t="inlineStr">
        <is>
          <t xml:space="preserve">Right Party Not Available		</t>
        </is>
      </c>
      <c r="B151" s="7">
        <f>B73/B$6</f>
        <v/>
      </c>
    </row>
    <row r="152">
      <c r="A152" s="6" t="inlineStr">
        <is>
          <t>Over Age Limit</t>
        </is>
      </c>
      <c r="B152" s="7">
        <f>B74/B$6</f>
        <v/>
      </c>
    </row>
    <row r="153">
      <c r="A153" s="6" t="inlineStr">
        <is>
          <t>Funeral Documents Requested</t>
        </is>
      </c>
      <c r="B153" s="7">
        <f>B75/B$6</f>
        <v/>
      </c>
    </row>
    <row r="154">
      <c r="A154" s="6" t="inlineStr">
        <is>
          <t>Funeral Policy Query</t>
        </is>
      </c>
      <c r="B154" s="7">
        <f>B76/B$6</f>
        <v/>
      </c>
    </row>
    <row r="155">
      <c r="A155" s="6" t="inlineStr">
        <is>
          <t>Non SA Citizen</t>
        </is>
      </c>
      <c r="B155" s="7">
        <f>B77/B$6</f>
        <v/>
      </c>
    </row>
    <row r="156">
      <c r="A156" s="6" t="inlineStr">
        <is>
          <t xml:space="preserve">NTU Policy		</t>
        </is>
      </c>
      <c r="B156" s="7">
        <f>B78/B$6</f>
        <v/>
      </c>
    </row>
    <row r="157">
      <c r="A157" s="6" t="inlineStr">
        <is>
          <t>Not Working Cannot Afford</t>
        </is>
      </c>
      <c r="B157" s="7">
        <f>B79/B$6</f>
        <v/>
      </c>
    </row>
    <row r="158">
      <c r="A158" s="6" t="inlineStr">
        <is>
          <t>Lead Being Called</t>
        </is>
      </c>
      <c r="B158" s="7">
        <f>B80/B$6</f>
        <v/>
      </c>
    </row>
    <row r="159">
      <c r="A159" s="6" t="inlineStr">
        <is>
          <t>Did Not Request</t>
        </is>
      </c>
      <c r="B159" s="7">
        <f>B81/B$6</f>
        <v/>
      </c>
    </row>
    <row r="160">
      <c r="A160" s="6" t="inlineStr">
        <is>
          <t>Does Not Need It Now</t>
        </is>
      </c>
      <c r="B160" s="7">
        <f>B82/B$6</f>
        <v/>
      </c>
    </row>
    <row r="161">
      <c r="A161" s="6" t="n"/>
      <c r="B161" s="7" t="n"/>
    </row>
    <row r="162">
      <c r="A162" s="10" t="inlineStr">
        <is>
          <t>True Contacts</t>
        </is>
      </c>
      <c r="B162" s="7" t="n">
        <v>79</v>
      </c>
    </row>
    <row r="163">
      <c r="A163" s="6" t="inlineStr">
        <is>
          <t>Not Interested</t>
        </is>
      </c>
      <c r="B163" s="7">
        <f>B85/B$6</f>
        <v/>
      </c>
    </row>
    <row r="164">
      <c r="A164" s="6" t="inlineStr">
        <is>
          <t>Client Hung Up</t>
        </is>
      </c>
      <c r="B164" s="7">
        <f>B86/B$6</f>
        <v/>
      </c>
    </row>
    <row r="165">
      <c r="A165" s="6" t="inlineStr">
        <is>
          <t>Affordability</t>
        </is>
      </c>
      <c r="B165" s="7">
        <f>B87/B$6</f>
        <v/>
      </c>
    </row>
    <row r="166">
      <c r="A166" s="6" t="inlineStr">
        <is>
          <t>Callback</t>
        </is>
      </c>
      <c r="B166" s="7">
        <f>B88/B$6</f>
        <v/>
      </c>
    </row>
    <row r="167">
      <c r="A167" s="6" t="inlineStr">
        <is>
          <t>Not Interested Transaction Fees</t>
        </is>
      </c>
      <c r="B167" s="7">
        <f>B89/B$6</f>
        <v/>
      </c>
    </row>
    <row r="168">
      <c r="A168" s="6" t="inlineStr">
        <is>
          <t>Company Cellphone Number</t>
        </is>
      </c>
      <c r="B168" s="7">
        <f>B90/B$6</f>
        <v/>
      </c>
    </row>
    <row r="169">
      <c r="A169" s="6" t="inlineStr">
        <is>
          <t>Not Interested Device Cost</t>
        </is>
      </c>
      <c r="B169" s="7">
        <f>B91/B$6</f>
        <v/>
      </c>
    </row>
    <row r="170">
      <c r="A170" s="6" t="inlineStr">
        <is>
          <t>Call Back via MS Teams</t>
        </is>
      </c>
      <c r="B170" s="7">
        <f>B92/B$6</f>
        <v/>
      </c>
    </row>
    <row r="171">
      <c r="A171" s="6" t="inlineStr">
        <is>
          <t>Not Interested Upfront</t>
        </is>
      </c>
      <c r="B171" s="7">
        <f>B93/B$6</f>
        <v/>
      </c>
    </row>
    <row r="172">
      <c r="A172" s="6" t="inlineStr">
        <is>
          <t>Quoted Not Interested</t>
        </is>
      </c>
      <c r="B172" s="7">
        <f>B94/B$6</f>
        <v/>
      </c>
    </row>
    <row r="173">
      <c r="A173" s="6" t="inlineStr">
        <is>
          <t>Client Quoted Not Interested</t>
        </is>
      </c>
      <c r="B173" s="7">
        <f>B95/B$6</f>
        <v/>
      </c>
    </row>
    <row r="174">
      <c r="A174" s="6" t="inlineStr">
        <is>
          <t>Cannot Afford</t>
        </is>
      </c>
      <c r="B174" s="7">
        <f>B96/B$6</f>
        <v/>
      </c>
    </row>
    <row r="175">
      <c r="A175" s="6" t="inlineStr">
        <is>
          <t>Not Interested Premium Cost</t>
        </is>
      </c>
      <c r="B175" s="7">
        <f>B97/B$6</f>
        <v/>
      </c>
    </row>
    <row r="176">
      <c r="A176" s="6" t="inlineStr">
        <is>
          <t>Not interested SMS</t>
        </is>
      </c>
      <c r="B176" s="7">
        <f>B98/B$6</f>
        <v/>
      </c>
    </row>
    <row r="177">
      <c r="A177" s="6" t="inlineStr">
        <is>
          <t>Call Back Hold</t>
        </is>
      </c>
      <c r="B177" s="7">
        <f>B99/B$6</f>
        <v/>
      </c>
    </row>
    <row r="178">
      <c r="A178" s="6" t="inlineStr">
        <is>
          <t>Declined Sale</t>
        </is>
      </c>
      <c r="B178" s="7">
        <f>B100/B$6</f>
        <v/>
      </c>
    </row>
    <row r="179">
      <c r="A179" s="6" t="inlineStr">
        <is>
          <t>QA FAil</t>
        </is>
      </c>
      <c r="B179" s="7">
        <f>B101/B$6</f>
        <v/>
      </c>
    </row>
    <row r="180">
      <c r="A180" s="6" t="inlineStr">
        <is>
          <t>QA Rework</t>
        </is>
      </c>
      <c r="B180" s="7">
        <f>B102/B$6</f>
        <v/>
      </c>
    </row>
    <row r="181">
      <c r="A181" s="6" t="inlineStr">
        <is>
          <t>Sale Made</t>
        </is>
      </c>
      <c r="B181" s="7">
        <f>B103/B$6</f>
        <v/>
      </c>
    </row>
    <row r="182">
      <c r="A182" s="6" t="inlineStr">
        <is>
          <t>Sale SMS</t>
        </is>
      </c>
      <c r="B182" s="7">
        <f>B104/B$6</f>
        <v/>
      </c>
    </row>
    <row r="183" ht="15.75" customHeight="1">
      <c r="A183" s="3" t="inlineStr">
        <is>
          <t>UPSELL</t>
        </is>
      </c>
      <c r="B183" s="11">
        <f>B105/B$6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Campaign Analysis – USSD Funeral Leads</t>
        </is>
      </c>
    </row>
    <row r="2"/>
    <row r="3"/>
    <row r="4">
      <c r="A4" s="13" t="inlineStr">
        <is>
          <t>Total Leads</t>
        </is>
      </c>
      <c r="B4" s="14" t="n">
        <v>477</v>
      </c>
    </row>
    <row r="5">
      <c r="A5" s="13" t="inlineStr">
        <is>
          <t>Unworked Leads (New Leads)</t>
        </is>
      </c>
      <c r="B5" s="14" t="n">
        <v>0</v>
      </c>
    </row>
    <row r="6">
      <c r="A6" s="13" t="inlineStr">
        <is>
          <t>Successful Contacts</t>
        </is>
      </c>
      <c r="B6" s="14" t="n">
        <v>89</v>
      </c>
    </row>
    <row r="7">
      <c r="A7" s="13" t="inlineStr">
        <is>
          <t>True Contacts</t>
        </is>
      </c>
      <c r="B7" s="14" t="n">
        <v>79</v>
      </c>
    </row>
    <row r="8">
      <c r="A8" s="13" t="inlineStr">
        <is>
          <t>Conversion</t>
        </is>
      </c>
      <c r="B8" s="15" t="n">
        <v>0.0209643605870021</v>
      </c>
    </row>
    <row r="9">
      <c r="A9" s="13" t="inlineStr">
        <is>
          <t>True Sales (post QA)</t>
        </is>
      </c>
      <c r="B9" s="14" t="n">
        <v>10</v>
      </c>
    </row>
    <row r="10"/>
    <row r="11"/>
    <row r="12">
      <c r="B12" s="1" t="inlineStr">
        <is>
          <t>Unsuccessful Contacts</t>
        </is>
      </c>
      <c r="C12" s="1" t="inlineStr">
        <is>
          <t>Lead Count</t>
        </is>
      </c>
      <c r="D12" s="1" t="inlineStr">
        <is>
          <t>Interested in Deal?</t>
        </is>
      </c>
      <c r="E12" s="1" t="inlineStr">
        <is>
          <t>Lead Count</t>
        </is>
      </c>
      <c r="F12" s="1" t="inlineStr">
        <is>
          <t>Successful Contacts</t>
        </is>
      </c>
      <c r="G12" s="1" t="inlineStr">
        <is>
          <t>Lead Count</t>
        </is>
      </c>
      <c r="H12" s="1" t="inlineStr">
        <is>
          <t>True Contacts</t>
        </is>
      </c>
      <c r="I12" s="1" t="inlineStr">
        <is>
          <t>Lead Count</t>
        </is>
      </c>
    </row>
    <row r="13">
      <c r="B13" s="16" t="inlineStr">
        <is>
          <t>Answering Machine Autodial</t>
        </is>
      </c>
      <c r="C13" s="17">
        <f>IFERROR(VLOOKUP("Answering Machine Autodial",Pivot!$A$2:$B$25,2,FALSE),0)</f>
        <v/>
      </c>
      <c r="D13" s="16" t="inlineStr">
        <is>
          <t>Sale Made - Completed Mandate</t>
        </is>
      </c>
      <c r="E13" s="17">
        <f>IFERROR(VLOOKUP("Sale Made - Completed Mandate",Pivot!$A$2:$B$25,2,FALSE),0)</f>
        <v/>
      </c>
      <c r="F13" s="16" t="inlineStr">
        <is>
          <t>Already Contacted</t>
        </is>
      </c>
      <c r="G13" s="17">
        <f>IFERROR(VLOOKUP("Already Contacted",Pivot!$A$2:$B$25,2,FALSE),0)</f>
        <v/>
      </c>
      <c r="H13" s="16" t="inlineStr">
        <is>
          <t>Client Hung Up</t>
        </is>
      </c>
      <c r="I13" s="17">
        <f>IFERROR(VLOOKUP("Client Hung Up",Pivot!$A$2:$B$25,2,FALSE),0)</f>
        <v/>
      </c>
    </row>
    <row r="14">
      <c r="B14" s="16" t="inlineStr">
        <is>
          <t>No Answer Autodial</t>
        </is>
      </c>
      <c r="C14" s="17">
        <f>IFERROR(VLOOKUP("No Answer Autodial",Pivot!$A$2:$B$25,2,FALSE),0)</f>
        <v/>
      </c>
      <c r="D14" s="16" t="inlineStr">
        <is>
          <t>Sale Made - Pending Mandate</t>
        </is>
      </c>
      <c r="E14" s="17">
        <f>IFERROR(VLOOKUP("Sale Made - Pending Mandate",Pivot!$A$2:$B$25,2,FALSE),0)</f>
        <v/>
      </c>
      <c r="F14" s="16" t="inlineStr">
        <is>
          <t>Existing Client</t>
        </is>
      </c>
      <c r="G14" s="17">
        <f>IFERROR(VLOOKUP("Existing Client",Pivot!$A$2:$B$25,2,FALSE),0)</f>
        <v/>
      </c>
      <c r="H14" s="16" t="inlineStr">
        <is>
          <t>CallBack</t>
        </is>
      </c>
      <c r="I14" s="17">
        <f>IFERROR(VLOOKUP("CallBack",Pivot!$A$2:$B$25,2,FALSE),0)</f>
        <v/>
      </c>
    </row>
    <row r="15">
      <c r="B15" s="16" t="inlineStr">
        <is>
          <t>Auto Engaged</t>
        </is>
      </c>
      <c r="C15" s="17">
        <f>IFERROR(VLOOKUP("Auto Engaged",Pivot!$A$2:$B$25,2,FALSE),0)</f>
        <v/>
      </c>
      <c r="D15" s="16" t="inlineStr">
        <is>
          <t>Sale Made</t>
        </is>
      </c>
      <c r="E15" s="17">
        <f>IFERROR(VLOOKUP("Sale Made",Pivot!$A$2:$B$25,2,FALSE),0)</f>
        <v/>
      </c>
      <c r="F15" s="16" t="inlineStr">
        <is>
          <t>Unemployed</t>
        </is>
      </c>
      <c r="G15" s="17">
        <f>IFERROR(VLOOKUP("Unemployed",Pivot!$A$2:$B$25,2,FALSE),0)</f>
        <v/>
      </c>
      <c r="H15" s="16" t="inlineStr">
        <is>
          <t>Not Interested</t>
        </is>
      </c>
      <c r="I15" s="17">
        <f>IFERROR(VLOOKUP("Not Interested",Pivot!$A$2:$B$25,2,FALSE),0)</f>
        <v/>
      </c>
    </row>
    <row r="16">
      <c r="B16" s="16" t="inlineStr">
        <is>
          <t>Disconnected Number Auto</t>
        </is>
      </c>
      <c r="C16" s="17">
        <f>IFERROR(VLOOKUP("Disconnected Number Auto",Pivot!$A$2:$B$25,2,FALSE),0)</f>
        <v/>
      </c>
      <c r="D16" s="16" t="inlineStr">
        <is>
          <t>Tyme Bank Account Sale</t>
        </is>
      </c>
      <c r="E16" s="17">
        <f>IFERROR(VLOOKUP("Tyme Bank Account Sale",Pivot!$A$2:$B$25,2,FALSE),0)</f>
        <v/>
      </c>
      <c r="F16" s="16" t="inlineStr">
        <is>
          <t>Wrong Number</t>
        </is>
      </c>
      <c r="G16" s="17">
        <f>IFERROR(VLOOKUP("Wrong Number",Pivot!$A$2:$B$25,2,FALSE),0)</f>
        <v/>
      </c>
      <c r="H16" s="16" t="inlineStr">
        <is>
          <t>Not Interested Upfront</t>
        </is>
      </c>
      <c r="I16" s="17">
        <f>IFERROR(VLOOKUP("Not Interested Upfront",Pivot!$A$2:$B$25,2,FALSE),0)</f>
        <v/>
      </c>
    </row>
    <row r="17">
      <c r="B17" s="16" t="inlineStr">
        <is>
          <t>Answering Machine</t>
        </is>
      </c>
      <c r="C17" s="17">
        <f>IFERROR(VLOOKUP("Answering Machine",Pivot!$A$2:$B$25,2,FALSE),0)</f>
        <v/>
      </c>
      <c r="D17" s="16" t="inlineStr">
        <is>
          <t>QA Rework</t>
        </is>
      </c>
      <c r="E17" s="17">
        <f>IFERROR(VLOOKUP("QA Rework",Pivot!$A$2:$B$25,2,FALSE),0)</f>
        <v/>
      </c>
      <c r="F17" s="16" t="inlineStr">
        <is>
          <t>Do Not Call</t>
        </is>
      </c>
      <c r="G17" s="17">
        <f>IFERROR(VLOOKUP("Do Not Call",Pivot!$A$2:$B$25,2,FALSE),0)</f>
        <v/>
      </c>
      <c r="H17" s="16" t="inlineStr">
        <is>
          <t>Cannot Afford Premium</t>
        </is>
      </c>
      <c r="I17" s="17">
        <f>IFERROR(VLOOKUP("Cannot Afford Premium",Pivot!$A$2:$B$25,2,FALSE),0)</f>
        <v/>
      </c>
    </row>
    <row r="18">
      <c r="B18" s="16" t="inlineStr">
        <is>
          <t>Selected</t>
        </is>
      </c>
      <c r="C18" s="17">
        <f>IFERROR(VLOOKUP("Selected",Pivot!$A$2:$B$25,2,FALSE),0)</f>
        <v/>
      </c>
      <c r="F18" s="16" t="inlineStr">
        <is>
          <t>No Smartphones</t>
        </is>
      </c>
      <c r="G18" s="17">
        <f>IFERROR(VLOOKUP("No Smartphones",Pivot!$A$2:$B$25,2,FALSE),0)</f>
        <v/>
      </c>
      <c r="H18" s="16" t="inlineStr">
        <is>
          <t>Not interested - Pitched</t>
        </is>
      </c>
      <c r="I18" s="17">
        <f>IFERROR(VLOOKUP("Not interested - Pitched",Pivot!$A$2:$B$25,2,FALSE),0)</f>
        <v/>
      </c>
    </row>
    <row r="19">
      <c r="B19" s="16" t="inlineStr">
        <is>
          <t>No Answer</t>
        </is>
      </c>
      <c r="C19" s="17">
        <f>IFERROR(VLOOKUP("No Answer",Pivot!$A$2:$B$25,2,FALSE),0)</f>
        <v/>
      </c>
      <c r="F19" s="16" t="inlineStr">
        <is>
          <t>Client Deceased</t>
        </is>
      </c>
      <c r="G19" s="17">
        <f>IFERROR(VLOOKUP("Client Deceased",Pivot!$A$2:$B$25,2,FALSE),0)</f>
        <v/>
      </c>
      <c r="H19" s="16" t="inlineStr">
        <is>
          <t>Affordability</t>
        </is>
      </c>
      <c r="I19" s="17">
        <f>IFERROR(VLOOKUP("Affordability",Pivot!$A$2:$B$25,2,FALSE),0)</f>
        <v/>
      </c>
    </row>
    <row r="20">
      <c r="B20" s="16" t="inlineStr">
        <is>
          <t>Busy Tone</t>
        </is>
      </c>
      <c r="C20" s="17">
        <f>IFERROR(VLOOKUP("Busy Tone",Pivot!$A$2:$B$25,2,FALSE),0)</f>
        <v/>
      </c>
      <c r="F20" s="16" t="inlineStr">
        <is>
          <t>Right Party Not Available</t>
        </is>
      </c>
      <c r="G20" s="17">
        <f>IFERROR(VLOOKUP("Right Party Not Available",Pivot!$A$2:$B$25,2,FALSE),0)</f>
        <v/>
      </c>
      <c r="H20" s="16" t="inlineStr">
        <is>
          <t>Quoted Client Not Interested</t>
        </is>
      </c>
      <c r="I20" s="17">
        <f>IFERROR(VLOOKUP("Quoted Client Not Interested",Pivot!$A$2:$B$25,2,FALSE),0)</f>
        <v/>
      </c>
    </row>
    <row r="21">
      <c r="B21" s="16" t="inlineStr">
        <is>
          <t>Dropped</t>
        </is>
      </c>
      <c r="C21" s="17">
        <f>IFERROR(VLOOKUP("Dropped",Pivot!$A$2:$B$25,2,FALSE),0)</f>
        <v/>
      </c>
      <c r="F21" s="16" t="inlineStr">
        <is>
          <t>Client Overage Limit</t>
        </is>
      </c>
      <c r="G21" s="17">
        <f>IFERROR(VLOOKUP("Client Overage Limit",Pivot!$A$2:$B$25,2,FALSE),0)</f>
        <v/>
      </c>
      <c r="H21" s="16" t="inlineStr">
        <is>
          <t>Not interested business does not use speed point mac</t>
        </is>
      </c>
      <c r="I21" s="17">
        <f>IFERROR(VLOOKUP("Not interested business does not use speed point mac",Pivot!$A$2:$B$25,2,FALSE),0)</f>
        <v/>
      </c>
    </row>
    <row r="22">
      <c r="B22" s="16" t="inlineStr">
        <is>
          <t>New</t>
        </is>
      </c>
      <c r="C22" s="17">
        <f>IFERROR(VLOOKUP("New",Pivot!$A$2:$B$25,2,FALSE),0)</f>
        <v/>
      </c>
      <c r="F22" s="16" t="inlineStr">
        <is>
          <t>Language Barrier</t>
        </is>
      </c>
      <c r="G22" s="17">
        <f>IFERROR(VLOOKUP("Language Barrier",Pivot!$A$2:$B$25,2,FALSE),0)</f>
        <v/>
      </c>
      <c r="H22" s="16" t="inlineStr">
        <is>
          <t>Call Back Technical Error</t>
        </is>
      </c>
      <c r="I22" s="17">
        <f>IFERROR(VLOOKUP("Call Back Technical Error",Pivot!$A$2:$B$25,2,FALSE),0)</f>
        <v/>
      </c>
    </row>
    <row r="23">
      <c r="B23" s="16" t="inlineStr">
        <is>
          <t>Call Dropped</t>
        </is>
      </c>
      <c r="C23" s="17">
        <f>IFERROR(VLOOKUP("Call Dropped",Pivot!$A$2:$B$25,2,FALSE),0)</f>
        <v/>
      </c>
      <c r="F23" s="16" t="inlineStr">
        <is>
          <t>Non SA Citizen</t>
        </is>
      </c>
      <c r="G23" s="17">
        <f>IFERROR(VLOOKUP("Non SA Citizen",Pivot!$A$2:$B$25,2,FALSE),0)</f>
        <v/>
      </c>
      <c r="H23" s="16" t="inlineStr">
        <is>
          <t>Not Interested Transaction Fees</t>
        </is>
      </c>
      <c r="I23" s="17">
        <f>IFERROR(VLOOKUP("Not Interested Transaction Fees",Pivot!$A$2:$B$25,2,FALSE),0)</f>
        <v/>
      </c>
    </row>
    <row r="24">
      <c r="B24" s="16" t="inlineStr">
        <is>
          <t>Inbound After Hours Drop</t>
        </is>
      </c>
      <c r="C24" s="17">
        <f>IFERROR(VLOOKUP("Inbound After Hours Drop",Pivot!$A$2:$B$25,2,FALSE),0)</f>
        <v/>
      </c>
      <c r="F24" s="16" t="inlineStr">
        <is>
          <t>No Bank Account</t>
        </is>
      </c>
      <c r="G24" s="17">
        <f>IFERROR(VLOOKUP("No Bank Account",Pivot!$A$2:$B$25,2,FALSE),0)</f>
        <v/>
      </c>
      <c r="H24" s="16" t="inlineStr">
        <is>
          <t>Cannot Afford</t>
        </is>
      </c>
      <c r="I24" s="17">
        <f>IFERROR(VLOOKUP("Cannot Afford",Pivot!$A$2:$B$25,2,FALSE),0)</f>
        <v/>
      </c>
    </row>
    <row r="25">
      <c r="B25" s="16" t="inlineStr">
        <is>
          <t>TPS Registered Number</t>
        </is>
      </c>
      <c r="C25" s="17">
        <f>IFERROR(VLOOKUP("TPS Registered Number",Pivot!$A$2:$B$25,2,FALSE),0)</f>
        <v/>
      </c>
      <c r="F25" s="16" t="inlineStr">
        <is>
          <t>Client Underage</t>
        </is>
      </c>
      <c r="G25" s="17">
        <f>IFERROR(VLOOKUP("Client Underage",Pivot!$A$2:$B$25,2,FALSE),0)</f>
        <v/>
      </c>
      <c r="H25" s="16" t="inlineStr">
        <is>
          <t>Not Interested Household Contents</t>
        </is>
      </c>
      <c r="I25" s="17">
        <f>IFERROR(VLOOKUP("Not Interested Household Contents",Pivot!$A$2:$B$25,2,FALSE),0)</f>
        <v/>
      </c>
    </row>
    <row r="26">
      <c r="B26" s="16" t="inlineStr">
        <is>
          <t>Temporary Disconnected Number</t>
        </is>
      </c>
      <c r="C26" s="17">
        <f>IFERROR(VLOOKUP("Temporary Disconnected Number",Pivot!$A$2:$B$25,2,FALSE),0)</f>
        <v/>
      </c>
      <c r="F26" s="16" t="inlineStr">
        <is>
          <t>Go To The Branch</t>
        </is>
      </c>
      <c r="G26" s="17">
        <f>IFERROR(VLOOKUP("Go To The Branch",Pivot!$A$2:$B$25,2,FALSE),0)</f>
        <v/>
      </c>
      <c r="H26" s="16" t="inlineStr">
        <is>
          <t>Call Back Hold</t>
        </is>
      </c>
      <c r="I26" s="17">
        <f>IFERROR(VLOOKUP("Call Back Hold",Pivot!$A$2:$B$25,2,FALSE),0)</f>
        <v/>
      </c>
    </row>
    <row r="27">
      <c r="B27" s="16" t="inlineStr">
        <is>
          <t>Bad Line Quality</t>
        </is>
      </c>
      <c r="C27" s="17">
        <f>IFERROR(VLOOKUP("Bad Line Quality",Pivot!$A$2:$B$25,2,FALSE),0)</f>
        <v/>
      </c>
      <c r="F27" s="16" t="inlineStr">
        <is>
          <t>Completed</t>
        </is>
      </c>
      <c r="G27" s="17">
        <f>IFERROR(VLOOKUP("Completed",Pivot!$A$2:$B$25,2,FALSE),0)</f>
        <v/>
      </c>
      <c r="H27" s="16" t="inlineStr">
        <is>
          <t>Declined Sale</t>
        </is>
      </c>
      <c r="I27" s="17">
        <f>IFERROR(VLOOKUP("Declined Sale",Pivot!$A$2:$B$25,2,FALSE),0)</f>
        <v/>
      </c>
    </row>
    <row r="28">
      <c r="B28" s="16" t="inlineStr">
        <is>
          <t>Inbound Abandon</t>
        </is>
      </c>
      <c r="C28" s="17">
        <f>IFERROR(VLOOKUP("Inbound Abandon",Pivot!$A$2:$B$25,2,FALSE),0)</f>
        <v/>
      </c>
      <c r="F28" s="16" t="inlineStr">
        <is>
          <t>Cannot Afford Upfront Payment</t>
        </is>
      </c>
      <c r="G28" s="17">
        <f>IFERROR(VLOOKUP("Cannot Afford Upfront Payment",Pivot!$A$2:$B$25,2,FALSE),0)</f>
        <v/>
      </c>
    </row>
    <row r="29">
      <c r="B29" s="16" t="inlineStr">
        <is>
          <t>Outbound Pre-Routing Drop</t>
        </is>
      </c>
      <c r="C29" s="17">
        <f>IFERROR(VLOOKUP("Outbound Pre-Routing Drop",Pivot!$A$2:$B$25,2,FALSE),0)</f>
        <v/>
      </c>
      <c r="F29" s="16" t="inlineStr">
        <is>
          <t>Account Suspended</t>
        </is>
      </c>
      <c r="G29" s="17">
        <f>IFERROR(VLOOKUP("Account Suspended",Pivot!$A$2:$B$25,2,FALSE),0)</f>
        <v/>
      </c>
    </row>
    <row r="30">
      <c r="B30" s="16" t="inlineStr">
        <is>
          <t>Engaged</t>
        </is>
      </c>
      <c r="C30" s="17">
        <f>IFERROR(VLOOKUP("Engaged",Pivot!$A$2:$B$25,2,FALSE),0)</f>
        <v/>
      </c>
      <c r="F30" s="16" t="inlineStr">
        <is>
          <t>Insured at another company</t>
        </is>
      </c>
      <c r="G30" s="17">
        <f>IFERROR(VLOOKUP("Insured at another company",Pivot!$A$2:$B$25,2,FALSE),0)</f>
        <v/>
      </c>
    </row>
    <row r="31">
      <c r="B31" s="16" t="inlineStr">
        <is>
          <t>Disconnected</t>
        </is>
      </c>
      <c r="C31" s="17">
        <f>IFERROR(VLOOKUP("Disconnected",Pivot!$A$2:$B$25,2,FALSE),0)</f>
        <v/>
      </c>
      <c r="F31" s="16" t="inlineStr">
        <is>
          <t>Scheduled Appointment</t>
        </is>
      </c>
      <c r="G31" s="17">
        <f>IFERROR(VLOOKUP("Scheduled Appointment",Pivot!$A$2:$B$25,2,FALSE),0)</f>
        <v/>
      </c>
    </row>
    <row r="32">
      <c r="B32" s="16" t="inlineStr">
        <is>
          <t>CONGESTED</t>
        </is>
      </c>
      <c r="C32" s="17">
        <f>IFERROR(VLOOKUP("CONGESTED",Pivot!$A$2:$B$25,2,FALSE),0)</f>
        <v/>
      </c>
      <c r="F32" s="16" t="inlineStr">
        <is>
          <t>Refund Request</t>
        </is>
      </c>
      <c r="G32" s="17">
        <f>IFERROR(VLOOKUP("Refund Request",Pivot!$A$2:$B$25,2,FALSE),0)</f>
        <v/>
      </c>
    </row>
    <row r="33">
      <c r="B33" s="16" t="inlineStr">
        <is>
          <t>Flow Inbound Abandon</t>
        </is>
      </c>
      <c r="C33" s="17">
        <f>IFERROR(VLOOKUP("Flow Inbound Abandon",Pivot!$A$2:$B$25,2,FALSE),0)</f>
        <v/>
      </c>
      <c r="F33" s="16" t="inlineStr">
        <is>
          <t>Does Not Qualify</t>
        </is>
      </c>
      <c r="G33" s="17">
        <f>IFERROR(VLOOKUP("Does Not Qualify",Pivot!$A$2:$B$25,2,FALSE),0)</f>
        <v/>
      </c>
    </row>
    <row r="34">
      <c r="B34" s="16" t="inlineStr">
        <is>
          <t>Multiple Calls</t>
        </is>
      </c>
      <c r="C34" s="17">
        <f>IFERROR(VLOOKUP("Multiple Calls",Pivot!$A$2:$B$25,2,FALSE),0)</f>
        <v/>
      </c>
      <c r="F34" s="16" t="inlineStr">
        <is>
          <t>Does Not Have a Business</t>
        </is>
      </c>
      <c r="G34" s="17">
        <f>IFERROR(VLOOKUP("Does Not Have a Business",Pivot!$A$2:$B$25,2,FALSE),0)</f>
        <v/>
      </c>
    </row>
    <row r="35">
      <c r="B35" s="16" t="inlineStr">
        <is>
          <t>Missed</t>
        </is>
      </c>
      <c r="C35" s="17">
        <f>IFERROR(VLOOKUP("Missed",Pivot!$A$2:$B$25,2,FALSE),0)</f>
        <v/>
      </c>
      <c r="F35" s="16" t="inlineStr">
        <is>
          <t>Refer To Store - Doesn't want to complete online</t>
        </is>
      </c>
      <c r="G35" s="17">
        <f>IFERROR(VLOOKUP("Refer To Store - Doesn't want to complete online",Pivot!$A$2:$B$25,2,FALSE),0)</f>
        <v/>
      </c>
    </row>
    <row r="36">
      <c r="B36" s="16" t="inlineStr">
        <is>
          <t>Answered</t>
        </is>
      </c>
      <c r="C36" s="17">
        <f>IFERROR(VLOOKUP("Answered",Pivot!$A$2:$B$25,2,FALSE),0)</f>
        <v/>
      </c>
      <c r="F36" s="16" t="inlineStr">
        <is>
          <t>Does Not Need It Now</t>
        </is>
      </c>
      <c r="G36" s="17">
        <f>IFERROR(VLOOKUP("Does Not Need It Now",Pivot!$A$2:$B$25,2,FALSE),0)</f>
        <v/>
      </c>
    </row>
    <row r="37">
      <c r="B37" s="16" t="inlineStr">
        <is>
          <t>Customer drop</t>
        </is>
      </c>
      <c r="C37" s="17">
        <f>IFERROR(VLOOKUP("Customer drop",Pivot!$A$2:$B$25,2,FALSE),0)</f>
        <v/>
      </c>
      <c r="F37" s="16" t="inlineStr">
        <is>
          <t>Technical Issue</t>
        </is>
      </c>
      <c r="G37" s="17">
        <f>IFERROR(VLOOKUP("Technical Issue",Pivot!$A$2:$B$25,2,FALSE),0)</f>
        <v/>
      </c>
    </row>
    <row r="38">
      <c r="B38" s="16" t="inlineStr">
        <is>
          <t>Auto Dial Disconnected</t>
        </is>
      </c>
      <c r="C38" s="17">
        <f>IFERROR(VLOOKUP("Auto Dial Disconnected",Pivot!$A$2:$B$25,2,FALSE),0)</f>
        <v/>
      </c>
      <c r="F38" s="16" t="inlineStr">
        <is>
          <t>Unsuccessful Application</t>
        </is>
      </c>
      <c r="G38" s="17">
        <f>IFERROR(VLOOKUP("Unsuccessful Application",Pivot!$A$2:$B$25,2,FALSE),0)</f>
        <v/>
      </c>
    </row>
    <row r="39">
      <c r="B39" s="16" t="inlineStr">
        <is>
          <t>Disconnected Number Temporary</t>
        </is>
      </c>
      <c r="C39" s="17">
        <f>IFERROR(VLOOKUP("Disconnected Number Temporary",Pivot!$A$2:$B$25,2,FALSE),0)</f>
        <v/>
      </c>
    </row>
    <row r="40"/>
    <row r="41"/>
    <row r="42">
      <c r="A42" s="18" t="inlineStr">
        <is>
          <t>TOTAL LEADS DIALLED</t>
        </is>
      </c>
      <c r="B42" s="17">
        <f>SUM(C13:C39)+SUM(E13:E17)</f>
        <v/>
      </c>
    </row>
    <row r="43"/>
    <row r="44">
      <c r="A44" s="18" t="inlineStr">
        <is>
          <t>CAMPAIGN STATISTICS</t>
        </is>
      </c>
    </row>
    <row r="45">
      <c r="A45" s="16" t="inlineStr">
        <is>
          <t>Successful Contacts</t>
        </is>
      </c>
      <c r="B45" s="17">
        <f>SUM(F13:F17)</f>
        <v/>
      </c>
    </row>
    <row r="46">
      <c r="A46" s="16" t="inlineStr">
        <is>
          <t>True Contacts (TC)</t>
        </is>
      </c>
      <c r="B46" s="17">
        <f>SUM(I13:I27)</f>
        <v/>
      </c>
    </row>
    <row r="47">
      <c r="A47" s="16" t="inlineStr">
        <is>
          <t>Unworkable Leads</t>
        </is>
      </c>
      <c r="B47" s="17">
        <f>SUM(G13:G38)</f>
        <v/>
      </c>
    </row>
    <row r="48">
      <c r="A48" s="16" t="inlineStr">
        <is>
          <t>Conversions</t>
        </is>
      </c>
      <c r="B48" s="17">
        <f>F13</f>
        <v/>
      </c>
    </row>
    <row r="49">
      <c r="A49" s="16" t="inlineStr">
        <is>
          <t>Conversion Ratio (vs TC)</t>
        </is>
      </c>
      <c r="B49" s="19">
        <f>B47/B45</f>
        <v/>
      </c>
    </row>
    <row r="50">
      <c r="A50" s="16" t="inlineStr">
        <is>
          <t>Contact Ratio</t>
        </is>
      </c>
      <c r="B50" s="19">
        <f>(B44+B45)/B42</f>
        <v/>
      </c>
    </row>
    <row r="51"/>
    <row r="52"/>
    <row r="53"/>
    <row r="54">
      <c r="A54" s="18" t="inlineStr">
        <is>
          <t>Top 5 Statuses</t>
        </is>
      </c>
      <c r="B54" s="18" t="inlineStr">
        <is>
          <t>Count</t>
        </is>
      </c>
      <c r="C54" s="18" t="inlineStr">
        <is>
          <t>% Contribution</t>
        </is>
      </c>
    </row>
    <row r="55">
      <c r="A55" s="16" t="inlineStr">
        <is>
          <t>Answering Machine Autodial</t>
        </is>
      </c>
      <c r="B55" s="20" t="n">
        <v>112</v>
      </c>
      <c r="C55" s="19">
        <f>B55/B42</f>
        <v/>
      </c>
    </row>
    <row r="56">
      <c r="A56" s="16" t="inlineStr">
        <is>
          <t>No Answer Autodial</t>
        </is>
      </c>
      <c r="B56" s="20" t="n">
        <v>78</v>
      </c>
      <c r="C56" s="19">
        <f>B56/B42</f>
        <v/>
      </c>
    </row>
    <row r="57">
      <c r="A57" s="16" t="inlineStr">
        <is>
          <t>Auto Dial Disconnected</t>
        </is>
      </c>
      <c r="B57" s="20" t="n">
        <v>68</v>
      </c>
      <c r="C57" s="19">
        <f>B57/B42</f>
        <v/>
      </c>
    </row>
    <row r="58">
      <c r="A58" s="16" t="inlineStr">
        <is>
          <t>Client Hung Up</t>
        </is>
      </c>
      <c r="B58" s="20" t="n">
        <v>39</v>
      </c>
      <c r="C58" s="19">
        <f>B58/B42</f>
        <v/>
      </c>
    </row>
    <row r="59">
      <c r="A59" s="16" t="inlineStr">
        <is>
          <t>Temporary Disconnected Number</t>
        </is>
      </c>
      <c r="B59" s="20" t="n">
        <v>33</v>
      </c>
      <c r="C59" s="19">
        <f>B59/B42</f>
        <v/>
      </c>
    </row>
  </sheetData>
  <mergeCells count="1">
    <mergeCell ref="A1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 Description</t>
        </is>
      </c>
      <c r="B1" s="1" t="inlineStr">
        <is>
          <t>Count</t>
        </is>
      </c>
    </row>
    <row r="2">
      <c r="A2" s="16" t="inlineStr">
        <is>
          <t>Answering Machine Autodial</t>
        </is>
      </c>
      <c r="B2" s="20" t="n">
        <v>112</v>
      </c>
    </row>
    <row r="3">
      <c r="A3" s="16" t="inlineStr">
        <is>
          <t>No Answer Autodial</t>
        </is>
      </c>
      <c r="B3" s="20" t="n">
        <v>78</v>
      </c>
    </row>
    <row r="4">
      <c r="A4" s="16" t="inlineStr">
        <is>
          <t>Auto Dial Disconnected</t>
        </is>
      </c>
      <c r="B4" s="20" t="n">
        <v>68</v>
      </c>
    </row>
    <row r="5">
      <c r="A5" s="16" t="inlineStr">
        <is>
          <t>Client Hung Up</t>
        </is>
      </c>
      <c r="B5" s="20" t="n">
        <v>39</v>
      </c>
    </row>
    <row r="6">
      <c r="A6" s="16" t="inlineStr">
        <is>
          <t>Temporary Disconnected Number</t>
        </is>
      </c>
      <c r="B6" s="20" t="n">
        <v>33</v>
      </c>
    </row>
    <row r="7">
      <c r="A7" s="16" t="inlineStr">
        <is>
          <t>Auto Engaged</t>
        </is>
      </c>
      <c r="B7" s="20" t="n">
        <v>28</v>
      </c>
    </row>
    <row r="8">
      <c r="A8" s="16" t="inlineStr">
        <is>
          <t>Answering Machine</t>
        </is>
      </c>
      <c r="B8" s="20" t="n">
        <v>17</v>
      </c>
    </row>
    <row r="9">
      <c r="A9" s="16" t="inlineStr">
        <is>
          <t>Callback</t>
        </is>
      </c>
      <c r="B9" s="20" t="n">
        <v>15</v>
      </c>
    </row>
    <row r="10">
      <c r="A10" s="16" t="inlineStr">
        <is>
          <t>Not Interested</t>
        </is>
      </c>
      <c r="B10" s="20" t="n">
        <v>13</v>
      </c>
    </row>
    <row r="11">
      <c r="A11" s="16" t="inlineStr">
        <is>
          <t>Cannot Afford</t>
        </is>
      </c>
      <c r="B11" s="20" t="n">
        <v>12</v>
      </c>
    </row>
    <row r="12">
      <c r="A12" s="16" t="inlineStr">
        <is>
          <t>Dropped</t>
        </is>
      </c>
      <c r="B12" s="20" t="n">
        <v>10</v>
      </c>
    </row>
    <row r="13">
      <c r="A13" s="16" t="inlineStr">
        <is>
          <t>Sale Made</t>
        </is>
      </c>
      <c r="B13" s="20" t="n">
        <v>10</v>
      </c>
    </row>
    <row r="14">
      <c r="A14" s="16" t="inlineStr">
        <is>
          <t>Unemployed</t>
        </is>
      </c>
      <c r="B14" s="20" t="n">
        <v>9</v>
      </c>
    </row>
    <row r="15">
      <c r="A15" s="16" t="inlineStr">
        <is>
          <t>Client Underage</t>
        </is>
      </c>
      <c r="B15" s="20" t="n">
        <v>8</v>
      </c>
    </row>
    <row r="16">
      <c r="A16" s="16" t="inlineStr">
        <is>
          <t>No Answer</t>
        </is>
      </c>
      <c r="B16" s="20" t="n">
        <v>5</v>
      </c>
    </row>
    <row r="17">
      <c r="A17" s="16" t="inlineStr">
        <is>
          <t>Selected</t>
        </is>
      </c>
      <c r="B17" s="20" t="n">
        <v>4</v>
      </c>
    </row>
    <row r="18">
      <c r="A18" s="16" t="inlineStr">
        <is>
          <t>Does Not Qualify</t>
        </is>
      </c>
      <c r="B18" s="20" t="n">
        <v>3</v>
      </c>
    </row>
    <row r="19">
      <c r="A19" s="16" t="inlineStr">
        <is>
          <t>Inbound Abandon</t>
        </is>
      </c>
      <c r="B19" s="20" t="n">
        <v>3</v>
      </c>
    </row>
    <row r="20">
      <c r="A20" s="16" t="inlineStr">
        <is>
          <t>Over Age Limit</t>
        </is>
      </c>
      <c r="B20" s="20" t="n">
        <v>3</v>
      </c>
    </row>
    <row r="21">
      <c r="A21" s="16" t="inlineStr">
        <is>
          <t>Bad Line Quality</t>
        </is>
      </c>
      <c r="B21" s="20" t="n">
        <v>2</v>
      </c>
    </row>
    <row r="22">
      <c r="A22" s="16" t="inlineStr">
        <is>
          <t>Existing Client</t>
        </is>
      </c>
      <c r="B22" s="20" t="n">
        <v>2</v>
      </c>
    </row>
    <row r="23">
      <c r="A23" s="16" t="inlineStr">
        <is>
          <t>Inbound After Hours Drop</t>
        </is>
      </c>
      <c r="B23" s="20" t="n">
        <v>1</v>
      </c>
    </row>
    <row r="24">
      <c r="A24" s="16" t="inlineStr">
        <is>
          <t>Disconnected</t>
        </is>
      </c>
      <c r="B24" s="20" t="n">
        <v>1</v>
      </c>
    </row>
    <row r="25">
      <c r="A25" s="16" t="inlineStr">
        <is>
          <t>Language Barrier</t>
        </is>
      </c>
      <c r="B25" s="20" t="n">
        <v>1</v>
      </c>
    </row>
    <row r="26">
      <c r="A26" s="21" t="inlineStr">
        <is>
          <t>Grand Total</t>
        </is>
      </c>
      <c r="B26" s="21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2026-07-05T20:22:41Z</dcterms:created>
  <dcterms:modified xsi:type="dcterms:W3CDTF">2026-07-05T20:22:42Z</dcterms:modified>
</cp:coreProperties>
</file>