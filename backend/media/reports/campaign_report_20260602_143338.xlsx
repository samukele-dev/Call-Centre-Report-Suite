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" sheetId="1" r:id="rId1"/>
    <sheet name="Pivot" sheetId="2" r:id="rId2"/>
    <sheet name="Campaign Analysis" sheetId="3" r:id="rId3"/>
  </sheets>
  <calcPr calcId="124519" fullCalcOnLoad="1"/>
</workbook>
</file>

<file path=xl/sharedStrings.xml><?xml version="1.0" encoding="utf-8"?>
<sst xmlns="http://schemas.openxmlformats.org/spreadsheetml/2006/main" count="19503" uniqueCount="14651">
  <si>
    <t>Contact Id</t>
  </si>
  <si>
    <t>Customer Id</t>
  </si>
  <si>
    <t>Lead Reference</t>
  </si>
  <si>
    <t>List Id</t>
  </si>
  <si>
    <t>List Name</t>
  </si>
  <si>
    <t>Title</t>
  </si>
  <si>
    <t>Firstname</t>
  </si>
  <si>
    <t>Lastname</t>
  </si>
  <si>
    <t>Gender</t>
  </si>
  <si>
    <t>Last Outcome</t>
  </si>
  <si>
    <t>Outcome Description</t>
  </si>
  <si>
    <t>Called Count</t>
  </si>
  <si>
    <t>Last Called Date</t>
  </si>
  <si>
    <t>Last User</t>
  </si>
  <si>
    <t>Created At</t>
  </si>
  <si>
    <t>Updated At</t>
  </si>
  <si>
    <t>Address1</t>
  </si>
  <si>
    <t>Address2</t>
  </si>
  <si>
    <t>Address3</t>
  </si>
  <si>
    <t>Town</t>
  </si>
  <si>
    <t>County</t>
  </si>
  <si>
    <t>Country</t>
  </si>
  <si>
    <t>Postcode</t>
  </si>
  <si>
    <t>Email Address</t>
  </si>
  <si>
    <t>Tel1</t>
  </si>
  <si>
    <t>Tel2</t>
  </si>
  <si>
    <t>Tel3</t>
  </si>
  <si>
    <t>Tel4</t>
  </si>
  <si>
    <t>Tel5</t>
  </si>
  <si>
    <t>Tel6</t>
  </si>
  <si>
    <t>Owner Username</t>
  </si>
  <si>
    <t>Security Phrase</t>
  </si>
  <si>
    <t>Source Reference</t>
  </si>
  <si>
    <t>Industry</t>
  </si>
  <si>
    <t>Company Name</t>
  </si>
  <si>
    <t>Website</t>
  </si>
  <si>
    <t>Customer Reference</t>
  </si>
  <si>
    <t>Dob</t>
  </si>
  <si>
    <t>ID_1</t>
  </si>
  <si>
    <t>13861083;0c5d0900-c88d-437b-a16f-855d45126772;;111111118;Vodacom Life 20260324;;;;;DROP;5;2026-05-22</t>
  </si>
  <si>
    <t>13861083;0c5d0900-c88d-437b-a16f-855d45126772;;111111118;Vodacom Life 20260324;;;;;DROP;5;2026-05-22 09:16:46+02;system;2026-03-24 09:54:08+02;2026-03-24 09:54:08+02;;;;;;;;;27605282905;;;;;;;;prepaid life;;;;;</t>
  </si>
  <si>
    <t>ID_2</t>
  </si>
  <si>
    <t>13861084;c5d4ca87-d640-4db8-b8be-7c1dd38b63af;;111111118;Vodacom Life 20260324;;;27606185640;;IABDN;</t>
  </si>
  <si>
    <t>13861084;c5d4ca87-d640-4db8-b8be-7c1dd38b63af;;111111118;Vodacom Life 20260324;;;27606185640;;IABDN;5;2026-05-22 11:51:27+02;system;2026-03-24 09:54:08+02;2026-03-24 09:54:08+02;;;;;;;;;27606185640;;;;;;;;prepaid life;;;;;</t>
  </si>
  <si>
    <t>ID_3</t>
  </si>
  <si>
    <t>13861234;489008fa-ad7f-49ff-9a68-451c4e7ec13b;;111111118;Vodacom Life 20260324;;;;;CBACK;1;2026-03-2</t>
  </si>
  <si>
    <t>13861234;489008fa-ad7f-49ff-9a68-451c4e7ec13b;;111111118;Vodacom Life 20260324;;;;;CBACK;1;2026-03-24 10:38:27+02;Maureen Ntsoko;2026-03-24 09:54:08+02;2026-03-24 09:54:08+02;;;;;;;;;27823683861;;;;;;;;prepaid life;;;;;</t>
  </si>
  <si>
    <t>ID_4</t>
  </si>
  <si>
    <t xml:space="preserve">13861136;48c9b311-7abb-4cc1-8240-dde69d266a34;;111111118;Vodacom Life 20260324;;;;;ADC;5;2026-05-22 </t>
  </si>
  <si>
    <t>13861136;48c9b311-7abb-4cc1-8240-dde69d266a34;;111111118;Vodacom Life 20260324;;;;;ADC;5;2026-05-22 08:59:37+02;system;2026-03-24 09:54:08+02;2026-03-24 09:54:08+02;;;;;;;;;27720108006;;;;;;;;prepaid life;;;;;</t>
  </si>
  <si>
    <t>ID_5</t>
  </si>
  <si>
    <t>13861085;dc6cfabe-9de8-4779-adff-cb53994b319c;;111111118;Vodacom Life 20260324;;;;;AA;5;2026-05-22 0</t>
  </si>
  <si>
    <t>13861085;dc6cfabe-9de8-4779-adff-cb53994b319c;;111111118;Vodacom Life 20260324;;;;;AA;5;2026-05-22 08:49:31+02;system;2026-03-24 09:54:08+02;2026-03-24 09:54:08+02;;;;;;;;;27606480924;;;;;;;;prepaid life;;;;;</t>
  </si>
  <si>
    <t>ID_6</t>
  </si>
  <si>
    <t>13861137;094011ee-2667-4e61-9de6-3642cde0b618;;111111118;Vodacom Life 20260324;;;;;AA;5;2026-05-22 0</t>
  </si>
  <si>
    <t>13861137;094011ee-2667-4e61-9de6-3642cde0b618;;111111118;Vodacom Life 20260324;;;;;AA;5;2026-05-22 08:59:37+02;system;2026-03-24 09:54:08+02;2026-03-24 09:54:08+02;;;;;;;;;27720706970;;;;;;;;prepaid life;;;;;</t>
  </si>
  <si>
    <t>ID_7</t>
  </si>
  <si>
    <t>13861235;640ee428-2c69-4b84-bf0d-8d5e24dd28f2;;111111118;Vodacom Life 20260324;;;;;A;5;2026-05-22 09</t>
  </si>
  <si>
    <t>13861235;640ee428-2c69-4b84-bf0d-8d5e24dd28f2;;111111118;Vodacom Life 20260324;;;;;A;5;2026-05-22 09:17:50+02;Maureen Ntsoko;2026-03-24 09:54:08+02;2026-03-24 09:54:08+02;;;;;;;;;27823837477;;;;;;;;prepaid life;;;;;</t>
  </si>
  <si>
    <t>ID_8</t>
  </si>
  <si>
    <t>13861086;179aad27-f968-47ae-9bff-cc888a423731;;111111118;Vodacom Life 20260324;;;;;NA;5;2026-05-22 0</t>
  </si>
  <si>
    <t>13861086;179aad27-f968-47ae-9bff-cc888a423731;;111111118;Vodacom Life 20260324;;;;;NA;5;2026-05-22 08:49:31+02;system;2026-03-24 09:54:08+02;2026-03-24 09:54:08+02;;;;;;;;;27606717498;;;;;;;;prepaid life;;;;;</t>
  </si>
  <si>
    <t>ID_9</t>
  </si>
  <si>
    <t>13861236;5a3407d8-0ac8-4b82-aa2f-eb7ef1def6bb;;111111118;Vodacom Life 20260324;;;27824211928;;CU;5;2</t>
  </si>
  <si>
    <t>13861236;5a3407d8-0ac8-4b82-aa2f-eb7ef1def6bb;;111111118;Vodacom Life 20260324;;;27824211928;;CU;5;2026-05-22 09:18:32+02;Maureen Ntsoko;2026-03-24 09:54:08+02;2026-03-24 09:54:08+02;;;;;;;;;27824211928;;;;;;;;prepaid life;;;;;</t>
  </si>
  <si>
    <t>ID_10</t>
  </si>
  <si>
    <t>13861138;9c4f6d52-8657-4df5-a17e-59b232094a56;;111111118;Vodacom Life 20260324;;;;;NI;2;2026-04-08 1</t>
  </si>
  <si>
    <t>13861138;9c4f6d52-8657-4df5-a17e-59b232094a56;;111111118;Vodacom Life 20260324;;;;;NI;2;2026-04-08 12:31:01+02;Thandile Nokubeni;2026-03-24 09:54:08+02;2026-03-24 09:54:08+02;;;;;;;;;27721187654;;;;;;;;prepaid life;;;;;</t>
  </si>
  <si>
    <t>ID_11</t>
  </si>
  <si>
    <t>13861087;ad9d8772-1e11-4ffa-be5c-034082e5ef79;;111111118;Vodacom Life 20260324;;;;;AA;5;2026-05-22 0</t>
  </si>
  <si>
    <t>13861087;ad9d8772-1e11-4ffa-be5c-034082e5ef79;;111111118;Vodacom Life 20260324;;;;;AA;5;2026-05-22 08:49:39+02;system;2026-03-24 09:54:08+02;2026-03-24 09:54:08+02;;;;;;;;;27606748902;;;;;;;;prepaid life;;;;;</t>
  </si>
  <si>
    <t>ID_12</t>
  </si>
  <si>
    <t>13861139;981de2ce-a439-4ce3-90d1-0028b16bd23c;;111111118;Vodacom Life 20260324;;;;;AA;5;2026-05-22 0</t>
  </si>
  <si>
    <t>13861139;981de2ce-a439-4ce3-90d1-0028b16bd23c;;111111118;Vodacom Life 20260324;;;;;AA;5;2026-05-22 08:59:37+02;system;2026-03-24 09:54:08+02;2026-03-24 09:54:08+02;;;;;;;;;27721534526;;;;;;;;prepaid life;;;;;</t>
  </si>
  <si>
    <t>ID_13</t>
  </si>
  <si>
    <t>13861237;c9d5d811-b870-48b6-bcb6-c09fe03e635c;;111111118;Vodacom Life 20260324;;;;;DROP;5;2026-05-22</t>
  </si>
  <si>
    <t>13861237;c9d5d811-b870-48b6-bcb6-c09fe03e635c;;111111118;Vodacom Life 20260324;;;;;DROP;5;2026-05-22 09:18:08+02;system;2026-03-24 09:54:08+02;2026-03-24 09:54:08+02;;;;;;;;;27824327922;;;;;;;;prepaid life;;;;;</t>
  </si>
  <si>
    <t>ID_14</t>
  </si>
  <si>
    <t>13861088;c47227ba-ff07-49ea-845b-7b577e29d9ff;;111111118;Vodacom Life 20260324;;;;;AE;5;2026-05-22 0</t>
  </si>
  <si>
    <t>13861088;c47227ba-ff07-49ea-845b-7b577e29d9ff;;111111118;Vodacom Life 20260324;;;;;AE;5;2026-05-22 08:49:48+02;system;2026-03-24 09:54:08+02;2026-03-24 09:54:08+02;;;;;;;;;27606765725;;;;;;;;prepaid life;;;;;</t>
  </si>
  <si>
    <t>ID_15</t>
  </si>
  <si>
    <t>13861140;d2a1ac2a-0385-4175-b86d-51786f801008;;111111118;Vodacom Life 20260324;;;;;NA;5;2026-05-22 0</t>
  </si>
  <si>
    <t>13861140;d2a1ac2a-0385-4175-b86d-51786f801008;;111111118;Vodacom Life 20260324;;;;;NA;5;2026-05-22 08:59:40+02;system;2026-03-24 09:54:08+02;2026-03-24 09:54:08+02;;;;;;;;;27722373039;;;;;;;;prepaid life;;;;;</t>
  </si>
  <si>
    <t>ID_16</t>
  </si>
  <si>
    <t>13861089;368802fd-67d3-47ed-8021-c09435abaa9f;;111111118;Vodacom Life 20260324;;;;;NIUP;3;2026-04-14</t>
  </si>
  <si>
    <t>13861089;368802fd-67d3-47ed-8021-c09435abaa9f;;111111118;Vodacom Life 20260324;;;;;NIUP;3;2026-04-14 10:01:03+02;bongiwe lushaba;2026-03-24 09:54:08+02;2026-03-24 09:54:08+02;;;;;;;;;27606942310;;;;;;;;prepaid life;;;;;</t>
  </si>
  <si>
    <t>ID_17</t>
  </si>
  <si>
    <t>13861141;b3c0e947-b0f3-43ef-ba5e-965f933fee5b;;111111118;Vodacom Life 20260324;;;;;AE;5;2026-05-22 0</t>
  </si>
  <si>
    <t>13861141;b3c0e947-b0f3-43ef-ba5e-965f933fee5b;;111111118;Vodacom Life 20260324;;;;;AE;5;2026-05-22 08:59:40+02;system;2026-03-24 09:54:08+02;2026-03-24 09:54:08+02;;;;;;;;;27722568911;;;;;;;;prepaid life;;;;;</t>
  </si>
  <si>
    <t>ID_18</t>
  </si>
  <si>
    <t>13861238;3501b4a3-ac8b-4592-8001-77fdb4b38ca4;;111111118;Vodacom Life 20260324;;;;;AC;5;2026-04-24 0</t>
  </si>
  <si>
    <t>13861238;3501b4a3-ac8b-4592-8001-77fdb4b38ca4;;111111118;Vodacom Life 20260324;;;;;AC;5;2026-04-24 08:18:10+02;Maureen Ntsoko;2026-03-24 09:54:08+02;2026-03-24 09:54:08+02;;;;;;;;;27824328724;;;;;;;;prepaid life;;;;;</t>
  </si>
  <si>
    <t>ID_19</t>
  </si>
  <si>
    <t>13861090;27f1b666-acc4-4779-9a03-93a6b99efea6;;111111118;Vodacom Life 20260324;;;;;AA;5;2026-05-22 0</t>
  </si>
  <si>
    <t>13861090;27f1b666-acc4-4779-9a03-93a6b99efea6;;111111118;Vodacom Life 20260324;;;;;AA;5;2026-05-22 08:49:48+02;system;2026-03-24 09:54:08+02;2026-03-24 09:54:08+02;;;;;;;;;27607346004;;;;;;;;prepaid life;;;;;</t>
  </si>
  <si>
    <t>ID_20</t>
  </si>
  <si>
    <t>13861239;bb1b884a-480e-4cc5-b7ae-826d5d5b55fe;;111111118;Vodacom Life 20260324;;;27825184962;;CU;5;2</t>
  </si>
  <si>
    <t>13861239;bb1b884a-480e-4cc5-b7ae-826d5d5b55fe;;111111118;Vodacom Life 20260324;;;27825184962;;CU;5;2026-05-22 09:20:06+02;bongiwe lushaba;2026-03-24 09:54:08+02;2026-03-24 09:54:08+02;;;;;;;;;27825184962;;;;;;;;prepaid life;;;;;</t>
  </si>
  <si>
    <t>ID_21</t>
  </si>
  <si>
    <t>13861091;de4ce3df-6e26-4aa5-9f2c-79ee95ab62f8;;111111118;Vodacom Life 20260324;;;;;AF;2;2026-04-08 1</t>
  </si>
  <si>
    <t>13861091;de4ce3df-6e26-4aa5-9f2c-79ee95ab62f8;;111111118;Vodacom Life 20260324;;;;;AF;2;2026-04-08 12:03:07+02;Thandile Nokubeni;2026-03-24 09:54:08+02;2026-03-24 09:54:08+02;;;;;;;;;27607812130;;;;;;;;prepaid life;;;;;</t>
  </si>
  <si>
    <t>ID_22</t>
  </si>
  <si>
    <t>13861240;08c8c23c-9170-4854-929b-2d083fdbd147;;111111118;Vodacom Life 20260324;;;;;CU;5;2026-05-22 0</t>
  </si>
  <si>
    <t>13861240;08c8c23c-9170-4854-929b-2d083fdbd147;;111111118;Vodacom Life 20260324;;;;;CU;5;2026-05-22 09:18:45+02;Maureen Ntsoko;2026-03-24 09:54:08+02;2026-03-24 09:54:08+02;;;;;;;;;27825279990;;;;;;;;prepaid life;;;;;</t>
  </si>
  <si>
    <t>ID_23</t>
  </si>
  <si>
    <t>13861142;3c17d9b5-b851-4442-8eef-ae6aa9f2680a;;111111118;Vodacom Life 20260324;;;;;AA;5;2026-05-22 0</t>
  </si>
  <si>
    <t>13861142;3c17d9b5-b851-4442-8eef-ae6aa9f2680a;;111111118;Vodacom Life 20260324;;;;;AA;5;2026-05-22 08:59:40+02;system;2026-03-24 09:54:08+02;2026-03-24 09:54:08+02;;;;;;;;;27722651810;;;;;;;;prepaid life;;;;;</t>
  </si>
  <si>
    <t>ID_24</t>
  </si>
  <si>
    <t>13861092;86279b16-5d2d-4db6-ab7d-5ccf65e7cc41;;111111118;Vodacom Life 20260324;;;;;AA;5;2026-05-22 0</t>
  </si>
  <si>
    <t>13861092;86279b16-5d2d-4db6-ab7d-5ccf65e7cc41;;111111118;Vodacom Life 20260324;;;;;AA;5;2026-05-22 08:49:48+02;system;2026-03-24 09:54:08+02;2026-03-24 09:54:08+02;;;;;;;;;27608855913;;;;;;;;prepaid life;;;;;</t>
  </si>
  <si>
    <t>ID_25</t>
  </si>
  <si>
    <t xml:space="preserve">13861143;e1db4e89-20cd-4687-8515-a6412e6479e4;;111111118;Vodacom Life 20260324;;;;;BLQ;6;2026-05-22 </t>
  </si>
  <si>
    <t>13861143;e1db4e89-20cd-4687-8515-a6412e6479e4;;111111118;Vodacom Life 20260324;;;;;BLQ;6;2026-05-22 11:26:55+02;Maureen Ntsoko;2026-03-24 09:54:08+02;2026-03-24 09:54:08+02;;;;;;;;;27722991978;;;;;;;;prepaid life;;;;;</t>
  </si>
  <si>
    <t>ID_26</t>
  </si>
  <si>
    <t>13861144;ac2337d6-08c5-41f2-9020-0a375488191d;;111111118;Vodacom Life 20260324;;;;;U;1;2026-03-24 10</t>
  </si>
  <si>
    <t>13861144;ac2337d6-08c5-41f2-9020-0a375488191d;;111111118;Vodacom Life 20260324;;;;;U;1;2026-03-24 10:27:38+02;Thandile Nokubeni;2026-03-24 09:54:08+02;2026-03-24 09:54:08+02;;;;;;;;;27723344397;;;;;;;;prepaid life;;;;;</t>
  </si>
  <si>
    <t>ID_27</t>
  </si>
  <si>
    <t>13861241;b30f1a5b-bc83-4fd0-9605-9e2b95784c28;;111111118;Vodacom Life 20260324;;;;;CU;5;2026-05-22 0</t>
  </si>
  <si>
    <t>13861241;b30f1a5b-bc83-4fd0-9605-9e2b95784c28;;111111118;Vodacom Life 20260324;;;;;CU;5;2026-05-22 09:18:45+02;bongiwe lushaba;2026-03-24 09:54:08+02;2026-03-24 09:54:08+02;;;;;;;;;27825531275;;;;;;;;prepaid life;;;;;</t>
  </si>
  <si>
    <t>ID_28</t>
  </si>
  <si>
    <t>13861242;0501dd66-aa25-4a6a-b9c2-32c81504cbce;;111111118;Vodacom Life 20260324;;;;;NA;5;2026-05-22 0</t>
  </si>
  <si>
    <t>13861242;0501dd66-aa25-4a6a-b9c2-32c81504cbce;;111111118;Vodacom Life 20260324;;;;;NA;5;2026-05-22 09:18:46+02;system;2026-03-24 09:54:08+02;2026-03-24 09:54:08+02;;;;;;;;;27826260009;;;;;;;;prepaid life;;;;;</t>
  </si>
  <si>
    <t>ID_29</t>
  </si>
  <si>
    <t>13861093;33f5d8e1-3ebf-4a39-8fa2-441000968d0c;;111111118;Vodacom Life 20260324;;;;;AE;5;2026-05-22 0</t>
  </si>
  <si>
    <t>13861093;33f5d8e1-3ebf-4a39-8fa2-441000968d0c;;111111118;Vodacom Life 20260324;;;;;AE;5;2026-05-22 08:49:48+02;system;2026-03-24 09:54:08+02;2026-03-24 09:54:08+02;;;;;;;;;27608876684;;;;;;;;prepaid life;;;;;</t>
  </si>
  <si>
    <t>ID_30</t>
  </si>
  <si>
    <t>13861243;44c34cc4-6e8f-4697-a2bd-6337f3bca03c;;111111118;Vodacom Life 20260324;;;;;AE;5;2026-05-22 0</t>
  </si>
  <si>
    <t>13861243;44c34cc4-6e8f-4697-a2bd-6337f3bca03c;;111111118;Vodacom Life 20260324;;;;;AE;5;2026-05-22 09:18:47+02;system;2026-03-24 09:54:08+02;2026-03-24 09:54:08+02;;;;;;;;;27826815302;;;;;;;;prepaid life;;;;;</t>
  </si>
  <si>
    <t>ID_31</t>
  </si>
  <si>
    <t>13861145;16c893cb-d8aa-4a6d-abc9-b46c0257605d;;111111118;Vodacom Life 20260324;;;;;AA;5;2026-05-22 0</t>
  </si>
  <si>
    <t>13861145;16c893cb-d8aa-4a6d-abc9-b46c0257605d;;111111118;Vodacom Life 20260324;;;;;AA;5;2026-05-22 08:59:44+02;system;2026-03-24 09:54:08+02;2026-03-24 09:54:08+02;;;;;;;;;27723401079;;;;;;;;prepaid life;;;;;</t>
  </si>
  <si>
    <t>ID_32</t>
  </si>
  <si>
    <t>13861094;5f27c699-2c9c-4624-8d29-3c1eca923e8a;;111111118;Vodacom Life 20260324;;;;;CBACK;5;2026-05-2</t>
  </si>
  <si>
    <t>13861094;5f27c699-2c9c-4624-8d29-3c1eca923e8a;;111111118;Vodacom Life 20260324;;;;;CBACK;5;2026-05-22 08:49:51+02;Maureen Ntsoko;2026-03-24 09:54:08+02;2026-03-24 09:54:08+02;;;;;;;;;27610670718;;;;;;;;prepaid life;;;;;</t>
  </si>
  <si>
    <t>ID_33</t>
  </si>
  <si>
    <t>13861146;502d4831-8825-4f02-b3df-97d2d01a6748;;111111118;Vodacom Life 20260324;;;;;AA;5;2026-05-22 0</t>
  </si>
  <si>
    <t>13861146;502d4831-8825-4f02-b3df-97d2d01a6748;;111111118;Vodacom Life 20260324;;;;;AA;5;2026-05-22 09:01:21+02;system;2026-03-24 09:54:08+02;2026-03-24 09:54:08+02;;;;;;;;;27723717271;;;;;;;;prepaid life;;;;;</t>
  </si>
  <si>
    <t>ID_34</t>
  </si>
  <si>
    <t>13861244;dad3844f-4312-4e61-a61b-a9b14b6a35ea;;111111118;Vodacom Life 20260324;;;;;AA;5;2026-05-22 0</t>
  </si>
  <si>
    <t>13861244;dad3844f-4312-4e61-a61b-a9b14b6a35ea;;111111118;Vodacom Life 20260324;;;;;AA;5;2026-05-22 09:18:48+02;system;2026-03-24 09:54:08+02;2026-03-24 09:54:08+02;;;;;;;;;27827150528;;;;;;;;prepaid life;;;;;</t>
  </si>
  <si>
    <t>ID_35</t>
  </si>
  <si>
    <t>13861095;efef04f8-3ffb-400b-bdb8-85a378b5f3cf;;111111118;Vodacom Life 20260324;;;;;AF;3;2026-04-14 1</t>
  </si>
  <si>
    <t>13861095;efef04f8-3ffb-400b-bdb8-85a378b5f3cf;;111111118;Vodacom Life 20260324;;;;;AF;3;2026-04-14 10:01:37+02;Musiiwa Mary Mabirimisa;2026-03-24 09:54:08+02;2026-03-24 09:54:08+02;;;;;;;;;27615109785;;;;;;;;prepaid life;;;;;</t>
  </si>
  <si>
    <t>ID_36</t>
  </si>
  <si>
    <t>13861245;bc13daf6-f6b2-45fd-9a09-24a563b8bb75;;111111118;Vodacom Life 20260324;;;;;A;5;2026-05-22 09</t>
  </si>
  <si>
    <t>13861245;bc13daf6-f6b2-45fd-9a09-24a563b8bb75;;111111118;Vodacom Life 20260324;;;;;A;5;2026-05-22 09:18:50+02;Maureen Ntsoko;2026-03-24 09:54:08+02;2026-03-24 09:54:08+02;;;;;;;;;27827618375;;;;;;;;prepaid life;;;;;</t>
  </si>
  <si>
    <t>ID_37</t>
  </si>
  <si>
    <t>13861246;c4ea1633-e58e-4628-b7c1-42789a851225;;111111118;Vodacom Life 20260324;;;;;AA;5;2026-05-22 0</t>
  </si>
  <si>
    <t>13861246;c4ea1633-e58e-4628-b7c1-42789a851225;;111111118;Vodacom Life 20260324;;;;;AA;5;2026-05-22 09:18:50+02;system;2026-03-24 09:54:08+02;2026-03-24 09:54:08+02;;;;;;;;;27828104643;;;;;;;;prepaid life;;;;;</t>
  </si>
  <si>
    <t>ID_38</t>
  </si>
  <si>
    <t>13861147;bd413aff-3ad6-4670-adb6-4543623aee0f;;111111118;Vodacom Life 20260324;;;;;AE;5;2026-05-22 0</t>
  </si>
  <si>
    <t>13861147;bd413aff-3ad6-4670-adb6-4543623aee0f;;111111118;Vodacom Life 20260324;;;;;AE;5;2026-05-22 09:01:37+02;system;2026-03-24 09:54:08+02;2026-03-24 09:54:08+02;;;;;;;;;27723825542;;;;;;;;prepaid life;;;;;</t>
  </si>
  <si>
    <t>ID_39</t>
  </si>
  <si>
    <t>13861096;73e1be52-d9e8-43d7-af29-746d784c39b9;;111111118;Vodacom Life 20260324;;;;;NI;4;2026-05-07 1</t>
  </si>
  <si>
    <t>13861096;73e1be52-d9e8-43d7-af29-746d784c39b9;;111111118;Vodacom Life 20260324;;;;;NI;4;2026-05-07 13:49:49+02;Musiiwa Mary Mabirimisa;2026-03-24 09:54:08+02;2026-03-24 09:54:08+02;;;;;;;;;27636156013;;;;;;;;prepaid life;;;;;</t>
  </si>
  <si>
    <t>ID_40</t>
  </si>
  <si>
    <t>13861148;9eaf3829-4501-438f-908f-76845f77490d;;111111118;Vodacom Life 20260324;;;;;AA;5;2026-05-22 0</t>
  </si>
  <si>
    <t>13861148;9eaf3829-4501-438f-908f-76845f77490d;;111111118;Vodacom Life 20260324;;;;;AA;5;2026-05-22 09:01:37+02;system;2026-03-24 09:54:08+02;2026-03-24 09:54:08+02;;;;;;;;;27723976839;;;;;;;;prepaid life;;;;;</t>
  </si>
  <si>
    <t>ID_41</t>
  </si>
  <si>
    <t>13861097;07bd1238-0c97-45ec-9339-c6c6e9ebd309;;111111118;Vodacom Life 20260324;;;;;A;5;2026-05-22 08</t>
  </si>
  <si>
    <t>13861097;07bd1238-0c97-45ec-9339-c6c6e9ebd309;;111111118;Vodacom Life 20260324;;;;;A;5;2026-05-22 08:49:52+02;bongiwe lushaba;2026-03-24 09:54:08+02;2026-03-24 09:54:08+02;;;;;;;;;27636538814;;;;;;;;prepaid life;;;;;</t>
  </si>
  <si>
    <t>ID_42</t>
  </si>
  <si>
    <t>13861149;7f3d4051-fc8a-4f9f-9a4a-427713ce4fba;;111111118;Vodacom Life 20260324;;;;;NA;5;2026-05-22 0</t>
  </si>
  <si>
    <t>13861149;7f3d4051-fc8a-4f9f-9a4a-427713ce4fba;;111111118;Vodacom Life 20260324;;;;;NA;5;2026-05-22 09:01:39+02;system;2026-03-24 09:54:08+02;2026-03-24 09:54:08+02;;;;;;;;;27724025507;;;;;;;;prepaid life;;;;;</t>
  </si>
  <si>
    <t>ID_43</t>
  </si>
  <si>
    <t>13861247;21d66f1a-77a2-43d8-b22a-7842bd6f8d5a;;111111118;Vodacom Life 20260324;;;;;CBACK;5;2026-05-2</t>
  </si>
  <si>
    <t>13861247;21d66f1a-77a2-43d8-b22a-7842bd6f8d5a;;111111118;Vodacom Life 20260324;;;;;CBACK;5;2026-05-22 09:19:21+02;Maureen Ntsoko;2026-03-24 09:54:08+02;2026-03-24 09:54:08+02;;;;;;;;;27828607415;;;;;;;;prepaid life;;;;;</t>
  </si>
  <si>
    <t>ID_44</t>
  </si>
  <si>
    <t>13861098;0866cf4c-a184-4b56-9480-35399d4b42bf;;111111118;Vodacom Life 20260324;;;;;DROP;5;2026-05-22</t>
  </si>
  <si>
    <t>13861098;0866cf4c-a184-4b56-9480-35399d4b42bf;;111111118;Vodacom Life 20260324;;;;;DROP;5;2026-05-22 08:50:03+02;system;2026-03-24 09:54:08+02;2026-03-24 09:54:08+02;;;;;;;;;27637007351;;;;;;;;prepaid life;;;;;</t>
  </si>
  <si>
    <t>ID_45</t>
  </si>
  <si>
    <t>13861248;2ce108c8-8d06-4eec-9c04-3f9f9afe0e3e;;111111118;Vodacom Life 20260324;;;;;AA;5;2026-05-22 0</t>
  </si>
  <si>
    <t>13861248;2ce108c8-8d06-4eec-9c04-3f9f9afe0e3e;;111111118;Vodacom Life 20260324;;;;;AA;5;2026-05-22 09:19:30+02;system;2026-03-24 09:54:08+02;2026-03-24 09:54:08+02;;;;;;;;;27829552343;;;;;;;;prepaid life;;;;;</t>
  </si>
  <si>
    <t>ID_46</t>
  </si>
  <si>
    <t>13861150;fefc71c2-c300-4742-9794-29de2a1ddd62;;111111118;Vodacom Life 20260324;;;;;N;5;2026-04-20 16</t>
  </si>
  <si>
    <t>13861150;fefc71c2-c300-4742-9794-29de2a1ddd62;;111111118;Vodacom Life 20260324;;;;;N;5;2026-04-20 16:26:34+02;Maureen Ntsoko;2026-03-24 09:54:08+02;2026-03-24 09:54:08+02;;;;;;;;;27724226309;;;;;;;;prepaid life;;;;;</t>
  </si>
  <si>
    <t>ID_47</t>
  </si>
  <si>
    <t>13861099;6551cc43-1afc-4842-96e3-3a1976198e10;;111111118;Vodacom Life 20260324;;;;;CBACK;1;2026-03-2</t>
  </si>
  <si>
    <t>13861099;6551cc43-1afc-4842-96e3-3a1976198e10;;111111118;Vodacom Life 20260324;;;;;CBACK;1;2026-03-24 10:00:02+02;Maureen Ntsoko;2026-03-24 09:54:08+02;2026-03-24 09:54:08+02;;;;;;;;;27637110721;;;;;;;;prepaid life;;;;;</t>
  </si>
  <si>
    <t>ID_48</t>
  </si>
  <si>
    <t>13861151;311feff3-cb9f-4281-8c49-ba14de34295b;;111111118;Vodacom Life 20260324;;;;;AA;5;2026-05-22 0</t>
  </si>
  <si>
    <t>13861151;311feff3-cb9f-4281-8c49-ba14de34295b;;111111118;Vodacom Life 20260324;;;;;AA;5;2026-05-22 09:01:49+02;system;2026-03-24 09:54:08+02;2026-03-24 09:54:08+02;;;;;;;;;27724695996;;;;;;;;prepaid life;;;;;</t>
  </si>
  <si>
    <t>ID_49</t>
  </si>
  <si>
    <t>13861249;d323b22f-b886-4515-b3d3-ef1f2cf2c2a2;;111111118;Vodacom Life 20260324;;;;;AA;5;2026-05-22 0</t>
  </si>
  <si>
    <t>13861249;d323b22f-b886-4515-b3d3-ef1f2cf2c2a2;;111111118;Vodacom Life 20260324;;;;;AA;5;2026-05-22 09:19:48+02;system;2026-03-24 09:54:08+02;2026-03-24 09:54:08+02;;;;;;;;;27606215171;;;;;;;;prepaid life;;;;;</t>
  </si>
  <si>
    <t>ID_50</t>
  </si>
  <si>
    <t>13861100;0c455780-471a-4c24-8ed1-0416485a3d77;;111111118;Vodacom Life 20260324;;;;;U;3;2026-04-14 10</t>
  </si>
  <si>
    <t>13861100;0c455780-471a-4c24-8ed1-0416485a3d77;;111111118;Vodacom Life 20260324;;;;;U;3;2026-04-14 10:02:42+02;Thandile Nokubeni;2026-03-24 09:54:08+02;2026-03-24 09:54:08+02;;;;;;;;;27637208381;;;;;;;;prepaid life;;;;;</t>
  </si>
  <si>
    <t>ID_51</t>
  </si>
  <si>
    <t>13861250;02243509-5477-475e-82c7-d430d81af4a0;;111111118;Vodacom Life 20260324;;;27607348855;;CU;5;2</t>
  </si>
  <si>
    <t>13861250;02243509-5477-475e-82c7-d430d81af4a0;;111111118;Vodacom Life 20260324;;;27607348855;;CU;5;2026-05-22 09:21:35+02;Maureen Ntsoko;2026-03-24 09:54:08+02;2026-03-24 09:54:08+02;;;;;;;;;27607348855;;;;;;;;prepaid life;;;;;</t>
  </si>
  <si>
    <t>ID_52</t>
  </si>
  <si>
    <t>13861152;ade40ba5-d13c-4e27-aa0e-7e6c3506c221;;111111118;Vodacom Life 20260324;;;27724777796;;IABDN;</t>
  </si>
  <si>
    <t>13861152;ade40ba5-d13c-4e27-aa0e-7e6c3506c221;;111111118;Vodacom Life 20260324;;;27724777796;;IABDN;5;2026-05-22 09:06:51+02;system;2026-03-24 09:54:08+02;2026-03-24 09:54:08+02;;;;;;;;;27724777796;;;;;;;;prepaid life;;;;;</t>
  </si>
  <si>
    <t>ID_53</t>
  </si>
  <si>
    <t>13861101;a098b7b2-fa48-4213-a430-23fc4d59a297;;111111118;Vodacom Life 20260324;;;;;DROP;5;2026-05-22</t>
  </si>
  <si>
    <t>13861101;a098b7b2-fa48-4213-a430-23fc4d59a297;;111111118;Vodacom Life 20260324;;;;;DROP;5;2026-05-22 08:50:03+02;system;2026-03-24 09:54:08+02;2026-03-24 09:54:08+02;;;;;;;;;27646710613;;;;;;;;prepaid life;;;;;</t>
  </si>
  <si>
    <t>ID_54</t>
  </si>
  <si>
    <t>13861153;5cf5aefe-82e2-45c3-aec9-86ff9aacab35;;111111118;Vodacom Life 20260324;;;;;AA;5;2026-05-22 0</t>
  </si>
  <si>
    <t>13861153;5cf5aefe-82e2-45c3-aec9-86ff9aacab35;;111111118;Vodacom Life 20260324;;;;;AA;5;2026-05-22 09:01:49+02;system;2026-03-24 09:54:08+02;2026-03-24 09:54:08+02;;;;;;;;;27724883610;;;;;;;;prepaid life;;;;;</t>
  </si>
  <si>
    <t>ID_55</t>
  </si>
  <si>
    <t>13861251;b4e0b1b5-ca35-4064-a478-741e242c8eb0;;111111118;Vodacom Life 20260324;;;;;AA;5;2026-05-22 0</t>
  </si>
  <si>
    <t>13861251;b4e0b1b5-ca35-4064-a478-741e242c8eb0;;111111118;Vodacom Life 20260324;;;;;AA;5;2026-05-22 09:19:59+02;system;2026-03-24 09:54:08+02;2026-03-24 09:54:08+02;;;;;;;;;27636194994;;;;;;;;prepaid life;;;;;</t>
  </si>
  <si>
    <t>ID_56</t>
  </si>
  <si>
    <t>13861102;1799f5d8-4dea-4e33-b2a7-1ad0b67d1f25;;111111118;Vodacom Life 20260324;;;;;EC;1;2026-03-24 1</t>
  </si>
  <si>
    <t>13861102;1799f5d8-4dea-4e33-b2a7-1ad0b67d1f25;;111111118;Vodacom Life 20260324;;;;;EC;1;2026-03-24 10:02:09+02;Millicent Motsuku;2026-03-24 09:54:08+02;2026-03-24 09:54:08+02;;;;;;;;;27646932612;;;;;;;;prepaid life;;;;;</t>
  </si>
  <si>
    <t>ID_57</t>
  </si>
  <si>
    <t>13861252;53f7e09d-ab0d-45c7-bb58-e1d7e8bb56f7;;111111118;Vodacom Life 20260324;;;;;NA;5;2026-05-22 0</t>
  </si>
  <si>
    <t>13861252;53f7e09d-ab0d-45c7-bb58-e1d7e8bb56f7;;111111118;Vodacom Life 20260324;;;;;NA;5;2026-05-22 09:20:29+02;system;2026-03-24 09:54:08+02;2026-03-24 09:54:08+02;;;;;;;;;27636209879;;;;;;;;prepaid life;;;;;</t>
  </si>
  <si>
    <t>ID_58</t>
  </si>
  <si>
    <t xml:space="preserve">13861154;c5c85ec8-8996-4265-b71f-aafa604489d7;;111111118;Vodacom Life 20260324;;;;;OAL;2;2026-04-08 </t>
  </si>
  <si>
    <t>13861154;c5c85ec8-8996-4265-b71f-aafa604489d7;;111111118;Vodacom Life 20260324;;;;;OAL;2;2026-04-08 12:36:18+02;Maureen Ntsoko;2026-03-24 09:54:08+02;2026-03-24 09:54:08+02;;;;;;;;;27725566825;;;;;;;;prepaid life;;;;;</t>
  </si>
  <si>
    <t>ID_59</t>
  </si>
  <si>
    <t>13861103;533ffb2c-5c1a-4819-8587-41f78fb604c7;;111111118;Vodacom Life 20260324;;;;;NI;1;2026-03-24 1</t>
  </si>
  <si>
    <t>13861103;533ffb2c-5c1a-4819-8587-41f78fb604c7;;111111118;Vodacom Life 20260324;;;;;NI;1;2026-03-24 10:01:50+02;Maureen Ntsoko;2026-03-24 09:54:08+02;2026-03-24 09:54:08+02;;;;;;;;;27647820149;;;;;;;;prepaid life;;;;;</t>
  </si>
  <si>
    <t>ID_60</t>
  </si>
  <si>
    <t>13861155;c9c30bcf-1b11-4d45-aeec-40808b55a5f7;;111111118;Vodacom Life 20260324;;;;;AE;5;2026-05-22 0</t>
  </si>
  <si>
    <t>13861155;c9c30bcf-1b11-4d45-aeec-40808b55a5f7;;111111118;Vodacom Life 20260324;;;;;AE;5;2026-05-22 09:01:49+02;system;2026-03-24 09:54:08+02;2026-03-24 09:54:08+02;;;;;;;;;27726097536;;;;;;;;prepaid life;;;;;</t>
  </si>
  <si>
    <t>ID_61</t>
  </si>
  <si>
    <t>13861104;6b7a1bab-5824-4118-9c1b-674a80862565;;111111118;Vodacom Life 20260324;;;;;NA;5;2026-05-22 0</t>
  </si>
  <si>
    <t>13861104;6b7a1bab-5824-4118-9c1b-674a80862565;;111111118;Vodacom Life 20260324;;;;;NA;5;2026-05-22 08:48:10+02;system;2026-03-24 09:54:08+02;2026-03-24 09:54:08+02;;;;;;;;;27647979768;;;;;;;;prepaid life;;;;;</t>
  </si>
  <si>
    <t>ID_62</t>
  </si>
  <si>
    <t>13861156;4422d669-0416-4805-867d-08542ebab584;;111111118;Vodacom Life 20260324;;;;;AE;5;2026-05-22 0</t>
  </si>
  <si>
    <t>13861156;4422d669-0416-4805-867d-08542ebab584;;111111118;Vodacom Life 20260324;;;;;AE;5;2026-05-22 09:02:03+02;system;2026-03-24 09:54:08+02;2026-03-24 09:54:08+02;;;;;;;;;27726447011;;;;;;;;prepaid life;;;;;</t>
  </si>
  <si>
    <t>ID_63</t>
  </si>
  <si>
    <t>13861253;151202ec-e92e-403b-a91e-b3d0d0fd221d;;111111118;Vodacom Life 20260324;;;;;AA;5;2026-05-22 0</t>
  </si>
  <si>
    <t>13861253;151202ec-e92e-403b-a91e-b3d0d0fd221d;;111111118;Vodacom Life 20260324;;;;;AA;5;2026-05-22 09:20:29+02;system;2026-03-24 09:54:08+02;2026-03-24 09:54:08+02;;;;;;;;;27636404809;;;;;;;;prepaid life;;;;;</t>
  </si>
  <si>
    <t>ID_64</t>
  </si>
  <si>
    <t>13861254;88086ee1-a4d2-4cc1-a1bd-3950f10993a5;;111111118;Vodacom Life 20260324;;;27636505248;;CU;5;2</t>
  </si>
  <si>
    <t>13861254;88086ee1-a4d2-4cc1-a1bd-3950f10993a5;;111111118;Vodacom Life 20260324;;;27636505248;;CU;5;2026-05-22 09:21:12+02;bongiwe lushaba;2026-03-24 09:54:08+02;2026-03-24 09:54:08+02;;;;;;;;;27636505248;;;;;;;;prepaid life;;;;;</t>
  </si>
  <si>
    <t>ID_65</t>
  </si>
  <si>
    <t>13861105;66d99a54-6110-42e6-b793-d716fb8a6db9;;111111118;Vodacom Life 20260324;;;27648464742;;AFTHRS</t>
  </si>
  <si>
    <t>13861105;66d99a54-6110-42e6-b793-d716fb8a6db9;;111111118;Vodacom Life 20260324;;;27648464742;;AFTHRS;5;2026-05-22 20:55:57+02;system;2026-03-24 09:54:08+02;2026-03-24 09:54:08+02;;;;;;;;;27648464742;;;;;;;;prepaid life;;;;;</t>
  </si>
  <si>
    <t>ID_66</t>
  </si>
  <si>
    <t>13861157;b75fd262-9f6a-4f3a-92d2-fd932e77e291;;111111118;Vodacom Life 20260324;;;;;CBACK;2;2026-04-0</t>
  </si>
  <si>
    <t>13861157;b75fd262-9f6a-4f3a-92d2-fd932e77e291;;111111118;Vodacom Life 20260324;;;;;CBACK;2;2026-04-08 12:39:20+02;Thandile Nokubeni;2026-03-24 09:54:08+02;2026-03-24 09:54:08+02;;;;;;;;;27726918068;;;;;;;;prepaid life;;;;;</t>
  </si>
  <si>
    <t>ID_67</t>
  </si>
  <si>
    <t>13861106;506a1f5d-dbea-4c3c-842c-2e0bacf5f683;;111111118;Vodacom Life 20260324;;;;;NI;3;2026-04-08 1</t>
  </si>
  <si>
    <t>13861106;506a1f5d-dbea-4c3c-842c-2e0bacf5f683;;111111118;Vodacom Life 20260324;;;;;NI;3;2026-04-08 12:29:57+02;Thandile Nokubeni;2026-03-24 09:54:08+02;2026-03-24 09:54:08+02;;;;;;;;;27648673466;;;;;;;;prepaid life;;;;;</t>
  </si>
  <si>
    <t>ID_68</t>
  </si>
  <si>
    <t>13861158;a96d500b-ab8f-42de-bc91-f14296230750;;111111118;Vodacom Life 20260324;;;;;NA;5;2026-05-22 0</t>
  </si>
  <si>
    <t>13861158;a96d500b-ab8f-42de-bc91-f14296230750;;111111118;Vodacom Life 20260324;;;;;NA;5;2026-05-22 09:02:08+02;system;2026-03-24 09:54:08+02;2026-03-24 09:54:08+02;;;;;;;;;27726939980;;;;;;;;prepaid life;;;;;</t>
  </si>
  <si>
    <t>ID_69</t>
  </si>
  <si>
    <t>13861255;c90e6a90-edfa-4aa0-8639-b09d52a6cc30;;111111118;Vodacom Life 20260324;;;;;AE;5;2026-05-22 0</t>
  </si>
  <si>
    <t>13861255;c90e6a90-edfa-4aa0-8639-b09d52a6cc30;;111111118;Vodacom Life 20260324;;;;;AE;5;2026-05-22 09:20:54+02;system;2026-03-24 09:54:08+02;2026-03-24 09:54:08+02;;;;;;;;;27637258119;;;;;;;;prepaid life;;;;;</t>
  </si>
  <si>
    <t>ID_70</t>
  </si>
  <si>
    <t>13861107;4fb0c652-a769-4b54-9a56-1e12b36f4ef5;;111111118;Vodacom Life 20260324;;;;;NI;3;2026-04-14 1</t>
  </si>
  <si>
    <t>13861107;4fb0c652-a769-4b54-9a56-1e12b36f4ef5;;111111118;Vodacom Life 20260324;;;;;NI;3;2026-04-14 10:03:38+02;Musiiwa Mary Mabirimisa;2026-03-24 09:54:08+02;2026-03-24 09:54:08+02;;;;;;;;;27648868771;;;;;;;;prepaid life;;;;;</t>
  </si>
  <si>
    <t>ID_71</t>
  </si>
  <si>
    <t>13861256;5dba43ab-dc1c-4d45-951c-25350417e879;;111111118;Vodacom Life 20260324;;;;;AA;5;2026-05-22 0</t>
  </si>
  <si>
    <t>13861256;5dba43ab-dc1c-4d45-951c-25350417e879;;111111118;Vodacom Life 20260324;;;;;AA;5;2026-05-22 09:20:54+02;system;2026-03-24 09:54:08+02;2026-03-24 09:54:08+02;;;;;;;;;27646215849;;;;;;;;prepaid life;;;;;</t>
  </si>
  <si>
    <t>ID_72</t>
  </si>
  <si>
    <t>13861159;7035eab7-7a0d-49c5-b19a-f99699ab1407;;111111118;Vodacom Life 20260324;;;;;NI;1;2026-03-24 1</t>
  </si>
  <si>
    <t>13861159;7035eab7-7a0d-49c5-b19a-f99699ab1407;;111111118;Vodacom Life 20260324;;;;;NI;1;2026-03-24 10:29:53+02;Maureen Ntsoko;2026-03-24 09:54:08+02;2026-03-24 09:54:08+02;;;;;;;;;27727458905;;;;;;;;prepaid life;;;;;</t>
  </si>
  <si>
    <t>ID_73</t>
  </si>
  <si>
    <t>13861108;93f5b439-2919-4999-ab01-45bf18baf92d;;111111118;Vodacom Life 20260324;;;;;AA;5;2026-05-22 0</t>
  </si>
  <si>
    <t>13861108;93f5b439-2919-4999-ab01-45bf18baf92d;;111111118;Vodacom Life 20260324;;;;;AA;5;2026-05-22 08:50:06+02;system;2026-03-24 09:54:08+02;2026-03-24 09:54:08+02;;;;;;;;;27648988336;;;;;;;;prepaid life;;;;;</t>
  </si>
  <si>
    <t>ID_74</t>
  </si>
  <si>
    <t>13861160;38ffed4c-8062-4924-84c0-5279c46ea654;;111111118;Vodacom Life 20260324;;;;;AA;5;2026-05-22 0</t>
  </si>
  <si>
    <t>13861160;38ffed4c-8062-4924-84c0-5279c46ea654;;111111118;Vodacom Life 20260324;;;;;AA;5;2026-05-22 09:02:10+02;system;2026-03-24 09:54:08+02;2026-03-24 09:54:08+02;;;;;;;;;27729146057;;;;;;;;prepaid life;;;;;</t>
  </si>
  <si>
    <t>ID_75</t>
  </si>
  <si>
    <t>13861257;4ceb184a-a814-40a0-ad52-4d9e20bdcb75;;111111118;Vodacom Life 20260324;;;;;CU;5;2026-04-16 1</t>
  </si>
  <si>
    <t>13861257;4ceb184a-a814-40a0-ad52-4d9e20bdcb75;;111111118;Vodacom Life 20260324;;;;;CU;5;2026-04-16 11:20:57+02;Musiiwa Mary Mabirimisa;2026-03-24 09:54:08+02;2026-03-24 09:54:08+02;;;;;;;;;27647743418;;;;;;;;prepaid life;;;;;</t>
  </si>
  <si>
    <t>ID_76</t>
  </si>
  <si>
    <t>13861258;4ceae357-ffcb-49f1-a7bd-02226070c764;;111111118;Vodacom Life 20260324;;;;;AE;5;2026-05-22 0</t>
  </si>
  <si>
    <t>13861258;4ceae357-ffcb-49f1-a7bd-02226070c764;;111111118;Vodacom Life 20260324;;;;;AE;5;2026-05-22 09:20:55+02;system;2026-03-24 09:54:08+02;2026-03-24 09:54:08+02;;;;;;;;;27647934751;;;;;;;;prepaid life;;;;;</t>
  </si>
  <si>
    <t>ID_77</t>
  </si>
  <si>
    <t>13861109;67d47f5d-fbea-43e7-856f-dd80c32b6bf8;;111111118;Vodacom Life 20260324;;;;;A;5;2026-05-22 08</t>
  </si>
  <si>
    <t>13861109;67d47f5d-fbea-43e7-856f-dd80c32b6bf8;;111111118;Vodacom Life 20260324;;;;;A;5;2026-05-22 08:50:28+02;bongiwe lushaba;2026-03-24 09:54:08+02;2026-03-24 09:54:08+02;;;;;;;;;27650970011;;;;;;;;prepaid life;;;;;</t>
  </si>
  <si>
    <t>ID_78</t>
  </si>
  <si>
    <t>13861259;948c47bc-036b-4a10-a9db-f70fbe7d4325;;111111118;Vodacom Life 20260324;;;;;AA;5;2026-05-22 0</t>
  </si>
  <si>
    <t>13861259;948c47bc-036b-4a10-a9db-f70fbe7d4325;;111111118;Vodacom Life 20260324;;;;;AA;5;2026-05-22 09:20:56+02;system;2026-03-24 09:54:08+02;2026-03-24 09:54:08+02;;;;;;;;;27647985939;;;;;;;;prepaid life;;;;;</t>
  </si>
  <si>
    <t>ID_79</t>
  </si>
  <si>
    <t>13861161;fabafb3c-c40f-4803-8097-907f7083285f;;111111118;Vodacom Life 20260324;;;;;CU;5;2026-05-22 0</t>
  </si>
  <si>
    <t>13861161;fabafb3c-c40f-4803-8097-907f7083285f;;111111118;Vodacom Life 20260324;;;;;CU;5;2026-05-22 09:02:12+02;bongiwe lushaba;2026-03-24 09:54:08+02;2026-03-24 09:54:08+02;;;;;;;;;27729176543;;;;;;;;prepaid life;;;;;</t>
  </si>
  <si>
    <t>ID_80</t>
  </si>
  <si>
    <t>13861162;41ef2161-19a8-4293-8a48-d4c39a018751;;111111118;Vodacom Life 20260324;;;;;NA;5;2026-05-22 0</t>
  </si>
  <si>
    <t>13861162;41ef2161-19a8-4293-8a48-d4c39a018751;;111111118;Vodacom Life 20260324;;;;;NA;5;2026-05-22 09:02:14+02;system;2026-03-24 09:54:08+02;2026-03-24 09:54:08+02;;;;;;;;;27729352172;;;;;;;;prepaid life;;;;;</t>
  </si>
  <si>
    <t>ID_81</t>
  </si>
  <si>
    <t>13861110;1525f450-71d8-4c77-950e-7fe24330609e;;111111118;Vodacom Life 20260324;;;;;AA;5;2026-05-22 0</t>
  </si>
  <si>
    <t>13861110;1525f450-71d8-4c77-950e-7fe24330609e;;111111118;Vodacom Life 20260324;;;;;AA;5;2026-05-22 08:50:55+02;system;2026-03-24 09:54:08+02;2026-03-24 09:54:08+02;;;;;;;;;27660304532;;;;;;;;prepaid life;;;;;</t>
  </si>
  <si>
    <t>ID_82</t>
  </si>
  <si>
    <t>13861260;c64fa2d2-4060-4559-ac4a-4f7afeb48e9d;;111111118;Vodacom Life 20260324;;;;;NA;5;2026-05-22 0</t>
  </si>
  <si>
    <t>13861260;c64fa2d2-4060-4559-ac4a-4f7afeb48e9d;;111111118;Vodacom Life 20260324;;;;;NA;5;2026-05-22 09:21:00+02;system;2026-03-24 09:54:08+02;2026-03-24 09:54:08+02;;;;;;;;;27648766366;;;;;;;;prepaid life;;;;;</t>
  </si>
  <si>
    <t>ID_83</t>
  </si>
  <si>
    <t>13861261;ca42b1bf-6335-4c66-9755-1693cec2d995;;111111118;Vodacom Life 20260324;;;;;NA;5;2026-05-22 0</t>
  </si>
  <si>
    <t>13861261;ca42b1bf-6335-4c66-9755-1693cec2d995;;111111118;Vodacom Life 20260324;;;;;NA;5;2026-05-22 09:21:01+02;system;2026-03-24 09:54:08+02;2026-03-24 09:54:08+02;;;;;;;;;27649184497;;;;;;;;prepaid life;;;;;</t>
  </si>
  <si>
    <t>ID_84</t>
  </si>
  <si>
    <t>13861111;38a6daec-d591-4c39-abb0-0e4a95f600cd;;111111118;Vodacom Life 20260324;;;;;CBACK;2;2026-03-2</t>
  </si>
  <si>
    <t>13861111;38a6daec-d591-4c39-abb0-0e4a95f600cd;;111111118;Vodacom Life 20260324;;;;;CBACK;2;2026-03-24 10:05:47+02;Maureen Ntsoko;2026-03-24 09:54:08+02;2026-03-24 09:54:08+02;;;;;;;;;27660744566;;;;;;;;prepaid life;;;;;</t>
  </si>
  <si>
    <t>ID_85</t>
  </si>
  <si>
    <t>13861262;85c06661-290b-49c2-8501-1ecc02c3a8b4;;111111118;Vodacom Life 20260324;;;27649710590;;IABDN;</t>
  </si>
  <si>
    <t>13861262;85c06661-290b-49c2-8501-1ecc02c3a8b4;;111111118;Vodacom Life 20260324;;;27649710590;;IABDN;5;2026-05-22 09:34:16+02;system;2026-03-24 09:54:08+02;2026-03-24 09:54:08+02;;;;;;;;;27649710590;;;;;;;;prepaid life;;;;;</t>
  </si>
  <si>
    <t>ID_86</t>
  </si>
  <si>
    <t xml:space="preserve">13861163;62bbfcbd-6849-4f3b-ad0f-d5c3d6d124ef;;111111118;Vodacom Life 20260324;;;;;ADC;5;2026-05-22 </t>
  </si>
  <si>
    <t>13861163;62bbfcbd-6849-4f3b-ad0f-d5c3d6d124ef;;111111118;Vodacom Life 20260324;;;;;ADC;5;2026-05-22 09:02:18+02;system;2026-03-24 09:54:08+02;2026-03-24 09:54:08+02;;;;;;;;;27729538361;;;;;;;;prepaid life;;;;;</t>
  </si>
  <si>
    <t>ID_87</t>
  </si>
  <si>
    <t>13861112;fe1b7681-129e-44db-98bf-bf7d778de845;;111111118;Vodacom Life 20260324;;;;;CBACK;1;2026-03-2</t>
  </si>
  <si>
    <t>13861112;fe1b7681-129e-44db-98bf-bf7d778de845;;111111118;Vodacom Life 20260324;;;;;CBACK;1;2026-03-24 10:04:21+02;Maureen Ntsoko;2026-03-24 09:54:08+02;2026-03-24 09:54:08+02;;;;;;;;;27660931939;;;;;;;;prepaid life;;;;;</t>
  </si>
  <si>
    <t>ID_88</t>
  </si>
  <si>
    <t>13861113;62ba98bb-f8a2-4868-a1ab-81f02a54bc47;;111111118;Vodacom Life 20260324;;;;;CBACK;5;2026-05-2</t>
  </si>
  <si>
    <t>13861113;62ba98bb-f8a2-4868-a1ab-81f02a54bc47;;111111118;Vodacom Life 20260324;;;;;CBACK;5;2026-05-22 08:50:55+02;Maureen Ntsoko;2026-03-24 09:54:08+02;2026-03-24 09:54:08+02;;;;;;;;;27661319428;;;;;;;;prepaid life;;;;;</t>
  </si>
  <si>
    <t>ID_89</t>
  </si>
  <si>
    <t>13861164;ba84dd14-1f6b-4d29-9190-58316202777f;;111111118;Vodacom Life 20260324;;;;;NA;5;2026-05-22 0</t>
  </si>
  <si>
    <t>13861164;ba84dd14-1f6b-4d29-9190-58316202777f;;111111118;Vodacom Life 20260324;;;;;NA;5;2026-05-22 09:02:20+02;system;2026-03-24 09:54:08+02;2026-03-24 09:54:08+02;;;;;;;;;27729796878;;;;;;;;prepaid life;;;;;</t>
  </si>
  <si>
    <t>ID_90</t>
  </si>
  <si>
    <t>13861263;26ef0d6e-15ef-43d2-9006-6532ec68b65c;;111111118;Vodacom Life 20260324;;;;;AA;5;2026-05-22 0</t>
  </si>
  <si>
    <t>13861263;26ef0d6e-15ef-43d2-9006-6532ec68b65c;;111111118;Vodacom Life 20260324;;;;;AA;5;2026-05-22 09:21:09+02;system;2026-03-24 09:54:08+02;2026-03-24 09:54:08+02;;;;;;;;;27660152994;;;;;;;;prepaid life;;;;;</t>
  </si>
  <si>
    <t>ID_91</t>
  </si>
  <si>
    <t>13861114;7ccf6f05-51bc-4c7f-ad3c-986bbacb9be6;;111111118;Vodacom Life 20260324;;;;;AA;5;2026-05-22 0</t>
  </si>
  <si>
    <t>13861114;7ccf6f05-51bc-4c7f-ad3c-986bbacb9be6;;111111118;Vodacom Life 20260324;;;;;AA;5;2026-05-22 08:51:00+02;system;2026-03-24 09:54:08+02;2026-03-24 09:54:08+02;;;;;;;;;27661752654;;;;;;;;prepaid life;;;;;</t>
  </si>
  <si>
    <t>ID_92</t>
  </si>
  <si>
    <t>13861264;2b93be40-5ef9-423c-b44a-83189018c597;;111111118;Vodacom Life 20260324;;;;;U;4;2026-04-17 11</t>
  </si>
  <si>
    <t>13861264;2b93be40-5ef9-423c-b44a-83189018c597;;111111118;Vodacom Life 20260324;;;;;U;4;2026-04-17 11:12:01+02;Musiiwa Mary Mabirimisa;2026-03-24 09:54:08+02;2026-03-24 09:54:08+02;;;;;;;;;27660284604;;;;;;;;prepaid life;;;;;</t>
  </si>
  <si>
    <t>ID_93</t>
  </si>
  <si>
    <t>13861115;6a350635-8e6f-4da1-b24a-c6c24267e0cf;;111111118;Vodacom Life 20260324;;;;;CU;5;2026-05-22 0</t>
  </si>
  <si>
    <t>13861115;6a350635-8e6f-4da1-b24a-c6c24267e0cf;;111111118;Vodacom Life 20260324;;;;;CU;5;2026-05-22 08:51:38+02;bongiwe lushaba;2026-03-24 09:54:08+02;2026-03-24 09:54:08+02;;;;;;;;;27661924202;;;;;;;;prepaid life;;;;;</t>
  </si>
  <si>
    <t>ID_94</t>
  </si>
  <si>
    <t>13861265;cfc9aef7-ee65-4156-a35f-57065f53f405;;111111118;Vodacom Life 20260324;;;;;CBACK;2;2026-04-1</t>
  </si>
  <si>
    <t>13861265;cfc9aef7-ee65-4156-a35f-57065f53f405;;111111118;Vodacom Life 20260324;;;;;CBACK;2;2026-04-10 08:25:47+02;Esther Ramalete;2026-03-24 09:54:08+02;2026-03-24 09:54:08+02;;;;;;;;;27660801739;;;;;;;;prepaid life;;;;;</t>
  </si>
  <si>
    <t>ID_95</t>
  </si>
  <si>
    <t>13861165;8d69f82d-f105-4788-bc59-df1437223641;;111111118;Vodacom Life 20260324;;;;;CBACK;5;2026-05-2</t>
  </si>
  <si>
    <t>13861165;8d69f82d-f105-4788-bc59-df1437223641;;111111118;Vodacom Life 20260324;;;;;CBACK;5;2026-05-22 09:02:20+02;Maureen Ntsoko;2026-03-24 09:54:08+02;2026-03-24 09:54:08+02;;;;;;;;;27729958688;;;;;;;;prepaid life;;;;;</t>
  </si>
  <si>
    <t>ID_96</t>
  </si>
  <si>
    <t xml:space="preserve">13861116;ac882a86-dac7-421d-9656-41bf0f51ec86;;111111118;Vodacom Life 20260324;;;;;CCB;7;2026-04-22 </t>
  </si>
  <si>
    <t>13861116;ac882a86-dac7-421d-9656-41bf0f51ec86;;111111118;Vodacom Life 20260324;;;;;CCB;7;2026-04-22 14:59:25+02;Seboifeng Mogola;2026-03-24 09:54:08+02;2026-03-24 09:54:08+02;;;;;;;;;27663293853;;;;;;;;prepaid life;;;;;</t>
  </si>
  <si>
    <t>ID_97</t>
  </si>
  <si>
    <t>13861166;153badf3-95a4-45aa-90f0-a5e7283a09d2;;111111118;Vodacom Life 20260324;;;;;AA;5;2026-05-22 0</t>
  </si>
  <si>
    <t>13861166;153badf3-95a4-45aa-90f0-a5e7283a09d2;;111111118;Vodacom Life 20260324;;;;;AA;5;2026-05-22 09:04:17+02;system;2026-03-24 09:54:08+02;2026-03-24 09:54:08+02;;;;;;;;;27762176323;;;;;;;;prepaid life;;;;;</t>
  </si>
  <si>
    <t>ID_98</t>
  </si>
  <si>
    <t>13861266;2d0d24eb-1db9-45ed-80a6-fe761451bad8;;111111118;Vodacom Life 20260324;;;;;AA;5;2026-05-22 0</t>
  </si>
  <si>
    <t>13861266;2d0d24eb-1db9-45ed-80a6-fe761451bad8;;111111118;Vodacom Life 20260324;;;;;AA;5;2026-05-22 09:21:11+02;system;2026-03-24 09:54:08+02;2026-03-24 09:54:08+02;;;;;;;;;27660867804;;;;;;;;prepaid life;;;;;</t>
  </si>
  <si>
    <t>ID_99</t>
  </si>
  <si>
    <t>13861267;bb4fe1b1-febf-4ba7-b34e-94f1cccce88d;;111111118;Vodacom Life 20260324;;;;;AA;5;2026-05-22 0</t>
  </si>
  <si>
    <t>13861267;bb4fe1b1-febf-4ba7-b34e-94f1cccce88d;;111111118;Vodacom Life 20260324;;;;;AA;5;2026-05-22 09:21:14+02;system;2026-03-24 09:54:08+02;2026-03-24 09:54:08+02;;;;;;;;;27663110048;;;;;;;;prepaid life;;;;;</t>
  </si>
  <si>
    <t>ID_100</t>
  </si>
  <si>
    <t>13861117;f8847171-9e6b-4244-84d2-461c3c2a3ce6;;111111118;Vodacom Life 20260324;;;;;NA;5;2026-05-22 0</t>
  </si>
  <si>
    <t>13861117;f8847171-9e6b-4244-84d2-461c3c2a3ce6;;111111118;Vodacom Life 20260324;;;;;NA;5;2026-05-22 08:52:31+02;system;2026-03-24 09:54:08+02;2026-03-24 09:54:08+02;;;;;;;;;27663892658;;;;;;;;prepaid life;;;;;</t>
  </si>
  <si>
    <t>ID_101</t>
  </si>
  <si>
    <t>13861167;75ac1d71-6a34-4caf-bd46-110e9fe952f8;;111111118;Vodacom Life 20260324;;;;;NIUP;3;2026-04-14</t>
  </si>
  <si>
    <t>13861167;75ac1d71-6a34-4caf-bd46-110e9fe952f8;;111111118;Vodacom Life 20260324;;;;;NIUP;3;2026-04-14 10:42:16+02;Millicent Motsuku;2026-03-24 09:54:08+02;2026-03-24 09:54:08+02;;;;;;;;;27762783715;;;;;;;;prepaid life;;;;;</t>
  </si>
  <si>
    <t>ID_102</t>
  </si>
  <si>
    <t>13861118;02068fd5-5472-49dd-a088-414bb7a4e3b0;;111111118;Vodacom Life 20260324;;;;;EC;6;2026-05-22 0</t>
  </si>
  <si>
    <t>13861118;02068fd5-5472-49dd-a088-414bb7a4e3b0;;111111118;Vodacom Life 20260324;;;;;EC;6;2026-05-22 09:53:12+02;Khensane Mabasa;2026-03-24 09:54:08+02;2026-03-24 09:54:08+02;;;;;;;;;27664135772;;;;;;;;prepaid life;;;;;</t>
  </si>
  <si>
    <t>ID_103</t>
  </si>
  <si>
    <t>13861268;80754fa6-4ae0-4e83-ba4e-8450f8485ed4;;111111118;Vodacom Life 20260324;;;;;NA;5;2026-05-22 0</t>
  </si>
  <si>
    <t>13861268;80754fa6-4ae0-4e83-ba4e-8450f8485ed4;;111111118;Vodacom Life 20260324;;;;;NA;5;2026-05-22 09:21:46+02;system;2026-03-24 09:54:08+02;2026-03-24 09:54:08+02;;;;;;;;;27663424696;;;;;;;;prepaid life;;;;;</t>
  </si>
  <si>
    <t>ID_104</t>
  </si>
  <si>
    <t>13861119;d1412ba4-32e5-4534-a84a-dd2ede0a45db;;111111118;Vodacom Life 20260324;;;;;CU;5;2026-05-22 0</t>
  </si>
  <si>
    <t>13861119;d1412ba4-32e5-4534-a84a-dd2ede0a45db;;111111118;Vodacom Life 20260324;;;;;CU;5;2026-05-22 08:52:40+02;Maureen Ntsoko;2026-03-24 09:54:08+02;2026-03-24 09:54:08+02;;;;;;;;;27664590826;;;;;;;;prepaid life;;;;;</t>
  </si>
  <si>
    <t>ID_105</t>
  </si>
  <si>
    <t>13861269;b1710348-72d6-4207-b188-0cacffcd0c25;;111111118;Vodacom Life 20260324;;;;;AA;5;2026-05-22 0</t>
  </si>
  <si>
    <t>13861269;b1710348-72d6-4207-b188-0cacffcd0c25;;111111118;Vodacom Life 20260324;;;;;AA;5;2026-05-22 09:21:46+02;system;2026-03-24 09:54:08+02;2026-03-24 09:54:08+02;;;;;;;;;27663624493;;;;;;;;prepaid life;;;;;</t>
  </si>
  <si>
    <t>ID_106</t>
  </si>
  <si>
    <t>13861168;0e0a18ee-fdd1-4d08-a8fc-42951d1a5aa0;;111111118;Vodacom Life 20260324;;;;;NI;1;2026-03-24 1</t>
  </si>
  <si>
    <t>13861168;0e0a18ee-fdd1-4d08-a8fc-42951d1a5aa0;;111111118;Vodacom Life 20260324;;;;;NI;1;2026-03-24 10:30:13+02;Musiiwa Mary Mabirimisa;2026-03-24 09:54:08+02;2026-03-24 09:54:08+02;;;;;;;;;27762791293;;;;;;;;prepaid life;;;;;</t>
  </si>
  <si>
    <t>ID_107</t>
  </si>
  <si>
    <t>13861169;7c801556-5d72-4e39-8d7e-5402d78c14d7;;111111118;Vodacom Life 20260324;;;;;AE;5;2026-05-22 0</t>
  </si>
  <si>
    <t>13861169;7c801556-5d72-4e39-8d7e-5402d78c14d7;;111111118;Vodacom Life 20260324;;;;;AE;5;2026-05-22 09:04:18+02;system;2026-03-24 09:54:08+02;2026-03-24 09:54:08+02;;;;;;;;;27763154466;;;;;;;;prepaid life;;;;;</t>
  </si>
  <si>
    <t>ID_108</t>
  </si>
  <si>
    <t>13861120;00f646c4-3cff-4a79-969b-846a1cd6d91b;;111111118;Vodacom Life 20260324;;;;;CU;5;2026-05-22 0</t>
  </si>
  <si>
    <t>13861120;00f646c4-3cff-4a79-969b-846a1cd6d91b;;111111118;Vodacom Life 20260324;;;;;CU;5;2026-05-22 08:52:47+02;bongiwe lushaba;2026-03-24 09:54:08+02;2026-03-24 09:54:08+02;;;;;;;;;27665757778;;;;;;;;prepaid life;;;;;</t>
  </si>
  <si>
    <t>ID_109</t>
  </si>
  <si>
    <t>13861170;404f029f-8552-438e-9350-91412279649a;;111111118;Vodacom Life 20260324;;;;;NA;5;2026-05-22 0</t>
  </si>
  <si>
    <t>13861170;404f029f-8552-438e-9350-91412279649a;;111111118;Vodacom Life 20260324;;;;;NA;5;2026-05-22 09:04:23+02;system;2026-03-24 09:54:08+02;2026-03-24 09:54:08+02;;;;;;;;;27763270400;;;;;;;;prepaid life;;;;;</t>
  </si>
  <si>
    <t>ID_110</t>
  </si>
  <si>
    <t>13861270;23b0d9e2-3b07-44fd-bf1b-6c654f68a1c9;;111111118;Vodacom Life 20260324;;;;;CU;5;2026-05-22 0</t>
  </si>
  <si>
    <t>13861270;23b0d9e2-3b07-44fd-bf1b-6c654f68a1c9;;111111118;Vodacom Life 20260324;;;;;CU;5;2026-05-22 09:22:19+02;Maureen Ntsoko;2026-03-24 09:54:08+02;2026-03-24 09:54:08+02;;;;;;;;;27663722440;;;;;;;;prepaid life;;;;;</t>
  </si>
  <si>
    <t>ID_111</t>
  </si>
  <si>
    <t>13861121;fdcdd220-a051-4080-a5e7-aaa69948a02d;;111111118;Vodacom Life 20260324;;;;;CBACK;2;2026-04-0</t>
  </si>
  <si>
    <t>13861121;fdcdd220-a051-4080-a5e7-aaa69948a02d;;111111118;Vodacom Life 20260324;;;;;CBACK;2;2026-04-08 12:16:33+02;Thandile Nokubeni;2026-03-24 09:54:08+02;2026-03-24 09:54:08+02;;;;;;;;;27673503517;;;;;;;;prepaid life;;;;;</t>
  </si>
  <si>
    <t>ID_112</t>
  </si>
  <si>
    <t>13861271;defd088a-63e2-428b-a822-944ef4ce3d74;;111111118;Vodacom Life 20260324;;;;;A;5;2026-05-22 09</t>
  </si>
  <si>
    <t>13861271;defd088a-63e2-428b-a822-944ef4ce3d74;;111111118;Vodacom Life 20260324;;;;;A;5;2026-05-22 09:22:29+02;bongiwe lushaba;2026-03-24 09:54:08+02;2026-03-24 09:54:08+02;;;;;;;;;27664263430;;;;;;;;prepaid life;;;;;</t>
  </si>
  <si>
    <t>ID_113</t>
  </si>
  <si>
    <t>13861171;2a886366-56af-472e-9c49-cf97f3915836;;111111118;Vodacom Life 20260324;;;;;U;5;2026-05-22 09</t>
  </si>
  <si>
    <t>13861171;2a886366-56af-472e-9c49-cf97f3915836;;111111118;Vodacom Life 20260324;;;;;U;5;2026-05-22 09:04:29+02;bongiwe lushaba;2026-03-24 09:54:08+02;2026-03-24 09:54:08+02;;;;;;;;;27763428383;;;;;;;;prepaid life;;;;;</t>
  </si>
  <si>
    <t>ID_114</t>
  </si>
  <si>
    <t>13861122;b12d0729-61f7-4a00-a1f4-29b978f4473e;;111111118;Vodacom Life 20260324;;;;;NI;3;2026-04-08 1</t>
  </si>
  <si>
    <t>13861122;b12d0729-61f7-4a00-a1f4-29b978f4473e;;111111118;Vodacom Life 20260324;;;;;NI;3;2026-04-08 13:55:56+02;Thandile Nokubeni;2026-03-24 09:54:08+02;2026-03-24 09:54:08+02;;;;;;;;;27674843965;;;;;;;;prepaid life;;;;;</t>
  </si>
  <si>
    <t>ID_115</t>
  </si>
  <si>
    <t>13861172;c2e894d8-49a4-4779-8e3b-12c5dde898a6;;111111118;Vodacom Life 20260324;;;;;AA;5;2026-05-22 0</t>
  </si>
  <si>
    <t>13861172;c2e894d8-49a4-4779-8e3b-12c5dde898a6;;111111118;Vodacom Life 20260324;;;;;AA;5;2026-05-22 09:04:30+02;system;2026-03-24 09:54:08+02;2026-03-24 09:54:08+02;;;;;;;;;27765117231;;;;;;;;prepaid life;;;;;</t>
  </si>
  <si>
    <t>ID_116</t>
  </si>
  <si>
    <t>13861272;8a749dcf-5633-4635-ae90-edf83d3c5f8d;;111111118;Vodacom Life 20260324;;;27664499478;;IABDN;</t>
  </si>
  <si>
    <t>13861272;8a749dcf-5633-4635-ae90-edf83d3c5f8d;;111111118;Vodacom Life 20260324;;;27664499478;;IABDN;5;2026-05-22 10:54:26+02;system;2026-03-24 09:54:08+02;2026-03-24 09:54:08+02;;;;;;;;;27664499478;;;;;;;;prepaid life;;;;;</t>
  </si>
  <si>
    <t>ID_117</t>
  </si>
  <si>
    <t>13861123;4b32f574-e6df-42b4-88dc-d50d24cc9a5c;;111111118;Vodacom Life 20260324;;;;;AA;5;2026-05-22 0</t>
  </si>
  <si>
    <t>13861123;4b32f574-e6df-42b4-88dc-d50d24cc9a5c;;111111118;Vodacom Life 20260324;;;;;AA;5;2026-05-22 08:53:26+02;system;2026-03-24 09:54:08+02;2026-03-24 09:54:08+02;;;;;;;;;27685133324;;;;;;;;prepaid life;;;;;</t>
  </si>
  <si>
    <t>ID_118</t>
  </si>
  <si>
    <t>13861173;fb2a4f1c-96dc-4f91-bf11-ae8845ba2c7b;;111111118;Vodacom Life 20260324;;;;;DROP;5;2026-05-22</t>
  </si>
  <si>
    <t>13861173;fb2a4f1c-96dc-4f91-bf11-ae8845ba2c7b;;111111118;Vodacom Life 20260324;;;;;DROP;5;2026-05-22 09:04:41+02;system;2026-03-24 09:54:08+02;2026-03-24 09:54:08+02;;;;;;;;;27765423017;;;;;;;;prepaid life;;;;;</t>
  </si>
  <si>
    <t>ID_119</t>
  </si>
  <si>
    <t>13861124;eebc8d5c-f2d3-4ac5-9f17-681cbb19a393;;111111118;Vodacom Life 20260324;;;;;AA;5;2026-05-22 0</t>
  </si>
  <si>
    <t>13861124;eebc8d5c-f2d3-4ac5-9f17-681cbb19a393;;111111118;Vodacom Life 20260324;;;;;AA;5;2026-05-22 08:54:14+02;system;2026-03-24 09:54:08+02;2026-03-24 09:54:08+02;;;;;;;;;27711640513;;;;;;;;prepaid life;;;;;</t>
  </si>
  <si>
    <t>ID_120</t>
  </si>
  <si>
    <t>13861174;cc1bfc43-eb1c-48da-b965-167aac429434;;111111118;Vodacom Life 20260324;;;27765473001;;NA;5;2</t>
  </si>
  <si>
    <t>13861174;cc1bfc43-eb1c-48da-b965-167aac429434;;111111118;Vodacom Life 20260324;;;27765473001;;NA;5;2026-05-22 09:06:24+02;Maureen Ntsoko;2026-03-24 09:54:08+02;2026-03-24 09:54:08+02;;;;;;;;;27765473001;;;;;;;;prepaid life;;;;;</t>
  </si>
  <si>
    <t>ID_121</t>
  </si>
  <si>
    <t>13861274;d5abdb3e-042f-4380-b12c-603eeafa390b;;111111118;Vodacom Life 20260324;;;;;NA;5;2026-05-22 0</t>
  </si>
  <si>
    <t>13861274;d5abdb3e-042f-4380-b12c-603eeafa390b;;111111118;Vodacom Life 20260324;;;;;NA;5;2026-05-22 09:23:42+02;system;2026-03-24 09:54:08+02;2026-03-24 09:54:08+02;;;;;;;;;27673881790;;;;;;;;prepaid life;;;;;</t>
  </si>
  <si>
    <t>ID_122</t>
  </si>
  <si>
    <t>13861125;6ee3b708-bc8d-4a75-b4a6-c278eb733596;;111111118;Vodacom Life 20260324;;;;;AA;5;2026-05-22 0</t>
  </si>
  <si>
    <t>13861125;6ee3b708-bc8d-4a75-b4a6-c278eb733596;;111111118;Vodacom Life 20260324;;;;;AA;5;2026-05-22 08:54:14+02;system;2026-03-24 09:54:08+02;2026-03-24 09:54:08+02;;;;;;;;;27712002538;;;;;;;;prepaid life;;;;;</t>
  </si>
  <si>
    <t>ID_123</t>
  </si>
  <si>
    <t>13861275;82ae4eca-8a86-42fd-9778-8c427e4a9380;;111111118;Vodacom Life 20260324;;;;;DROP;5;2026-05-22</t>
  </si>
  <si>
    <t>13861275;82ae4eca-8a86-42fd-9778-8c427e4a9380;;111111118;Vodacom Life 20260324;;;;;DROP;5;2026-05-22 09:23:42+02;system;2026-03-24 09:54:08+02;2026-03-24 09:54:08+02;;;;;;;;;27711069751;;;;;;;;prepaid life;;;;;</t>
  </si>
  <si>
    <t>ID_124</t>
  </si>
  <si>
    <t>13861175;94d6e7e1-6542-48ed-9561-f9490fba2cce;;111111118;Vodacom Life 20260324;;;;;AA;5;2026-05-22 0</t>
  </si>
  <si>
    <t>13861175;94d6e7e1-6542-48ed-9561-f9490fba2cce;;111111118;Vodacom Life 20260324;;;;;AA;5;2026-05-22 09:05:39+02;system;2026-03-24 09:54:08+02;2026-03-24 09:54:08+02;;;;;;;;;27765539394;;;;;;;;prepaid life;;;;;</t>
  </si>
  <si>
    <t>ID_125</t>
  </si>
  <si>
    <t>13861176;bab2658f-133d-4b36-8e74-5e0f6387a5ac;;111111118;Vodacom Life 20260324;;;;;CU;5;2026-05-22 0</t>
  </si>
  <si>
    <t>13861176;bab2658f-133d-4b36-8e74-5e0f6387a5ac;;111111118;Vodacom Life 20260324;;;;;CU;5;2026-05-22 09:05:39+02;Maureen Ntsoko;2026-03-24 09:54:08+02;2026-03-24 09:54:08+02;;;;;;;;;27765643294;;;;;;;;prepaid life;;;;;</t>
  </si>
  <si>
    <t>ID_126</t>
  </si>
  <si>
    <t>13861126;f57eccf9-4b10-4e05-bed6-cd8e88b0a698;;111111118;Vodacom Life 20260324;;;27712280599;;CU;5;2</t>
  </si>
  <si>
    <t>13861126;f57eccf9-4b10-4e05-bed6-cd8e88b0a698;;111111118;Vodacom Life 20260324;;;27712280599;;CU;5;2026-05-22 08:55:13+02;Maureen Ntsoko;2026-03-24 09:54:08+02;2026-03-24 09:54:08+02;;;;;;;;;27712280599;;;;;;;;prepaid life;;;;;</t>
  </si>
  <si>
    <t>ID_127</t>
  </si>
  <si>
    <t>13861177;75f142e7-325d-48e7-9d28-e9f5928fd1d1;;111111118;Vodacom Life 20260324;;;;;U;5;2026-05-22 09</t>
  </si>
  <si>
    <t>13861177;75f142e7-325d-48e7-9d28-e9f5928fd1d1;;111111118;Vodacom Life 20260324;;;;;U;5;2026-05-22 09:05:52+02;bongiwe lushaba;2026-03-24 09:54:08+02;2026-03-24 09:54:08+02;;;;;;;;;27765755828;;;;;;;;prepaid life;;;;;</t>
  </si>
  <si>
    <t>ID_128</t>
  </si>
  <si>
    <t>13861276;00a7d96c-b069-4786-b7d9-09c806377c16;;111111118;Vodacom Life 20260324;;;;;NA;5;2026-05-22 0</t>
  </si>
  <si>
    <t>13861276;00a7d96c-b069-4786-b7d9-09c806377c16;;111111118;Vodacom Life 20260324;;;;;NA;5;2026-05-22 09:23:42+02;system;2026-03-24 09:54:08+02;2026-03-24 09:54:08+02;;;;;;;;;27711121270;;;;;;;;prepaid life;;;;;</t>
  </si>
  <si>
    <t>ID_129</t>
  </si>
  <si>
    <t>13861127;377b3bab-62be-41d7-8046-084c91b725d5;;111111118;Vodacom Life 20260324;;;;;AA;5;2026-05-22 0</t>
  </si>
  <si>
    <t>13861127;377b3bab-62be-41d7-8046-084c91b725d5;;111111118;Vodacom Life 20260324;;;;;AA;5;2026-05-22 08:54:37+02;system;2026-03-24 09:54:08+02;2026-03-24 09:54:08+02;;;;;;;;;27712612520;;;;;;;;prepaid life;;;;;</t>
  </si>
  <si>
    <t>ID_130</t>
  </si>
  <si>
    <t xml:space="preserve">13861277;05b7fe98-f4e5-448f-8517-0d57e1b9d0d9;;111111118;Vodacom Life 20260324;;;;;ADC;5;2026-05-22 </t>
  </si>
  <si>
    <t>13861277;05b7fe98-f4e5-448f-8517-0d57e1b9d0d9;;111111118;Vodacom Life 20260324;;;;;ADC;5;2026-05-22 09:24:45+02;system;2026-03-24 09:54:08+02;2026-03-24 09:54:08+02;;;;;;;;;27711153526;;;;;;;;prepaid life;;;;;</t>
  </si>
  <si>
    <t>ID_131</t>
  </si>
  <si>
    <t>13861178;d5bf5fa0-3f35-4148-9e3d-7f625a3fed23;;111111118;Vodacom Life 20260324;;;;;AA;5;2026-05-22 0</t>
  </si>
  <si>
    <t>13861178;d5bf5fa0-3f35-4148-9e3d-7f625a3fed23;;111111118;Vodacom Life 20260324;;;;;AA;5;2026-05-22 09:06:37+02;system;2026-03-24 09:54:08+02;2026-03-24 09:54:08+02;;;;;;;;;27766685961;;;;;;;;prepaid life;;;;;</t>
  </si>
  <si>
    <t>ID_132</t>
  </si>
  <si>
    <t>13861128;c757494f-af72-4b89-b4e1-d5c083cc7b66;;111111118;Vodacom Life 20260324;;;;;DROP;5;2026-05-22</t>
  </si>
  <si>
    <t>13861128;c757494f-af72-4b89-b4e1-d5c083cc7b66;;111111118;Vodacom Life 20260324;;;;;DROP;5;2026-05-22 08:54:57+02;system;2026-03-24 09:54:08+02;2026-03-24 09:54:08+02;;;;;;;;;27713566780;;;;;;;;prepaid life;;;;;</t>
  </si>
  <si>
    <t>ID_133</t>
  </si>
  <si>
    <t>13861179;6d14c825-197e-47de-a8a8-c8646d996ce1;;111111118;Vodacom Life 20260324;;;;;U;1;2026-03-24 10</t>
  </si>
  <si>
    <t>13861179;6d14c825-197e-47de-a8a8-c8646d996ce1;;111111118;Vodacom Life 20260324;;;;;U;1;2026-03-24 10:31:22+02;Thandile Nokubeni;2026-03-24 09:54:08+02;2026-03-24 09:54:08+02;;;;;;;;;27766695969;;;;;;;;prepaid life;;;;;</t>
  </si>
  <si>
    <t>ID_134</t>
  </si>
  <si>
    <t>13861278;e07f7830-3b6c-408a-8db9-938f9e56c0ba;;111111118;Vodacom Life 20260324;;;;;NI;1;2026-03-24 1</t>
  </si>
  <si>
    <t>13861278;e07f7830-3b6c-408a-8db9-938f9e56c0ba;;111111118;Vodacom Life 20260324;;;;;NI;1;2026-03-24 10:44:33+02;Maureen Ntsoko;2026-03-24 09:54:08+02;2026-03-24 09:54:08+02;;;;;;;;;27711589197;;;;;;;;prepaid life;;;;;</t>
  </si>
  <si>
    <t>ID_135</t>
  </si>
  <si>
    <t>13861129;9530923c-7763-4df4-9059-1d0655d140fa;;111111118;Vodacom Life 20260324;;;;;NA;5;2026-05-22 0</t>
  </si>
  <si>
    <t>13861129;9530923c-7763-4df4-9059-1d0655d140fa;;111111118;Vodacom Life 20260324;;;;;NA;5;2026-05-22 08:55:36+02;system;2026-03-24 09:54:08+02;2026-03-24 09:54:08+02;;;;;;;;;27713671786;;;;;;;;prepaid life;;;;;</t>
  </si>
  <si>
    <t>ID_136</t>
  </si>
  <si>
    <t>13861279;b875e12b-95b0-432c-842e-6c49a650e3ec;;111111118;Vodacom Life 20260324;;;27711751003;;IABDN;</t>
  </si>
  <si>
    <t>13861279;b875e12b-95b0-432c-842e-6c49a650e3ec;;111111118;Vodacom Life 20260324;;;27711751003;;IABDN;5;2026-05-22 09:28:04+02;system;2026-03-24 09:54:08+02;2026-03-24 09:54:08+02;;;;;;;;;27711751003;;;;;;;;prepaid life;;;;;</t>
  </si>
  <si>
    <t>ID_137</t>
  </si>
  <si>
    <t xml:space="preserve">13861180;c58ced04-75d2-455f-9575-f1b3c46a8479;;111111118;Vodacom Life 20260324;;;;;ADC;5;2026-05-22 </t>
  </si>
  <si>
    <t>13861180;c58ced04-75d2-455f-9575-f1b3c46a8479;;111111118;Vodacom Life 20260324;;;;;ADC;5;2026-05-22 09:07:21+02;system;2026-03-24 09:54:08+02;2026-03-24 09:54:08+02;;;;;;;;;27766948426;;;;;;;;prepaid life;;;;;</t>
  </si>
  <si>
    <t>ID_138</t>
  </si>
  <si>
    <t>13861130;6ad6d8f5-43b3-4cd9-889f-3bfc2e195c2e;;111111118;Vodacom Life 20260324;;;;;AA;5;2026-05-22 0</t>
  </si>
  <si>
    <t>13861130;6ad6d8f5-43b3-4cd9-889f-3bfc2e195c2e;;111111118;Vodacom Life 20260324;;;;;AA;5;2026-05-22 08:55:36+02;system;2026-03-24 09:54:08+02;2026-03-24 09:54:08+02;;;;;;;;;27714288748;;;;;;;;prepaid life;;;;;</t>
  </si>
  <si>
    <t>ID_139</t>
  </si>
  <si>
    <t>13861280;e21e6f04-1102-42bf-86d2-e7843b6c1229;;111111118;Vodacom Life 20260324;;;;;AA;5;2026-05-22 0</t>
  </si>
  <si>
    <t>13861280;e21e6f04-1102-42bf-86d2-e7843b6c1229;;111111118;Vodacom Life 20260324;;;;;AA;5;2026-05-22 09:35:26+02;system;2026-03-24 09:54:08+02;2026-03-24 09:54:08+02;;;;;;;;;27711821034;;;;;;;;prepaid life;;;;;</t>
  </si>
  <si>
    <t>ID_140</t>
  </si>
  <si>
    <t>13861131;f4137dd3-dfbd-4261-a7e8-7ef4148c086f;;111111118;Vodacom Life 20260324;;;;;AE;5;2026-05-22 0</t>
  </si>
  <si>
    <t>13861131;f4137dd3-dfbd-4261-a7e8-7ef4148c086f;;111111118;Vodacom Life 20260324;;;;;AE;5;2026-05-22 08:55:36+02;system;2026-03-24 09:54:08+02;2026-03-24 09:54:08+02;;;;;;;;;27714885358;;;;;;;;prepaid life;;;;;</t>
  </si>
  <si>
    <t>ID_141</t>
  </si>
  <si>
    <t>13861181;50ec7084-a2d9-455b-b0d5-e76c3d5a4aa2;;111111118;Vodacom Life 20260324;;;;;U;4;2026-04-17 10</t>
  </si>
  <si>
    <t>13861181;50ec7084-a2d9-455b-b0d5-e76c3d5a4aa2;;111111118;Vodacom Life 20260324;;;;;U;4;2026-04-17 10:53:52+02;Maureen Ntsoko;2026-03-24 09:54:08+02;2026-03-24 09:54:08+02;;;;;;;;;27766982323;;;;;;;;prepaid life;;;;;</t>
  </si>
  <si>
    <t>ID_142</t>
  </si>
  <si>
    <t>13861132;2ff224d6-987c-4ab2-a358-101c7cd772cc;;111111118;Vodacom Life 20260324;;;;;NA;5;2026-05-22 0</t>
  </si>
  <si>
    <t>13861132;2ff224d6-987c-4ab2-a358-101c7cd772cc;;111111118;Vodacom Life 20260324;;;;;NA;5;2026-05-22 08:55:36+02;system;2026-03-24 09:54:08+02;2026-03-24 09:54:08+02;;;;;;;;;27715322427;;;;;;;;prepaid life;;;;;</t>
  </si>
  <si>
    <t>ID_143</t>
  </si>
  <si>
    <t>13861182;f2cf0b2d-ca65-4fd0-bca1-ebc3dd3f6474;;111111118;Vodacom Life 20260324;;;;;U;3;2026-04-14 10</t>
  </si>
  <si>
    <t>13861182;f2cf0b2d-ca65-4fd0-bca1-ebc3dd3f6474;;111111118;Vodacom Life 20260324;;;;;U;3;2026-04-14 10:58:43+02;Esther Ramalete;2026-03-24 09:54:08+02;2026-03-24 09:54:08+02;;;;;;;;;27767487266;;;;;;;;prepaid life;;;;;</t>
  </si>
  <si>
    <t>ID_144</t>
  </si>
  <si>
    <t>13861281;27547f96-4b36-4ab5-9dae-56f95e4a08f7;;111111118;Vodacom Life 20260324;;;;;DROP;5;2026-05-22</t>
  </si>
  <si>
    <t>13861281;27547f96-4b36-4ab5-9dae-56f95e4a08f7;;111111118;Vodacom Life 20260324;;;;;DROP;5;2026-05-22 09:38:51+02;system;2026-03-24 09:54:08+02;2026-03-24 09:54:08+02;;;;;;;;;27712289661;;;;;;;;prepaid life;;;;;</t>
  </si>
  <si>
    <t>ID_145</t>
  </si>
  <si>
    <t>13861133;23ba7071-1ca0-4899-bccb-a4e9d50da209;;111111118;Vodacom Life 20260324;;;;;NA;5;2026-05-22 0</t>
  </si>
  <si>
    <t>13861133;23ba7071-1ca0-4899-bccb-a4e9d50da209;;111111118;Vodacom Life 20260324;;;;;NA;5;2026-05-22 08:56:33+02;system;2026-03-24 09:54:08+02;2026-03-24 09:54:08+02;;;;;;;;;27715394734;;;;;;;;prepaid life;;;;;</t>
  </si>
  <si>
    <t>ID_146</t>
  </si>
  <si>
    <t xml:space="preserve">13861282;62ebe686-8463-4dfb-a6f7-b2499da07d80;;111111118;Vodacom Life 20260324;;;;;ADC;5;2026-05-22 </t>
  </si>
  <si>
    <t>13861282;62ebe686-8463-4dfb-a6f7-b2499da07d80;;111111118;Vodacom Life 20260324;;;;;ADC;5;2026-05-22 09:39:42+02;system;2026-03-24 09:54:08+02;2026-03-24 09:54:08+02;;;;;;;;;27713272260;;;;;;;;prepaid life;;;;;</t>
  </si>
  <si>
    <t>ID_147</t>
  </si>
  <si>
    <t>13861183;60174da2-82f3-4210-aab5-f1741068af7a;;111111118;Vodacom Life 20260324;;;;;NA;5;2026-05-22 0</t>
  </si>
  <si>
    <t>13861183;60174da2-82f3-4210-aab5-f1741068af7a;;111111118;Vodacom Life 20260324;;;;;NA;5;2026-05-22 09:07:26+02;system;2026-03-24 09:54:08+02;2026-03-24 09:54:08+02;;;;;;;;;27767589510;;;;;;;;prepaid life;;;;;</t>
  </si>
  <si>
    <t>ID_148</t>
  </si>
  <si>
    <t>13861134;117ddfd9-4a68-42e6-bf79-0ac7d87fff8d;;111111118;Vodacom Life 20260324;;;;;NA;5;2026-05-22 0</t>
  </si>
  <si>
    <t>13861134;117ddfd9-4a68-42e6-bf79-0ac7d87fff8d;;111111118;Vodacom Life 20260324;;;;;NA;5;2026-05-22 08:56:33+02;system;2026-03-24 09:54:08+02;2026-03-24 09:54:08+02;;;;;;;;;27715757515;;;;;;;;prepaid life;;;;;</t>
  </si>
  <si>
    <t>ID_149</t>
  </si>
  <si>
    <t>13861184;a3ac9e09-79f9-422f-a6aa-728fa05051a6;;111111118;Vodacom Life 20260324;;;;;U;5;2026-05-22 09</t>
  </si>
  <si>
    <t>13861184;a3ac9e09-79f9-422f-a6aa-728fa05051a6;;111111118;Vodacom Life 20260324;;;;;U;5;2026-05-22 09:07:26+02;bongiwe lushaba;2026-03-24 09:54:08+02;2026-03-24 09:54:08+02;;;;;;;;;27767688471;;;;;;;;prepaid life;;;;;</t>
  </si>
  <si>
    <t>ID_150</t>
  </si>
  <si>
    <t>13861283;d9826ac1-063c-4fba-8fd1-537e70452390;;111111118;Vodacom Life 20260324;;;;;CBACK;5;2026-05-2</t>
  </si>
  <si>
    <t>13861283;d9826ac1-063c-4fba-8fd1-537e70452390;;111111118;Vodacom Life 20260324;;;;;CBACK;5;2026-05-22 09:39:42+02;Maureen Ntsoko;2026-03-24 09:54:08+02;2026-03-24 09:54:08+02;;;;;;;;;27713557271;;;;;;;;prepaid life;;;;;</t>
  </si>
  <si>
    <t>ID_151</t>
  </si>
  <si>
    <t>13861135;5e79a289-cb84-4c3d-bc2f-f086e81cc803;;111111118;Vodacom Life 20260324;;;;;AA;5;2026-05-22 0</t>
  </si>
  <si>
    <t>13861135;5e79a289-cb84-4c3d-bc2f-f086e81cc803;;111111118;Vodacom Life 20260324;;;;;AA;5;2026-05-22 08:58:02+02;system;2026-03-24 09:54:08+02;2026-03-24 09:54:08+02;;;;;;;;;27716518520;;;;;;;;prepaid life;;;;;</t>
  </si>
  <si>
    <t>ID_152</t>
  </si>
  <si>
    <t>13861284;0cd7ef2d-b629-4166-a8fc-f073f9999a9a;;111111118;Vodacom Life 20260324;;;;;N;5;2026-05-07 13</t>
  </si>
  <si>
    <t>13861284;0cd7ef2d-b629-4166-a8fc-f073f9999a9a;;111111118;Vodacom Life 20260324;;;;;N;5;2026-05-07 13:26:27+02;Millicent Motsuku;2026-03-24 09:54:08+02;2026-03-24 09:54:08+02;;;;;;;;;27713616815;;;;;;;;prepaid life;;;;;</t>
  </si>
  <si>
    <t>ID_153</t>
  </si>
  <si>
    <t>13861331;63af0b0c-f684-44ff-a554-9cf6f33596c4;;111111118;Vodacom Life 20260324;;;;;AE;5;2026-05-22 0</t>
  </si>
  <si>
    <t>13861331;63af0b0c-f684-44ff-a554-9cf6f33596c4;;111111118;Vodacom Life 20260324;;;;;AE;5;2026-05-22 09:57:57+02;system;2026-03-24 09:54:08+02;2026-03-24 09:54:08+02;;;;;;;;;27760731601;;;;;;;;prepaid life;;;;;</t>
  </si>
  <si>
    <t>ID_154</t>
  </si>
  <si>
    <t>13861285;08bdfda2-08b2-4d19-bf44-6b71ce605c43;;111111118;Vodacom Life 20260324;;;;;NA;5;2026-05-22 0</t>
  </si>
  <si>
    <t>13861285;08bdfda2-08b2-4d19-bf44-6b71ce605c43;;111111118;Vodacom Life 20260324;;;;;NA;5;2026-05-22 09:42:27+02;system;2026-03-24 09:54:08+02;2026-03-24 09:54:08+02;;;;;;;;;27713782316;;;;;;;;prepaid life;;;;;</t>
  </si>
  <si>
    <t>ID_155</t>
  </si>
  <si>
    <t>13861185;240af164-f67d-4c8d-9da2-770bd6b72099;;111111118;Vodacom Life 20260324;;;;;NI;2;2026-04-08 1</t>
  </si>
  <si>
    <t>13861185;240af164-f67d-4c8d-9da2-770bd6b72099;;111111118;Vodacom Life 20260324;;;;;NI;2;2026-04-08 14:24:16+02;Thandile Nokubeni;2026-03-24 09:54:08+02;2026-03-24 09:54:08+02;;;;;;;;;27767707931;;;;;;;;prepaid life;;;;;</t>
  </si>
  <si>
    <t>ID_156</t>
  </si>
  <si>
    <t>13861332;6bc5253f-751a-4f28-9b8e-fb36711d7155;;111111118;Vodacom Life 20260324;;;;;AE;5;2026-05-22 0</t>
  </si>
  <si>
    <t>13861332;6bc5253f-751a-4f28-9b8e-fb36711d7155;;111111118;Vodacom Life 20260324;;;;;AE;5;2026-05-22 09:57:57+02;system;2026-03-24 09:54:08+02;2026-03-24 09:54:08+02;;;;;;;;;27760797999;;;;;;;;prepaid life;;;;;</t>
  </si>
  <si>
    <t>ID_157</t>
  </si>
  <si>
    <t>13861286;20878daf-6008-4719-b635-6f7d38217836;;111111118;Vodacom Life 20260324;;;27714400325;;CU;5;2</t>
  </si>
  <si>
    <t>13861286;20878daf-6008-4719-b635-6f7d38217836;;111111118;Vodacom Life 20260324;;;27714400325;;CU;5;2026-05-07 13:52:16+02;Musiiwa Mary Mabirimisa;2026-03-24 09:54:08+02;2026-03-24 09:54:08+02;;;;;;;;;27714400325;;;;;;;;prepaid life;;;;;</t>
  </si>
  <si>
    <t>ID_158</t>
  </si>
  <si>
    <t>13861333;a91c746e-ede1-4e7f-8461-a07d37a21b27;;111111118;Vodacom Life 20260324;;;;;NA;5;2026-05-22 0</t>
  </si>
  <si>
    <t>13861333;a91c746e-ede1-4e7f-8461-a07d37a21b27;;111111118;Vodacom Life 20260324;;;;;NA;5;2026-05-22 09:57:57+02;system;2026-03-24 09:54:08+02;2026-03-24 09:54:08+02;;;;;;;;;27761376167;;;;;;;;prepaid life;;;;;</t>
  </si>
  <si>
    <t>ID_159</t>
  </si>
  <si>
    <t>13861287;d4fa6161-569b-446b-83ab-061ec2654687;;111111118;Vodacom Life 20260324;;;;;NIUP;3;2026-04-14</t>
  </si>
  <si>
    <t>13861287;d4fa6161-569b-446b-83ab-061ec2654687;;111111118;Vodacom Life 20260324;;;;;NIUP;3;2026-04-14 11:51:28+02;Esther Ramalete;2026-03-24 09:54:08+02;2026-03-24 09:54:08+02;;;;;;;;;27714496401;;;;;;;;prepaid life;;;;;</t>
  </si>
  <si>
    <t>ID_160</t>
  </si>
  <si>
    <t>13861186;7245c70c-6215-46c7-8a4d-1fdda2d596e2;;111111118;Vodacom Life 20260324;;;;;AA;5;2026-05-22 0</t>
  </si>
  <si>
    <t>13861186;7245c70c-6215-46c7-8a4d-1fdda2d596e2;;111111118;Vodacom Life 20260324;;;;;AA;5;2026-05-22 09:07:26+02;system;2026-03-24 09:54:08+02;2026-03-24 09:54:08+02;;;;;;;;;27767887521;;;;;;;;prepaid life;;;;;</t>
  </si>
  <si>
    <t>ID_161</t>
  </si>
  <si>
    <t>13861334;3458470d-3de6-40a5-8f05-5cd727168276;;111111118;Vodacom Life 20260324;;;;;NI;1;2026-03-24 1</t>
  </si>
  <si>
    <t>13861334;3458470d-3de6-40a5-8f05-5cd727168276;;111111118;Vodacom Life 20260324;;;;;NI;1;2026-03-24 10:55:23+02;Thandile Nokubeni;2026-03-24 09:54:08+02;2026-03-24 09:54:08+02;;;;;;;;;27761567746;;;;;;;;prepaid life;;;;;</t>
  </si>
  <si>
    <t>ID_162</t>
  </si>
  <si>
    <t>13861187;f66e8127-8043-4583-9170-ac3ab10d1392;;111111118;Vodacom Life 20260324;;;;;AA;5;2026-05-22 0</t>
  </si>
  <si>
    <t>13861187;f66e8127-8043-4583-9170-ac3ab10d1392;;111111118;Vodacom Life 20260324;;;;;AA;5;2026-05-22 09:07:26+02;system;2026-03-24 09:54:08+02;2026-03-24 09:54:08+02;;;;;;;;;27767940161;;;;;;;;prepaid life;;;;;</t>
  </si>
  <si>
    <t>ID_163</t>
  </si>
  <si>
    <t>13861188;aea41cf1-07c9-4b91-88ec-3191e54593b7;;111111118;Vodacom Life 20260324;;;;;DROP;5;2026-05-22</t>
  </si>
  <si>
    <t>13861188;aea41cf1-07c9-4b91-88ec-3191e54593b7;;111111118;Vodacom Life 20260324;;;;;DROP;5;2026-05-22 09:09:36+02;system;2026-03-24 09:54:08+02;2026-03-24 09:54:08+02;;;;;;;;;27768189813;;;;;;;;prepaid life;;;;;</t>
  </si>
  <si>
    <t>ID_164</t>
  </si>
  <si>
    <t>13861288;32a2300b-bbc2-4e37-b96c-86dc27476f3e;;111111118;Vodacom Life 20260324;;;27714889116;;IABDN;</t>
  </si>
  <si>
    <t>13861288;32a2300b-bbc2-4e37-b96c-86dc27476f3e;;111111118;Vodacom Life 20260324;;;27714889116;;IABDN;5;2026-05-29 17:57:59+02;system;2026-03-24 09:54:08+02;2026-03-24 09:54:08+02;;;;;;;;;27714889116;;;;;;;;prepaid life;;;;;</t>
  </si>
  <si>
    <t>ID_165</t>
  </si>
  <si>
    <t>13861335;d6966c96-d006-4a38-9c33-1446a3294008;;111111118;Vodacom Life 20260324;;;;;CU;5;2026-05-22 0</t>
  </si>
  <si>
    <t>13861335;d6966c96-d006-4a38-9c33-1446a3294008;;111111118;Vodacom Life 20260324;;;;;CU;5;2026-05-22 09:57:58+02;Maureen Ntsoko;2026-03-24 09:54:08+02;2026-03-24 09:54:08+02;;;;;;;;;27762032512;;;;;;;;prepaid life;;;;;</t>
  </si>
  <si>
    <t>ID_166</t>
  </si>
  <si>
    <t>13861289;d1fe1842-cc81-4801-b105-9b06cb88804c;;111111118;Vodacom Life 20260324;;;;;NA;5;2026-05-22 0</t>
  </si>
  <si>
    <t>13861289;d1fe1842-cc81-4801-b105-9b06cb88804c;;111111118;Vodacom Life 20260324;;;;;NA;5;2026-05-22 09:42:56+02;system;2026-03-24 09:54:08+02;2026-03-24 09:54:08+02;;;;;;;;;27715282319;;;;;;;;prepaid life;;;;;</t>
  </si>
  <si>
    <t>ID_167</t>
  </si>
  <si>
    <t>13861189;4f97b2ff-ad28-457a-8293-0f008c1b72dc;;111111118;Vodacom Life 20260324;;;;;DROP;5;2026-05-22</t>
  </si>
  <si>
    <t>13861189;4f97b2ff-ad28-457a-8293-0f008c1b72dc;;111111118;Vodacom Life 20260324;;;;;DROP;5;2026-05-22 09:10:00+02;system;2026-03-24 09:54:08+02;2026-03-24 09:54:08+02;;;;;;;;;27768454149;;;;;;;;prepaid life;;;;;</t>
  </si>
  <si>
    <t>ID_168</t>
  </si>
  <si>
    <t>13861336;d7fcea95-3bd6-4dae-ab42-7921831f26bc;;111111118;Vodacom Life 20260324;;;;;U;2;2026-03-25 16</t>
  </si>
  <si>
    <t>13861336;d7fcea95-3bd6-4dae-ab42-7921831f26bc;;111111118;Vodacom Life 20260324;;;;;U;2;2026-03-25 16:39:14+02;Millicent Motsuku;2026-03-24 09:54:08+02;2026-03-24 09:54:08+02;;;;;;;;;27762287259;;;;;;;;prepaid life;;;;;</t>
  </si>
  <si>
    <t>ID_169</t>
  </si>
  <si>
    <t>13861190;149dcd46-26b4-4398-af90-103dcec16e58;;111111118;Vodacom Life 20260324;;;;;DROP;5;2026-05-22</t>
  </si>
  <si>
    <t>13861190;149dcd46-26b4-4398-af90-103dcec16e58;;111111118;Vodacom Life 20260324;;;;;DROP;5;2026-05-22 09:10:00+02;system;2026-03-24 09:54:08+02;2026-03-24 09:54:08+02;;;;;;;;;27769127547;;;;;;;;prepaid life;;;;;</t>
  </si>
  <si>
    <t>ID_170</t>
  </si>
  <si>
    <t>13861290;0cf0b291-98a0-44ed-b7cd-2d8ee0edac23;;111111118;Vodacom Life 20260324;;;;;AE;5;2026-05-22 0</t>
  </si>
  <si>
    <t>13861290;0cf0b291-98a0-44ed-b7cd-2d8ee0edac23;;111111118;Vodacom Life 20260324;;;;;AE;5;2026-05-22 09:44:17+02;system;2026-03-24 09:54:08+02;2026-03-24 09:54:08+02;;;;;;;;;27715591411;;;;;;;;prepaid life;;;;;</t>
  </si>
  <si>
    <t>ID_171</t>
  </si>
  <si>
    <t>13861337;40862cb5-ef8a-4335-bc81-dda6ef2513bd;;111111118;Vodacom Life 20260324;;;;;AA;5;2026-05-22 0</t>
  </si>
  <si>
    <t>13861337;40862cb5-ef8a-4335-bc81-dda6ef2513bd;;111111118;Vodacom Life 20260324;;;;;AA;5;2026-05-22 09:57:59+02;system;2026-03-24 09:54:08+02;2026-03-24 09:54:08+02;;;;;;;;;27762411274;;;;;;;;prepaid life;;;;;</t>
  </si>
  <si>
    <t>ID_172</t>
  </si>
  <si>
    <t>13861291;c45e4e9a-d953-4f54-8d76-3175b89c06d8;;111111118;Vodacom Life 20260324;;;;;NA;5;2026-05-22 0</t>
  </si>
  <si>
    <t>13861291;c45e4e9a-d953-4f54-8d76-3175b89c06d8;;111111118;Vodacom Life 20260324;;;;;NA;5;2026-05-22 09:45:11+02;system;2026-03-24 09:54:08+02;2026-03-24 09:54:08+02;;;;;;;;;27716500959;;;;;;;;prepaid life;;;;;</t>
  </si>
  <si>
    <t>ID_173</t>
  </si>
  <si>
    <t>13861191;c13a102b-7dbe-4224-a5ff-15b1bc982dbc;;111111118;Vodacom Life 20260324;;;;;AA;5;2026-05-22 0</t>
  </si>
  <si>
    <t>13861191;c13a102b-7dbe-4224-a5ff-15b1bc982dbc;;111111118;Vodacom Life 20260324;;;;;AA;5;2026-05-22 09:10:00+02;system;2026-03-24 09:54:08+02;2026-03-24 09:54:08+02;;;;;;;;;27769165952;;;;;;;;prepaid life;;;;;</t>
  </si>
  <si>
    <t>ID_174</t>
  </si>
  <si>
    <t>13861338;df0699cc-7ca3-4d85-a9ee-ed1d14ad1cd7;;111111118;Vodacom Life 20260324;;;;;NA;5;2026-05-22 0</t>
  </si>
  <si>
    <t>13861338;df0699cc-7ca3-4d85-a9ee-ed1d14ad1cd7;;111111118;Vodacom Life 20260324;;;;;NA;5;2026-05-22 09:57:59+02;system;2026-03-24 09:54:08+02;2026-03-24 09:54:08+02;;;;;;;;;27762431880;;;;;;;;prepaid life;;;;;</t>
  </si>
  <si>
    <t>ID_175</t>
  </si>
  <si>
    <t>13861192;b4977006-b220-4404-97a5-84b56f70bf0f;;111111118;Vodacom Life 20260324;;;;;NI;4;2026-05-13 0</t>
  </si>
  <si>
    <t>13861192;b4977006-b220-4404-97a5-84b56f70bf0f;;111111118;Vodacom Life 20260324;;;;;NI;4;2026-05-13 09:26:22+02;Thandile Nokubeni;2026-03-24 09:54:08+02;2026-03-24 09:54:08+02;;;;;;;;;27769252618;;;;;;;;prepaid life;;;;;</t>
  </si>
  <si>
    <t>ID_176</t>
  </si>
  <si>
    <t>13861292;d1868ed9-c73a-4278-8cea-f2dd956bf433;;111111118;Vodacom Life 20260324;;;;;NI;3;2026-04-14 1</t>
  </si>
  <si>
    <t>13861292;d1868ed9-c73a-4278-8cea-f2dd956bf433;;111111118;Vodacom Life 20260324;;;;;NI;3;2026-04-14 11:52:26+02;Esther Ramalete;2026-03-24 09:54:08+02;2026-03-24 09:54:08+02;;;;;;;;;27720397154;;;;;;;;prepaid life;;;;;</t>
  </si>
  <si>
    <t>ID_177</t>
  </si>
  <si>
    <t>13861339;570d1668-b703-42e9-b401-76e810e47d0f;;111111118;Vodacom Life 20260324;;;;;DROP;5;2026-05-22</t>
  </si>
  <si>
    <t>13861339;570d1668-b703-42e9-b401-76e810e47d0f;;111111118;Vodacom Life 20260324;;;;;DROP;5;2026-05-22 09:58:00+02;system;2026-03-24 09:54:08+02;2026-03-24 09:54:08+02;;;;;;;;;27762515414;;;;;;;;prepaid life;;;;;</t>
  </si>
  <si>
    <t>ID_178</t>
  </si>
  <si>
    <t>13861293;34dbb545-419e-4c87-a9e3-12162f1c683f;;111111118;Vodacom Life 20260324;;;;;NI;2;2026-04-09 1</t>
  </si>
  <si>
    <t>13861293;34dbb545-419e-4c87-a9e3-12162f1c683f;;111111118;Vodacom Life 20260324;;;;;NI;2;2026-04-09 12:10:45+02;Musiiwa Mary Mabirimisa;2026-03-24 09:54:08+02;2026-03-24 09:54:08+02;;;;;;;;;27720828961;;;;;;;;prepaid life;;;;;</t>
  </si>
  <si>
    <t>ID_179</t>
  </si>
  <si>
    <t>13861193;8f41fe79-f3f1-4348-bca7-b5d747630370;;111111118;Vodacom Life 20260324;;;;;DNQS;5;2026-05-22</t>
  </si>
  <si>
    <t>13861193;8f41fe79-f3f1-4348-bca7-b5d747630370;;111111118;Vodacom Life 20260324;;;;;DNQS;5;2026-05-22 09:10:00+02;bongiwe lushaba;2026-03-24 09:54:08+02;2026-03-24 09:54:08+02;;;;;;;;;27769283979;;;;;;;;prepaid life;;;;;</t>
  </si>
  <si>
    <t>ID_180</t>
  </si>
  <si>
    <t>13861194;9d643e9f-b3d5-46a6-bcdb-74331149147c;;111111118;Vodacom Life 20260324;;;;;DROP;5;2026-05-22</t>
  </si>
  <si>
    <t>13861194;9d643e9f-b3d5-46a6-bcdb-74331149147c;;111111118;Vodacom Life 20260324;;;;;DROP;5;2026-05-22 09:13:15+02;system;2026-03-24 09:54:08+02;2026-03-24 09:54:08+02;;;;;;;;;27774471130;;;;;;;;prepaid life;;;;;</t>
  </si>
  <si>
    <t>ID_181</t>
  </si>
  <si>
    <t>13861195;10d37d10-6db1-4a44-97c0-9b16f527a114;;111111118;Vodacom Life 20260324;;;;;AE;5;2026-05-22 0</t>
  </si>
  <si>
    <t>13861195;10d37d10-6db1-4a44-97c0-9b16f527a114;;111111118;Vodacom Life 20260324;;;;;AE;5;2026-05-22 09:13:38+02;system;2026-03-24 09:54:08+02;2026-03-24 09:54:08+02;;;;;;;;;27774785379;;;;;;;;prepaid life;;;;;</t>
  </si>
  <si>
    <t>ID_182</t>
  </si>
  <si>
    <t>13861294;6f95ee20-67f1-4dac-a78f-e6e936ce5d29;;111111118;Vodacom Life 20260324;;;27721031629;;AA;5;2</t>
  </si>
  <si>
    <t>13861294;6f95ee20-67f1-4dac-a78f-e6e936ce5d29;;111111118;Vodacom Life 20260324;;;27721031629;;AA;5;2026-05-22 09:45:11+02;system;2026-03-24 09:54:08+02;2026-03-24 09:54:08+02;;;;;;;;;27721031629;;;;;;;;prepaid life;;;;;</t>
  </si>
  <si>
    <t>ID_183</t>
  </si>
  <si>
    <t>13861341;c165f330-a583-414a-9651-a9cdb20277d4;;111111118;Vodacom Life 20260324;;;;;CU;5;2026-05-22 0</t>
  </si>
  <si>
    <t>13861341;c165f330-a583-414a-9651-a9cdb20277d4;;111111118;Vodacom Life 20260324;;;;;CU;5;2026-05-22 09:58:00+02;bongiwe lushaba;2026-03-24 09:54:08+02;2026-03-24 09:54:08+02;;;;;;;;;27762784816;;;;;;;;prepaid life;;;;;</t>
  </si>
  <si>
    <t>ID_184</t>
  </si>
  <si>
    <t>13861295;b033ec6d-4052-4619-a89b-e6d50a9a1b0a;;111111118;Vodacom Life 20260324;;;;;NA;5;2026-05-22 0</t>
  </si>
  <si>
    <t>13861295;b033ec6d-4052-4619-a89b-e6d50a9a1b0a;;111111118;Vodacom Life 20260324;;;;;NA;5;2026-05-22 09:45:11+02;system;2026-03-24 09:54:08+02;2026-03-24 09:54:08+02;;;;;;;;;27721231423;;;;;;;;prepaid life;;;;;</t>
  </si>
  <si>
    <t>ID_185</t>
  </si>
  <si>
    <t>13861196;d2533edf-9d8a-4a69-8af8-645e46b530e4;;111111118;Vodacom Life 20260324;;;;;AE;5;2026-05-22 0</t>
  </si>
  <si>
    <t>13861196;d2533edf-9d8a-4a69-8af8-645e46b530e4;;111111118;Vodacom Life 20260324;;;;;AE;5;2026-05-22 09:13:38+02;system;2026-03-24 09:54:08+02;2026-03-24 09:54:08+02;;;;;;;;;27786836742;;;;;;;;prepaid life;;;;;</t>
  </si>
  <si>
    <t>ID_186</t>
  </si>
  <si>
    <t>13861342;877bc045-8400-4a0b-bf18-6565c5948704;;111111118;Vodacom Life 20260324;;;;;AA;5;2026-05-22 0</t>
  </si>
  <si>
    <t>13861342;877bc045-8400-4a0b-bf18-6565c5948704;;111111118;Vodacom Life 20260324;;;;;AA;5;2026-05-22 09:58:02+02;system;2026-03-24 09:54:08+02;2026-03-24 09:54:08+02;;;;;;;;;27763277328;;;;;;;;prepaid life;;;;;</t>
  </si>
  <si>
    <t>ID_187</t>
  </si>
  <si>
    <t>13861197;6acdcdf3-9ca5-405b-b580-3bc4e11128f0;;111111118;Vodacom Life 20260324;;;;;DROP;5;2026-05-22</t>
  </si>
  <si>
    <t>13861197;6acdcdf3-9ca5-405b-b580-3bc4e11128f0;;111111118;Vodacom Life 20260324;;;;;DROP;5;2026-05-22 09:13:40+02;system;2026-03-24 09:54:08+02;2026-03-24 09:54:08+02;;;;;;;;;27790115130;;;;;;;;prepaid life;;;;;</t>
  </si>
  <si>
    <t>ID_188</t>
  </si>
  <si>
    <t>13861296;476c9b9f-ac2e-4c55-bab2-6ff27eabee39;;111111118;Vodacom Life 20260324;;;;;AA;5;2026-05-22 0</t>
  </si>
  <si>
    <t>13861296;476c9b9f-ac2e-4c55-bab2-6ff27eabee39;;111111118;Vodacom Life 20260324;;;;;AA;5;2026-05-22 09:48:40+02;system;2026-03-24 09:54:08+02;2026-03-24 09:54:08+02;;;;;;;;;27721237648;;;;;;;;prepaid life;;;;;</t>
  </si>
  <si>
    <t>ID_189</t>
  </si>
  <si>
    <t>13861343;99dfa706-3046-4816-8eef-9ceba76b164c;;111111118;Vodacom Life 20260324;;;;;U;1;2026-03-24 10</t>
  </si>
  <si>
    <t>13861343;99dfa706-3046-4816-8eef-9ceba76b164c;;111111118;Vodacom Life 20260324;;;;;U;1;2026-03-24 10:56:57+02;bongiwe lushaba;2026-03-24 09:54:08+02;2026-03-24 09:54:08+02;;;;;;;;;27763402926;;;;;;;;prepaid life;;;;;</t>
  </si>
  <si>
    <t>ID_190</t>
  </si>
  <si>
    <t>13861297;fd3ed278-96ba-4c43-9b7a-3ed8da1218f0;;111111118;Vodacom Life 20260324;;;;;DROP;5;2026-05-22</t>
  </si>
  <si>
    <t>13861297;fd3ed278-96ba-4c43-9b7a-3ed8da1218f0;;111111118;Vodacom Life 20260324;;;;;DROP;5;2026-05-22 09:48:41+02;system;2026-03-24 09:54:08+02;2026-03-24 09:54:08+02;;;;;;;;;27721356112;;;;;;;;prepaid life;;;;;</t>
  </si>
  <si>
    <t>ID_191</t>
  </si>
  <si>
    <t>13861198;bf25e6c7-cda6-49ca-8700-2d7e4e2cbb24;;111111118;Vodacom Life 20260324;;;27790177203;;CU;5;2</t>
  </si>
  <si>
    <t>13861198;bf25e6c7-cda6-49ca-8700-2d7e4e2cbb24;;111111118;Vodacom Life 20260324;;;27790177203;;CU;5;2026-05-22 09:18:07+02;Maureen Ntsoko;2026-03-24 09:54:08+02;2026-03-24 09:54:08+02;;;;;;;;;27790177203;;;;;;;;prepaid life;;;;;</t>
  </si>
  <si>
    <t>ID_192</t>
  </si>
  <si>
    <t>13861199;f5759a51-32da-4c96-962f-a3f8384ec206;;111111118;Vodacom Life 20260324;;;;;AA;5;2026-05-22 0</t>
  </si>
  <si>
    <t>13861199;f5759a51-32da-4c96-962f-a3f8384ec206;;111111118;Vodacom Life 20260324;;;;;AA;5;2026-05-22 09:13:41+02;system;2026-03-24 09:54:08+02;2026-03-24 09:54:08+02;;;;;;;;;27790237499;;;;;;;;prepaid life;;;;;</t>
  </si>
  <si>
    <t>ID_193</t>
  </si>
  <si>
    <t>13861344;b892f44f-e57b-4973-9155-87bb113bd1b1;;111111118;Vodacom Life 20260324;;;;;NI;4;2026-05-07 1</t>
  </si>
  <si>
    <t>13861344;b892f44f-e57b-4973-9155-87bb113bd1b1;;111111118;Vodacom Life 20260324;;;;;NI;4;2026-05-07 14:45:22+02;Khensane Mabasa;2026-03-24 09:54:08+02;2026-03-24 09:54:08+02;;;;;;;;;27763880270;;;;;;;;prepaid life;;;;;</t>
  </si>
  <si>
    <t>ID_194</t>
  </si>
  <si>
    <t>13861298;2353bff0-6410-43ca-8df9-cec9202b98b5;;111111118;Vodacom Life 20260324;;;;;U;1;2026-03-24 10</t>
  </si>
  <si>
    <t>13861298;2353bff0-6410-43ca-8df9-cec9202b98b5;;111111118;Vodacom Life 20260324;;;;;U;1;2026-03-24 10:47:38+02;Thandile Nokubeni;2026-03-24 09:54:08+02;2026-03-24 09:54:08+02;;;;;;;;;27721441022;;;;;;;;prepaid life;;;;;</t>
  </si>
  <si>
    <t>ID_195</t>
  </si>
  <si>
    <t>13861345;2d9cdc86-123b-462c-93b8-9bfe167bb547;;111111118;Vodacom Life 20260324;;;;;AA;5;2026-05-22 0</t>
  </si>
  <si>
    <t>13861345;2d9cdc86-123b-462c-93b8-9bfe167bb547;;111111118;Vodacom Life 20260324;;;;;AA;5;2026-05-22 09:58:04+02;system;2026-03-24 09:54:08+02;2026-03-24 09:54:08+02;;;;;;;;;27763890066;;;;;;;;prepaid life;;;;;</t>
  </si>
  <si>
    <t>ID_196</t>
  </si>
  <si>
    <t>13861299;c5698e1b-ec71-4e16-b414-76115ef8e123;;111111118;Vodacom Life 20260324;;;;;AE;5;2026-05-22 0</t>
  </si>
  <si>
    <t>13861299;c5698e1b-ec71-4e16-b414-76115ef8e123;;111111118;Vodacom Life 20260324;;;;;AE;5;2026-05-22 09:52:09+02;system;2026-03-24 09:54:08+02;2026-03-24 09:54:08+02;;;;;;;;;27721444069;;;;;;;;prepaid life;;;;;</t>
  </si>
  <si>
    <t>ID_197</t>
  </si>
  <si>
    <t>13861200;92605192-a3a4-4d14-8565-2ba462e04c46;;111111118;Vodacom Life 20260324;;;;;NIUP;1;2026-03-24</t>
  </si>
  <si>
    <t>13861200;92605192-a3a4-4d14-8565-2ba462e04c46;;111111118;Vodacom Life 20260324;;;;;NIUP;1;2026-03-24 10:35:19+02;Millicent Motsuku;2026-03-24 09:54:08+02;2026-03-24 09:54:08+02;;;;;;;;;27790331119;;;;;;;;prepaid life;;;;;</t>
  </si>
  <si>
    <t>ID_198</t>
  </si>
  <si>
    <t>13861346;58261dad-6a33-42af-b162-cd8853be8512;;111111118;Vodacom Life 20260324;;;27764128790;;DROP;5</t>
  </si>
  <si>
    <t>13861346;58261dad-6a33-42af-b162-cd8853be8512;;111111118;Vodacom Life 20260324;;;27764128790;;DROP;5;2026-05-22 09:58:08+02;system;2026-03-24 09:54:08+02;2026-03-24 09:54:08+02;;;;;;;;;27764128790;;;;;;;;prepaid life;;;;;</t>
  </si>
  <si>
    <t>ID_199</t>
  </si>
  <si>
    <t>13861201;07134b6b-96a9-4e55-b3df-66b55cd46b8e;;111111118;Vodacom Life 20260324;;;;;AA;5;2026-05-22 0</t>
  </si>
  <si>
    <t>13861201;07134b6b-96a9-4e55-b3df-66b55cd46b8e;;111111118;Vodacom Life 20260324;;;;;AA;5;2026-05-22 09:14:51+02;system;2026-03-24 09:54:08+02;2026-03-24 09:54:08+02;;;;;;;;;27790588380;;;;;;;;prepaid life;;;;;</t>
  </si>
  <si>
    <t>ID_200</t>
  </si>
  <si>
    <t>13861347;5b94ad9f-603a-49bd-8587-027b73407cc3;;111111118;Vodacom Life 20260324;;;;;U;5;2026-05-22 09</t>
  </si>
  <si>
    <t>13861347;5b94ad9f-603a-49bd-8587-027b73407cc3;;111111118;Vodacom Life 20260324;;;;;U;5;2026-05-22 09:59:53+02;Maureen Ntsoko;2026-03-24 09:54:08+02;2026-03-24 09:54:08+02;;;;;;;;;27764182609;;;;;;;;prepaid life;;;;;</t>
  </si>
  <si>
    <t>ID_201</t>
  </si>
  <si>
    <t>13861301;9e13f543-428f-4ecd-bb65-8a825ed05aff;;111111118;Vodacom Life 20260324;;;;;CU;5;2026-05-22 0</t>
  </si>
  <si>
    <t>13861301;9e13f543-428f-4ecd-bb65-8a825ed05aff;;111111118;Vodacom Life 20260324;;;;;CU;5;2026-05-22 09:52:26+02;Khensane Mabasa;2026-03-24 09:54:08+02;2026-03-24 09:54:08+02;;;;;;;;;27721800798;;;;;;;;prepaid life;;;;;</t>
  </si>
  <si>
    <t>ID_202</t>
  </si>
  <si>
    <t>13861202;fc89fafa-e29f-4bb3-8dc0-0726e85be9ef;;111111118;Vodacom Life 20260324;;;;;AA;5;2026-05-22 0</t>
  </si>
  <si>
    <t>13861202;fc89fafa-e29f-4bb3-8dc0-0726e85be9ef;;111111118;Vodacom Life 20260324;;;;;AA;5;2026-05-22 09:14:51+02;system;2026-03-24 09:54:08+02;2026-03-24 09:54:08+02;;;;;;;;;27790639684;;;;;;;;prepaid life;;;;;</t>
  </si>
  <si>
    <t>ID_203</t>
  </si>
  <si>
    <t>13861348;70b23e8f-be9a-4376-9564-64bfa2899edc;;111111118;Vodacom Life 20260324;;;;;QAVET;4;2026-04-1</t>
  </si>
  <si>
    <t>13861348;70b23e8f-be9a-4376-9564-64bfa2899edc;;111111118;Vodacom Life 20260324;;;;;QAVET;4;2026-04-15 10:45:46+02;Maureen Ntsoko;2026-03-24 09:54:08+02;2026-03-24 09:54:08+02;;;;;;;;;27765042220;;;;;;;;prepaid life;;;;;</t>
  </si>
  <si>
    <t>ID_204</t>
  </si>
  <si>
    <t>13861203;ace1e042-00a3-4e4a-8343-fe0255677835;;111111118;Vodacom Life 20260324;;;27791339165;;IABDN;</t>
  </si>
  <si>
    <t>13861203;ace1e042-00a3-4e4a-8343-fe0255677835;;111111118;Vodacom Life 20260324;;;27791339165;;IABDN;5;2026-05-22 09:15:24+02;system;2026-03-24 09:54:08+02;2026-03-24 09:54:08+02;;;;;;;;;27791339165;;;;;;;;prepaid life;;;;;</t>
  </si>
  <si>
    <t>ID_205</t>
  </si>
  <si>
    <t>13861204;054426a0-198b-4d74-a34d-56e7425b7de7;;111111118;Vodacom Life 20260324;;;27792364328;;IABDN;</t>
  </si>
  <si>
    <t>13861204;054426a0-198b-4d74-a34d-56e7425b7de7;;111111118;Vodacom Life 20260324;;;27792364328;;IABDN;5;2026-05-22 09:15:28+02;system;2026-03-24 09:54:08+02;2026-03-24 09:54:08+02;;;;;;;;;27792364328;;;;;;;;prepaid life;;;;;</t>
  </si>
  <si>
    <t>ID_206</t>
  </si>
  <si>
    <t>13861302;b0a549ef-34b9-4118-bcd4-ef88184cd651;;111111118;Vodacom Life 20260324;;;;;AE;5;2026-05-22 0</t>
  </si>
  <si>
    <t>13861302;b0a549ef-34b9-4118-bcd4-ef88184cd651;;111111118;Vodacom Life 20260324;;;;;AE;5;2026-05-22 09:54:02+02;system;2026-03-24 09:54:08+02;2026-03-24 09:54:08+02;;;;;;;;;27722165310;;;;;;;;prepaid life;;;;;</t>
  </si>
  <si>
    <t>ID_207</t>
  </si>
  <si>
    <t>13861349;90a8362d-b0d7-449c-855f-3f5f9d08bff0;;111111118;Vodacom Life 20260324;;;;;CBACK;1;2026-03-2</t>
  </si>
  <si>
    <t>13861349;90a8362d-b0d7-449c-855f-3f5f9d08bff0;;111111118;Vodacom Life 20260324;;;;;CBACK;1;2026-03-24 10:57:09+02;Maureen Ntsoko;2026-03-24 09:54:08+02;2026-03-24 09:54:08+02;;;;;;;;;27765324991;;;;;;;;prepaid life;;;;;</t>
  </si>
  <si>
    <t>ID_208</t>
  </si>
  <si>
    <t>13861303;0722ec61-928b-4f44-a35f-ff48122fea0f;;111111118;Vodacom Life 20260324;;;;;NI;3;2026-04-14 1</t>
  </si>
  <si>
    <t>13861303;0722ec61-928b-4f44-a35f-ff48122fea0f;;111111118;Vodacom Life 20260324;;;;;NI;3;2026-04-14 11:58:21+02;Thandile Nokubeni;2026-03-24 09:54:08+02;2026-03-24 09:54:08+02;;;;;;;;;27722977852;;;;;;;;prepaid life;;;;;</t>
  </si>
  <si>
    <t>ID_209</t>
  </si>
  <si>
    <t>13861205;6244fd88-4611-45b2-afe4-561e4cead2eb;;111111118;Vodacom Life 20260324;;;;;AA;5;2026-05-22 0</t>
  </si>
  <si>
    <t>13861205;6244fd88-4611-45b2-afe4-561e4cead2eb;;111111118;Vodacom Life 20260324;;;;;AA;5;2026-05-22 09:15:49+02;system;2026-03-24 09:54:08+02;2026-03-24 09:54:08+02;;;;;;;;;27792540209;;;;;;;;prepaid life;;;;;</t>
  </si>
  <si>
    <t>ID_210</t>
  </si>
  <si>
    <t>13861350;44dbd007-858d-4afb-a7d2-093f6d666660;;111111118;Vodacom Life 20260324;;;;;AE;5;2026-05-22 0</t>
  </si>
  <si>
    <t>13861350;44dbd007-858d-4afb-a7d2-093f6d666660;;111111118;Vodacom Life 20260324;;;;;AE;5;2026-05-22 09:59:54+02;system;2026-03-24 09:54:08+02;2026-03-24 09:54:08+02;;;;;;;;;27766050864;;;;;;;;prepaid life;;;;;</t>
  </si>
  <si>
    <t>ID_211</t>
  </si>
  <si>
    <t>13861304;a1cc9c78-c9d9-4903-92ba-6d0e6101594a;;111111118;Vodacom Life 20260324;;;;;NI;2;2026-04-09 1</t>
  </si>
  <si>
    <t>13861304;a1cc9c78-c9d9-4903-92ba-6d0e6101594a;;111111118;Vodacom Life 20260324;;;;;NI;2;2026-04-09 12:21:58+02;Musiiwa Mary Mabirimisa;2026-03-24 09:54:08+02;2026-03-24 09:54:08+02;;;;;;;;;27723219096;;;;;;;;prepaid life;;;;;</t>
  </si>
  <si>
    <t>ID_212</t>
  </si>
  <si>
    <t>13861351;c6026674-73bd-4832-ae7a-e2e48d670846;;111111118;Vodacom Life 20260324;;;27766559340;;IABDN;</t>
  </si>
  <si>
    <t>13861351;c6026674-73bd-4832-ae7a-e2e48d670846;;111111118;Vodacom Life 20260324;;;27766559340;;IABDN;5;2026-05-22 10:54:47+02;system;2026-03-24 09:54:08+02;2026-03-24 09:54:08+02;;;;;;;;;27766559340;;;;;;;;prepaid life;;;;;</t>
  </si>
  <si>
    <t>ID_213</t>
  </si>
  <si>
    <t>13861305;7a80fa1a-7eb7-499c-9174-e15ccf0ba5ce;;111111118;Vodacom Life 20260324;;;27723409533;;AA;5;2</t>
  </si>
  <si>
    <t>13861305;7a80fa1a-7eb7-499c-9174-e15ccf0ba5ce;;111111118;Vodacom Life 20260324;;;27723409533;;AA;5;2026-05-22 09:54:06+02;system;2026-03-24 09:54:08+02;2026-03-24 09:54:08+02;;;;;;;;;27723409533;;;;;;;;prepaid life;;;;;</t>
  </si>
  <si>
    <t>ID_214</t>
  </si>
  <si>
    <t>13861206;cfe84446-2c3f-4781-abb8-dfbe504e1c40;;111111118;Vodacom Life 20260324;;;;;AE;5;2026-05-22 0</t>
  </si>
  <si>
    <t>13861206;cfe84446-2c3f-4781-abb8-dfbe504e1c40;;111111118;Vodacom Life 20260324;;;;;AE;5;2026-05-22 09:15:53+02;system;2026-03-24 09:54:08+02;2026-03-24 09:54:08+02;;;;;;;;;27793005568;;;;;;;;prepaid life;;;;;</t>
  </si>
  <si>
    <t>ID_215</t>
  </si>
  <si>
    <t xml:space="preserve">13861207;b1e48fdd-77d3-4dfa-a23a-559b4017cb01;;111111118;Vodacom Life 20260324;;;;;CCB;5;2026-04-17 </t>
  </si>
  <si>
    <t>13861207;b1e48fdd-77d3-4dfa-a23a-559b4017cb01;;111111118;Vodacom Life 20260324;;;;;CCB;5;2026-04-17 11:00:20+02;Seboifeng Mogola;2026-03-24 09:54:08+02;2026-03-24 09:54:08+02;;;;;;;;;27793119300;;;;;;;;prepaid life;;;;;</t>
  </si>
  <si>
    <t>ID_216</t>
  </si>
  <si>
    <t>13861352;9250b9b8-55c9-4aa1-8a7c-f578c8619271;;111111118;Vodacom Life 20260324;;;;;U;2;2026-04-09 16</t>
  </si>
  <si>
    <t>13861352;9250b9b8-55c9-4aa1-8a7c-f578c8619271;;111111118;Vodacom Life 20260324;;;;;U;2;2026-04-09 16:07:24+02;Seboifeng Mogola;2026-03-24 09:54:08+02;2026-03-24 09:54:08+02;;;;;;;;;27766751298;;;;;;;;prepaid life;;;;;</t>
  </si>
  <si>
    <t>ID_217</t>
  </si>
  <si>
    <t>13861353;3c8c9838-c637-48cc-99c0-1281da4fbfbf;;111111118;Vodacom Life 20260324;;;;;DROP;5;2026-05-22</t>
  </si>
  <si>
    <t>13861353;3c8c9838-c637-48cc-99c0-1281da4fbfbf;;111111118;Vodacom Life 20260324;;;;;DROP;5;2026-05-22 11:14:13+02;system;2026-03-24 09:54:08+02;2026-03-24 09:54:08+02;;;;;;;;;27767268485;;;;;;;;prepaid life;;;;;</t>
  </si>
  <si>
    <t>ID_218</t>
  </si>
  <si>
    <t>13861307;bed64e9e-7220-4a14-8cd1-513884caf909;;111111118;Vodacom Life 20260324;;;;;A;5;2026-05-22 09</t>
  </si>
  <si>
    <t>13861307;bed64e9e-7220-4a14-8cd1-513884caf909;;111111118;Vodacom Life 20260324;;;;;A;5;2026-05-22 09:54:06+02;Maureen Ntsoko;2026-03-24 09:54:08+02;2026-03-24 09:54:08+02;;;;;;;;;27724186936;;;;;;;;prepaid life;;;;;</t>
  </si>
  <si>
    <t>ID_219</t>
  </si>
  <si>
    <t xml:space="preserve">13861208;518b64fb-7083-4220-8cfe-57d59384d37e;;111111118;Vodacom Life 20260324;;;;;CCB;5;2026-05-22 </t>
  </si>
  <si>
    <t>13861208;518b64fb-7083-4220-8cfe-57d59384d37e;;111111118;Vodacom Life 20260324;;;;;CCB;5;2026-05-22 09:15:56+02;Maureen Ntsoko;2026-03-24 09:54:08+02;2026-03-24 09:54:08+02;;;;;;;;;27793208049;;;;;;;;prepaid life;;;;;</t>
  </si>
  <si>
    <t>ID_220</t>
  </si>
  <si>
    <t>13861209;19213a60-66e4-48aa-8b19-f47a25a36c81;;111111118;Vodacom Life 20260324;;;;;NA;5;2026-05-22 0</t>
  </si>
  <si>
    <t>13861209;19213a60-66e4-48aa-8b19-f47a25a36c81;;111111118;Vodacom Life 20260324;;;;;NA;5;2026-05-22 09:16:09+02;system;2026-03-24 09:54:08+02;2026-03-24 09:54:08+02;;;;;;;;;27794275893;;;;;;;;prepaid life;;;;;</t>
  </si>
  <si>
    <t>ID_221</t>
  </si>
  <si>
    <t>13861354;3b2bf6f6-f113-4da1-b022-3e5b1cd07381;;111111118;Vodacom Life 20260324;;;;;CU;5;2026-05-22 1</t>
  </si>
  <si>
    <t>13861354;3b2bf6f6-f113-4da1-b022-3e5b1cd07381;;111111118;Vodacom Life 20260324;;;;;CU;5;2026-05-22 11:14:14+02;Maureen Ntsoko;2026-03-24 09:54:08+02;2026-03-24 09:54:08+02;;;;;;;;;27767659262;;;;;;;;prepaid life;;;;;</t>
  </si>
  <si>
    <t>ID_222</t>
  </si>
  <si>
    <t>13861210;04da7197-efc9-4510-a9d2-831bcc5330cf;;111111118;Vodacom Life 20260324;;;;;AA;5;2026-05-22 0</t>
  </si>
  <si>
    <t>13861210;04da7197-efc9-4510-a9d2-831bcc5330cf;;111111118;Vodacom Life 20260324;;;;;AA;5;2026-05-22 09:16:09+02;system;2026-03-24 09:54:08+02;2026-03-24 09:54:08+02;;;;;;;;;27794395200;;;;;;;;prepaid life;;;;;</t>
  </si>
  <si>
    <t>ID_223</t>
  </si>
  <si>
    <t>13861308;665ceccc-a621-4570-b6dd-b8d4e6aecfec;;111111118;Vodacom Life 20260324;;;;;AA;5;2026-05-22 0</t>
  </si>
  <si>
    <t>13861308;665ceccc-a621-4570-b6dd-b8d4e6aecfec;;111111118;Vodacom Life 20260324;;;;;AA;5;2026-05-22 09:54:08+02;system;2026-03-24 09:54:08+02;2026-03-24 09:54:08+02;;;;;;;;;27724287827;;;;;;;;prepaid life;;;;;</t>
  </si>
  <si>
    <t>ID_224</t>
  </si>
  <si>
    <t>13861355;abb11d80-1823-47f2-a2f2-a940b3b6b89e;;111111118;Vodacom Life 20260324;;;;;AA;5;2026-05-22 1</t>
  </si>
  <si>
    <t>13861355;abb11d80-1823-47f2-a2f2-a940b3b6b89e;;111111118;Vodacom Life 20260324;;;;;AA;5;2026-05-22 11:14:15+02;system;2026-03-24 09:54:08+02;2026-03-24 09:54:08+02;;;;;;;;;27768023276;;;;;;;;prepaid life;;;;;</t>
  </si>
  <si>
    <t>ID_225</t>
  </si>
  <si>
    <t>13861309;80238d7a-8a39-4bcc-a892-bb5e084adf01;;111111118;Vodacom Life 20260324;;;27724320512;;A;5;20</t>
  </si>
  <si>
    <t>13861309;80238d7a-8a39-4bcc-a892-bb5e084adf01;;111111118;Vodacom Life 20260324;;;27724320512;;A;5;2026-05-22 09:54:46+02;Maureen Ntsoko;2026-03-24 09:54:08+02;2026-03-24 09:54:08+02;;;;;;;;;27724320512;;;;;;;;prepaid life;;;;;</t>
  </si>
  <si>
    <t>ID_226</t>
  </si>
  <si>
    <t>13861211;4cdf1d5f-3717-43d7-b534-c1b5e068772d;;111111118;Vodacom Life 20260324;;;;;AC;4;2026-04-17 1</t>
  </si>
  <si>
    <t>13861211;4cdf1d5f-3717-43d7-b534-c1b5e068772d;;111111118;Vodacom Life 20260324;;;;;AC;4;2026-04-17 10:58:16+02;Maureen Ntsoko;2026-03-24 09:54:08+02;2026-03-24 09:54:08+02;;;;;;;;;27794498570;;;;;;;;prepaid life;;;;;</t>
  </si>
  <si>
    <t>ID_227</t>
  </si>
  <si>
    <t>13861356;5ca08a8d-981d-4db2-a733-0bd5b7ef99f8;;111111118;Vodacom Life 20260324;;;;;NI;2;2026-04-09 1</t>
  </si>
  <si>
    <t>13861356;5ca08a8d-981d-4db2-a733-0bd5b7ef99f8;;111111118;Vodacom Life 20260324;;;;;NI;2;2026-04-09 16:34:50+02;Thandile Nokubeni;2026-03-24 09:54:08+02;2026-03-24 09:54:08+02;;;;;;;;;27768168988;;;;;;;;prepaid life;;;;;</t>
  </si>
  <si>
    <t>ID_228</t>
  </si>
  <si>
    <t>13861212;f9da62c7-ea8e-471c-8c12-f9a699959901;;111111118;Vodacom Life 20260324;;;;;NA;5;2026-05-22 0</t>
  </si>
  <si>
    <t>13861212;f9da62c7-ea8e-471c-8c12-f9a699959901;;111111118;Vodacom Life 20260324;;;;;NA;5;2026-05-22 09:16:21+02;system;2026-03-24 09:54:08+02;2026-03-24 09:54:08+02;;;;;;;;;27794774416;;;;;;;;prepaid life;;;;;</t>
  </si>
  <si>
    <t>ID_229</t>
  </si>
  <si>
    <t>13861310;14ea99a6-e904-4c76-9939-b0efff05abdd;;111111118;Vodacom Life 20260324;;;27724647735;;A;5;20</t>
  </si>
  <si>
    <t>13861310;14ea99a6-e904-4c76-9939-b0efff05abdd;;111111118;Vodacom Life 20260324;;;27724647735;;A;5;2026-05-22 10:07:16+02;bongiwe lushaba;2026-03-24 09:54:08+02;2026-03-24 09:54:08+02;;;;;;;;;27724647735;;;;;;;;prepaid life;;;;;</t>
  </si>
  <si>
    <t>ID_230</t>
  </si>
  <si>
    <t>13861357;a746f53a-256d-463d-8d40-2dac366f005d;;111111118;Vodacom Life 20260324;;;;;AA;5;2026-05-22 1</t>
  </si>
  <si>
    <t>13861357;a746f53a-256d-463d-8d40-2dac366f005d;;111111118;Vodacom Life 20260324;;;;;AA;5;2026-05-22 11:14:31+02;system;2026-03-24 09:54:08+02;2026-03-24 09:54:08+02;;;;;;;;;27768892183;;;;;;;;prepaid life;;;;;</t>
  </si>
  <si>
    <t>ID_231</t>
  </si>
  <si>
    <t>13861311;e30b0288-4b46-49c9-9f1e-7f895baf6fe5;;111111118;Vodacom Life 20260324;;;;;NI;2;2026-04-10 0</t>
  </si>
  <si>
    <t>13861311;e30b0288-4b46-49c9-9f1e-7f895baf6fe5;;111111118;Vodacom Life 20260324;;;;;NI;2;2026-04-10 09:23:15+02;Esther Ramalete;2026-03-24 09:54:08+02;2026-03-24 09:54:08+02;;;;;;;;;27725220490;;;;;;;;prepaid life;;;;;</t>
  </si>
  <si>
    <t>ID_232</t>
  </si>
  <si>
    <t>13861312;8f3c1d31-3dc9-434d-9ded-151f227ced65;;111111118;Vodacom Life 20260324;;;;;CBACK;1;2026-03-2</t>
  </si>
  <si>
    <t>13861312;8f3c1d31-3dc9-434d-9ded-151f227ced65;;111111118;Vodacom Life 20260324;;;;;CBACK;1;2026-03-24 10:51:07+02;Maureen Ntsoko;2026-03-24 09:54:08+02;2026-03-24 09:54:08+02;;;;;;;;;27725301420;;;;;;;;prepaid life;;;;;</t>
  </si>
  <si>
    <t>ID_233</t>
  </si>
  <si>
    <t>13861213;0c0c47f5-eb79-466a-8200-c2d54a4c8a83;;111111118;Vodacom Life 20260324;;;;;NA;5;2026-05-22 0</t>
  </si>
  <si>
    <t>13861213;0c0c47f5-eb79-466a-8200-c2d54a4c8a83;;111111118;Vodacom Life 20260324;;;;;NA;5;2026-05-22 09:16:21+02;system;2026-03-24 09:54:08+02;2026-03-24 09:54:08+02;;;;;;;;;27794818898;;;;;;;;prepaid life;;;;;</t>
  </si>
  <si>
    <t>ID_234</t>
  </si>
  <si>
    <t>13861214;3848e69a-4150-460d-91f9-6fb7598e8aa8;;111111118;Vodacom Life 20260324;;;;;NI;2;2026-04-10 0</t>
  </si>
  <si>
    <t>13861214;3848e69a-4150-460d-91f9-6fb7598e8aa8;;111111118;Vodacom Life 20260324;;;;;NI;2;2026-04-10 09:07:59+02;Thandile Nokubeni;2026-03-24 09:54:08+02;2026-03-24 09:54:08+02;;;;;;;;;27795711807;;;;;;;;prepaid life;;;;;</t>
  </si>
  <si>
    <t>ID_235</t>
  </si>
  <si>
    <t>13861358;7f03fa72-0edb-4a5a-94c8-c2ee5d2fbcf8;;111111118;Vodacom Life 20260324;;;27769191047;;A;6;20</t>
  </si>
  <si>
    <t>13861358;7f03fa72-0edb-4a5a-94c8-c2ee5d2fbcf8;;111111118;Vodacom Life 20260324;;;27769191047;;A;6;2026-05-22 11:19:10+02;Khensane Mabasa;2026-03-24 09:54:08+02;2026-03-24 09:54:08+02;;;;;;;;;27769191047;;;;;;;;prepaid life;;;;;</t>
  </si>
  <si>
    <t>ID_236</t>
  </si>
  <si>
    <t xml:space="preserve">13861215;3172032e-e920-442d-beac-2f07d3df3fe7;;111111118;Vodacom Life 20260324;;;;;OAL;2;2026-04-09 </t>
  </si>
  <si>
    <t>13861215;3172032e-e920-442d-beac-2f07d3df3fe7;;111111118;Vodacom Life 20260324;;;;;OAL;2;2026-04-09 13:28:39+02;Musiiwa Mary Mabirimisa;2026-03-24 09:54:08+02;2026-03-24 09:54:08+02;;;;;;;;;27795960621;;;;;;;;prepaid life;;;;;</t>
  </si>
  <si>
    <t>ID_237</t>
  </si>
  <si>
    <t>13861313;a3edfddd-3e0a-45f6-b843-9e08cc8a1f15;;111111118;Vodacom Life 20260324;;;;;NA;5;2026-05-22 0</t>
  </si>
  <si>
    <t>13861313;a3edfddd-3e0a-45f6-b843-9e08cc8a1f15;;111111118;Vodacom Life 20260324;;;;;NA;5;2026-05-22 09:55:14+02;system;2026-03-24 09:54:08+02;2026-03-24 09:54:08+02;;;;;;;;;27725881600;;;;;;;;prepaid life;;;;;</t>
  </si>
  <si>
    <t>ID_238</t>
  </si>
  <si>
    <t>13861314;1f910484-cafc-4689-921e-3ea18b4f5116;;111111118;Vodacom Life 20260324;;;;;NI;4;2026-05-07 1</t>
  </si>
  <si>
    <t>13861314;1f910484-cafc-4689-921e-3ea18b4f5116;;111111118;Vodacom Life 20260324;;;;;NI;4;2026-05-07 12:58:58+02;Esther Ramalete;2026-03-24 09:54:08+02;2026-03-24 09:54:08+02;;;;;;;;;27726003268;;;;;;;;prepaid life;;;;;</t>
  </si>
  <si>
    <t>ID_239</t>
  </si>
  <si>
    <t>13861315;24d52818-ff5e-45ee-a2e8-24cd6022dde6;;111111118;Vodacom Life 20260324;;;;;AA;5;2026-05-22 0</t>
  </si>
  <si>
    <t>13861315;24d52818-ff5e-45ee-a2e8-24cd6022dde6;;111111118;Vodacom Life 20260324;;;;;AA;5;2026-05-22 09:55:14+02;system;2026-03-24 09:54:08+02;2026-03-24 09:54:08+02;;;;;;;;;27726682610;;;;;;;;prepaid life;;;;;</t>
  </si>
  <si>
    <t>ID_240</t>
  </si>
  <si>
    <t>13861216;cdd2e12c-3941-49fa-9703-adb4002182de;;111111118;Vodacom Life 20260324;;;;;AA;5;2026-05-22 0</t>
  </si>
  <si>
    <t>13861216;cdd2e12c-3941-49fa-9703-adb4002182de;;111111118;Vodacom Life 20260324;;;;;AA;5;2026-05-22 09:16:22+02;system;2026-03-24 09:54:08+02;2026-03-24 09:54:08+02;;;;;;;;;27796069107;;;;;;;;prepaid life;;;;;</t>
  </si>
  <si>
    <t>ID_241</t>
  </si>
  <si>
    <t>13861360;2d9a1df0-6ed1-4422-b830-a63e8e549114;;111111118;Vodacom Life 20260324;;;;;U;3;2026-04-15 09</t>
  </si>
  <si>
    <t>13861360;2d9a1df0-6ed1-4422-b830-a63e8e549114;;111111118;Vodacom Life 20260324;;;;;U;3;2026-04-15 09:40:13+02;bongiwe lushaba;2026-03-24 09:54:08+02;2026-03-24 09:54:08+02;;;;;;;;;27769494830;;;;;;;;prepaid life;;;;;</t>
  </si>
  <si>
    <t>ID_242</t>
  </si>
  <si>
    <t xml:space="preserve">13861217;b225d609-677a-4d5f-862f-562df962ba2b;;111111118;Vodacom Life 20260324;;;;;CQN;5;2026-04-14 </t>
  </si>
  <si>
    <t>13861217;b225d609-677a-4d5f-862f-562df962ba2b;;111111118;Vodacom Life 20260324;;;;;CQN;5;2026-04-14 16:07:11+02;Thandile Nokubeni;2026-03-24 09:54:08+02;2026-03-24 09:54:08+02;;;;;;;;;27796435695;;;;;;;;prepaid life;;;;;</t>
  </si>
  <si>
    <t>ID_243</t>
  </si>
  <si>
    <t>13861218;580f0649-c4c0-4653-a093-2299be04e23b;;111111118;Vodacom Life 20260324;;;;;AA;5;2026-05-22 0</t>
  </si>
  <si>
    <t>13861218;580f0649-c4c0-4653-a093-2299be04e23b;;111111118;Vodacom Life 20260324;;;;;AA;5;2026-05-22 09:16:34+02;system;2026-03-24 09:54:08+02;2026-03-24 09:54:08+02;;;;;;;;;27796548825;;;;;;;;prepaid life;;;;;</t>
  </si>
  <si>
    <t>ID_244</t>
  </si>
  <si>
    <t>13861316;aad2ae2b-a7b8-46e6-a39d-087ac4e2910c;;111111118;Vodacom Life 20260324;;;;;AA;5;2026-05-22 0</t>
  </si>
  <si>
    <t>13861316;aad2ae2b-a7b8-46e6-a39d-087ac4e2910c;;111111118;Vodacom Life 20260324;;;;;AA;5;2026-05-22 09:55:14+02;system;2026-03-24 09:54:08+02;2026-03-24 09:54:08+02;;;;;;;;;27726828792;;;;;;;;prepaid life;;;;;</t>
  </si>
  <si>
    <t>ID_245</t>
  </si>
  <si>
    <t>13861361;fec784c8-0a12-44b1-a57b-e807b87708a5;;111111118;Vodacom Life 20260324;;;;;NA;5;2026-05-22 1</t>
  </si>
  <si>
    <t>13861361;fec784c8-0a12-44b1-a57b-e807b87708a5;;111111118;Vodacom Life 20260324;;;;;NA;5;2026-05-22 11:14:45+02;system;2026-03-24 09:54:08+02;2026-03-24 09:54:08+02;;;;;;;;;27769516603;;;;;;;;prepaid life;;;;;</t>
  </si>
  <si>
    <t>ID_246</t>
  </si>
  <si>
    <t>13861362;cab2b2b8-ec05-4e1c-9776-c72fa0f5bfdb;;111111118;Vodacom Life 20260324;;;;;NIUP;1;2026-03-24</t>
  </si>
  <si>
    <t>13861362;cab2b2b8-ec05-4e1c-9776-c72fa0f5bfdb;;111111118;Vodacom Life 20260324;;;;;NIUP;1;2026-03-24 10:58:48+02;Millicent Motsuku;2026-03-24 09:54:08+02;2026-03-24 09:54:08+02;;;;;;;;;27769687768;;;;;;;;prepaid life;;;;;</t>
  </si>
  <si>
    <t>ID_247</t>
  </si>
  <si>
    <t>13861317;7bc1279a-c83f-47a7-9e2c-cb2772405117;;111111118;Vodacom Life 20260324;;;;;N;5;2026-05-07 15</t>
  </si>
  <si>
    <t>13861317;7bc1279a-c83f-47a7-9e2c-cb2772405117;;111111118;Vodacom Life 20260324;;;;;N;5;2026-05-07 15:02:37+02;Seboifeng Mogola;2026-03-24 09:54:08+02;2026-03-24 09:54:08+02;;;;;;;;;27727110743;;;;;;;;prepaid life;;;;;</t>
  </si>
  <si>
    <t>ID_248</t>
  </si>
  <si>
    <t>13861219;d9ca1f10-50f9-4345-8c79-cb12ac3fd50e;;111111118;Vodacom Life 20260324;;;;;CU;5;2026-05-22 0</t>
  </si>
  <si>
    <t>13861219;d9ca1f10-50f9-4345-8c79-cb12ac3fd50e;;111111118;Vodacom Life 20260324;;;;;CU;5;2026-05-22 09:16:37+02;Maureen Ntsoko;2026-03-24 09:54:08+02;2026-03-24 09:54:08+02;;;;;;;;;27797006389;;;;;;;;prepaid life;;;;;</t>
  </si>
  <si>
    <t>ID_249</t>
  </si>
  <si>
    <t xml:space="preserve">13861363;21ae1331-dce0-431c-bc61-10db9cb2614c;;111111118;Vodacom Life 20260324;;;;;ADC;5;2026-05-22 </t>
  </si>
  <si>
    <t>13861363;21ae1331-dce0-431c-bc61-10db9cb2614c;;111111118;Vodacom Life 20260324;;;;;ADC;5;2026-05-22 11:14:48+02;system;2026-03-24 09:54:08+02;2026-03-24 09:54:08+02;;;;;;;;;27769788150;;;;;;;;prepaid life;;;;;</t>
  </si>
  <si>
    <t>ID_250</t>
  </si>
  <si>
    <t>13861220;cf6a6eb6-1337-441f-96e4-7a3e1538ad98;;111111118;Vodacom Life 20260324;;;;;AA;5;2026-05-22 0</t>
  </si>
  <si>
    <t>13861220;cf6a6eb6-1337-441f-96e4-7a3e1538ad98;;111111118;Vodacom Life 20260324;;;;;AA;5;2026-05-22 09:16:37+02;system;2026-03-24 09:54:08+02;2026-03-24 09:54:08+02;;;;;;;;;27797252478;;;;;;;;prepaid life;;;;;</t>
  </si>
  <si>
    <t>ID_251</t>
  </si>
  <si>
    <t>13861221;5dd8be43-bb60-4e50-8066-c46b5d164e2e;;111111118;Vodacom Life 20260324;;;;;AA;5;2026-05-22 0</t>
  </si>
  <si>
    <t>13861221;5dd8be43-bb60-4e50-8066-c46b5d164e2e;;111111118;Vodacom Life 20260324;;;;;AA;5;2026-05-22 09:16:37+02;system;2026-03-24 09:54:08+02;2026-03-24 09:54:08+02;;;;;;;;;27797301606;;;;;;;;prepaid life;;;;;</t>
  </si>
  <si>
    <t>ID_252</t>
  </si>
  <si>
    <t>13861318;7a84188a-472e-4084-945f-6c51a85b427b;;111111118;Vodacom Life 20260324;;;;;AA;5;2026-05-22 0</t>
  </si>
  <si>
    <t>13861318;7a84188a-472e-4084-945f-6c51a85b427b;;111111118;Vodacom Life 20260324;;;;;AA;5;2026-05-22 09:55:35+02;system;2026-03-24 09:54:08+02;2026-03-24 09:54:08+02;;;;;;;;;27727518467;;;;;;;;prepaid life;;;;;</t>
  </si>
  <si>
    <t>ID_253</t>
  </si>
  <si>
    <t>13861364;58646e17-699b-4092-9409-bf6663d2d593;;111111118;Vodacom Life 20260324;;;;;NA;5;2026-05-22 1</t>
  </si>
  <si>
    <t>13861364;58646e17-699b-4092-9409-bf6663d2d593;;111111118;Vodacom Life 20260324;;;;;NA;5;2026-05-22 11:20:32+02;system;2026-03-24 09:54:08+02;2026-03-24 09:54:08+02;;;;;;;;;27783641836;;;;;;;;prepaid life;;;;;</t>
  </si>
  <si>
    <t>ID_254</t>
  </si>
  <si>
    <t>13861319;9feb2a7e-65fd-4c00-b7ce-1595dbef7d71;;111111118;Vodacom Life 20260324;;;;;AE;5;2026-05-22 0</t>
  </si>
  <si>
    <t>13861319;9feb2a7e-65fd-4c00-b7ce-1595dbef7d71;;111111118;Vodacom Life 20260324;;;;;AE;5;2026-05-22 09:55:50+02;system;2026-03-24 09:54:08+02;2026-03-24 09:54:08+02;;;;;;;;;27727698093;;;;;;;;prepaid life;;;;;</t>
  </si>
  <si>
    <t>ID_255</t>
  </si>
  <si>
    <t>13861365;ca760aa5-590f-4134-a552-65bba2ccbe5e;;111111118;Vodacom Life 20260324;;;;;AE;5;2026-05-22 1</t>
  </si>
  <si>
    <t>13861365;ca760aa5-590f-4134-a552-65bba2ccbe5e;;111111118;Vodacom Life 20260324;;;;;AE;5;2026-05-22 11:20:44+02;system;2026-03-24 09:54:08+02;2026-03-24 09:54:08+02;;;;;;;;;27790120733;;;;;;;;prepaid life;;;;;</t>
  </si>
  <si>
    <t>ID_256</t>
  </si>
  <si>
    <t>13861320;5cb40592-b45a-4568-b8b6-16c2bd44f92e;;111111118;Vodacom Life 20260324;;;;;CU;5;2026-05-22 0</t>
  </si>
  <si>
    <t>13861320;5cb40592-b45a-4568-b8b6-16c2bd44f92e;;111111118;Vodacom Life 20260324;;;;;CU;5;2026-05-22 09:55:57+02;Maureen Ntsoko;2026-03-24 09:54:08+02;2026-03-24 09:54:08+02;;;;;;;;;27727872092;;;;;;;;prepaid life;;;;;</t>
  </si>
  <si>
    <t>ID_257</t>
  </si>
  <si>
    <t>13861222;2c487495-c59b-4df1-a763-f7d46e16e9ca;;111111118;Vodacom Life 20260324;;;;;CU;5;2026-05-22 0</t>
  </si>
  <si>
    <t>13861222;2c487495-c59b-4df1-a763-f7d46e16e9ca;;111111118;Vodacom Life 20260324;;;;;CU;5;2026-05-22 09:16:37+02;bongiwe lushaba;2026-03-24 09:54:08+02;2026-03-24 09:54:08+02;;;;;;;;;27797443249;;;;;;;;prepaid life;;;;;</t>
  </si>
  <si>
    <t>ID_258</t>
  </si>
  <si>
    <t>13861366;d65b628c-0a66-4793-be75-2f89c39a7f9a;;111111118;Vodacom Life 20260324;;;;;NA;5;2026-05-22 1</t>
  </si>
  <si>
    <t>13861366;d65b628c-0a66-4793-be75-2f89c39a7f9a;;111111118;Vodacom Life 20260324;;;;;NA;5;2026-05-22 11:20:48+02;system;2026-03-24 09:54:08+02;2026-03-24 09:54:08+02;;;;;;;;;27790252767;;;;;;;;prepaid life;;;;;</t>
  </si>
  <si>
    <t>ID_259</t>
  </si>
  <si>
    <t>13861223;100c038a-ab6f-4ae0-9bb8-f2774229037d;;111111118;Vodacom Life 20260324;;;;;AA;5;2026-05-22 0</t>
  </si>
  <si>
    <t>13861223;100c038a-ab6f-4ae0-9bb8-f2774229037d;;111111118;Vodacom Life 20260324;;;;;AA;5;2026-05-22 09:16:44+02;system;2026-03-24 09:54:08+02;2026-03-24 09:54:08+02;;;;;;;;;27798410602;;;;;;;;prepaid life;;;;;</t>
  </si>
  <si>
    <t>ID_260</t>
  </si>
  <si>
    <t>13861224;52a54c23-57cc-4883-8b75-3450e698d073;;111111118;Vodacom Life 20260324;;;;;SELECTED;4;2026-0</t>
  </si>
  <si>
    <t>13861224;52a54c23-57cc-4883-8b75-3450e698d073;;111111118;Vodacom Life 20260324;;;;;SELECTED;4;2026-04-14 11:14:40+02;Esther Ramalete;2026-03-24 09:54:08+02;2026-03-24 09:54:08+02;;;;;;;;;27799346458;;;;;;;;prepaid life;;;;;</t>
  </si>
  <si>
    <t>ID_261</t>
  </si>
  <si>
    <t>13861321;2a95d67e-46eb-4b2a-acfb-3564e70393cd;;111111118;Vodacom Life 20260324;;;;;CBACK;4;2026-05-0</t>
  </si>
  <si>
    <t>13861321;2a95d67e-46eb-4b2a-acfb-3564e70393cd;;111111118;Vodacom Life 20260324;;;;;CBACK;4;2026-05-07 14:43:52+02;Esther Ramalete;2026-03-24 09:54:08+02;2026-03-24 09:54:08+02;;;;;;;;;27727991143;;;;;;;;prepaid life;;;;;</t>
  </si>
  <si>
    <t>ID_262</t>
  </si>
  <si>
    <t>13861367;55490962-b5b6-4800-91e5-04693cdb7b95;;111111118;Vodacom Life 20260324;;;;;CBACK;5;2026-05-2</t>
  </si>
  <si>
    <t>13861367;55490962-b5b6-4800-91e5-04693cdb7b95;;111111118;Vodacom Life 20260324;;;;;CBACK;5;2026-05-22 11:20:55+02;Maureen Ntsoko;2026-03-24 09:54:08+02;2026-03-24 09:54:08+02;;;;;;;;;27790326068;;;;;;;;prepaid life;;;;;</t>
  </si>
  <si>
    <t>ID_263</t>
  </si>
  <si>
    <t>13861322;35d632a9-59b5-4cce-bb4e-278908dedbfa;;111111118;Vodacom Life 20260324;;;;;NI;3;2026-04-15 0</t>
  </si>
  <si>
    <t>13861322;35d632a9-59b5-4cce-bb4e-278908dedbfa;;111111118;Vodacom Life 20260324;;;;;NI;3;2026-04-15 09:48:12+02;Musiiwa Mary Mabirimisa;2026-03-24 09:54:08+02;2026-03-24 09:54:08+02;;;;;;;;;27728069361;;;;;;;;prepaid life;;;;;</t>
  </si>
  <si>
    <t>ID_264</t>
  </si>
  <si>
    <t xml:space="preserve">13861368;245666a2-dd4c-46ab-b9a6-31331ca957c2;;111111118;Vodacom Life 20260324;;;;;TDN;5;2026-05-22 </t>
  </si>
  <si>
    <t>13861368;245666a2-dd4c-46ab-b9a6-31331ca957c2;;111111118;Vodacom Life 20260324;;;;;TDN;5;2026-05-22 11:20:55+02;system;2026-03-24 09:54:08+02;2026-03-24 09:54:08+02;;;;;;;;;27790542905;;;;;;;;prepaid life;;;;;</t>
  </si>
  <si>
    <t>ID_265</t>
  </si>
  <si>
    <t>13861225;a8a83c18-9791-4aa0-832b-a8828f460443;;111111118;Vodacom Life 20260324;;;;;N;5;2026-04-17 14</t>
  </si>
  <si>
    <t>13861225;a8a83c18-9791-4aa0-832b-a8828f460443;;111111118;Vodacom Life 20260324;;;;;N;5;2026-04-17 14:06:00+02;Musiiwa Mary Mabirimisa;2026-03-24 09:54:08+02;2026-03-24 09:54:08+02;;;;;;;;;27799760295;;;;;;;;prepaid life;;;;;</t>
  </si>
  <si>
    <t>ID_266</t>
  </si>
  <si>
    <t>13861369;1a4d687c-ee7d-47ec-8b51-aba093f95366;;111111118;Vodacom Life 20260324;;;27790645447;;IABDN;</t>
  </si>
  <si>
    <t>13861369;1a4d687c-ee7d-47ec-8b51-aba093f95366;;111111118;Vodacom Life 20260324;;;27790645447;;IABDN;5;2026-05-22 11:39:52+02;system;2026-03-24 09:54:08+02;2026-03-24 09:54:08+02;;;;;;;;;27790645447;;;;;;;;prepaid life;;;;;</t>
  </si>
  <si>
    <t>ID_267</t>
  </si>
  <si>
    <t>13861226;1f537047-4093-4357-af09-c6db544b59bb;;111111118;Vodacom Life 20260324;;;;;CBACK;3;2026-04-1</t>
  </si>
  <si>
    <t>13861226;1f537047-4093-4357-af09-c6db544b59bb;;111111118;Vodacom Life 20260324;;;;;CBACK;3;2026-04-10 13:08:25+02;Maureen Ntsoko;2026-03-24 09:54:08+02;2026-03-24 09:54:08+02;;;;;;;;;27799774251;;;;;;;;prepaid life;;;;;</t>
  </si>
  <si>
    <t>ID_268</t>
  </si>
  <si>
    <t>13861323;a26a120e-2e2d-481f-9f85-bfdb3195b65a;;111111118;Vodacom Life 20260324;;;;;NA;5;2026-05-22 0</t>
  </si>
  <si>
    <t>13861323;a26a120e-2e2d-481f-9f85-bfdb3195b65a;;111111118;Vodacom Life 20260324;;;;;NA;5;2026-05-22 09:56:02+02;system;2026-03-24 09:54:08+02;2026-03-24 09:54:08+02;;;;;;;;;27728747416;;;;;;;;prepaid life;;;;;</t>
  </si>
  <si>
    <t>ID_269</t>
  </si>
  <si>
    <t>13861370;3efb1055-5b5a-4729-aa58-c14916a562b9;;111111118;Vodacom Life 20260324;;;;;GTTB;4;2026-05-07</t>
  </si>
  <si>
    <t>13861370;3efb1055-5b5a-4729-aa58-c14916a562b9;;111111118;Vodacom Life 20260324;;;;;GTTB;4;2026-05-07 12:43:56+02;Siyabonga Khoza;2026-03-24 09:54:08+02;2026-03-24 09:54:08+02;;;;;;;;;27790726249;;;;;;;;prepaid life;;;;;</t>
  </si>
  <si>
    <t>ID_270</t>
  </si>
  <si>
    <t>13861324;1bf9fc12-cad0-4996-8b56-652bff44a33d;;111111118;Vodacom Life 20260324;;;;;U;2;2026-04-09 12</t>
  </si>
  <si>
    <t>13861324;1bf9fc12-cad0-4996-8b56-652bff44a33d;;111111118;Vodacom Life 20260324;;;;;U;2;2026-04-09 12:54:08+02;Seboifeng Mogola;2026-03-24 09:54:08+02;2026-03-24 09:54:08+02;;;;;;;;;27728929587;;;;;;;;prepaid life;;;;;</t>
  </si>
  <si>
    <t>ID_271</t>
  </si>
  <si>
    <t>13861228;fa8e38c4-6ba7-4343-bf29-9f3b4a668183;;111111118;Vodacom Life 20260324;;;;;AA;5;2026-05-22 0</t>
  </si>
  <si>
    <t>13861228;fa8e38c4-6ba7-4343-bf29-9f3b4a668183;;111111118;Vodacom Life 20260324;;;;;AA;5;2026-05-22 09:17:03+02;system;2026-03-24 09:54:08+02;2026-03-24 09:54:08+02;;;;;;;;;27818716268;;;;;;;;prepaid life;;;;;</t>
  </si>
  <si>
    <t>ID_272</t>
  </si>
  <si>
    <t>13861371;344996f0-6481-401a-8ab2-a7054b39ed32;;111111118;Vodacom Life 20260324;;;;;AA;5;2026-05-22 1</t>
  </si>
  <si>
    <t>13861371;344996f0-6481-401a-8ab2-a7054b39ed32;;111111118;Vodacom Life 20260324;;;;;AA;5;2026-05-22 11:20:56+02;system;2026-03-24 09:54:08+02;2026-03-24 09:54:08+02;;;;;;;;;27790844175;;;;;;;;prepaid life;;;;;</t>
  </si>
  <si>
    <t>ID_273</t>
  </si>
  <si>
    <t>13861229;05676256-e886-4df9-b5ab-fa9d4fb3bbbd;;111111118;Vodacom Life 20260324;;;;;AA;5;2026-05-22 0</t>
  </si>
  <si>
    <t>13861229;05676256-e886-4df9-b5ab-fa9d4fb3bbbd;;111111118;Vodacom Life 20260324;;;;;AA;5;2026-05-22 09:17:34+02;system;2026-03-24 09:54:08+02;2026-03-24 09:54:08+02;;;;;;;;;27818730669;;;;;;;;prepaid life;;;;;</t>
  </si>
  <si>
    <t>ID_274</t>
  </si>
  <si>
    <t>13861230;8663e34b-f240-4be7-a2fe-5265dea4c05c;;111111118;Vodacom Life 20260324;;;;;AA;5;2026-05-22 0</t>
  </si>
  <si>
    <t>13861230;8663e34b-f240-4be7-a2fe-5265dea4c05c;;111111118;Vodacom Life 20260324;;;;;AA;5;2026-05-22 09:17:38+02;system;2026-03-24 09:54:08+02;2026-03-24 09:54:08+02;;;;;;;;;27820809046;;;;;;;;prepaid life;;;;;</t>
  </si>
  <si>
    <t>ID_275</t>
  </si>
  <si>
    <t>13861325;4a455537-8885-4151-9370-1b15ace0ddb4;;111111118;Vodacom Life 20260324;;;;;CBACK;3;2026-04-1</t>
  </si>
  <si>
    <t>13861325;4a455537-8885-4151-9370-1b15ace0ddb4;;111111118;Vodacom Life 20260324;;;;;CBACK;3;2026-04-15 09:48:25+02;Thandile Nokubeni;2026-03-24 09:54:08+02;2026-03-24 09:54:08+02;;;;;;;;;27729529044;;;;;;;;prepaid life;;;;;</t>
  </si>
  <si>
    <t>ID_276</t>
  </si>
  <si>
    <t>13861372;5a574a2f-b678-490a-9220-9c473b167f1a;;111111118;Vodacom Life 20260324;;;;;NI;3;2026-04-15 0</t>
  </si>
  <si>
    <t>13861372;5a574a2f-b678-490a-9220-9c473b167f1a;;111111118;Vodacom Life 20260324;;;;;NI;3;2026-04-15 09:38:48+02;Maureen Ntsoko;2026-03-24 09:54:08+02;2026-03-24 09:54:08+02;;;;;;;;;27791393672;;;;;;;;prepaid life;;;;;</t>
  </si>
  <si>
    <t>ID_277</t>
  </si>
  <si>
    <t>13861326;192443bf-4c27-41ba-9225-28aad4cb375d;;111111118;Vodacom Life 20260324;;;;;AA;5;2026-05-22 0</t>
  </si>
  <si>
    <t>13861326;192443bf-4c27-41ba-9225-28aad4cb375d;;111111118;Vodacom Life 20260324;;;;;AA;5;2026-05-22 09:57:43+02;system;2026-03-24 09:54:08+02;2026-03-24 09:54:08+02;;;;;;;;;27735415823;;;;;;;;prepaid life;;;;;</t>
  </si>
  <si>
    <t>ID_278</t>
  </si>
  <si>
    <t>13861231;109daf75-1ea0-4edc-a24d-0d97ec9576d0;;111111118;Vodacom Life 20260324;;;;;NA;5;2026-05-22 0</t>
  </si>
  <si>
    <t>13861231;109daf75-1ea0-4edc-a24d-0d97ec9576d0;;111111118;Vodacom Life 20260324;;;;;NA;5;2026-05-22 09:17:48+02;system;2026-03-24 09:54:08+02;2026-03-24 09:54:08+02;;;;;;;;;27822112335;;;;;;;;prepaid life;;;;;</t>
  </si>
  <si>
    <t>ID_279</t>
  </si>
  <si>
    <t>13861373;62bc05c7-da6b-45a1-af42-71e6fad68f0c;;111111118;Vodacom Life 20260324;;;27792239293;;CU;5;2</t>
  </si>
  <si>
    <t>13861373;62bc05c7-da6b-45a1-af42-71e6fad68f0c;;111111118;Vodacom Life 20260324;;;27792239293;;CU;5;2026-05-22 11:29:06+02;Maureen Ntsoko;2026-03-24 09:54:08+02;2026-03-24 09:54:08+02;;;;;;;;;27792239293;;;;;;;;prepaid life;;;;;</t>
  </si>
  <si>
    <t>ID_280</t>
  </si>
  <si>
    <t>13861232;a2794919-fdbf-4290-bb1d-c08ea8f6010c;;111111118;Vodacom Life 20260324;;;;;NI;2;2026-04-09 1</t>
  </si>
  <si>
    <t>13861232;a2794919-fdbf-4290-bb1d-c08ea8f6010c;;111111118;Vodacom Life 20260324;;;;;NI;2;2026-04-09 16:34:45+02;Musiiwa Mary Mabirimisa;2026-03-24 09:54:08+02;2026-03-24 09:54:08+02;;;;;;;;;27822194638;;;;;;;;prepaid life;;;;;</t>
  </si>
  <si>
    <t>ID_281</t>
  </si>
  <si>
    <t>13861374;0338519a-c4ff-4658-8ce1-5c92ad3f9ce6;;111111118;Vodacom Life 20260324;;;;;DROP;5;2026-05-22</t>
  </si>
  <si>
    <t>13861374;0338519a-c4ff-4658-8ce1-5c92ad3f9ce6;;111111118;Vodacom Life 20260324;;;;;DROP;5;2026-05-22 11:22:56+02;system;2026-03-24 09:54:08+02;2026-03-24 09:54:08+02;;;;;;;;;27792545957;;;;;;;;prepaid life;;;;;</t>
  </si>
  <si>
    <t>ID_282</t>
  </si>
  <si>
    <t>13861233;d0b4e714-458d-4cbc-ba36-fc421278a3c6;;111111118;Vodacom Life 20260324;;;;;AA;5;2026-05-22 0</t>
  </si>
  <si>
    <t>13861233;d0b4e714-458d-4cbc-ba36-fc421278a3c6;;111111118;Vodacom Life 20260324;;;;;AA;5;2026-05-22 09:17:50+02;system;2026-03-24 09:54:08+02;2026-03-24 09:54:08+02;;;;;;;;;27822821532;;;;;;;;prepaid life;;;;;</t>
  </si>
  <si>
    <t>ID_283</t>
  </si>
  <si>
    <t>13861327;a58981fd-1454-4f1f-adb6-94bd74bf4e57;;111111118;Vodacom Life 20260324;;;;;AA;5;2026-05-22 0</t>
  </si>
  <si>
    <t>13861327;a58981fd-1454-4f1f-adb6-94bd74bf4e57;;111111118;Vodacom Life 20260324;;;;;AA;5;2026-05-22 09:57:50+02;system;2026-03-24 09:54:08+02;2026-03-24 09:54:08+02;;;;;;;;;27739329240;;;;;;;;prepaid life;;;;;</t>
  </si>
  <si>
    <t>ID_284</t>
  </si>
  <si>
    <t>13861375;dd891f32-e717-4e9c-a8e3-8dad20cd982d;;111111118;Vodacom Life 20260324;;;27792650993;;AA;5;2</t>
  </si>
  <si>
    <t>13861375;dd891f32-e717-4e9c-a8e3-8dad20cd982d;;111111118;Vodacom Life 20260324;;;27792650993;;AA;5;2026-05-22 10:00:17+02;system;2026-03-24 09:54:08+02;2026-03-24 09:54:08+02;;;;;;;;;27792650993;;;;;;;;prepaid life;;;;;</t>
  </si>
  <si>
    <t>ID_285</t>
  </si>
  <si>
    <t>13861328;c7a99181-9a9c-48aa-932a-56a9c41bc9e5;;111111118;Vodacom Life 20260324;;;;;NI;2;2026-04-09 1</t>
  </si>
  <si>
    <t>13861328;c7a99181-9a9c-48aa-932a-56a9c41bc9e5;;111111118;Vodacom Life 20260324;;;;;NI;2;2026-04-09 13:24:34+02;Thandile Nokubeni;2026-03-24 09:54:08+02;2026-03-24 09:54:08+02;;;;;;;;;27760388381;;;;;;;;prepaid life;;;;;</t>
  </si>
  <si>
    <t>ID_286</t>
  </si>
  <si>
    <t>13861428;cc95961f-be20-40e6-8145-19f93ad7bce3;;111111118;Vodacom Life 20260324;;;;;U;4;2026-05-07 12</t>
  </si>
  <si>
    <t>13861428;cc95961f-be20-40e6-8145-19f93ad7bce3;;111111118;Vodacom Life 20260324;;;;;U;4;2026-05-07 12:29:58+02;Maureen Ntsoko;2026-03-24 09:54:08+02;2026-03-24 09:54:08+02;;;;;;;;;27637025290;;;;;;;;prepaid life;;;;;</t>
  </si>
  <si>
    <t>ID_287</t>
  </si>
  <si>
    <t>13861376;2e7dc97a-e746-4289-a7b5-65920fc86e9d;;111111118;Vodacom Life 20260324;;;;;NA;5;2026-05-22 1</t>
  </si>
  <si>
    <t>13861376;2e7dc97a-e746-4289-a7b5-65920fc86e9d;;111111118;Vodacom Life 20260324;;;;;NA;5;2026-05-22 11:22:56+02;system;2026-03-24 09:54:08+02;2026-03-24 09:54:08+02;;;;;;;;;27792783423;;;;;;;;prepaid life;;;;;</t>
  </si>
  <si>
    <t>ID_288</t>
  </si>
  <si>
    <t xml:space="preserve">13861429;3b721f7a-60f9-4904-abe7-c5e277e7a281;;111111118;Vodacom Life 20260324;;;;;ADC;5;2026-05-22 </t>
  </si>
  <si>
    <t>13861429;3b721f7a-60f9-4904-abe7-c5e277e7a281;;111111118;Vodacom Life 20260324;;;;;ADC;5;2026-05-22 11:47:11+02;system;2026-03-24 09:54:08+02;2026-03-24 09:54:08+02;;;;;;;;;27637587540;;;;;;;;prepaid life;;;;;</t>
  </si>
  <si>
    <t>ID_289</t>
  </si>
  <si>
    <t>13861329;2df2e1c6-3208-45b7-a37a-be0b2496090f;;111111118;Vodacom Life 20260324;;;;;DROP;5;2026-05-22</t>
  </si>
  <si>
    <t>13861329;2df2e1c6-3208-45b7-a37a-be0b2496090f;;111111118;Vodacom Life 20260324;;;;;DROP;5;2026-05-22 09:57:51+02;system;2026-03-24 09:54:08+02;2026-03-24 09:54:08+02;;;;;;;;;27760615391;;;;;;;;prepaid life;;;;;</t>
  </si>
  <si>
    <t>ID_290</t>
  </si>
  <si>
    <t>13861377;a241619e-8bfb-4c1b-8081-7594cc95572c;;111111118;Vodacom Life 20260324;;;;;AA;5;2026-05-22 1</t>
  </si>
  <si>
    <t>13861377;a241619e-8bfb-4c1b-8081-7594cc95572c;;111111118;Vodacom Life 20260324;;;;;AA;5;2026-05-22 11:22:56+02;system;2026-03-24 09:54:08+02;2026-03-24 09:54:08+02;;;;;;;;;27793052484;;;;;;;;prepaid life;;;;;</t>
  </si>
  <si>
    <t>ID_291</t>
  </si>
  <si>
    <t xml:space="preserve">13861330;9acc9d2d-25dc-4fce-9e1e-c4135ac9b1b2;;111111118;Vodacom Life 20260324;;;;;OAL;3;2026-04-15 </t>
  </si>
  <si>
    <t>13861330;9acc9d2d-25dc-4fce-9e1e-c4135ac9b1b2;;111111118;Vodacom Life 20260324;;;;;OAL;3;2026-04-15 09:48:33+02;Esther Ramalete;2026-03-24 09:54:08+02;2026-03-24 09:54:08+02;;;;;;;;;27760644841;;;;;;;;prepaid life;;;;;</t>
  </si>
  <si>
    <t>ID_292</t>
  </si>
  <si>
    <t>13861430;4234f061-d455-4a80-b2a2-0d24df524050;;111111118;Vodacom Life 20260324;;;;;AA;5;2026-05-22 1</t>
  </si>
  <si>
    <t>13861430;4234f061-d455-4a80-b2a2-0d24df524050;;111111118;Vodacom Life 20260324;;;;;AA;5;2026-05-22 11:47:12+02;system;2026-03-24 09:54:08+02;2026-03-24 09:54:08+02;;;;;;;;;27637695741;;;;;;;;prepaid life;;;;;</t>
  </si>
  <si>
    <t>ID_293</t>
  </si>
  <si>
    <t>13861378;75a3321f-f988-4e93-9421-897c0edda216;;111111118;Vodacom Life 20260324;;;;;AA;5;2026-05-22 1</t>
  </si>
  <si>
    <t>13861378;75a3321f-f988-4e93-9421-897c0edda216;;111111118;Vodacom Life 20260324;;;;;AA;5;2026-05-22 11:23:28+02;system;2026-03-24 09:54:08+02;2026-03-24 09:54:08+02;;;;;;;;;27793794401;;;;;;;;prepaid life;;;;;</t>
  </si>
  <si>
    <t>ID_294</t>
  </si>
  <si>
    <t>13861431;4fade270-6a1e-48c5-abec-4b4dd48002bd;;111111118;Vodacom Life 20260324;;;;;CU;5;2026-05-22 1</t>
  </si>
  <si>
    <t>13861431;4fade270-6a1e-48c5-abec-4b4dd48002bd;;111111118;Vodacom Life 20260324;;;;;CU;5;2026-05-22 11:47:12+02;bongiwe lushaba;2026-03-24 09:54:08+02;2026-03-24 09:54:08+02;;;;;;;;;27637802619;;;;;;;;prepaid life;;;;;</t>
  </si>
  <si>
    <t>ID_295</t>
  </si>
  <si>
    <t>13861432;6a591693-7caf-4c56-8c1f-1aaf52033aa4;;111111118;Vodacom Life 20260324;;;27646699326;;AA;5;2</t>
  </si>
  <si>
    <t>13861432;6a591693-7caf-4c56-8c1f-1aaf52033aa4;;111111118;Vodacom Life 20260324;;;27646699326;;AA;5;2026-05-22 11:48:44+02;system;2026-03-24 09:54:08+02;2026-03-24 09:54:08+02;;;;;;;;;27646699326;;;;;;;;prepaid life;;;;;</t>
  </si>
  <si>
    <t>ID_296</t>
  </si>
  <si>
    <t>13861525;5ed76e14-a8a3-44f7-8a8f-e5926d3d7d66;;111111118;Vodacom Life 20260324;;;;;AA;5;2026-05-25 1</t>
  </si>
  <si>
    <t>13861525;5ed76e14-a8a3-44f7-8a8f-e5926d3d7d66;;111111118;Vodacom Life 20260324;;;;;AA;5;2026-05-25 11:13:35+02;system;2026-03-24 09:54:08+02;2026-03-24 09:54:08+02;;;;;;;;;27769595696;;;;;;;;prepaid life;;;;;</t>
  </si>
  <si>
    <t>ID_297</t>
  </si>
  <si>
    <t>13861379;941f2d2a-f81f-40b4-9628-6ffd888f9bc0;;111111118;Vodacom Life 20260324;;;;;DROP;5;2026-05-22</t>
  </si>
  <si>
    <t>13861379;941f2d2a-f81f-40b4-9628-6ffd888f9bc0;;111111118;Vodacom Life 20260324;;;;;DROP;5;2026-05-22 11:23:31+02;system;2026-03-24 09:54:08+02;2026-03-24 09:54:08+02;;;;;;;;;27793940671;;;;;;;;prepaid life;;;;;</t>
  </si>
  <si>
    <t>ID_298</t>
  </si>
  <si>
    <t>13861526;4f6acadb-cb90-4330-a3eb-982aac0f1b1f;;111111118;Vodacom Life 20260324;;;;;AA;5;2026-05-25 1</t>
  </si>
  <si>
    <t>13861526;4f6acadb-cb90-4330-a3eb-982aac0f1b1f;;111111118;Vodacom Life 20260324;;;;;AA;5;2026-05-25 11:49:08+02;system;2026-03-24 09:54:08+02;2026-03-24 09:54:08+02;;;;;;;;;27769661760;;;;;;;;prepaid life;;;;;</t>
  </si>
  <si>
    <t>ID_299</t>
  </si>
  <si>
    <t>13861433;6668e8bf-0e95-4548-8a96-128387d40534;;111111118;Vodacom Life 20260324;;;;;AA;5;2026-05-22 1</t>
  </si>
  <si>
    <t>13861433;6668e8bf-0e95-4548-8a96-128387d40534;;111111118;Vodacom Life 20260324;;;;;AA;5;2026-05-22 11:48:44+02;system;2026-03-24 09:54:08+02;2026-03-24 09:54:08+02;;;;;;;;;27646923723;;;;;;;;prepaid life;;;;;</t>
  </si>
  <si>
    <t>ID_300</t>
  </si>
  <si>
    <t>13861380;1ba5bbfa-29f8-46d7-8722-c665f79dbffb;;111111118;Vodacom Life 20260324;;;;;AA;5;2026-05-22 1</t>
  </si>
  <si>
    <t>13861380;1ba5bbfa-29f8-46d7-8722-c665f79dbffb;;111111118;Vodacom Life 20260324;;;;;AA;5;2026-05-22 11:23:31+02;system;2026-03-24 09:54:08+02;2026-03-24 09:54:08+02;;;;;;;;;27794188232;;;;;;;;prepaid life;;;;;</t>
  </si>
  <si>
    <t>ID_301</t>
  </si>
  <si>
    <t>13861434;bfa0e639-3b90-49c9-ad5c-e1099d50dbe5;;111111118;Vodacom Life 20260324;;;;;AA;5;2026-05-22 1</t>
  </si>
  <si>
    <t>13861434;bfa0e639-3b90-49c9-ad5c-e1099d50dbe5;;111111118;Vodacom Life 20260324;;;;;AA;5;2026-05-22 11:48:44+02;system;2026-03-24 09:54:08+02;2026-03-24 09:54:08+02;;;;;;;;;27648180085;;;;;;;;prepaid life;;;;;</t>
  </si>
  <si>
    <t>ID_302</t>
  </si>
  <si>
    <t>13861527;94607456-69d7-40d2-94d8-59651f117388;;111111118;Vodacom Life 20260324;;;;;AA;5;2026-05-25 1</t>
  </si>
  <si>
    <t>13861527;94607456-69d7-40d2-94d8-59651f117388;;111111118;Vodacom Life 20260324;;;;;AA;5;2026-05-25 10:38:54+02;system;2026-03-24 09:54:08+02;2026-03-24 09:54:08+02;;;;;;;;;27769683872;;;;;;;;prepaid life;;;;;</t>
  </si>
  <si>
    <t>ID_303</t>
  </si>
  <si>
    <t>13861381;55d7ee67-e02b-4b37-989a-e7a8fb2c93b8;;111111118;Vodacom Life 20260324;;;;;CBACK;5;2026-05-2</t>
  </si>
  <si>
    <t>13861381;55d7ee67-e02b-4b37-989a-e7a8fb2c93b8;;111111118;Vodacom Life 20260324;;;;;CBACK;5;2026-05-22 11:23:31+02;Maureen Ntsoko;2026-03-24 09:54:08+02;2026-03-24 09:54:08+02;;;;;;;;;27794246038;;;;;;;;prepaid life;;;;;</t>
  </si>
  <si>
    <t>ID_304</t>
  </si>
  <si>
    <t>13861382;70f67b85-537a-4cea-815e-4a6cee391694;;111111118;Vodacom Life 20260324;;;;;NA;5;2026-05-22 1</t>
  </si>
  <si>
    <t>13861382;70f67b85-537a-4cea-815e-4a6cee391694;;111111118;Vodacom Life 20260324;;;;;NA;5;2026-05-22 11:23:31+02;system;2026-03-24 09:54:08+02;2026-03-24 09:54:08+02;;;;;;;;;27794255166;;;;;;;;prepaid life;;;;;</t>
  </si>
  <si>
    <t>ID_305</t>
  </si>
  <si>
    <t>13861435;65316267-c9a6-4b1a-b1dd-698df88f4ece;;111111118;Vodacom Life 20260324;;;;;AA;5;2026-05-25 1</t>
  </si>
  <si>
    <t>13861435;65316267-c9a6-4b1a-b1dd-698df88f4ece;;111111118;Vodacom Life 20260324;;;;;AA;5;2026-05-25 14:24:31+02;system;2026-03-24 09:54:08+02;2026-03-24 09:54:08+02;;;;;;;;;27648987335;;;;;;;;prepaid life;;;;;</t>
  </si>
  <si>
    <t>ID_306</t>
  </si>
  <si>
    <t>13861436;de6d0b10-c1c7-4045-a61c-73644b318b88;;111111118;Vodacom Life 20260324;;;;;AA;5;2026-05-25 1</t>
  </si>
  <si>
    <t>13861436;de6d0b10-c1c7-4045-a61c-73644b318b88;;111111118;Vodacom Life 20260324;;;;;AA;5;2026-05-25 10:56:25+02;system;2026-03-24 09:54:08+02;2026-03-24 09:54:08+02;;;;;;;;;27649340974;;;;;;;;prepaid life;;;;;</t>
  </si>
  <si>
    <t>ID_307</t>
  </si>
  <si>
    <t>13861383;ca380751-1104-4ef9-929e-703680c0f02e;;111111118;Vodacom Life 20260324;;;;;NA;5;2026-05-22 1</t>
  </si>
  <si>
    <t>13861383;ca380751-1104-4ef9-929e-703680c0f02e;;111111118;Vodacom Life 20260324;;;;;NA;5;2026-05-22 11:24:04+02;system;2026-03-24 09:54:08+02;2026-03-24 09:54:08+02;;;;;;;;;27794740221;;;;;;;;prepaid life;;;;;</t>
  </si>
  <si>
    <t>ID_308</t>
  </si>
  <si>
    <t>13861384;8fc54cb6-781d-4adb-9238-5d6b60b8257c;;111111118;Vodacom Life 20260324;;;;;AA;5;2026-05-22 1</t>
  </si>
  <si>
    <t>13861384;8fc54cb6-781d-4adb-9238-5d6b60b8257c;;111111118;Vodacom Life 20260324;;;;;AA;5;2026-05-22 11:24:04+02;system;2026-03-24 09:54:08+02;2026-03-24 09:54:08+02;;;;;;;;;27794860360;;;;;;;;prepaid life;;;;;</t>
  </si>
  <si>
    <t>ID_309</t>
  </si>
  <si>
    <t>13861437;984f2e49-28ea-4931-a123-ffcb9c169d07;;111111118;Vodacom Life 20260324;;;;;DROP;5;2026-05-23</t>
  </si>
  <si>
    <t>13861437;984f2e49-28ea-4931-a123-ffcb9c169d07;;111111118;Vodacom Life 20260324;;;;;DROP;5;2026-05-23 10:50:20+02;system;2026-03-24 09:54:08+02;2026-03-24 09:54:08+02;;;;;;;;;27649407367;;;;;;;;prepaid life;;;;;</t>
  </si>
  <si>
    <t>ID_310</t>
  </si>
  <si>
    <t>13861529;b796a527-157e-4bd7-af44-00838f8c13eb;;111111118;Vodacom Life 20260324;;;;;AA;5;2026-05-25 1</t>
  </si>
  <si>
    <t>13861529;b796a527-157e-4bd7-af44-00838f8c13eb;;111111118;Vodacom Life 20260324;;;;;AA;5;2026-05-25 10:40:20+02;system;2026-03-24 09:54:08+02;2026-03-24 09:54:08+02;;;;;;;;;27774391233;;;;;;;;prepaid life;;;;;</t>
  </si>
  <si>
    <t>ID_311</t>
  </si>
  <si>
    <t xml:space="preserve">13861385;7ca57080-8b53-4230-8fff-97def88b7763;;111111118;Vodacom Life 20260324;;;;;ADC;5;2026-05-22 </t>
  </si>
  <si>
    <t>13861385;7ca57080-8b53-4230-8fff-97def88b7763;;111111118;Vodacom Life 20260324;;;;;ADC;5;2026-05-22 11:25:33+02;system;2026-03-24 09:54:08+02;2026-03-24 09:54:08+02;;;;;;;;;27795601790;;;;;;;;prepaid life;;;;;</t>
  </si>
  <si>
    <t>ID_312</t>
  </si>
  <si>
    <t>13861530;b28388a4-eb6d-4cb1-a188-c9a8a9c92302;;111111118;Vodacom Life 20260324;;;;;AE;5;2026-05-25 1</t>
  </si>
  <si>
    <t>13861530;b28388a4-eb6d-4cb1-a188-c9a8a9c92302;;111111118;Vodacom Life 20260324;;;;;AE;5;2026-05-25 14:38:22+02;system;2026-03-24 09:54:08+02;2026-03-24 09:54:08+02;;;;;;;;;27782703626;;;;;;;;prepaid life;;;;;</t>
  </si>
  <si>
    <t>ID_313</t>
  </si>
  <si>
    <t>13861438;d42e2751-03c8-48a3-99bd-001e7a15ac7e;;111111118;Vodacom Life 20260324;;;;;NI;1;2026-03-24 1</t>
  </si>
  <si>
    <t>13861438;d42e2751-03c8-48a3-99bd-001e7a15ac7e;;111111118;Vodacom Life 20260324;;;;;NI;1;2026-03-24 11:07:09+02;Esther Ramalete;2026-03-24 09:54:08+02;2026-03-24 09:54:08+02;;;;;;;;;27660430416;;;;;;;;prepaid life;;;;;</t>
  </si>
  <si>
    <t>ID_314</t>
  </si>
  <si>
    <t>13861386;3aa4b5be-aee4-4bb3-83fd-614584783e3f;;111111118;Vodacom Life 20260324;;;;;NA;5;2026-05-22 1</t>
  </si>
  <si>
    <t>13861386;3aa4b5be-aee4-4bb3-83fd-614584783e3f;;111111118;Vodacom Life 20260324;;;;;NA;5;2026-05-22 11:25:33+02;system;2026-03-24 09:54:08+02;2026-03-24 09:54:08+02;;;;;;;;;27796169880;;;;;;;;prepaid life;;;;;</t>
  </si>
  <si>
    <t>ID_315</t>
  </si>
  <si>
    <t>13861439;dc40f08c-c3bd-417d-8edf-70e09f34b6c4;;111111118;Vodacom Life 20260324;;;;;DNCLIFE;2;2026-04</t>
  </si>
  <si>
    <t>13861439;dc40f08c-c3bd-417d-8edf-70e09f34b6c4;;111111118;Vodacom Life 20260324;;;;;DNCLIFE;2;2026-04-09 16:36:52+02;Thandile Nokubeni;2026-03-24 09:54:08+02;2026-03-24 09:54:08+02;;;;;;;;;27662824934;;;;;;;;prepaid life;;;;;</t>
  </si>
  <si>
    <t>ID_316</t>
  </si>
  <si>
    <t>13861531;c8ddc7e8-1970-43a5-bb11-5912b833aae9;;111111118;Vodacom Life 20260324;;;;;AE;5;2026-05-25 1</t>
  </si>
  <si>
    <t>13861531;c8ddc7e8-1970-43a5-bb11-5912b833aae9;;111111118;Vodacom Life 20260324;;;;;AE;5;2026-05-25 11:20:05+02;system;2026-03-24 09:54:08+02;2026-03-24 09:54:08+02;;;;;;;;;27786673355;;;;;;;;prepaid life;;;;;</t>
  </si>
  <si>
    <t>ID_317</t>
  </si>
  <si>
    <t>13861387;ca17f0e2-097f-4b72-bbee-8f5036a4a17b;;111111118;Vodacom Life 20260324;;;;;CU;5;2026-05-22 1</t>
  </si>
  <si>
    <t>13861387;ca17f0e2-097f-4b72-bbee-8f5036a4a17b;;111111118;Vodacom Life 20260324;;;;;CU;5;2026-05-22 11:25:33+02;Khensane Mabasa;2026-03-24 09:54:08+02;2026-03-24 09:54:08+02;;;;;;;;;27796324418;;;;;;;;prepaid life;;;;;</t>
  </si>
  <si>
    <t>ID_318</t>
  </si>
  <si>
    <t>13861440;93f89f3b-46d6-4635-94ca-89a995a2578d;;111111118;Vodacom Life 20260324;;;27663255254;;NA;5;2</t>
  </si>
  <si>
    <t>13861440;93f89f3b-46d6-4635-94ca-89a995a2578d;;111111118;Vodacom Life 20260324;;;27663255254;;NA;5;2026-05-25 11:55:38+02;system;2026-03-24 09:54:08+02;2026-03-24 09:54:08+02;;;;;;;;;27663255254;;;;;;;;prepaid life;;;;;</t>
  </si>
  <si>
    <t>ID_319</t>
  </si>
  <si>
    <t>13861388;92da7bca-20d7-47cf-b249-22379b7de63f;;111111118;Vodacom Life 20260324;;;;;AE;5;2026-05-22 1</t>
  </si>
  <si>
    <t>13861388;92da7bca-20d7-47cf-b249-22379b7de63f;;111111118;Vodacom Life 20260324;;;;;AE;5;2026-05-22 11:25:34+02;system;2026-03-24 09:54:08+02;2026-03-24 09:54:08+02;;;;;;;;;27796349789;;;;;;;;prepaid life;;;;;</t>
  </si>
  <si>
    <t>ID_320</t>
  </si>
  <si>
    <t>13861441;e53b327a-7974-46a6-bb34-a153ce51f037;;111111118;Vodacom Life 20260324;;;;;AA;5;2026-05-25 1</t>
  </si>
  <si>
    <t>13861441;e53b327a-7974-46a6-bb34-a153ce51f037;;111111118;Vodacom Life 20260324;;;;;AA;5;2026-05-25 11:15:07+02;system;2026-03-24 09:54:08+02;2026-03-24 09:54:08+02;;;;;;;;;27663303191;;;;;;;;prepaid life;;;;;</t>
  </si>
  <si>
    <t>ID_321</t>
  </si>
  <si>
    <t>13861532;cf2d8605-e915-4690-86d2-d16e505f1aed;;111111118;Vodacom Life 20260324;;;;;DROP;5;2026-05-25</t>
  </si>
  <si>
    <t>13861532;cf2d8605-e915-4690-86d2-d16e505f1aed;;111111118;Vodacom Life 20260324;;;;;DROP;5;2026-05-25 14:33:01+02;system;2026-03-24 09:54:08+02;2026-03-24 09:54:08+02;;;;;;;;;27790971403;;;;;;;;prepaid life;;;;;</t>
  </si>
  <si>
    <t>ID_322</t>
  </si>
  <si>
    <t>13861389;2033c780-2785-459f-9f84-32b84b0891c8;;111111118;Vodacom Life 20260324;;;27796473727;;CBACK;</t>
  </si>
  <si>
    <t>13861389;2033c780-2785-459f-9f84-32b84b0891c8;;111111118;Vodacom Life 20260324;;;27796473727;;CBACK;5;2026-05-22 11:25:34+02;Maureen Ntsoko;2026-03-24 09:54:08+02;2026-03-24 09:54:08+02;;;;;;;;;27796473727;;;;;;;;prepaid life;;;;;</t>
  </si>
  <si>
    <t>ID_323</t>
  </si>
  <si>
    <t>13861533;424693b9-2f06-477d-8434-ae104c78f518;;111111118;Vodacom Life 20260324;;;;;U;2;2026-04-10 08</t>
  </si>
  <si>
    <t>13861533;424693b9-2f06-477d-8434-ae104c78f518;;111111118;Vodacom Life 20260324;;;;;U;2;2026-04-10 08:55:50+02;Thandile Nokubeni;2026-03-24 09:54:08+02;2026-03-24 09:54:08+02;;;;;;;;;27791681179;;;;;;;;prepaid life;;;;;</t>
  </si>
  <si>
    <t>ID_324</t>
  </si>
  <si>
    <t>13861442;2da8a738-659a-499f-9f05-0fe378485316;;111111118;Vodacom Life 20260324;;;;;DROP;5;2026-05-25</t>
  </si>
  <si>
    <t>13861442;2da8a738-659a-499f-9f05-0fe378485316;;111111118;Vodacom Life 20260324;;;;;DROP;5;2026-05-25 12:32:45+02;system;2026-03-24 09:54:08+02;2026-03-24 09:54:08+02;;;;;;;;;27663663983;;;;;;;;prepaid life;;;;;</t>
  </si>
  <si>
    <t>ID_325</t>
  </si>
  <si>
    <t>13861390;3e2b8e0c-7c51-414c-9004-b1e5dd4761c2;;111111118;Vodacom Life 20260324;;;;;DROP;5;2026-05-22</t>
  </si>
  <si>
    <t>13861390;3e2b8e0c-7c51-414c-9004-b1e5dd4761c2;;111111118;Vodacom Life 20260324;;;;;DROP;5;2026-05-22 11:25:39+02;system;2026-03-24 09:54:08+02;2026-03-24 09:54:08+02;;;;;;;;;27796629160;;;;;;;;prepaid life;;;;;</t>
  </si>
  <si>
    <t>ID_326</t>
  </si>
  <si>
    <t>13861443;d6760f5f-7a56-4732-8618-bb76cd9eca93;;111111118;Vodacom Life 20260324;;;;;NA;5;2026-05-23 1</t>
  </si>
  <si>
    <t>13861443;d6760f5f-7a56-4732-8618-bb76cd9eca93;;111111118;Vodacom Life 20260324;;;;;NA;5;2026-05-23 12:31:43+02;system;2026-03-24 09:54:08+02;2026-03-24 09:54:08+02;;;;;;;;;27664053104;;;;;;;;prepaid life;;;;;</t>
  </si>
  <si>
    <t>ID_327</t>
  </si>
  <si>
    <t>13861534;1a6fd79e-5ba4-4e66-9964-b41db37cbf2f;;111111118;Vodacom Life 20260324;;;;;CU;5;2026-05-25 1</t>
  </si>
  <si>
    <t>13861534;1a6fd79e-5ba4-4e66-9964-b41db37cbf2f;;111111118;Vodacom Life 20260324;;;;;CU;5;2026-05-25 11:07:37+02;Maureen Ntsoko;2026-03-24 09:54:08+02;2026-03-24 09:54:08+02;;;;;;;;;27791988128;;;;;;;;prepaid life;;;;;</t>
  </si>
  <si>
    <t>ID_328</t>
  </si>
  <si>
    <t>13861535;605a7818-cf31-4845-ad00-5c6e71892acc;;111111118;Vodacom Life 20260324;;;27792090084;;IABDN;</t>
  </si>
  <si>
    <t>13861535;605a7818-cf31-4845-ad00-5c6e71892acc;;111111118;Vodacom Life 20260324;;;27792090084;;IABDN;5;2026-05-23 11:46:11+02;system;2026-03-24 09:54:08+02;2026-03-24 09:54:08+02;;;;;;;;;27792090084;;;;;;;;prepaid life;;;;;</t>
  </si>
  <si>
    <t>ID_329</t>
  </si>
  <si>
    <t>13861391;c1e5db59-fddc-451c-9b79-6c0d0a177a47;;111111118;Vodacom Life 20260324;;;;;CBACK;3;2026-04-0</t>
  </si>
  <si>
    <t>13861391;c1e5db59-fddc-451c-9b79-6c0d0a177a47;;111111118;Vodacom Life 20260324;;;;;CBACK;3;2026-04-09 15:21:10+02;Mahlatse Manamela;2026-03-24 09:54:08+02;2026-03-24 09:54:08+02;;;;;;;;;27797946093;;;;;;;;prepaid life;;;;;</t>
  </si>
  <si>
    <t>ID_330</t>
  </si>
  <si>
    <t>13861536;82b56f9c-f48c-47b2-bcb2-f089b96df9a3;;111111118;Vodacom Life 20260324;;;;;CBACK;1;2026-03-2</t>
  </si>
  <si>
    <t>13861536;82b56f9c-f48c-47b2-bcb2-f089b96df9a3;;111111118;Vodacom Life 20260324;;;;;CBACK;1;2026-03-24 11:46:37+02;Maureen Ntsoko;2026-03-24 09:54:08+02;2026-03-24 09:54:08+02;;;;;;;;;27792702506;;;;;;;;prepaid life;;;;;</t>
  </si>
  <si>
    <t>ID_331</t>
  </si>
  <si>
    <t>13861444;9c5b0a84-b5e3-440e-ae07-c4e4ec7e194a;;111111118;Vodacom Life 20260324;;;;;AA;5;2026-05-25 0</t>
  </si>
  <si>
    <t>13861444;9c5b0a84-b5e3-440e-ae07-c4e4ec7e194a;;111111118;Vodacom Life 20260324;;;;;AA;5;2026-05-25 09:39:16+02;system;2026-03-24 09:54:08+02;2026-03-24 09:54:08+02;;;;;;;;;27664067912;;;;;;;;prepaid life;;;;;</t>
  </si>
  <si>
    <t>ID_332</t>
  </si>
  <si>
    <t>13861392;07c47958-2343-449d-87cf-f39ff9b8406e;;111111118;Vodacom Life 20260324;;;;;NA;5;2026-05-22 1</t>
  </si>
  <si>
    <t>13861392;07c47958-2343-449d-87cf-f39ff9b8406e;;111111118;Vodacom Life 20260324;;;;;NA;5;2026-05-22 11:25:39+02;system;2026-03-24 09:54:08+02;2026-03-24 09:54:08+02;;;;;;;;;27798590392;;;;;;;;prepaid life;;;;;</t>
  </si>
  <si>
    <t>ID_333</t>
  </si>
  <si>
    <t>13861445;a7d2c822-64c8-4ec3-b80a-dbb29741919a;;111111118;Vodacom Life 20260324;;;;;CU;5;2026-05-25 0</t>
  </si>
  <si>
    <t>13861445;a7d2c822-64c8-4ec3-b80a-dbb29741919a;;111111118;Vodacom Life 20260324;;;;;CU;5;2026-05-25 09:39:16+02;Khensane Mabasa;2026-03-24 09:54:08+02;2026-03-24 09:54:08+02;;;;;;;;;27664393136;;;;;;;;prepaid life;;;;;</t>
  </si>
  <si>
    <t>ID_334</t>
  </si>
  <si>
    <t>13861393;8b43f264-27ab-45f8-a130-80b410200647;;111111118;Vodacom Life 20260324;;;;;AE;5;2026-05-22 1</t>
  </si>
  <si>
    <t>13861393;8b43f264-27ab-45f8-a130-80b410200647;;111111118;Vodacom Life 20260324;;;;;AE;5;2026-05-22 11:25:40+02;system;2026-03-24 09:54:08+02;2026-03-24 09:54:08+02;;;;;;;;;27798991952;;;;;;;;prepaid life;;;;;</t>
  </si>
  <si>
    <t>ID_335</t>
  </si>
  <si>
    <t>13861446;0aa8e365-a8f7-4eec-a7e8-950e4a20d2d8;;111111118;Vodacom Life 20260324;;;;;DROP;5;2026-05-25</t>
  </si>
  <si>
    <t>13861446;0aa8e365-a8f7-4eec-a7e8-950e4a20d2d8;;111111118;Vodacom Life 20260324;;;;;DROP;5;2026-05-25 14:38:46+02;system;2026-03-24 09:54:08+02;2026-03-24 09:54:08+02;;;;;;;;;27665309945;;;;;;;;prepaid life;;;;;</t>
  </si>
  <si>
    <t>ID_336</t>
  </si>
  <si>
    <t>13861537;b78f6035-97ee-4b22-9fb2-699ce18f0025;;111111118;Vodacom Life 20260324;;;;;CBACK;2;2026-04-1</t>
  </si>
  <si>
    <t>13861537;b78f6035-97ee-4b22-9fb2-699ce18f0025;;111111118;Vodacom Life 20260324;;;;;CBACK;2;2026-04-10 08:46:25+02;Thandile Nokubeni;2026-03-24 09:54:08+02;2026-03-24 09:54:08+02;;;;;;;;;27793276205;;;;;;;;prepaid life;;;;;</t>
  </si>
  <si>
    <t>ID_337</t>
  </si>
  <si>
    <t>13861538;5053df63-f44b-4951-860a-7c0845ea9d81;;111111118;Vodacom Life 20260324;;;27793373270;;CU;5;2</t>
  </si>
  <si>
    <t>13861538;5053df63-f44b-4951-860a-7c0845ea9d81;;111111118;Vodacom Life 20260324;;;27793373270;;CU;5;2026-05-23 09:15:55+02;Maureen Ntsoko;2026-03-24 09:54:08+02;2026-03-24 09:54:08+02;;;;;;;;;27793373270;;;;;;;;prepaid life;;;;;</t>
  </si>
  <si>
    <t>ID_338</t>
  </si>
  <si>
    <t>13861394;ec018343-2de7-4da7-8645-0c9fa75736a2;;111111118;Vodacom Life 20260324;;;;;CBACK;3;2026-04-1</t>
  </si>
  <si>
    <t>13861394;ec018343-2de7-4da7-8645-0c9fa75736a2;;111111118;Vodacom Life 20260324;;;;;CBACK;3;2026-04-15 09:36:40+02;Millicent Motsuku;2026-03-24 09:54:08+02;2026-03-24 09:54:08+02;;;;;;;;;27799385681;;;;;;;;prepaid life;;;;;</t>
  </si>
  <si>
    <t>ID_339</t>
  </si>
  <si>
    <t>13861539;cce2608f-0d49-42d3-853a-91e83b2ca20c;;111111118;Vodacom Life 20260324;;;;;NA;5;2026-05-23 0</t>
  </si>
  <si>
    <t>13861539;cce2608f-0d49-42d3-853a-91e83b2ca20c;;111111118;Vodacom Life 20260324;;;;;NA;5;2026-05-23 09:23:58+02;system;2026-03-24 09:54:08+02;2026-03-24 09:54:08+02;;;;;;;;;27793390558;;;;;;;;prepaid life;;;;;</t>
  </si>
  <si>
    <t>ID_340</t>
  </si>
  <si>
    <t>13861447;6ad604e8-ea37-48b1-94f6-ec74d70147ec;;111111118;Vodacom Life 20260324;;;;;NI;5;2026-05-21 1</t>
  </si>
  <si>
    <t>13861447;6ad604e8-ea37-48b1-94f6-ec74d70147ec;;111111118;Vodacom Life 20260324;;;;;NI;5;2026-05-21 11:12:08+02;Khensane Mabasa;2026-03-24 09:54:08+02;2026-03-24 09:54:08+02;;;;;;;;;27665529816;;;;;;;;prepaid life;;;;;</t>
  </si>
  <si>
    <t>ID_341</t>
  </si>
  <si>
    <t>13861395;2ac968de-3a04-4d2a-b5ce-b446cdd67ed7;;111111118;Vodacom Life 20260324;;;;;SELECTED;1;;;2026</t>
  </si>
  <si>
    <t>13861395;2ac968de-3a04-4d2a-b5ce-b446cdd67ed7;;111111118;Vodacom Life 20260324;;;;;SELECTED;1;;;2026-03-24 09:54:08+02;2026-03-24 09:54:08+02;;;;;;;;;27818512765;;;;;;;;prepaid life;;;;;</t>
  </si>
  <si>
    <t>ID_342</t>
  </si>
  <si>
    <t>13861449;aa15379b-9dfb-462b-a07b-70142bd05a87;;111111118;Vodacom Life 20260324;;;27673578972;;IABDN;</t>
  </si>
  <si>
    <t>13861449;aa15379b-9dfb-462b-a07b-70142bd05a87;;111111118;Vodacom Life 20260324;;;27673578972;;IABDN;5;2026-05-25 14:13:29+02;system;2026-03-24 09:54:08+02;2026-03-24 09:54:08+02;;;;;;;;;27673578972;;;;;;;;prepaid life;;;;;</t>
  </si>
  <si>
    <t>ID_343</t>
  </si>
  <si>
    <t>13861396;2fb3155a-8c68-4274-9178-7a63ff6b3480;;111111118;Vodacom Life 20260324;;;;;DROP;5;2026-05-22</t>
  </si>
  <si>
    <t>13861396;2fb3155a-8c68-4274-9178-7a63ff6b3480;;111111118;Vodacom Life 20260324;;;;;DROP;5;2026-05-22 11:28:18+02;system;2026-03-24 09:54:08+02;2026-03-24 09:54:08+02;;;;;;;;;27820756041;;;;;;;;prepaid life;;;;;</t>
  </si>
  <si>
    <t>ID_344</t>
  </si>
  <si>
    <t>13861450;86034fe1-1739-4638-b38d-3551d7626b9b;;111111118;Vodacom Life 20260324;;;;;NI;4;2026-05-07 1</t>
  </si>
  <si>
    <t>13861450;86034fe1-1739-4638-b38d-3551d7626b9b;;111111118;Vodacom Life 20260324;;;;;NI;4;2026-05-07 12:27:11+02;Siyabonga Khoza;2026-03-24 09:54:08+02;2026-03-24 09:54:08+02;;;;;;;;;27685060666;;;;;;;;prepaid life;;;;;</t>
  </si>
  <si>
    <t>ID_345</t>
  </si>
  <si>
    <t>13861540;acd581fd-d535-4ad2-9922-9bc443e5b03e;;111111118;Vodacom Life 20260324;;;;;AA;5;2026-05-25 0</t>
  </si>
  <si>
    <t>13861540;acd581fd-d535-4ad2-9922-9bc443e5b03e;;111111118;Vodacom Life 20260324;;;;;AA;5;2026-05-25 09:31:00+02;system;2026-03-24 09:54:08+02;2026-03-24 09:54:08+02;;;;;;;;;27793528980;;;;;;;;prepaid life;;;;;</t>
  </si>
  <si>
    <t>ID_346</t>
  </si>
  <si>
    <t>13861541;26f6094e-ed77-4a1b-b399-7dbaf3225ae4;;111111118;Vodacom Life 20260324;;;;;AA;5;2026-05-23 0</t>
  </si>
  <si>
    <t>13861541;26f6094e-ed77-4a1b-b399-7dbaf3225ae4;;111111118;Vodacom Life 20260324;;;;;AA;5;2026-05-23 09:13:08+02;system;2026-03-24 09:54:08+02;2026-03-24 09:54:08+02;;;;;;;;;27794055046;;;;;;;;prepaid life;;;;;</t>
  </si>
  <si>
    <t>ID_347</t>
  </si>
  <si>
    <t>13861397;b50a724b-99e4-4cd5-b5e3-08d86d82ea06;;111111118;Vodacom Life 20260324;;;;;DROP;5;2026-05-22</t>
  </si>
  <si>
    <t>13861397;b50a724b-99e4-4cd5-b5e3-08d86d82ea06;;111111118;Vodacom Life 20260324;;;;;DROP;5;2026-05-22 11:28:18+02;system;2026-03-24 09:54:08+02;2026-03-24 09:54:08+02;;;;;;;;;27820863196;;;;;;;;prepaid life;;;;;</t>
  </si>
  <si>
    <t>ID_348</t>
  </si>
  <si>
    <t>13861542;01d1e05c-4737-4d84-aedf-929adf79c616;;111111118;Vodacom Life 20260324;;;;;AE;5;2026-05-25 0</t>
  </si>
  <si>
    <t>13861542;01d1e05c-4737-4d84-aedf-929adf79c616;;111111118;Vodacom Life 20260324;;;;;AE;5;2026-05-25 09:36:46+02;system;2026-03-24 09:54:08+02;2026-03-24 09:54:08+02;;;;;;;;;27794279513;;;;;;;;prepaid life;;;;;</t>
  </si>
  <si>
    <t>ID_349</t>
  </si>
  <si>
    <t>13861451;40c45cec-1029-4894-ac7f-4e56675bc9f2;;111111118;Vodacom Life 20260324;;;;;AA;5;2026-05-25 1</t>
  </si>
  <si>
    <t>13861451;40c45cec-1029-4894-ac7f-4e56675bc9f2;;111111118;Vodacom Life 20260324;;;;;AA;5;2026-05-25 12:02:58+02;system;2026-03-24 09:54:08+02;2026-03-24 09:54:08+02;;;;;;;;;27711154049;;;;;;;;prepaid life;;;;;</t>
  </si>
  <si>
    <t>ID_350</t>
  </si>
  <si>
    <t>13861452;9382d3a9-3155-4804-87c2-d6e3768b6fc0;;111111118;Vodacom Life 20260324;;;;;AA;5;2026-05-25 1</t>
  </si>
  <si>
    <t>13861452;9382d3a9-3155-4804-87c2-d6e3768b6fc0;;111111118;Vodacom Life 20260324;;;;;AA;5;2026-05-25 12:03:08+02;system;2026-03-24 09:54:08+02;2026-03-24 09:54:08+02;;;;;;;;;27711856315;;;;;;;;prepaid life;;;;;</t>
  </si>
  <si>
    <t>ID_351</t>
  </si>
  <si>
    <t>13861398;0cbc170f-b76c-4170-ab77-25bc448e2f81;;111111118;Vodacom Life 20260324;;;;;NI;3;2026-04-15 0</t>
  </si>
  <si>
    <t>13861398;0cbc170f-b76c-4170-ab77-25bc448e2f81;;111111118;Vodacom Life 20260324;;;;;NI;3;2026-04-15 09:37:05+02;Thandile Nokubeni;2026-03-24 09:54:08+02;2026-03-24 09:54:08+02;;;;;;;;;27822157917;;;;;;;;prepaid life;;;;;</t>
  </si>
  <si>
    <t>ID_352</t>
  </si>
  <si>
    <t>13861543;6a606ac6-6519-4bef-ac22-186f0da22da9;;111111118;Vodacom Life 20260324;;;;;CU;5;2026-05-23 0</t>
  </si>
  <si>
    <t>13861543;6a606ac6-6519-4bef-ac22-186f0da22da9;;111111118;Vodacom Life 20260324;;;;;CU;5;2026-05-23 09:13:08+02;Maureen Ntsoko;2026-03-24 09:54:08+02;2026-03-24 09:54:08+02;;;;;;;;;27794286524;;;;;;;;prepaid life;;;;;</t>
  </si>
  <si>
    <t>ID_353</t>
  </si>
  <si>
    <t>13861399;04280fb3-44d7-4a7f-9188-c53b4d898ca7;;111111118;Vodacom Life 20260324;;;;;AA;5;2026-05-22 1</t>
  </si>
  <si>
    <t>13861399;04280fb3-44d7-4a7f-9188-c53b4d898ca7;;111111118;Vodacom Life 20260324;;;;;AA;5;2026-05-22 11:28:26+02;system;2026-03-24 09:54:08+02;2026-03-24 09:54:08+02;;;;;;;;;27822627053;;;;;;;;prepaid life;;;;;</t>
  </si>
  <si>
    <t>ID_354</t>
  </si>
  <si>
    <t>13861544;ddcf75e2-5181-4082-b46f-165c7f1fcdb7;;111111118;Vodacom Life 20260324;;;;;AA;5;2026-05-23 0</t>
  </si>
  <si>
    <t>13861544;ddcf75e2-5181-4082-b46f-165c7f1fcdb7;;111111118;Vodacom Life 20260324;;;;;AA;5;2026-05-23 09:13:09+02;system;2026-03-24 09:54:08+02;2026-03-24 09:54:08+02;;;;;;;;;27794997829;;;;;;;;prepaid life;;;;;</t>
  </si>
  <si>
    <t>ID_355</t>
  </si>
  <si>
    <t>13861453;b6b5e62b-ca0d-4ba9-a6e5-c408396cba29;;111111118;Vodacom Life 20260324;;;;;AA;5;2026-05-25 0</t>
  </si>
  <si>
    <t>13861453;b6b5e62b-ca0d-4ba9-a6e5-c408396cba29;;111111118;Vodacom Life 20260324;;;;;AA;5;2026-05-25 08:58:23+02;system;2026-03-24 09:54:08+02;2026-03-24 09:54:08+02;;;;;;;;;27714383391;;;;;;;;prepaid life;;;;;</t>
  </si>
  <si>
    <t>ID_356</t>
  </si>
  <si>
    <t>13861454;93256b56-9b39-48f5-abaa-18c205793f74;;111111118;Vodacom Life 20260324;;;27714526106;;AA;5;2</t>
  </si>
  <si>
    <t>13861454;93256b56-9b39-48f5-abaa-18c205793f74;;111111118;Vodacom Life 20260324;;;27714526106;;AA;5;2026-05-25 14:11:23+02;system;2026-03-24 09:54:08+02;2026-03-24 09:54:08+02;;;;;;;;;27714526106;;;;;;;;prepaid life;;;;;</t>
  </si>
  <si>
    <t>ID_357</t>
  </si>
  <si>
    <t>13861400;d2ebe5c9-4a13-4d19-995e-d279ec38290a;;111111118;Vodacom Life 20260324;;;;;AE;5;2026-05-22 1</t>
  </si>
  <si>
    <t>13861400;d2ebe5c9-4a13-4d19-995e-d279ec38290a;;111111118;Vodacom Life 20260324;;;;;AE;5;2026-05-22 11:28:26+02;system;2026-03-24 09:54:08+02;2026-03-24 09:54:08+02;;;;;;;;;27823565833;;;;;;;;prepaid life;;;;;</t>
  </si>
  <si>
    <t>ID_358</t>
  </si>
  <si>
    <t>13861401;2cf64610-9458-4d76-8609-a78b024e1673;;111111118;Vodacom Life 20260324;;;;;CU;5;2026-05-22 1</t>
  </si>
  <si>
    <t>13861401;2cf64610-9458-4d76-8609-a78b024e1673;;111111118;Vodacom Life 20260324;;;;;CU;5;2026-05-22 11:28:33+02;bongiwe lushaba;2026-03-24 09:54:08+02;2026-03-24 09:54:08+02;;;;;;;;;27823893067;;;;;;;;prepaid life;;;;;</t>
  </si>
  <si>
    <t>ID_359</t>
  </si>
  <si>
    <t>13861455;8b19fda0-fa84-4f03-976f-62e438965bfc;;111111118;Vodacom Life 20260324;;;;;AA;5;2026-05-25 1</t>
  </si>
  <si>
    <t>13861455;8b19fda0-fa84-4f03-976f-62e438965bfc;;111111118;Vodacom Life 20260324;;;;;AA;5;2026-05-25 14:36:15+02;system;2026-03-24 09:54:08+02;2026-03-24 09:54:08+02;;;;;;;;;27715327244;;;;;;;;prepaid life;;;;;</t>
  </si>
  <si>
    <t>ID_360</t>
  </si>
  <si>
    <t>13861456;27e2bce0-6387-4579-aaa1-ef9e46150722;;111111118;Vodacom Life 20260324;;;;;A;8;2026-05-19 09</t>
  </si>
  <si>
    <t>13861456;27e2bce0-6387-4579-aaa1-ef9e46150722;;111111118;Vodacom Life 20260324;;;;;A;8;2026-05-19 09:05:32+02;Khensane Mabasa;2026-03-24 09:54:08+02;2026-03-24 09:54:08+02;;;;;;;;;27716483184;;;;;;;;prepaid life;;;;;</t>
  </si>
  <si>
    <t>ID_361</t>
  </si>
  <si>
    <t>13861545;97d9aa73-63c0-4258-8b2b-e1d5b6970a61;;111111118;Vodacom Life 20260324;;;;;AA;5;2026-05-23 0</t>
  </si>
  <si>
    <t>13861545;97d9aa73-63c0-4258-8b2b-e1d5b6970a61;;111111118;Vodacom Life 20260324;;;;;AA;5;2026-05-23 09:13:20+02;system;2026-03-24 09:54:08+02;2026-03-24 09:54:08+02;;;;;;;;;27795182101;;;;;;;;prepaid life;;;;;</t>
  </si>
  <si>
    <t>ID_362</t>
  </si>
  <si>
    <t xml:space="preserve">13861402;1279ada8-931c-443a-ac9c-01e3d5cfd34b;;111111118;Vodacom Life 20260324;;;;;CCB;5;2026-05-22 </t>
  </si>
  <si>
    <t>13861402;1279ada8-931c-443a-ac9c-01e3d5cfd34b;;111111118;Vodacom Life 20260324;;;;;CCB;5;2026-05-22 11:30:54+02;Maureen Ntsoko;2026-03-24 09:54:08+02;2026-03-24 09:54:08+02;;;;;;;;;27823919286;;;;;;;;prepaid life;;;;;</t>
  </si>
  <si>
    <t>ID_363</t>
  </si>
  <si>
    <t>13861546;1e94a0c3-ce25-4b11-b008-77059a305f85;;111111118;Vodacom Life 20260324;;;;;NA;5;2026-05-25 1</t>
  </si>
  <si>
    <t>13861546;1e94a0c3-ce25-4b11-b008-77059a305f85;;111111118;Vodacom Life 20260324;;;;;NA;5;2026-05-25 12:31:28+02;system;2026-03-24 09:54:08+02;2026-03-24 09:54:08+02;;;;;;;;;27795201246;;;;;;;;prepaid life;;;;;</t>
  </si>
  <si>
    <t>ID_364</t>
  </si>
  <si>
    <t>13861457;61d57d9c-ac42-408e-882e-cd37bb13674b;;111111118;Vodacom Life 20260324;;;;;NA;5;2026-05-25 1</t>
  </si>
  <si>
    <t>13861457;61d57d9c-ac42-408e-882e-cd37bb13674b;;111111118;Vodacom Life 20260324;;;;;NA;5;2026-05-25 10:46:29+02;system;2026-03-24 09:54:08+02;2026-03-24 09:54:08+02;;;;;;;;;27716676682;;;;;;;;prepaid life;;;;;</t>
  </si>
  <si>
    <t>ID_365</t>
  </si>
  <si>
    <t>13861403;76d0710b-f582-4bf4-a587-f8537f8668c6;;111111118;Vodacom Life 20260324;;;;;AA;5;2026-05-22 1</t>
  </si>
  <si>
    <t>13861403;76d0710b-f582-4bf4-a587-f8537f8668c6;;111111118;Vodacom Life 20260324;;;;;AA;5;2026-05-22 11:30:54+02;system;2026-03-24 09:54:08+02;2026-03-24 09:54:08+02;;;;;;;;;27823931904;;;;;;;;prepaid life;;;;;</t>
  </si>
  <si>
    <t>ID_366</t>
  </si>
  <si>
    <t>13861547;99bb8740-c828-4198-9435-662ebefebf94;;111111118;Vodacom Life 20260324;;;27795332823;;NA;5;2</t>
  </si>
  <si>
    <t>13861547;99bb8740-c828-4198-9435-662ebefebf94;;111111118;Vodacom Life 20260324;;;27795332823;;NA;5;2026-05-25 11:50:25+02;system;2026-03-24 09:54:08+02;2026-03-24 09:54:08+02;;;;;;;;;27795332823;;;;;;;;prepaid life;;;;;</t>
  </si>
  <si>
    <t>ID_367</t>
  </si>
  <si>
    <t>13861404;4b8b80c8-3283-4cee-8ccc-55ac17123fa3;;111111118;Vodacom Life 20260324;;;;;AE;5;2026-05-22 1</t>
  </si>
  <si>
    <t>13861404;4b8b80c8-3283-4cee-8ccc-55ac17123fa3;;111111118;Vodacom Life 20260324;;;;;AE;5;2026-05-22 11:30:55+02;system;2026-03-24 09:54:08+02;2026-03-24 09:54:08+02;;;;;;;;;27824590176;;;;;;;;prepaid life;;;;;</t>
  </si>
  <si>
    <t>ID_368</t>
  </si>
  <si>
    <t>13861458;52b6e411-5395-4443-8e28-fe0578a47141;;111111118;Vodacom Life 20260324;;;;;AA;5;2026-05-25 1</t>
  </si>
  <si>
    <t>13861458;52b6e411-5395-4443-8e28-fe0578a47141;;111111118;Vodacom Life 20260324;;;;;AA;5;2026-05-25 11:09:23+02;system;2026-03-24 09:54:08+02;2026-03-24 09:54:08+02;;;;;;;;;27716913567;;;;;;;;prepaid life;;;;;</t>
  </si>
  <si>
    <t>ID_369</t>
  </si>
  <si>
    <t>13861405;65aeea1b-edca-4119-82c1-1bbe5474ffef;;111111118;Vodacom Life 20260324;;;;;NA;5;2026-05-22 1</t>
  </si>
  <si>
    <t>13861405;65aeea1b-edca-4119-82c1-1bbe5474ffef;;111111118;Vodacom Life 20260324;;;;;NA;5;2026-05-22 11:30:55+02;system;2026-03-24 09:54:08+02;2026-03-24 09:54:08+02;;;;;;;;;27825649479;;;;;;;;prepaid life;;;;;</t>
  </si>
  <si>
    <t>ID_370</t>
  </si>
  <si>
    <t xml:space="preserve">13861459;5bae4839-2c25-42da-a7ac-0b0949d49b16;;111111118;Vodacom Life 20260324;;;;;OAL;2;2026-04-02 </t>
  </si>
  <si>
    <t>13861459;5bae4839-2c25-42da-a7ac-0b0949d49b16;;111111118;Vodacom Life 20260324;;;;;OAL;2;2026-04-02 11:15:09+02;Seboifeng Mogola;2026-03-24 09:54:08+02;2026-03-24 09:54:08+02;;;;;;;;;27720166367;;;;;;;;prepaid life;;;;;</t>
  </si>
  <si>
    <t>ID_371</t>
  </si>
  <si>
    <t>13861548;83bb1d70-355c-4da5-a7c1-ffce8ebb3da7;;111111118;Vodacom Life 20260324;;;;;NI;3;2026-04-15 0</t>
  </si>
  <si>
    <t>13861548;83bb1d70-355c-4da5-a7c1-ffce8ebb3da7;;111111118;Vodacom Life 20260324;;;;;NI;3;2026-04-15 08:53:24+02;Maureen Ntsoko;2026-03-24 09:54:08+02;2026-03-24 09:54:08+02;;;;;;;;;27795637290;;;;;;;;prepaid life;;;;;</t>
  </si>
  <si>
    <t>ID_372</t>
  </si>
  <si>
    <t>13861406;cb64e242-2060-4649-8dba-5b4fc97c6e55;;111111118;Vodacom Life 20260324;;;;;NA;5;2026-05-22 1</t>
  </si>
  <si>
    <t>13861406;cb64e242-2060-4649-8dba-5b4fc97c6e55;;111111118;Vodacom Life 20260324;;;;;NA;5;2026-05-22 11:30:55+02;system;2026-03-24 09:54:08+02;2026-03-24 09:54:08+02;;;;;;;;;27826385044;;;;;;;;prepaid life;;;;;</t>
  </si>
  <si>
    <t>ID_373</t>
  </si>
  <si>
    <t>13861549;95974aa0-74e6-4903-bfbc-5a31cc8a32f0;;111111118;Vodacom Life 20260324;;;;;DROP;5;2026-05-25</t>
  </si>
  <si>
    <t>13861549;95974aa0-74e6-4903-bfbc-5a31cc8a32f0;;111111118;Vodacom Life 20260324;;;;;DROP;5;2026-05-25 10:41:20+02;system;2026-03-24 09:54:08+02;2026-03-24 09:54:08+02;;;;;;;;;27795945147;;;;;;;;prepaid life;;;;;</t>
  </si>
  <si>
    <t>ID_374</t>
  </si>
  <si>
    <t>13861460;a54b3817-d54c-462c-bdb7-5bada431d76c;;111111118;Vodacom Life 20260324;;;;;DROP;5;2026-05-25</t>
  </si>
  <si>
    <t>13861460;a54b3817-d54c-462c-bdb7-5bada431d76c;;111111118;Vodacom Life 20260324;;;;;DROP;5;2026-05-25 11:09:28+02;system;2026-03-24 09:54:08+02;2026-03-24 09:54:08+02;;;;;;;;;27720843596;;;;;;;;prepaid life;;;;;</t>
  </si>
  <si>
    <t>ID_375</t>
  </si>
  <si>
    <t>13861408;0f6a3bc2-f516-4128-9cf2-5f064ef38a06;;111111118;Vodacom Life 20260324;;;;;NI;2;2026-04-09 1</t>
  </si>
  <si>
    <t>13861408;0f6a3bc2-f516-4128-9cf2-5f064ef38a06;;111111118;Vodacom Life 20260324;;;;;NI;2;2026-04-09 11:27:42+02;Musiiwa Mary Mabirimisa;2026-03-24 09:54:08+02;2026-03-24 09:54:08+02;;;;;;;;;27827666908;;;;;;;;prepaid life;;;;;</t>
  </si>
  <si>
    <t>ID_376</t>
  </si>
  <si>
    <t>13861461;4631cf41-b9b7-46d3-934d-ef0e2e4f4c40;;111111118;Vodacom Life 20260324;;;;;CBACK;2;2026-04-1</t>
  </si>
  <si>
    <t>13861461;4631cf41-b9b7-46d3-934d-ef0e2e4f4c40;;111111118;Vodacom Life 20260324;;;;;CBACK;2;2026-04-10 09:01:38+02;Maureen Ntsoko;2026-03-24 09:54:08+02;2026-03-24 09:54:08+02;;;;;;;;;27720946629;;;;;;;;prepaid life;;;;;</t>
  </si>
  <si>
    <t>ID_377</t>
  </si>
  <si>
    <t>13861550;1d2d19ee-87af-4fe9-81ca-18dde4613eb8;;111111118;Vodacom Life 20260324;;;;;U;4;2026-05-07 12</t>
  </si>
  <si>
    <t>13861550;1d2d19ee-87af-4fe9-81ca-18dde4613eb8;;111111118;Vodacom Life 20260324;;;;;U;4;2026-05-07 12:15:06+02;bongiwe lushaba;2026-03-24 09:54:08+02;2026-03-24 09:54:08+02;;;;;;;;;27796313881;;;;;;;;prepaid life;;;;;</t>
  </si>
  <si>
    <t>ID_378</t>
  </si>
  <si>
    <t>13861409;828f5ce1-53e7-43b6-8f29-1357258d886c;;111111118;Vodacom Life 20260324;;;;;AA;5;2026-05-22 1</t>
  </si>
  <si>
    <t>13861409;828f5ce1-53e7-43b6-8f29-1357258d886c;;111111118;Vodacom Life 20260324;;;;;AA;5;2026-05-22 11:31:05+02;system;2026-03-24 09:54:08+02;2026-03-24 09:54:08+02;;;;;;;;;27828327358;;;;;;;;prepaid life;;;;;</t>
  </si>
  <si>
    <t>ID_379</t>
  </si>
  <si>
    <t>13861551;c794d335-c59b-44b1-8e90-e54c4862f961;;111111118;Vodacom Life 20260324;;;;;AA;5;2026-05-25 1</t>
  </si>
  <si>
    <t>13861551;c794d335-c59b-44b1-8e90-e54c4862f961;;111111118;Vodacom Life 20260324;;;;;AA;5;2026-05-25 11:08:40+02;system;2026-03-24 09:54:08+02;2026-03-24 09:54:08+02;;;;;;;;;27796839204;;;;;;;;prepaid life;;;;;</t>
  </si>
  <si>
    <t>ID_380</t>
  </si>
  <si>
    <t>13861462;4b06aea1-f287-414d-a231-dc745cc621b1;;111111118;Vodacom Life 20260324;;;;;AA;5;2026-05-25 1</t>
  </si>
  <si>
    <t>13861462;4b06aea1-f287-414d-a231-dc745cc621b1;;111111118;Vodacom Life 20260324;;;;;AA;5;2026-05-25 11:09:30+02;system;2026-03-24 09:54:08+02;2026-03-24 09:54:08+02;;;;;;;;;27721307808;;;;;;;;prepaid life;;;;;</t>
  </si>
  <si>
    <t>ID_381</t>
  </si>
  <si>
    <t>13861410;8e49e74c-0f73-47a1-a0a2-27146f73b311;;111111118;Vodacom Life 20260324;;;27828611933;;AA;5;2</t>
  </si>
  <si>
    <t>13861410;8e49e74c-0f73-47a1-a0a2-27146f73b311;;111111118;Vodacom Life 20260324;;;27828611933;;AA;5;2026-05-22 11:31:15+02;system;2026-03-24 09:54:08+02;2026-03-24 09:54:08+02;;;;;;;;;27828611933;;;;;;;;prepaid life;;;;;</t>
  </si>
  <si>
    <t>ID_382</t>
  </si>
  <si>
    <t>13861463;6acc600b-ba9a-446d-8874-c1efd58bd8a4;;111111118;Vodacom Life 20260324;;;;;AA;5;2026-05-25 1</t>
  </si>
  <si>
    <t>13861463;6acc600b-ba9a-446d-8874-c1efd58bd8a4;;111111118;Vodacom Life 20260324;;;;;AA;5;2026-05-25 11:10:07+02;system;2026-03-24 09:54:08+02;2026-03-24 09:54:08+02;;;;;;;;;27721849020;;;;;;;;prepaid life;;;;;</t>
  </si>
  <si>
    <t>ID_383</t>
  </si>
  <si>
    <t>13861552;15ce9860-7aab-45d7-af4a-402406d6a392;;111111118;Vodacom Life 20260324;;;;;SELECTED;2;2026-0</t>
  </si>
  <si>
    <t>13861552;15ce9860-7aab-45d7-af4a-402406d6a392;;111111118;Vodacom Life 20260324;;;;;SELECTED;2;2026-03-24 11:48:06+02;system;2026-03-24 09:54:08+02;2026-03-24 09:54:08+02;;;;;;;;;27797009950;;;;;;;;prepaid life;;;;;</t>
  </si>
  <si>
    <t>ID_384</t>
  </si>
  <si>
    <t>13861411;279f4069-cd21-4a2d-b07d-a0299149f429;;111111118;Vodacom Life 20260324;;;;;AA;5;2026-05-22 1</t>
  </si>
  <si>
    <t>13861411;279f4069-cd21-4a2d-b07d-a0299149f429;;111111118;Vodacom Life 20260324;;;;;AA;5;2026-05-22 11:31:15+02;system;2026-03-24 09:54:08+02;2026-03-24 09:54:08+02;;;;;;;;;27829657250;;;;;;;;prepaid life;;;;;</t>
  </si>
  <si>
    <t>ID_385</t>
  </si>
  <si>
    <t>13861553;b80b098b-935a-4b1e-8156-2fb0a207f784;;111111118;Vodacom Life 20260324;;;;;CU;6;2026-04-23 1</t>
  </si>
  <si>
    <t>13861553;b80b098b-935a-4b1e-8156-2fb0a207f784;;111111118;Vodacom Life 20260324;;;;;CU;6;2026-04-23 13:06:25+02;Maureen Ntsoko;2026-03-24 09:54:08+02;2026-03-24 09:54:08+02;;;;;;;;;27797620260;;;;;;;;prepaid life;;;;;</t>
  </si>
  <si>
    <t>ID_386</t>
  </si>
  <si>
    <t>13861464;161b4ae0-12f8-40e9-9208-a94e31434e94;;111111118;Vodacom Life 20260324;;;;;AA;5;2026-05-25 1</t>
  </si>
  <si>
    <t>13861464;161b4ae0-12f8-40e9-9208-a94e31434e94;;111111118;Vodacom Life 20260324;;;;;AA;5;2026-05-25 12:56:07+02;system;2026-03-24 09:54:08+02;2026-03-24 09:54:08+02;;;;;;;;;27721937203;;;;;;;;prepaid life;;;;;</t>
  </si>
  <si>
    <t>ID_387</t>
  </si>
  <si>
    <t>13861412;92787e7a-d9f6-4446-9da3-0aa35f7abc43;;111111118;Vodacom Life 20260324;;;27844502222;;IABDN;</t>
  </si>
  <si>
    <t>13861412;92787e7a-d9f6-4446-9da3-0aa35f7abc43;;111111118;Vodacom Life 20260324;;;27844502222;;IABDN;5;2026-05-22 11:33:33+02;system;2026-03-24 09:54:08+02;2026-03-24 09:54:08+02;;;;;;;;;27844502222;;;;;;;;prepaid life;;;;;</t>
  </si>
  <si>
    <t>ID_388</t>
  </si>
  <si>
    <t>13861465;4aeaee3f-ae53-41cf-a4e4-80863ee88254;;111111118;Vodacom Life 20260324;;;;;NI;2;2026-04-10 0</t>
  </si>
  <si>
    <t>13861465;4aeaee3f-ae53-41cf-a4e4-80863ee88254;;111111118;Vodacom Life 20260324;;;;;NI;2;2026-04-10 09:12:02+02;Esther Ramalete;2026-03-24 09:54:08+02;2026-03-24 09:54:08+02;;;;;;;;;27723142669;;;;;;;;prepaid life;;;;;</t>
  </si>
  <si>
    <t>ID_389</t>
  </si>
  <si>
    <t>13861413;23b58141-eb91-4b9d-b2c0-37851cdf76bf;;111111118;Vodacom Life 20260324;;;;;A;8;2026-05-22 11</t>
  </si>
  <si>
    <t>13861413;23b58141-eb91-4b9d-b2c0-37851cdf76bf;;111111118;Vodacom Life 20260324;;;;;A;8;2026-05-22 11:48:46+02;Khensane Mabasa;2026-03-24 09:54:08+02;2026-03-24 09:54:08+02;;;;;;;;;27606116990;;;;;;;;prepaid life;;;;;</t>
  </si>
  <si>
    <t>ID_390</t>
  </si>
  <si>
    <t>13861554;48c081df-00c0-4903-9de3-ebb5be2ddbef;;111111118;Vodacom Life 20260324;;;;;SELECTED;5;2026-0</t>
  </si>
  <si>
    <t>13861554;48c081df-00c0-4903-9de3-ebb5be2ddbef;;111111118;Vodacom Life 20260324;;;;;SELECTED;5;2026-05-07 13:07:46+02;system;2026-03-24 09:54:08+02;2026-03-24 09:54:08+02;;;;;;;;;27797796486;;;;;;;;prepaid life;;;;;</t>
  </si>
  <si>
    <t>ID_391</t>
  </si>
  <si>
    <t>13861414;4c6f0e7b-4ed5-47a5-bdb1-bb3859a50830;;111111118;Vodacom Life 20260324;;;;;DROP;5;2026-05-22</t>
  </si>
  <si>
    <t>13861414;4c6f0e7b-4ed5-47a5-bdb1-bb3859a50830;;111111118;Vodacom Life 20260324;;;;;DROP;5;2026-05-22 11:31:21+02;system;2026-03-24 09:54:08+02;2026-03-24 09:54:08+02;;;;;;;;;27606242483;;;;;;;;prepaid life;;;;;</t>
  </si>
  <si>
    <t>ID_392</t>
  </si>
  <si>
    <t xml:space="preserve">13861555;18ede4bb-6599-4335-b11c-e6a34742aeaf;;111111118;Vodacom Life 20260324;;;;;ADC;5;2026-05-25 </t>
  </si>
  <si>
    <t>13861555;18ede4bb-6599-4335-b11c-e6a34742aeaf;;111111118;Vodacom Life 20260324;;;;;ADC;5;2026-05-25 09:33:41+02;system;2026-03-24 09:54:08+02;2026-03-24 09:54:08+02;;;;;;;;;27797799781;;;;;;;;prepaid life;;;;;</t>
  </si>
  <si>
    <t>ID_393</t>
  </si>
  <si>
    <t xml:space="preserve">13861466;896a402e-cf62-4ffd-950b-1aa31ab823c5;;111111118;Vodacom Life 20260324;;;;;ADC;5;2026-05-25 </t>
  </si>
  <si>
    <t>13861466;896a402e-cf62-4ffd-950b-1aa31ab823c5;;111111118;Vodacom Life 20260324;;;;;ADC;5;2026-05-25 12:02:56+02;system;2026-03-24 09:54:08+02;2026-03-24 09:54:08+02;;;;;;;;;27723371090;;;;;;;;prepaid life;;;;;</t>
  </si>
  <si>
    <t>ID_394</t>
  </si>
  <si>
    <t>13861415;60c88b6f-cedd-49a0-a8c7-e3c18ed0b16f;;111111118;Vodacom Life 20260324;;;;;AE;5;2026-05-22 1</t>
  </si>
  <si>
    <t>13861415;60c88b6f-cedd-49a0-a8c7-e3c18ed0b16f;;111111118;Vodacom Life 20260324;;;;;AE;5;2026-05-22 11:37:07+02;system;2026-03-24 09:54:08+02;2026-03-24 09:54:08+02;;;;;;;;;27606251505;;;;;;;;prepaid life;;;;;</t>
  </si>
  <si>
    <t>ID_395</t>
  </si>
  <si>
    <t>13861467;6e8b9085-aaf1-4102-8a4a-e790cad59470;;111111118;Vodacom Life 20260324;;;;;CU;5;2026-05-22 1</t>
  </si>
  <si>
    <t>13861467;6e8b9085-aaf1-4102-8a4a-e790cad59470;;111111118;Vodacom Life 20260324;;;;;CU;5;2026-05-22 13:06:42+02;bongiwe lushaba;2026-03-24 09:54:08+02;2026-03-24 09:54:08+02;;;;;;;;;27724018143;;;;;;;;prepaid life;;;;;</t>
  </si>
  <si>
    <t>ID_396</t>
  </si>
  <si>
    <t>13861416;af8c07ea-b2c5-416d-9748-bb8b2a09bc9c;;111111118;Vodacom Life 20260324;;;;;CBACK;5;2026-05-2</t>
  </si>
  <si>
    <t>13861416;af8c07ea-b2c5-416d-9748-bb8b2a09bc9c;;111111118;Vodacom Life 20260324;;;;;CBACK;5;2026-05-22 11:37:07+02;bongiwe lushaba;2026-03-24 09:54:08+02;2026-03-24 09:54:08+02;;;;;;;;;27606790188;;;;;;;;prepaid life;;;;;</t>
  </si>
  <si>
    <t>ID_397</t>
  </si>
  <si>
    <t xml:space="preserve">13861468;a9e8181a-6d62-47e3-8a12-80f4ba91c7f3;;111111118;Vodacom Life 20260324;;;;;OAL;3;2026-04-15 </t>
  </si>
  <si>
    <t>13861468;a9e8181a-6d62-47e3-8a12-80f4ba91c7f3;;111111118;Vodacom Life 20260324;;;;;OAL;3;2026-04-15 09:29:42+02;Seboifeng Mogola;2026-03-24 09:54:08+02;2026-03-24 09:54:08+02;;;;;;;;;27724067210;;;;;;;;prepaid life;;;;;</t>
  </si>
  <si>
    <t>ID_398</t>
  </si>
  <si>
    <t>13861556;079937ba-62af-4aed-9107-421d9dcd34a8;;111111118;Vodacom Life 20260324;;;;;CU;5;2026-05-23 1</t>
  </si>
  <si>
    <t>13861556;079937ba-62af-4aed-9107-421d9dcd34a8;;111111118;Vodacom Life 20260324;;;;;CU;5;2026-05-23 12:50:24+02;bongiwe lushaba;2026-03-24 09:54:08+02;2026-03-24 09:54:08+02;;;;;;;;;27797876109;;;;;;;;prepaid life;;;;;</t>
  </si>
  <si>
    <t>ID_399</t>
  </si>
  <si>
    <t>13861557;99c34585-e1b7-4376-903c-0d8b701adfb6;;111111118;Vodacom Life 20260324;;;;;AA;5;2026-05-25 1</t>
  </si>
  <si>
    <t>13861557;99c34585-e1b7-4376-903c-0d8b701adfb6;;111111118;Vodacom Life 20260324;;;;;AA;5;2026-05-25 14:35:01+02;system;2026-03-24 09:54:08+02;2026-03-24 09:54:08+02;;;;;;;;;27798008500;;;;;;;;prepaid life;;;;;</t>
  </si>
  <si>
    <t>ID_400</t>
  </si>
  <si>
    <t>13861417;56f960a5-1b3f-4ff3-a046-be5ca622fbbd;;111111118;Vodacom Life 20260324;;;27607147799;;IABDN;</t>
  </si>
  <si>
    <t>13861417;56f960a5-1b3f-4ff3-a046-be5ca622fbbd;;111111118;Vodacom Life 20260324;;;27607147799;;IABDN;5;2026-05-22 11:54:11+02;system;2026-03-24 09:54:08+02;2026-03-24 09:54:08+02;;;;;;;;;27607147799;;;;;;;;prepaid life;;;;;</t>
  </si>
  <si>
    <t>ID_401</t>
  </si>
  <si>
    <t>13861558;8218731e-67f7-488e-b4ba-6a76042327d8;;111111118;Vodacom Life 20260324;;;27798040057;;IABDN;</t>
  </si>
  <si>
    <t>13861558;8218731e-67f7-488e-b4ba-6a76042327d8;;111111118;Vodacom Life 20260324;;;27798040057;;IABDN;5;2026-05-23 12:25:53+02;system;2026-03-24 09:54:08+02;2026-03-24 09:54:08+02;;;;;;;;;27798040057;;;;;;;;prepaid life;;;;;</t>
  </si>
  <si>
    <t>ID_402</t>
  </si>
  <si>
    <t>13861469;1437476e-d295-4749-811b-010a89cedb40;;111111118;Vodacom Life 20260324;;;27724230827;;AA;5;2</t>
  </si>
  <si>
    <t>13861469;1437476e-d295-4749-811b-010a89cedb40;;111111118;Vodacom Life 20260324;;;27724230827;;AA;5;2026-05-25 10:30:59+02;system;2026-03-24 09:54:08+02;2026-03-24 09:54:08+02;;;;;;;;;27724230827;;;;;;;;prepaid life;;;;;</t>
  </si>
  <si>
    <t>ID_403</t>
  </si>
  <si>
    <t>13861418;0760ddb0-08ca-46c6-935a-72ecca648f9f;;111111118;Vodacom Life 20260324;;;;;U;1;2026-03-24 11</t>
  </si>
  <si>
    <t>13861418;0760ddb0-08ca-46c6-935a-72ecca648f9f;;111111118;Vodacom Life 20260324;;;;;U;1;2026-03-24 11:05:21+02;Maureen Ntsoko;2026-03-24 09:54:08+02;2026-03-24 09:54:08+02;;;;;;;;;27607372256;;;;;;;;prepaid life;;;;;</t>
  </si>
  <si>
    <t>ID_404</t>
  </si>
  <si>
    <t>13861419;c1fe1a22-5cc1-4821-aceb-cf766478e954;;111111118;Vodacom Life 20260324;;;;;NI;3;2026-04-15 0</t>
  </si>
  <si>
    <t>13861419;c1fe1a22-5cc1-4821-aceb-cf766478e954;;111111118;Vodacom Life 20260324;;;;;NI;3;2026-04-15 09:49:28+02;Thandile Nokubeni;2026-03-24 09:54:08+02;2026-03-24 09:54:08+02;;;;;;;;;27607660903;;;;;;;;prepaid life;;;;;</t>
  </si>
  <si>
    <t>ID_405</t>
  </si>
  <si>
    <t>13861559;6b6574fb-ce28-409d-b672-4963324d4472;;111111118;Vodacom Life 20260324;;;;;NA;5;2026-05-25 1</t>
  </si>
  <si>
    <t>13861559;6b6574fb-ce28-409d-b672-4963324d4472;;111111118;Vodacom Life 20260324;;;;;NA;5;2026-05-25 14:22:11+02;system;2026-03-24 09:54:08+02;2026-03-24 09:54:08+02;;;;;;;;;27798950415;;;;;;;;prepaid life;;;;;</t>
  </si>
  <si>
    <t>ID_406</t>
  </si>
  <si>
    <t>13861420;4a9a844c-5c1a-4137-bc3b-b305db9344bb;;111111118;Vodacom Life 20260324;;;;;NA;5;2026-05-22 1</t>
  </si>
  <si>
    <t>13861420;4a9a844c-5c1a-4137-bc3b-b305db9344bb;;111111118;Vodacom Life 20260324;;;;;NA;5;2026-05-22 11:37:19+02;system;2026-03-24 09:54:08+02;2026-03-24 09:54:08+02;;;;;;;;;27608375952;;;;;;;;prepaid life;;;;;</t>
  </si>
  <si>
    <t>ID_407</t>
  </si>
  <si>
    <t>13861560;a5d94cce-9a43-4191-8736-5cebac53e3fd;;111111118;Vodacom Life 20260324;;;;;DROP;5;2026-05-25</t>
  </si>
  <si>
    <t>13861560;a5d94cce-9a43-4191-8736-5cebac53e3fd;;111111118;Vodacom Life 20260324;;;;;DROP;5;2026-05-25 14:14:17+02;system;2026-03-24 09:54:08+02;2026-03-24 09:54:08+02;;;;;;;;;27799054803;;;;;;;;prepaid life;;;;;</t>
  </si>
  <si>
    <t>ID_408</t>
  </si>
  <si>
    <t>13861471;d0b7aaa8-83a0-4984-ae85-9c8b35d19fa6;;111111118;Vodacom Life 20260324;;;;;NI;2;2026-04-10 0</t>
  </si>
  <si>
    <t>13861471;d0b7aaa8-83a0-4984-ae85-9c8b35d19fa6;;111111118;Vodacom Life 20260324;;;;;NI;2;2026-04-10 08:09:35+02;Musiiwa Mary Mabirimisa;2026-03-24 09:54:08+02;2026-03-24 09:54:08+02;;;;;;;;;27724769290;;;;;;;;prepaid life;;;;;</t>
  </si>
  <si>
    <t>ID_409</t>
  </si>
  <si>
    <t>13861421;69d29aa2-c7a2-4f01-8b2c-a2c453386440;;111111118;Vodacom Life 20260324;;;;;AA;5;2026-05-22 1</t>
  </si>
  <si>
    <t>13861421;69d29aa2-c7a2-4f01-8b2c-a2c453386440;;111111118;Vodacom Life 20260324;;;;;AA;5;2026-05-22 11:37:20+02;system;2026-03-24 09:54:08+02;2026-03-24 09:54:08+02;;;;;;;;;27608487243;;;;;;;;prepaid life;;;;;</t>
  </si>
  <si>
    <t>ID_410</t>
  </si>
  <si>
    <t>13861473;9e6e9503-7675-4d67-a64e-f4dd1888ab23;;111111118;Vodacom Life 20260324;;;;;AA;5;2026-05-25 1</t>
  </si>
  <si>
    <t>13861473;9e6e9503-7675-4d67-a64e-f4dd1888ab23;;111111118;Vodacom Life 20260324;;;;;AA;5;2026-05-25 11:20:24+02;system;2026-03-24 09:54:08+02;2026-03-24 09:54:08+02;;;;;;;;;27725266506;;;;;;;;prepaid life;;;;;</t>
  </si>
  <si>
    <t>ID_411</t>
  </si>
  <si>
    <t>13861422;93ab7751-6c1d-4307-85a8-dd78ab156295;;111111118;Vodacom Life 20260324;;;;;AE;5;2026-05-22 1</t>
  </si>
  <si>
    <t>13861422;93ab7751-6c1d-4307-85a8-dd78ab156295;;111111118;Vodacom Life 20260324;;;;;AE;5;2026-05-22 11:37:20+02;system;2026-03-24 09:54:08+02;2026-03-24 09:54:08+02;;;;;;;;;27608891909;;;;;;;;prepaid life;;;;;</t>
  </si>
  <si>
    <t>ID_412</t>
  </si>
  <si>
    <t>13861474;5cc6239f-1753-43b3-8a30-24897fcc23c0;;111111118;Vodacom Life 20260324;;;;;CBACK;2;2026-04-0</t>
  </si>
  <si>
    <t>13861474;5cc6239f-1753-43b3-8a30-24897fcc23c0;;111111118;Vodacom Life 20260324;;;;;CBACK;2;2026-04-09 15:36:55+02;Mahlatse Manamela;2026-03-24 09:54:08+02;2026-03-24 09:54:08+02;;;;;;;;;27725444064;;;;;;;;prepaid life;;;;;</t>
  </si>
  <si>
    <t>ID_413</t>
  </si>
  <si>
    <t>13861561;6febd05e-2645-491e-a259-ff7bc75c61d5;;111111118;Vodacom Life 20260324;;;;;AFTHRS;4;2026-05-</t>
  </si>
  <si>
    <t>13861561;6febd05e-2645-491e-a259-ff7bc75c61d5;;111111118;Vodacom Life 20260324;;;;;AFTHRS;4;2026-05-24 13:34:46+02;system;2026-03-24 09:54:08+02;2026-03-24 09:54:08+02;;;;;;;;;27799261237;;;;;;;;prepaid life;;;;;</t>
  </si>
  <si>
    <t>ID_414</t>
  </si>
  <si>
    <t>13861423;38160462-21dd-4639-828e-62cd0e53ea0d;;111111118;Vodacom Life 20260324;;;;;AA;5;2026-05-22 1</t>
  </si>
  <si>
    <t>13861423;38160462-21dd-4639-828e-62cd0e53ea0d;;111111118;Vodacom Life 20260324;;;;;AA;5;2026-05-22 11:46:08+02;system;2026-03-24 09:54:08+02;2026-03-24 09:54:08+02;;;;;;;;;27609136724;;;;;;;;prepaid life;;;;;</t>
  </si>
  <si>
    <t>ID_415</t>
  </si>
  <si>
    <t>13861562;f187e0d3-6143-4cc2-bdfa-83690e324d32;;111111118;Vodacom Life 20260324;;;;;CU;5;2026-05-23 1</t>
  </si>
  <si>
    <t>13861562;f187e0d3-6143-4cc2-bdfa-83690e324d32;;111111118;Vodacom Life 20260324;;;;;CU;5;2026-05-23 12:32:23+02;Maureen Ntsoko;2026-03-24 09:54:08+02;2026-03-24 09:54:08+02;;;;;;;;;27799301911;;;;;;;;prepaid life;;;;;</t>
  </si>
  <si>
    <t>ID_416</t>
  </si>
  <si>
    <t>13861563;3e50c7a3-f226-4cdd-b9f5-ed24d6cc0288;;111111118;Vodacom Life 20260324;;;;;NI;2;2026-04-09 1</t>
  </si>
  <si>
    <t>13861563;3e50c7a3-f226-4cdd-b9f5-ed24d6cc0288;;111111118;Vodacom Life 20260324;;;;;NI;2;2026-04-09 16:28:06+02;Thandile Nokubeni;2026-03-24 09:54:08+02;2026-03-24 09:54:08+02;;;;;;;;;27799336899;;;;;;;;prepaid life;;;;;</t>
  </si>
  <si>
    <t>ID_417</t>
  </si>
  <si>
    <t>13861475;156f2296-63cf-4ab6-9565-84bfab2c4e85;;111111118;Vodacom Life 20260324;;;;;AA;5;2026-05-25 1</t>
  </si>
  <si>
    <t>13861475;156f2296-63cf-4ab6-9565-84bfab2c4e85;;111111118;Vodacom Life 20260324;;;;;AA;5;2026-05-25 12:47:39+02;system;2026-03-24 09:54:08+02;2026-03-24 09:54:08+02;;;;;;;;;27725839856;;;;;;;;prepaid life;;;;;</t>
  </si>
  <si>
    <t>ID_418</t>
  </si>
  <si>
    <t>13861424;5bf19ade-893c-42c2-9ef0-412436215e43;;111111118;Vodacom Life 20260324;;;27609472460;;CU;5;2</t>
  </si>
  <si>
    <t>13861424;5bf19ade-893c-42c2-9ef0-412436215e43;;111111118;Vodacom Life 20260324;;;27609472460;;CU;5;2026-05-22 11:46:42+02;Maureen Ntsoko;2026-03-24 09:54:08+02;2026-03-24 09:54:08+02;;;;;;;;;27609472460;;;;;;;;prepaid life;;;;;</t>
  </si>
  <si>
    <t>ID_419</t>
  </si>
  <si>
    <t>13861476;03876218-b4ca-473b-b733-9be5fe6be377;;111111118;Vodacom Life 20260324;;;;;AA;5;2026-05-25 0</t>
  </si>
  <si>
    <t>13861476;03876218-b4ca-473b-b733-9be5fe6be377;;111111118;Vodacom Life 20260324;;;;;AA;5;2026-05-25 09:20:04+02;system;2026-03-24 09:54:08+02;2026-03-24 09:54:08+02;;;;;;;;;27726350248;;;;;;;;prepaid life;;;;;</t>
  </si>
  <si>
    <t>ID_420</t>
  </si>
  <si>
    <t>13861564;61227d30-60f2-469e-9851-1bb59016805f;;111111118;Vodacom Life 20260324;;;;;AE;5;2026-05-25 0</t>
  </si>
  <si>
    <t>13861564;61227d30-60f2-469e-9851-1bb59016805f;;111111118;Vodacom Life 20260324;;;;;AE;5;2026-05-25 08:56:05+02;system;2026-03-24 09:54:08+02;2026-03-24 09:54:08+02;;;;;;;;;27799344358;;;;;;;;prepaid life;;;;;</t>
  </si>
  <si>
    <t>ID_421</t>
  </si>
  <si>
    <t>13861425;5b9aa7b7-0e68-46de-a970-546ebb4f5271;;111111118;Vodacom Life 20260324;;;;;CBACK;2;2026-04-0</t>
  </si>
  <si>
    <t>13861425;5b9aa7b7-0e68-46de-a970-546ebb4f5271;;111111118;Vodacom Life 20260324;;;;;CBACK;2;2026-04-09 11:29:06+02;Esther Ramalete;2026-03-24 09:54:08+02;2026-03-24 09:54:08+02;;;;;;;;;27609560469;;;;;;;;prepaid life;;;;;</t>
  </si>
  <si>
    <t>ID_422</t>
  </si>
  <si>
    <t>13861565;a8f2036f-8f17-4ef1-b859-312377e17f56;;111111118;Vodacom Life 20260324;;;;;AA;5;2026-05-23 1</t>
  </si>
  <si>
    <t>13861565;a8f2036f-8f17-4ef1-b859-312377e17f56;;111111118;Vodacom Life 20260324;;;;;AA;5;2026-05-23 12:52:32+02;system;2026-03-24 09:54:08+02;2026-03-24 09:54:08+02;;;;;;;;;27799732947;;;;;;;;prepaid life;;;;;</t>
  </si>
  <si>
    <t>ID_423</t>
  </si>
  <si>
    <t>13861426;6d447df4-0f98-4e29-9ec7-875b3dd443b3;;111111118;Vodacom Life 20260324;;;27636223570;;AA;5;2</t>
  </si>
  <si>
    <t>13861426;6d447df4-0f98-4e29-9ec7-875b3dd443b3;;111111118;Vodacom Life 20260324;;;27636223570;;AA;5;2026-05-22 11:46:43+02;system;2026-03-24 09:54:08+02;2026-03-24 09:54:08+02;;;;;;;;;27636223570;;;;;;;;prepaid life;;;;;</t>
  </si>
  <si>
    <t>ID_424</t>
  </si>
  <si>
    <t>13861566;7efb0efb-821e-4210-8b6c-3203cfdf32cf;;111111118;Vodacom Life 20260324;;;;;NI;1;2026-03-24 1</t>
  </si>
  <si>
    <t>13861566;7efb0efb-821e-4210-8b6c-3203cfdf32cf;;111111118;Vodacom Life 20260324;;;;;NI;1;2026-03-24 11:50:42+02;Maureen Ntsoko;2026-03-24 09:54:08+02;2026-03-24 09:54:08+02;;;;;;;;;27817363387;;;;;;;;prepaid life;;;;;</t>
  </si>
  <si>
    <t>ID_425</t>
  </si>
  <si>
    <t>13861477;c590418f-a6d6-4eb5-8b6f-0cf6986633e5;;111111118;Vodacom Life 20260324;;;;;U;5;2026-05-20 10</t>
  </si>
  <si>
    <t>13861477;c590418f-a6d6-4eb5-8b6f-0cf6986633e5;;111111118;Vodacom Life 20260324;;;;;U;5;2026-05-20 10:02:30+02;Maureen Ntsoko;2026-03-24 09:54:08+02;2026-03-24 09:54:08+02;;;;;;;;;27726846815;;;;;;;;prepaid life;;;;;</t>
  </si>
  <si>
    <t>ID_426</t>
  </si>
  <si>
    <t>13861427;ee8bd4f1-082b-4f2c-8b44-c2c772edbb44;;111111118;Vodacom Life 20260324;;;;;NI;4;2026-05-07 1</t>
  </si>
  <si>
    <t>13861427;ee8bd4f1-082b-4f2c-8b44-c2c772edbb44;;111111118;Vodacom Life 20260324;;;;;NI;4;2026-05-07 12:29:54+02;Musiiwa Mary Mabirimisa;2026-03-24 09:54:08+02;2026-03-24 09:54:08+02;;;;;;;;;27636616350;;;;;;;;prepaid life;;;;;</t>
  </si>
  <si>
    <t>ID_427</t>
  </si>
  <si>
    <t>13861478;2fe51dea-e647-432b-abb6-8e4be4873fa4;;111111118;Vodacom Life 20260324;;;;;AE;5;2026-05-22 1</t>
  </si>
  <si>
    <t>13861478;2fe51dea-e647-432b-abb6-8e4be4873fa4;;111111118;Vodacom Life 20260324;;;;;AE;5;2026-05-22 14:26:40+02;system;2026-03-24 09:54:08+02;2026-03-24 09:54:08+02;;;;;;;;;27726948656;;;;;;;;prepaid life;;;;;</t>
  </si>
  <si>
    <t>ID_428</t>
  </si>
  <si>
    <t>13861567;5aa4240d-d7c8-42f9-b2aa-afe4aecfe9a7;;111111118;Vodacom Life 20260324;;;;;AA;5;2026-05-23 1</t>
  </si>
  <si>
    <t>13861567;5aa4240d-d7c8-42f9-b2aa-afe4aecfe9a7;;111111118;Vodacom Life 20260324;;;;;AA;5;2026-05-23 12:49:20+02;system;2026-03-24 09:54:08+02;2026-03-24 09:54:08+02;;;;;;;;;27822212049;;;;;;;;prepaid life;;;;;</t>
  </si>
  <si>
    <t>ID_429</t>
  </si>
  <si>
    <t>13861622;acf728c1-b7c7-4e39-9d46-d775a1813313;;111111118;Vodacom Life 20260324;;;;;AA;5;2026-05-25 1</t>
  </si>
  <si>
    <t>13861622;acf728c1-b7c7-4e39-9d46-d775a1813313;;111111118;Vodacom Life 20260324;;;;;AA;5;2026-05-25 12:02:45+02;system;2026-03-24 09:54:08+02;2026-03-24 09:54:08+02;;;;;;;;;27673721394;;;;;;;;prepaid life;;;;;</t>
  </si>
  <si>
    <t>ID_430</t>
  </si>
  <si>
    <t>13861568;5e4afe94-3020-44de-ad5a-49c7770d68bc;;111111118;Vodacom Life 20260324;;;27823598544;;CU;5;2</t>
  </si>
  <si>
    <t>13861568;5e4afe94-3020-44de-ad5a-49c7770d68bc;;111111118;Vodacom Life 20260324;;;27823598544;;CU;5;2026-05-25 11:15:56+02;bongiwe lushaba;2026-03-24 09:54:08+02;2026-03-24 09:54:08+02;;;;;;;;;27823598544;;;;;;;;prepaid life;;;;;</t>
  </si>
  <si>
    <t>ID_431</t>
  </si>
  <si>
    <t>13861479;b431e13e-16c0-417c-9c4a-3362b00ff82a;;111111118;Vodacom Life 20260324;;;27727666086;;CU;5;2</t>
  </si>
  <si>
    <t>13861479;b431e13e-16c0-417c-9c4a-3362b00ff82a;;111111118;Vodacom Life 20260324;;;27727666086;;CU;5;2026-05-25 14:30:12+02;bongiwe lushaba;2026-03-24 09:54:08+02;2026-03-24 09:54:08+02;;;;;;;;;27727666086;;;;;;;;prepaid life;;;;;</t>
  </si>
  <si>
    <t>ID_432</t>
  </si>
  <si>
    <t>13861623;8527af43-cb43-4a4a-8a39-df4679c64798;;111111118;Vodacom Life 20260324;;;;;NI;1;2026-03-24 1</t>
  </si>
  <si>
    <t>13861623;8527af43-cb43-4a4a-8a39-df4679c64798;;111111118;Vodacom Life 20260324;;;;;NI;1;2026-03-24 12:00:25+02;Maureen Ntsoko;2026-03-24 09:54:08+02;2026-03-24 09:54:08+02;;;;;;;;;27674980818;;;;;;;;prepaid life;;;;;</t>
  </si>
  <si>
    <t>ID_433</t>
  </si>
  <si>
    <t>13861480;fe3260eb-caf3-4162-9c40-e338f29559c0;;111111118;Vodacom Life 20260324;;;;;U;2;2026-04-09 15</t>
  </si>
  <si>
    <t>13861480;fe3260eb-caf3-4162-9c40-e338f29559c0;;111111118;Vodacom Life 20260324;;;;;U;2;2026-04-09 15:37:38+02;Seboifeng Mogola;2026-03-24 09:54:08+02;2026-03-24 09:54:08+02;;;;;;;;;27727760319;;;;;;;;prepaid life;;;;;</t>
  </si>
  <si>
    <t>ID_434</t>
  </si>
  <si>
    <t>13861569;6837adb6-f1ad-441e-8226-8f1144d82d86;;111111118;Vodacom Life 20260324;;;27823937232;;IABDN;</t>
  </si>
  <si>
    <t>13861569;6837adb6-f1ad-441e-8226-8f1144d82d86;;111111118;Vodacom Life 20260324;;;27823937232;;IABDN;5;2026-05-25 11:38:06+02;system;2026-03-24 09:54:08+02;2026-03-24 09:54:08+02;;;;;;;;;27823937232;;;;;;;;prepaid life;;;;;</t>
  </si>
  <si>
    <t>ID_435</t>
  </si>
  <si>
    <t>13861624;aec1155b-4d73-4cb0-96d0-ec18dab55994;;111111118;Vodacom Life 20260324;;;;;AE;5;2026-05-23 1</t>
  </si>
  <si>
    <t>13861624;aec1155b-4d73-4cb0-96d0-ec18dab55994;;111111118;Vodacom Life 20260324;;;;;AE;5;2026-05-23 12:06:14+02;system;2026-03-24 09:54:08+02;2026-03-24 09:54:08+02;;;;;;;;;27711079143;;;;;;;;prepaid life;;;;;</t>
  </si>
  <si>
    <t>ID_436</t>
  </si>
  <si>
    <t>13861570;36610f98-c4af-451d-8f3c-99a04713698f;;111111118;Vodacom Life 20260324;;;;;NIUP;3;2026-04-15</t>
  </si>
  <si>
    <t>13861570;36610f98-c4af-451d-8f3c-99a04713698f;;111111118;Vodacom Life 20260324;;;;;NIUP;3;2026-04-15 09:23:37+02;Seboifeng Mogola;2026-03-24 09:54:08+02;2026-03-24 09:54:08+02;;;;;;;;;27824017409;;;;;;;;prepaid life;;;;;</t>
  </si>
  <si>
    <t>ID_437</t>
  </si>
  <si>
    <t>13861481;16f9c0be-c7bf-448c-a285-c658cac338d9;;111111118;Vodacom Life 20260324;;;;;AA;5;2026-05-25 1</t>
  </si>
  <si>
    <t>13861481;16f9c0be-c7bf-448c-a285-c658cac338d9;;111111118;Vodacom Life 20260324;;;;;AA;5;2026-05-25 11:55:19+02;system;2026-03-24 09:54:08+02;2026-03-24 09:54:08+02;;;;;;;;;27727797105;;;;;;;;prepaid life;;;;;</t>
  </si>
  <si>
    <t>ID_438</t>
  </si>
  <si>
    <t>13861482;3a3f9243-da44-4dfd-a9b4-6a21770d77f7;;111111118;Vodacom Life 20260324;;;;;AC;1;2026-03-24 1</t>
  </si>
  <si>
    <t>13861482;3a3f9243-da44-4dfd-a9b4-6a21770d77f7;;111111118;Vodacom Life 20260324;;;;;AC;1;2026-03-24 11:14:13+02;Esther Ramalete;2026-03-24 09:54:08+02;2026-03-24 09:54:08+02;;;;;;;;;27727813847;;;;;;;;prepaid life;;;;;</t>
  </si>
  <si>
    <t>ID_439</t>
  </si>
  <si>
    <t>13861625;51e4f66a-b03b-4ee4-afc5-a2d0cb8c9a37;;111111118;Vodacom Life 20260324;;;;;AE;5;2026-05-23 1</t>
  </si>
  <si>
    <t>13861625;51e4f66a-b03b-4ee4-afc5-a2d0cb8c9a37;;111111118;Vodacom Life 20260324;;;;;AE;5;2026-05-23 12:06:15+02;system;2026-03-24 09:54:08+02;2026-03-24 09:54:08+02;;;;;;;;;27711227094;;;;;;;;prepaid life;;;;;</t>
  </si>
  <si>
    <t>ID_440</t>
  </si>
  <si>
    <t>13861483;f8036598-9ef3-40b5-83db-6f05c696701f;;111111118;Vodacom Life 20260324;;;;;U;4;2026-05-07 12</t>
  </si>
  <si>
    <t>13861483;f8036598-9ef3-40b5-83db-6f05c696701f;;111111118;Vodacom Life 20260324;;;;;U;4;2026-05-07 12:23:10+02;Siyabonga Khoza;2026-03-24 09:54:08+02;2026-03-24 09:54:08+02;;;;;;;;;27727992747;;;;;;;;prepaid life;;;;;</t>
  </si>
  <si>
    <t>ID_441</t>
  </si>
  <si>
    <t>13861571;8c09c7d1-fe1b-474a-a634-9ae9d4f284d3;;111111118;Vodacom Life 20260324;;;;;U;1;2026-03-24 11</t>
  </si>
  <si>
    <t>13861571;8c09c7d1-fe1b-474a-a634-9ae9d4f284d3;;111111118;Vodacom Life 20260324;;;;;U;1;2026-03-24 11:51:30+02;Musiiwa Mary Mabirimisa;2026-03-24 09:54:08+02;2026-03-24 09:54:08+02;;;;;;;;;27824507636;;;;;;;;prepaid life;;;;;</t>
  </si>
  <si>
    <t>ID_442</t>
  </si>
  <si>
    <t>13861626;7a9de8c7-ff23-4e3d-8d40-464c221ea2f2;;111111118;Vodacom Life 20260324;;;;;NI;3;2026-04-15 0</t>
  </si>
  <si>
    <t>13861626;7a9de8c7-ff23-4e3d-8d40-464c221ea2f2;;111111118;Vodacom Life 20260324;;;;;NI;3;2026-04-15 09:57:54+02;Musiiwa Mary Mabirimisa;2026-03-24 09:54:08+02;2026-03-24 09:54:08+02;;;;;;;;;27711289139;;;;;;;;prepaid life;;;;;</t>
  </si>
  <si>
    <t>ID_443</t>
  </si>
  <si>
    <t>13861627;5be453e3-0c28-4171-a73d-dd1f3ab67bbb;;111111118;Vodacom Life 20260324;;;;;N;6;2026-04-21 14</t>
  </si>
  <si>
    <t>13861627;5be453e3-0c28-4171-a73d-dd1f3ab67bbb;;111111118;Vodacom Life 20260324;;;;;N;6;2026-04-21 14:41:42+02;Maureen Ntsoko;2026-03-24 09:54:08+02;2026-03-24 09:54:08+02;;;;;;;;;27711363010;;;;;;;;prepaid life;;;;;</t>
  </si>
  <si>
    <t>ID_444</t>
  </si>
  <si>
    <t>13861572;0323c30d-12cf-4a0d-9d64-0c06fc2d6e9c;;111111118;Vodacom Life 20260324;;;;;DROP;5;2026-05-25</t>
  </si>
  <si>
    <t>13861572;0323c30d-12cf-4a0d-9d64-0c06fc2d6e9c;;111111118;Vodacom Life 20260324;;;;;DROP;5;2026-05-25 09:00:54+02;system;2026-03-24 09:54:08+02;2026-03-24 09:54:08+02;;;;;;;;;27824843292;;;;;;;;prepaid life;;;;;</t>
  </si>
  <si>
    <t>ID_445</t>
  </si>
  <si>
    <t>13861484;51eee570-cbd9-4cbe-8698-7e03d4a09dce;;111111118;Vodacom Life 20260324;;;;;U;1;2026-03-24 11</t>
  </si>
  <si>
    <t>13861484;51eee570-cbd9-4cbe-8698-7e03d4a09dce;;111111118;Vodacom Life 20260324;;;;;U;1;2026-03-24 11:14:23+02;Musiiwa Mary Mabirimisa;2026-03-24 09:54:08+02;2026-03-24 09:54:08+02;;;;;;;;;27728138357;;;;;;;;prepaid life;;;;;</t>
  </si>
  <si>
    <t>ID_446</t>
  </si>
  <si>
    <t xml:space="preserve">13861485;48cba8b1-0ec0-4ea6-8842-0e28043fd380;;111111118;Vodacom Life 20260324;;;;;ADC;5;2026-05-25 </t>
  </si>
  <si>
    <t>13861485;48cba8b1-0ec0-4ea6-8842-0e28043fd380;;111111118;Vodacom Life 20260324;;;;;ADC;5;2026-05-25 10:33:52+02;system;2026-03-24 09:54:08+02;2026-03-24 09:54:08+02;;;;;;;;;27728187184;;;;;;;;prepaid life;;;;;</t>
  </si>
  <si>
    <t>ID_447</t>
  </si>
  <si>
    <t>13861628;bed0d2d7-3205-481a-a470-760f45a922d8;;111111118;Vodacom Life 20260324;;;;;AA;5;2026-05-25 1</t>
  </si>
  <si>
    <t>13861628;bed0d2d7-3205-481a-a470-760f45a922d8;;111111118;Vodacom Life 20260324;;;;;AA;5;2026-05-25 12:35:10+02;system;2026-03-24 09:54:08+02;2026-03-24 09:54:08+02;;;;;;;;;27711446508;;;;;;;;prepaid life;;;;;</t>
  </si>
  <si>
    <t>ID_448</t>
  </si>
  <si>
    <t>13861573;5083f1bb-eac5-46f5-a709-c667579c0288;;111111118;Vodacom Life 20260324;;;27824912551;;AFTHRS</t>
  </si>
  <si>
    <t>13861573;5083f1bb-eac5-46f5-a709-c667579c0288;;111111118;Vodacom Life 20260324;;;27824912551;;AFTHRS;5;2026-05-25 20:58:08+02;system;2026-03-24 09:54:08+02;2026-03-24 09:54:08+02;;;;;;;;;27824912551;;;;;;;;prepaid life;;;;;</t>
  </si>
  <si>
    <t>ID_449</t>
  </si>
  <si>
    <t>13861629;a8038be4-b359-48ef-a576-723daf3c49d8;;111111118;Vodacom Life 20260324;;;;;AA;5;2026-05-25 1</t>
  </si>
  <si>
    <t>13861629;a8038be4-b359-48ef-a576-723daf3c49d8;;111111118;Vodacom Life 20260324;;;;;AA;5;2026-05-25 12:35:16+02;system;2026-03-24 09:54:08+02;2026-03-24 09:54:08+02;;;;;;;;;27711458911;;;;;;;;prepaid life;;;;;</t>
  </si>
  <si>
    <t>ID_450</t>
  </si>
  <si>
    <t>13861486;38b93111-8347-4641-af36-153381f00555;;111111118;Vodacom Life 20260324;;;;;CU;6;2026-05-25 1</t>
  </si>
  <si>
    <t>13861486;38b93111-8347-4641-af36-153381f00555;;111111118;Vodacom Life 20260324;;;;;CU;6;2026-05-25 15:48:32+02;Maureen Ntsoko;2026-03-24 09:54:08+02;2026-03-24 09:54:08+02;;;;;;;;;27728420033;;;;;;;;prepaid life;;;;;</t>
  </si>
  <si>
    <t>ID_451</t>
  </si>
  <si>
    <t>13861630;a7dcc1cc-8b41-4fc0-b400-cd3dad47dcc3;;111111118;Vodacom Life 20260324;;;27711590305;;AA;5;2</t>
  </si>
  <si>
    <t>13861630;a7dcc1cc-8b41-4fc0-b400-cd3dad47dcc3;;111111118;Vodacom Life 20260324;;;27711590305;;AA;5;2026-05-25 10:56:16+02;system;2026-03-24 09:54:08+02;2026-03-24 09:54:08+02;;;;;;;;;27711590305;;;;;;;;prepaid life;;;;;</t>
  </si>
  <si>
    <t>ID_452</t>
  </si>
  <si>
    <t>13861487;c58f73a8-a77d-458f-a303-45572ab60aec;;111111118;Vodacom Life 20260324;;;27729268546;;CBACK;</t>
  </si>
  <si>
    <t>13861487;c58f73a8-a77d-458f-a303-45572ab60aec;;111111118;Vodacom Life 20260324;;;27729268546;;CBACK;9;2026-06-02 08:08:21+02;Khensane Mabasa;2026-03-24 09:54:08+02;2026-03-24 09:54:08+02;;;;;;;;;27729268546;;;;;;;;prepaid life;;;;;</t>
  </si>
  <si>
    <t>ID_453</t>
  </si>
  <si>
    <t>13861574;602e7f34-a465-4e3a-9976-688f69e6791f;;111111118;Vodacom Life 20260324;;;;;AA;5;2026-05-25 0</t>
  </si>
  <si>
    <t>13861574;602e7f34-a465-4e3a-9976-688f69e6791f;;111111118;Vodacom Life 20260324;;;;;AA;5;2026-05-25 09:00:55+02;system;2026-03-24 09:54:08+02;2026-03-24 09:54:08+02;;;;;;;;;27825460670;;;;;;;;prepaid life;;;;;</t>
  </si>
  <si>
    <t>ID_454</t>
  </si>
  <si>
    <t>13861575;1e03ec0a-dd62-4b12-8539-3be6c547a394;;111111118;Vodacom Life 20260324;;;;;AA;5;2026-05-25 0</t>
  </si>
  <si>
    <t>13861575;1e03ec0a-dd62-4b12-8539-3be6c547a394;;111111118;Vodacom Life 20260324;;;;;AA;5;2026-05-25 09:00:59+02;system;2026-03-24 09:54:08+02;2026-03-24 09:54:08+02;;;;;;;;;27825837885;;;;;;;;prepaid life;;;;;</t>
  </si>
  <si>
    <t>ID_455</t>
  </si>
  <si>
    <t>13861631;efca38cc-e4d5-4cbe-b82b-d46b66dd8c0d;;111111118;Vodacom Life 20260324;;;27711906206;;IABDN;</t>
  </si>
  <si>
    <t>13861631;efca38cc-e4d5-4cbe-b82b-d46b66dd8c0d;;111111118;Vodacom Life 20260324;;;27711906206;;IABDN;5;2026-05-23 13:29:14+02;system;2026-03-24 09:54:08+02;2026-03-24 09:54:08+02;;;;;;;;;27711906206;;;;;;;;prepaid life;;;;;</t>
  </si>
  <si>
    <t>ID_456</t>
  </si>
  <si>
    <t>13861488;bddcaa2f-2a62-4d49-8f50-a0f99d30b526;;111111118;Vodacom Life 20260324;;;;;CBACK;2;2026-04-0</t>
  </si>
  <si>
    <t>13861488;bddcaa2f-2a62-4d49-8f50-a0f99d30b526;;111111118;Vodacom Life 20260324;;;;;CBACK;2;2026-04-09 16:40:53+02;Mahlatse Manamela;2026-03-24 09:54:08+02;2026-03-24 09:54:08+02;;;;;;;;;27729344588;;;;;;;;prepaid life;;;;;</t>
  </si>
  <si>
    <t>ID_457</t>
  </si>
  <si>
    <t>13861489;5d14def0-4c50-4123-af3d-8f7343b08d68;;111111118;Vodacom Life 20260324;;;;;AE;5;2026-05-25 1</t>
  </si>
  <si>
    <t>13861489;5d14def0-4c50-4123-af3d-8f7343b08d68;;111111118;Vodacom Life 20260324;;;;;AE;5;2026-05-25 10:38:06+02;system;2026-03-24 09:54:08+02;2026-03-24 09:54:08+02;;;;;;;;;27729628294;;;;;;;;prepaid life;;;;;</t>
  </si>
  <si>
    <t>ID_458</t>
  </si>
  <si>
    <t>13861632;17e5e4f6-f0a7-4cfd-ad11-97d61f11e75b;;111111118;Vodacom Life 20260324;;;;;AA;5;2026-05-23 1</t>
  </si>
  <si>
    <t>13861632;17e5e4f6-f0a7-4cfd-ad11-97d61f11e75b;;111111118;Vodacom Life 20260324;;;;;AA;5;2026-05-23 12:06:36+02;system;2026-03-24 09:54:08+02;2026-03-24 09:54:08+02;;;;;;;;;27712208682;;;;;;;;prepaid life;;;;;</t>
  </si>
  <si>
    <t>ID_459</t>
  </si>
  <si>
    <t>13861490;042814e8-d17e-4bff-98cc-e119a77318fa;;111111118;Vodacom Life 20260324;;;;;SELECTED;4;2026-0</t>
  </si>
  <si>
    <t>13861490;042814e8-d17e-4bff-98cc-e119a77318fa;;111111118;Vodacom Life 20260324;;;;;SELECTED;4;2026-04-15 09:28:57+02;Millicent Motsuku;2026-03-24 09:54:08+02;2026-03-24 09:54:08+02;;;;;;;;;27730237562;;;;;;;;prepaid life;;;;;</t>
  </si>
  <si>
    <t>ID_460</t>
  </si>
  <si>
    <t>13861491;caea2894-932c-411e-a71c-bfacaeb1293a;;111111118;Vodacom Life 20260324;;;27735389966;;CCB;5;</t>
  </si>
  <si>
    <t>13861491;caea2894-932c-411e-a71c-bfacaeb1293a;;111111118;Vodacom Life 20260324;;;27735389966;;CCB;5;2026-05-25 10:38:15+02;Khensane Mabasa;2026-03-24 09:54:08+02;2026-03-24 09:54:08+02;;;;;;;;;27735389966;;;;;;;;prepaid life;;;;;</t>
  </si>
  <si>
    <t>ID_461</t>
  </si>
  <si>
    <t>13861576;7de18715-e1bb-4d7e-9bda-aabeaf1d0972;;111111118;Vodacom Life 20260324;;;;;DROP;5;2026-05-25</t>
  </si>
  <si>
    <t>13861576;7de18715-e1bb-4d7e-9bda-aabeaf1d0972;;111111118;Vodacom Life 20260324;;;;;DROP;5;2026-05-25 09:01:01+02;system;2026-03-24 09:54:08+02;2026-03-24 09:54:08+02;;;;;;;;;27826215319;;;;;;;;prepaid life;;;;;</t>
  </si>
  <si>
    <t>ID_462</t>
  </si>
  <si>
    <t>13861633;20351acf-95bd-4834-b847-e5e1c58b96d4;;111111118;Vodacom Life 20260324;;;;;AA;5;2026-05-23 1</t>
  </si>
  <si>
    <t>13861633;20351acf-95bd-4834-b847-e5e1c58b96d4;;111111118;Vodacom Life 20260324;;;;;AA;5;2026-05-23 12:07:01+02;system;2026-03-24 09:54:08+02;2026-03-24 09:54:08+02;;;;;;;;;27712472185;;;;;;;;prepaid life;;;;;</t>
  </si>
  <si>
    <t>ID_463</t>
  </si>
  <si>
    <t>13861577;b8518c14-843c-4683-b0b8-df82299664b0;;111111118;Vodacom Life 20260324;;;;;CBACK;3;2026-04-1</t>
  </si>
  <si>
    <t>13861577;b8518c14-843c-4683-b0b8-df82299664b0;;111111118;Vodacom Life 20260324;;;;;CBACK;3;2026-04-15 10:29:25+02;Maureen Ntsoko;2026-03-24 09:54:08+02;2026-03-24 09:54:08+02;;;;;;;;;27826331110;;;;;;;;prepaid life;;;;;</t>
  </si>
  <si>
    <t>ID_464</t>
  </si>
  <si>
    <t>13861492;78a1f0b9-fa66-484d-b125-1052c5054af5;;111111118;Vodacom Life 20260324;;;;;AA;5;2026-05-25 0</t>
  </si>
  <si>
    <t>13861492;78a1f0b9-fa66-484d-b125-1052c5054af5;;111111118;Vodacom Life 20260324;;;;;AA;5;2026-05-25 09:27:38+02;system;2026-03-24 09:54:08+02;2026-03-24 09:54:08+02;;;;;;;;;27760377508;;;;;;;;prepaid life;;;;;</t>
  </si>
  <si>
    <t>ID_465</t>
  </si>
  <si>
    <t>13861634;6b7e43a7-95cc-47a7-ad21-8e03f396e46f;;111111118;Vodacom Life 20260324;;;;;NA;5;2026-05-23 1</t>
  </si>
  <si>
    <t>13861634;6b7e43a7-95cc-47a7-ad21-8e03f396e46f;;111111118;Vodacom Life 20260324;;;;;NA;5;2026-05-23 12:07:13+02;system;2026-03-24 09:54:08+02;2026-03-24 09:54:08+02;;;;;;;;;27712615205;;;;;;;;prepaid life;;;;;</t>
  </si>
  <si>
    <t>ID_466</t>
  </si>
  <si>
    <t>13861578;e7bb3add-a80a-4140-bdbc-6cd87d5dd1a3;;111111118;Vodacom Life 20260324;;;;;CU;5;2026-05-23 1</t>
  </si>
  <si>
    <t>13861578;e7bb3add-a80a-4140-bdbc-6cd87d5dd1a3;;111111118;Vodacom Life 20260324;;;;;CU;5;2026-05-23 10:40:21+02;bongiwe lushaba;2026-03-24 09:54:08+02;2026-03-24 09:54:08+02;;;;;;;;;27827410439;;;;;;;;prepaid life;;;;;</t>
  </si>
  <si>
    <t>ID_467</t>
  </si>
  <si>
    <t>13861635;eab64621-4c1b-4f66-b96c-9838f34d09b4;;111111118;Vodacom Life 20260324;;;;;AA;5;2026-05-23 1</t>
  </si>
  <si>
    <t>13861635;eab64621-4c1b-4f66-b96c-9838f34d09b4;;111111118;Vodacom Life 20260324;;;;;AA;5;2026-05-23 12:17:14+02;system;2026-03-24 09:54:08+02;2026-03-24 09:54:08+02;;;;;;;;;27712671952;;;;;;;;prepaid life;;;;;</t>
  </si>
  <si>
    <t>ID_468</t>
  </si>
  <si>
    <t>13861580;fdff2312-6000-4c9f-b5d1-9c59be8fd1a8;;111111118;Vodacom Life 20260324;;;;;NI;3;2026-04-15 1</t>
  </si>
  <si>
    <t>13861580;fdff2312-6000-4c9f-b5d1-9c59be8fd1a8;;111111118;Vodacom Life 20260324;;;;;NI;3;2026-04-15 10:33:39+02;Thandile Nokubeni;2026-03-24 09:54:08+02;2026-03-24 09:54:08+02;;;;;;;;;27827489292;;;;;;;;prepaid life;;;;;</t>
  </si>
  <si>
    <t>ID_469</t>
  </si>
  <si>
    <t>13861494;3fbcff03-bb0c-488d-aeaa-687dc29fbb49;;111111118;Vodacom Life 20260324;;;;;NA;5;2026-05-25 0</t>
  </si>
  <si>
    <t>13861494;3fbcff03-bb0c-488d-aeaa-687dc29fbb49;;111111118;Vodacom Life 20260324;;;;;NA;5;2026-05-25 09:28:04+02;system;2026-03-24 09:54:08+02;2026-03-24 09:54:08+02;;;;;;;;;27760649621;;;;;;;;prepaid life;;;;;</t>
  </si>
  <si>
    <t>ID_470</t>
  </si>
  <si>
    <t>13861636;e24c1b0a-6c11-460e-897c-1544a49ff588;;111111118;Vodacom Life 20260324;;;;;NA;5;2026-05-25 0</t>
  </si>
  <si>
    <t>13861636;e24c1b0a-6c11-460e-897c-1544a49ff588;;111111118;Vodacom Life 20260324;;;;;NA;5;2026-05-25 09:20:32+02;system;2026-03-24 09:54:08+02;2026-03-24 09:54:08+02;;;;;;;;;27713013111;;;;;;;;prepaid life;;;;;</t>
  </si>
  <si>
    <t>ID_471</t>
  </si>
  <si>
    <t>13861495;66accd23-738d-42be-9205-c9a66c537d8f;;111111118;Vodacom Life 20260324;;;;;NA;5;2026-05-25 0</t>
  </si>
  <si>
    <t>13861495;66accd23-738d-42be-9205-c9a66c537d8f;;111111118;Vodacom Life 20260324;;;;;NA;5;2026-05-25 09:28:10+02;system;2026-03-24 09:54:08+02;2026-03-24 09:54:08+02;;;;;;;;;27760890996;;;;;;;;prepaid life;;;;;</t>
  </si>
  <si>
    <t>ID_472</t>
  </si>
  <si>
    <t>13861581;80361d0c-5a40-4e4e-8925-8bb1f903633f;;111111118;Vodacom Life 20260324;;;;;NI;1;2026-03-24 1</t>
  </si>
  <si>
    <t>13861581;80361d0c-5a40-4e4e-8925-8bb1f903633f;;111111118;Vodacom Life 20260324;;;;;NI;1;2026-03-24 11:52:37+02;Seboifeng Mogola;2026-03-24 09:54:08+02;2026-03-24 09:54:08+02;;;;;;;;;27827901159;;;;;;;;prepaid life;;;;;</t>
  </si>
  <si>
    <t>ID_473</t>
  </si>
  <si>
    <t>13861637;acb946a3-c9a9-4c64-a1f0-a25f76d917dd;;111111118;Vodacom Life 20260324;;;;;AA;5;2026-05-25 0</t>
  </si>
  <si>
    <t>13861637;acb946a3-c9a9-4c64-a1f0-a25f76d917dd;;111111118;Vodacom Life 20260324;;;;;AA;5;2026-05-25 09:28:16+02;system;2026-03-24 09:54:08+02;2026-03-24 09:54:08+02;;;;;;;;;27713185822;;;;;;;;prepaid life;;;;;</t>
  </si>
  <si>
    <t>ID_474</t>
  </si>
  <si>
    <t>13861638;f35ec11f-40e1-4366-bd60-cbe9922b76ff;;111111118;Vodacom Life 20260324;;;27713269808;;DROP;5</t>
  </si>
  <si>
    <t>13861638;f35ec11f-40e1-4366-bd60-cbe9922b76ff;;111111118;Vodacom Life 20260324;;;27713269808;;DROP;5;2026-05-25 09:28:17+02;system;2026-03-24 09:54:08+02;2026-03-24 09:54:08+02;;;;;;;;;27713269808;;;;;;;;prepaid life;;;;;</t>
  </si>
  <si>
    <t>ID_475</t>
  </si>
  <si>
    <t>13861582;df58016c-bd6e-4b9d-8f85-2ced97c9e7ad;;111111118;Vodacom Life 20260324;;;;;NA;5;2026-05-25 1</t>
  </si>
  <si>
    <t>13861582;df58016c-bd6e-4b9d-8f85-2ced97c9e7ad;;111111118;Vodacom Life 20260324;;;;;NA;5;2026-05-25 11:10:07+02;system;2026-03-24 09:54:08+02;2026-03-24 09:54:08+02;;;;;;;;;27828317442;;;;;;;;prepaid life;;;;;</t>
  </si>
  <si>
    <t>ID_476</t>
  </si>
  <si>
    <t>13861496;be9bc018-aad0-4fa1-9cea-8190c91406bc;;111111118;Vodacom Life 20260324;;;27761743688;;IABDN;</t>
  </si>
  <si>
    <t>13861496;be9bc018-aad0-4fa1-9cea-8190c91406bc;;111111118;Vodacom Life 20260324;;;27761743688;;IABDN;5;2026-05-25 13:02:04+02;system;2026-03-24 09:54:08+02;2026-03-24 09:54:08+02;;;;;;;;;27761743688;;;;;;;;prepaid life;;;;;</t>
  </si>
  <si>
    <t>ID_477</t>
  </si>
  <si>
    <t>13861497;182d1525-f2f3-4f95-83fb-3f23ed7de849;;111111118;Vodacom Life 20260324;;;;;A;5;2026-05-25 10</t>
  </si>
  <si>
    <t>13861497;182d1525-f2f3-4f95-83fb-3f23ed7de849;;111111118;Vodacom Life 20260324;;;;;A;5;2026-05-25 10:38:22+02;bongiwe lushaba;2026-03-24 09:54:08+02;2026-03-24 09:54:08+02;;;;;;;;;27762054707;;;;;;;;prepaid life;;;;;</t>
  </si>
  <si>
    <t>ID_478</t>
  </si>
  <si>
    <t>13861498;6720b725-e888-44db-98ab-50c7869e7ca0;;111111118;Vodacom Life 20260324;;;;;CBACK;2;2026-04-1</t>
  </si>
  <si>
    <t>13861498;6720b725-e888-44db-98ab-50c7869e7ca0;;111111118;Vodacom Life 20260324;;;;;CBACK;2;2026-04-10 08:26:58+02;Thandile Nokubeni;2026-03-24 09:54:08+02;2026-03-24 09:54:08+02;;;;;;;;;27762211178;;;;;;;;prepaid life;;;;;</t>
  </si>
  <si>
    <t>ID_479</t>
  </si>
  <si>
    <t>13861583;e1ef19e8-80a6-4f2d-9909-956abe06e59b;;111111118;Vodacom Life 20260324;;;27828486613;;AA;5;2</t>
  </si>
  <si>
    <t>13861583;e1ef19e8-80a6-4f2d-9909-956abe06e59b;;111111118;Vodacom Life 20260324;;;27828486613;;AA;5;2026-05-25 11:21:15+02;system;2026-03-24 09:54:08+02;2026-03-24 09:54:08+02;;;;;;;;;27828486613;;;;;;;;prepaid life;;;;;</t>
  </si>
  <si>
    <t>ID_480</t>
  </si>
  <si>
    <t>13861640;b45751a6-38a2-4822-bf4b-a0e774179afc;;111111118;Vodacom Life 20260324;;;27713402133;;IABDN;</t>
  </si>
  <si>
    <t>13861640;b45751a6-38a2-4822-bf4b-a0e774179afc;;111111118;Vodacom Life 20260324;;;27713402133;;IABDN;5;2026-05-25 11:06:05+02;system;2026-03-24 09:54:08+02;2026-03-24 09:54:08+02;;;;;;;;;27713402133;;;;;;;;prepaid life;;;;;</t>
  </si>
  <si>
    <t>ID_481</t>
  </si>
  <si>
    <t>13861584;c3f35929-b460-4d57-b98d-1a6db51af609;;111111118;Vodacom Life 20260324;;;;;AA;5;2026-05-25 1</t>
  </si>
  <si>
    <t>13861584;c3f35929-b460-4d57-b98d-1a6db51af609;;111111118;Vodacom Life 20260324;;;;;AA;5;2026-05-25 11:55:19+02;system;2026-03-24 09:54:08+02;2026-03-24 09:54:08+02;;;;;;;;;27828607412;;;;;;;;prepaid life;;;;;</t>
  </si>
  <si>
    <t>ID_482</t>
  </si>
  <si>
    <t>13861641;b85d90ab-731c-401c-b2f9-f812f91a7edb;;111111118;Vodacom Life 20260324;;;;;NA;5;2026-05-25 1</t>
  </si>
  <si>
    <t>13861641;b85d90ab-731c-401c-b2f9-f812f91a7edb;;111111118;Vodacom Life 20260324;;;;;NA;5;2026-05-25 11:36:52+02;system;2026-03-24 09:54:08+02;2026-03-24 09:54:08+02;;;;;;;;;27713917016;;;;;;;;prepaid life;;;;;</t>
  </si>
  <si>
    <t>ID_483</t>
  </si>
  <si>
    <t>13861585;dcef4c24-ee27-4868-a022-78fa0c9c74f6;;111111118;Vodacom Life 20260324;;;;;DROP;5;2026-05-23</t>
  </si>
  <si>
    <t>13861585;dcef4c24-ee27-4868-a022-78fa0c9c74f6;;111111118;Vodacom Life 20260324;;;;;DROP;5;2026-05-23 10:44:05+02;system;2026-03-24 09:54:08+02;2026-03-24 09:54:08+02;;;;;;;;;27829351872;;;;;;;;prepaid life;;;;;</t>
  </si>
  <si>
    <t>ID_484</t>
  </si>
  <si>
    <t>13861499;9dc22067-f516-420a-a908-e969dbe87c9b;;111111118;Vodacom Life 20260324;;;;;AE;5;2026-05-25 1</t>
  </si>
  <si>
    <t>13861499;9dc22067-f516-420a-a908-e969dbe87c9b;;111111118;Vodacom Life 20260324;;;;;AE;5;2026-05-25 10:38:23+02;system;2026-03-24 09:54:08+02;2026-03-24 09:54:08+02;;;;;;;;;27762228981;;;;;;;;prepaid life;;;;;</t>
  </si>
  <si>
    <t>ID_485</t>
  </si>
  <si>
    <t>13861500;aae5068e-7e2d-4708-8e10-cb8ab78e7353;;111111118;Vodacom Life 20260324;;;;;NA;5;2026-05-25 1</t>
  </si>
  <si>
    <t>13861500;aae5068e-7e2d-4708-8e10-cb8ab78e7353;;111111118;Vodacom Life 20260324;;;;;NA;5;2026-05-25 10:38:27+02;system;2026-03-24 09:54:08+02;2026-03-24 09:54:08+02;;;;;;;;;27762764530;;;;;;;;prepaid life;;;;;</t>
  </si>
  <si>
    <t>ID_486</t>
  </si>
  <si>
    <t>13861642;53c55d9c-c4fe-4d39-8fc0-ffed59650253;;111111118;Vodacom Life 20260324;;;;;DROP;5;2026-05-25</t>
  </si>
  <si>
    <t>13861642;53c55d9c-c4fe-4d39-8fc0-ffed59650253;;111111118;Vodacom Life 20260324;;;;;DROP;5;2026-05-25 10:37:28+02;system;2026-03-24 09:54:08+02;2026-03-24 09:54:08+02;;;;;;;;;27714647617;;;;;;;;prepaid life;;;;;</t>
  </si>
  <si>
    <t>ID_487</t>
  </si>
  <si>
    <t xml:space="preserve">13861587;39797682-6d23-4bc1-b902-adf5fa56cfb3;;111111118;Vodacom Life 20260324;;;;;OAL;1;2026-03-24 </t>
  </si>
  <si>
    <t>13861587;39797682-6d23-4bc1-b902-adf5fa56cfb3;;111111118;Vodacom Life 20260324;;;;;OAL;1;2026-03-24 11:54:47+02;Thandile Nokubeni;2026-03-24 09:54:08+02;2026-03-24 09:54:08+02;;;;;;;;;27829552955;;;;;;;;prepaid life;;;;;</t>
  </si>
  <si>
    <t>ID_488</t>
  </si>
  <si>
    <t>13861643;ea9f11a8-9042-4153-b9e9-aee9786c4d5e;;111111118;Vodacom Life 20260324;;;;;CU;5;2026-05-23 1</t>
  </si>
  <si>
    <t>13861643;ea9f11a8-9042-4153-b9e9-aee9786c4d5e;;111111118;Vodacom Life 20260324;;;;;CU;5;2026-05-23 12:12:16+02;Maureen Ntsoko;2026-03-24 09:54:08+02;2026-03-24 09:54:08+02;;;;;;;;;27714974447;;;;;;;;prepaid life;;;;;</t>
  </si>
  <si>
    <t>ID_489</t>
  </si>
  <si>
    <t>13861588;67367883-721d-4f1c-b7b1-8e58d454cb57;;111111118;Vodacom Life 20260324;;;;;DROP;5;2026-05-08</t>
  </si>
  <si>
    <t>13861588;67367883-721d-4f1c-b7b1-8e58d454cb57;;111111118;Vodacom Life 20260324;;;;;DROP;5;2026-05-08 07:59:54+02;system;2026-03-24 09:54:08+02;2026-03-24 09:54:08+02;;;;;;;;;27834556987;;;;;;;;prepaid life;;;;;</t>
  </si>
  <si>
    <t>ID_490</t>
  </si>
  <si>
    <t>13861501;19f25030-a7ad-4888-bed4-99a54751505d;;111111118;Vodacom Life 20260324;;;27763076238;;IABDN;</t>
  </si>
  <si>
    <t>13861501;19f25030-a7ad-4888-bed4-99a54751505d;;111111118;Vodacom Life 20260324;;;27763076238;;IABDN;5;2026-05-25 10:59:17+02;system;2026-03-24 09:54:08+02;2026-03-24 09:54:08+02;;;;;;;;;27763076238;;;;;;;;prepaid life;;;;;</t>
  </si>
  <si>
    <t>ID_491</t>
  </si>
  <si>
    <t>13861644;2bbf9c7b-7cce-4d37-9b3a-4ee619877e75;;111111118;Vodacom Life 20260324;;;;;NI;1;2026-03-24 1</t>
  </si>
  <si>
    <t>13861644;2bbf9c7b-7cce-4d37-9b3a-4ee619877e75;;111111118;Vodacom Life 20260324;;;;;NI;1;2026-03-24 12:02:24+02;Musiiwa Mary Mabirimisa;2026-03-24 09:54:08+02;2026-03-24 09:54:08+02;;;;;;;;;27715015523;;;;;;;;prepaid life;;;;;</t>
  </si>
  <si>
    <t>ID_492</t>
  </si>
  <si>
    <t>13861502;e86ae779-7107-483b-8276-7fd067dad222;;111111118;Vodacom Life 20260324;;;;;DROP;5;2026-05-25</t>
  </si>
  <si>
    <t>13861502;e86ae779-7107-483b-8276-7fd067dad222;;111111118;Vodacom Life 20260324;;;;;DROP;5;2026-05-25 11:55:39+02;system;2026-03-24 09:54:08+02;2026-03-24 09:54:08+02;;;;;;;;;27763528560;;;;;;;;prepaid life;;;;;</t>
  </si>
  <si>
    <t>ID_493</t>
  </si>
  <si>
    <t>13861645;ff09bc17-8544-484b-ac9e-809cf21b3616;;111111118;Vodacom Life 20260324;;;;;AE;5;2026-05-25 1</t>
  </si>
  <si>
    <t>13861645;ff09bc17-8544-484b-ac9e-809cf21b3616;;111111118;Vodacom Life 20260324;;;;;AE;5;2026-05-25 10:38:06+02;system;2026-03-24 09:54:08+02;2026-03-24 09:54:08+02;;;;;;;;;27715352538;;;;;;;;prepaid life;;;;;</t>
  </si>
  <si>
    <t>ID_494</t>
  </si>
  <si>
    <t>13861589;a5b91ccb-7d9a-4aef-8c5b-589601d642d0;;111111118;Vodacom Life 20260324;;;;;AE;5;2026-05-25 0</t>
  </si>
  <si>
    <t>13861589;a5b91ccb-7d9a-4aef-8c5b-589601d642d0;;111111118;Vodacom Life 20260324;;;;;AE;5;2026-05-25 09:14:34+02;system;2026-03-24 09:54:08+02;2026-03-24 09:54:08+02;;;;;;;;;27837483528;;;;;;;;prepaid life;;;;;</t>
  </si>
  <si>
    <t>ID_495</t>
  </si>
  <si>
    <t>13861503;ec57e91b-f6f9-4fc0-90d0-f563f3d107fa;;111111118;Vodacom Life 20260324;;;;;AA;5;2026-05-25 1</t>
  </si>
  <si>
    <t>13861503;ec57e91b-f6f9-4fc0-90d0-f563f3d107fa;;111111118;Vodacom Life 20260324;;;;;AA;5;2026-05-25 11:49:08+02;system;2026-03-24 09:54:08+02;2026-03-24 09:54:08+02;;;;;;;;;27764403098;;;;;;;;prepaid life;;;;;</t>
  </si>
  <si>
    <t>ID_496</t>
  </si>
  <si>
    <t>13861646;616933f9-c938-4bf6-8b42-8fb1dfd27497;;111111118;Vodacom Life 20260324;;;;;AE;5;2026-05-23 1</t>
  </si>
  <si>
    <t>13861646;616933f9-c938-4bf6-8b42-8fb1dfd27497;;111111118;Vodacom Life 20260324;;;;;AE;5;2026-05-23 12:12:16+02;system;2026-03-24 09:54:08+02;2026-03-24 09:54:08+02;;;;;;;;;27715552113;;;;;;;;prepaid life;;;;;</t>
  </si>
  <si>
    <t>ID_497</t>
  </si>
  <si>
    <t>13861647;59da17e6-e51e-4bc1-9d25-954ca72a759e;;111111118;Vodacom Life 20260324;;;27716754736;;IABDN;</t>
  </si>
  <si>
    <t>13861647;59da17e6-e51e-4bc1-9d25-954ca72a759e;;111111118;Vodacom Life 20260324;;;27716754736;;IABDN;5;2026-05-23 12:28:21+02;system;2026-03-24 09:54:08+02;2026-03-24 09:54:08+02;;;;;;;;;27716754736;;;;;;;;prepaid life;;;;;</t>
  </si>
  <si>
    <t>ID_498</t>
  </si>
  <si>
    <t>13861591;b24bb243-2561-4ce5-901f-4e88ed8dcd34;;111111118;Vodacom Life 20260324;;;;;A;5;2026-03-30 13</t>
  </si>
  <si>
    <t>13861591;b24bb243-2561-4ce5-901f-4e88ed8dcd34;;111111118;Vodacom Life 20260324;;;;;A;5;2026-03-30 13:14:55+02;Thandile Nokubeni;2026-03-24 09:54:08+02;2026-03-24 09:54:08+02;;;;;;;;;27606159195;;;;;;;;prepaid life;;;;;</t>
  </si>
  <si>
    <t>ID_499</t>
  </si>
  <si>
    <t>13861504;9adc8cfa-eaad-49d9-80c6-dee84a7303ef;;111111118;Vodacom Life 20260324;;;;;AE;5;2026-05-25 1</t>
  </si>
  <si>
    <t>13861504;9adc8cfa-eaad-49d9-80c6-dee84a7303ef;;111111118;Vodacom Life 20260324;;;;;AE;5;2026-05-25 11:49:45+02;system;2026-03-24 09:54:08+02;2026-03-24 09:54:08+02;;;;;;;;;27764970988;;;;;;;;prepaid life;;;;;</t>
  </si>
  <si>
    <t>ID_500</t>
  </si>
  <si>
    <t>13861505;f8250376-dfb3-4a69-a446-c339c0d4c75c;;111111118;Vodacom Life 20260324;;;;;AA;5;2026-05-25 1</t>
  </si>
  <si>
    <t>13861505;f8250376-dfb3-4a69-a446-c339c0d4c75c;;111111118;Vodacom Life 20260324;;;;;AA;5;2026-05-25 10:56:16+02;system;2026-03-24 09:54:08+02;2026-03-24 09:54:08+02;;;;;;;;;27765001044;;;;;;;;prepaid life;;;;;</t>
  </si>
  <si>
    <t>ID_501</t>
  </si>
  <si>
    <t>13861648;ff7e05dc-6aa8-4b3e-94f2-cc4c3b6f88bf;;111111118;Vodacom Life 20260324;;;;;NI;2;2026-04-09 1</t>
  </si>
  <si>
    <t>13861648;ff7e05dc-6aa8-4b3e-94f2-cc4c3b6f88bf;;111111118;Vodacom Life 20260324;;;;;NI;2;2026-04-09 16:56:34+02;Maureen Ntsoko;2026-03-24 09:54:08+02;2026-03-24 09:54:08+02;;;;;;;;;27716898509;;;;;;;;prepaid life;;;;;</t>
  </si>
  <si>
    <t>ID_502</t>
  </si>
  <si>
    <t>13861506;c87342ee-57da-4f91-a7bf-c6f972b6da67;;111111118;Vodacom Life 20260324;;;;;CD;1;2026-03-24 1</t>
  </si>
  <si>
    <t>13861506;c87342ee-57da-4f91-a7bf-c6f972b6da67;;111111118;Vodacom Life 20260324;;;;;CD;1;2026-03-24 11:20:30+02;Seboifeng Mogola;2026-03-24 09:54:08+02;2026-03-24 09:54:08+02;;;;;;;;;27765072833;;;;;;;;prepaid life;;;;;</t>
  </si>
  <si>
    <t>ID_503</t>
  </si>
  <si>
    <t>13861592;f8c35101-dfcd-4640-85a0-539fab0e48c9;;111111118;Vodacom Life 20260324;;;;;AA;5;2026-05-25 1</t>
  </si>
  <si>
    <t>13861592;f8c35101-dfcd-4640-85a0-539fab0e48c9;;111111118;Vodacom Life 20260324;;;;;AA;5;2026-05-25 11:55:35+02;system;2026-03-24 09:54:08+02;2026-03-24 09:54:08+02;;;;;;;;;27606766329;;;;;;;;prepaid life;;;;;</t>
  </si>
  <si>
    <t>ID_504</t>
  </si>
  <si>
    <t>13861649;b095afa4-74bd-4ab1-bb3c-df698485c2b4;;111111118;Vodacom Life 20260324;;;;;DROP;5;2026-05-23</t>
  </si>
  <si>
    <t>13861649;b095afa4-74bd-4ab1-bb3c-df698485c2b4;;111111118;Vodacom Life 20260324;;;;;DROP;5;2026-05-23 12:12:16+02;system;2026-03-24 09:54:08+02;2026-03-24 09:54:08+02;;;;;;;;;27720254888;;;;;;;;prepaid life;;;;;</t>
  </si>
  <si>
    <t>ID_505</t>
  </si>
  <si>
    <t>13861507;598626d0-84a0-4256-adb3-47b69fa9497a;;111111118;Vodacom Life 20260324;;;;;SELECTED;2;2026-0</t>
  </si>
  <si>
    <t>13861507;598626d0-84a0-4256-adb3-47b69fa9497a;;111111118;Vodacom Life 20260324;;;;;SELECTED;2;2026-03-24 11:20:30+02;system;2026-03-24 09:54:08+02;2026-03-24 09:54:08+02;;;;;;;;;27765136101;;;;;;;;prepaid life;;;;;</t>
  </si>
  <si>
    <t>ID_506</t>
  </si>
  <si>
    <t>13861650;1a50967f-d15f-4db6-bab4-638a6c493af2;;111111118;Vodacom Life 20260324;;;;;NA;5;2026-05-23 1</t>
  </si>
  <si>
    <t>13861650;1a50967f-d15f-4db6-bab4-638a6c493af2;;111111118;Vodacom Life 20260324;;;;;NA;5;2026-05-23 12:12:18+02;system;2026-03-24 09:54:08+02;2026-03-24 09:54:08+02;;;;;;;;;27720725749;;;;;;;;prepaid life;;;;;</t>
  </si>
  <si>
    <t>ID_507</t>
  </si>
  <si>
    <t>13861508;90d3267f-798b-4bbf-8805-1d9f0229893a;;111111118;Vodacom Life 20260324;;;;;A;5;2026-05-21 14</t>
  </si>
  <si>
    <t>13861508;90d3267f-798b-4bbf-8805-1d9f0229893a;;111111118;Vodacom Life 20260324;;;;;A;5;2026-05-21 14:33:35+02;bongiwe lushaba;2026-03-24 09:54:08+02;2026-03-24 09:54:08+02;;;;;;;;;27765466083;;;;;;;;prepaid life;;;;;</t>
  </si>
  <si>
    <t>ID_508</t>
  </si>
  <si>
    <t>13861594;87cfd5b1-2b71-4994-8350-1b2da26ccf04;;111111118;Vodacom Life 20260324;;;;;NI;1;2026-03-24 1</t>
  </si>
  <si>
    <t>13861594;87cfd5b1-2b71-4994-8350-1b2da26ccf04;;111111118;Vodacom Life 20260324;;;;;NI;1;2026-03-24 11:55:09+02;Esther Ramalete;2026-03-24 09:54:08+02;2026-03-24 09:54:08+02;;;;;;;;;27607213134;;;;;;;;prepaid life;;;;;</t>
  </si>
  <si>
    <t>ID_509</t>
  </si>
  <si>
    <t>13861651;461f63c0-edef-405e-922b-3eb04982276b;;111111118;Vodacom Life 20260324;;;;;AA;5;2026-05-23 1</t>
  </si>
  <si>
    <t>13861651;461f63c0-edef-405e-922b-3eb04982276b;;111111118;Vodacom Life 20260324;;;;;AA;5;2026-05-23 12:17:14+02;system;2026-03-24 09:54:08+02;2026-03-24 09:54:08+02;;;;;;;;;27720803819;;;;;;;;prepaid life;;;;;</t>
  </si>
  <si>
    <t>ID_510</t>
  </si>
  <si>
    <t>13861595;930dc9d1-cb40-40f0-8fbf-475678e565f2;;111111118;Vodacom Life 20260324;;;;;AA;5;2026-05-25 0</t>
  </si>
  <si>
    <t>13861595;930dc9d1-cb40-40f0-8fbf-475678e565f2;;111111118;Vodacom Life 20260324;;;;;AA;5;2026-05-25 09:46:21+02;system;2026-03-24 09:54:08+02;2026-03-24 09:54:08+02;;;;;;;;;27607366147;;;;;;;;prepaid life;;;;;</t>
  </si>
  <si>
    <t>ID_511</t>
  </si>
  <si>
    <t>13861652;b9ee8580-f395-4e31-a6f3-32790eabe1ad;;111111118;Vodacom Life 20260324;;;;;AA;5;2026-05-25 1</t>
  </si>
  <si>
    <t>13861652;b9ee8580-f395-4e31-a6f3-32790eabe1ad;;111111118;Vodacom Life 20260324;;;;;AA;5;2026-05-25 10:38:28+02;system;2026-03-24 09:54:08+02;2026-03-24 09:54:08+02;;;;;;;;;27721037287;;;;;;;;prepaid life;;;;;</t>
  </si>
  <si>
    <t>ID_512</t>
  </si>
  <si>
    <t>13861596;8560c1e0-3cad-43f4-a300-316cb5f16fe8;;111111118;Vodacom Life 20260324;;;27608463065;;IABDN;</t>
  </si>
  <si>
    <t>13861596;8560c1e0-3cad-43f4-a300-316cb5f16fe8;;111111118;Vodacom Life 20260324;;;27608463065;;IABDN;5;2026-05-25 09:47:12+02;system;2026-03-24 09:54:08+02;2026-03-24 09:54:08+02;;;;;;;;;27608463065;;;;;;;;prepaid life;;;;;</t>
  </si>
  <si>
    <t>ID_513</t>
  </si>
  <si>
    <t>13861597;5690737a-b5ad-436c-8ef1-4cd8a2b18689;;111111118;Vodacom Life 20260324;;;;;CBACK;1;2026-03-2</t>
  </si>
  <si>
    <t>13861597;5690737a-b5ad-436c-8ef1-4cd8a2b18689;;111111118;Vodacom Life 20260324;;;;;CBACK;1;2026-03-24 11:56:27+02;Maureen Ntsoko;2026-03-24 09:54:08+02;2026-03-24 09:54:08+02;;;;;;;;;27608764593;;;;;;;;prepaid life;;;;;</t>
  </si>
  <si>
    <t>ID_514</t>
  </si>
  <si>
    <t>13861509;40cc7a99-83be-474e-8cf9-716bc9f5f2c7;;111111118;Vodacom Life 20260324;;;;;AA;5;2026-05-25 1</t>
  </si>
  <si>
    <t>13861509;40cc7a99-83be-474e-8cf9-716bc9f5f2c7;;111111118;Vodacom Life 20260324;;;;;AA;5;2026-05-25 12:48:55+02;system;2026-03-24 09:54:08+02;2026-03-24 09:54:08+02;;;;;;;;;27765507884;;;;;;;;prepaid life;;;;;</t>
  </si>
  <si>
    <t>ID_515</t>
  </si>
  <si>
    <t>13861510;ec9c441b-2699-4cfc-a735-88de8e956c18;;111111118;Vodacom Life 20260324;;;;;NA;5;2026-05-25 1</t>
  </si>
  <si>
    <t>13861510;ec9c441b-2699-4cfc-a735-88de8e956c18;;111111118;Vodacom Life 20260324;;;;;NA;5;2026-05-25 14:32:53+02;system;2026-03-24 09:54:08+02;2026-03-24 09:54:08+02;;;;;;;;;27765728345;;;;;;;;prepaid life;;;;;</t>
  </si>
  <si>
    <t>ID_516</t>
  </si>
  <si>
    <t>13861653;1e1f0186-53ff-4462-9268-41058a8864de;;111111118;Vodacom Life 20260324;;;;;DROP;5;2026-05-25</t>
  </si>
  <si>
    <t>13861653;1e1f0186-53ff-4462-9268-41058a8864de;;111111118;Vodacom Life 20260324;;;;;DROP;5;2026-05-25 10:38:32+02;system;2026-03-24 09:54:08+02;2026-03-24 09:54:08+02;;;;;;;;;27721090430;;;;;;;;prepaid life;;;;;</t>
  </si>
  <si>
    <t>ID_517</t>
  </si>
  <si>
    <t>13861511;b52cbaa5-01a8-4ceb-871e-3a55ae49c5c6;;111111118;Vodacom Life 20260324;;;;;A;5;2026-04-15 16</t>
  </si>
  <si>
    <t>13861511;b52cbaa5-01a8-4ceb-871e-3a55ae49c5c6;;111111118;Vodacom Life 20260324;;;;;A;5;2026-04-15 16:34:42+02;bongiwe lushaba;2026-03-24 09:54:08+02;2026-03-24 09:54:08+02;;;;;;;;;27766583321;;;;;;;;prepaid life;;;;;</t>
  </si>
  <si>
    <t>ID_518</t>
  </si>
  <si>
    <t>13861654;4a9c3937-c7de-4165-b3c3-b2d9dc48346a;;111111118;Vodacom Life 20260324;;;27721492786;;CU;6;2</t>
  </si>
  <si>
    <t>13861654;4a9c3937-c7de-4165-b3c3-b2d9dc48346a;;111111118;Vodacom Life 20260324;;;27721492786;;CU;6;2026-05-25 10:45:41+02;bongiwe lushaba;2026-03-24 09:54:08+02;2026-03-24 09:54:08+02;;;;;;;;;27721492786;;;;;;;;prepaid life;;;;;</t>
  </si>
  <si>
    <t>ID_519</t>
  </si>
  <si>
    <t>13861512;9f588689-1b61-4301-b0fd-6b40933a0f09;;111111118;Vodacom Life 20260324;;;;;NI;4;2026-05-20 1</t>
  </si>
  <si>
    <t>13861512;9f588689-1b61-4301-b0fd-6b40933a0f09;;111111118;Vodacom Life 20260324;;;;;NI;4;2026-05-20 10:56:16+02;Khensane Mabasa;2026-03-24 09:54:08+02;2026-03-24 09:54:08+02;;;;;;;;;27766882383;;;;;;;;prepaid life;;;;;</t>
  </si>
  <si>
    <t>ID_520</t>
  </si>
  <si>
    <t>13861598;63a4e2c4-576b-4369-bcfc-3606e1d4e7ec;;111111118;Vodacom Life 20260324;;;;;A;5;2026-04-14 10</t>
  </si>
  <si>
    <t>13861598;63a4e2c4-576b-4369-bcfc-3606e1d4e7ec;;111111118;Vodacom Life 20260324;;;;;A;5;2026-04-14 10:44:16+02;Musiiwa Mary Mabirimisa;2026-03-24 09:54:08+02;2026-03-24 09:54:08+02;;;;;;;;;27609088244;;;;;;;;prepaid life;;;;;</t>
  </si>
  <si>
    <t>ID_521</t>
  </si>
  <si>
    <t>13861655;0448beaf-a7cf-4989-98f4-e1985a678637;;111111118;Vodacom Life 20260324;;;27722742006;;AA;5;2</t>
  </si>
  <si>
    <t>13861655;0448beaf-a7cf-4989-98f4-e1985a678637;;111111118;Vodacom Life 20260324;;;27722742006;;AA;5;2026-05-25 10:38:50+02;system;2026-03-24 09:54:08+02;2026-03-24 09:54:08+02;;;;;;;;;27722742006;;;;;;;;prepaid life;;;;;</t>
  </si>
  <si>
    <t>ID_522</t>
  </si>
  <si>
    <t>13861599;49a03618-15d6-43f6-8839-6f6394352739;;111111118;Vodacom Life 20260324;;;;;AE;5;2026-05-25 1</t>
  </si>
  <si>
    <t>13861599;49a03618-15d6-43f6-8839-6f6394352739;;111111118;Vodacom Life 20260324;;;;;AE;5;2026-05-25 11:55:38+02;system;2026-03-24 09:54:08+02;2026-03-24 09:54:08+02;;;;;;;;;27609306286;;;;;;;;prepaid life;;;;;</t>
  </si>
  <si>
    <t>ID_523</t>
  </si>
  <si>
    <t>13861513;a0a806d9-3895-466d-bee6-75d4be4c8f2e;;111111118;Vodacom Life 20260324;;;;;NI;2;2026-03-25 1</t>
  </si>
  <si>
    <t>13861513;a0a806d9-3895-466d-bee6-75d4be4c8f2e;;111111118;Vodacom Life 20260324;;;;;NI;2;2026-03-25 14:11:47+02;Musiiwa Mary Mabirimisa;2026-03-24 09:54:08+02;2026-03-24 09:54:08+02;;;;;;;;;27767278586;;;;;;;;prepaid life;;;;;</t>
  </si>
  <si>
    <t>ID_524</t>
  </si>
  <si>
    <t>13861514;cd14177c-29ea-4914-8845-bf6497176f15;;111111118;Vodacom Life 20260324;;;;;AA;5;2026-05-25 1</t>
  </si>
  <si>
    <t>13861514;cd14177c-29ea-4914-8845-bf6497176f15;;111111118;Vodacom Life 20260324;;;;;AA;5;2026-05-25 14:35:36+02;system;2026-03-24 09:54:08+02;2026-03-24 09:54:08+02;;;;;;;;;27767407863;;;;;;;;prepaid life;;;;;</t>
  </si>
  <si>
    <t>ID_525</t>
  </si>
  <si>
    <t>13861600;4df69ce2-3282-4b22-8118-f791f97781c7;;111111118;Vodacom Life 20260324;;;;;CBACK;5;2026-05-2</t>
  </si>
  <si>
    <t>13861600;4df69ce2-3282-4b22-8118-f791f97781c7;;111111118;Vodacom Life 20260324;;;;;CBACK;5;2026-05-23 11:03:33+02;Maureen Ntsoko;2026-03-24 09:54:08+02;2026-03-24 09:54:08+02;;;;;;;;;27609558460;;;;;;;;prepaid life;;;;;</t>
  </si>
  <si>
    <t>ID_526</t>
  </si>
  <si>
    <t>13861657;c3696eb7-917d-49d3-a18c-ac7697fb85d4;;111111118;Vodacom Life 20260324;;;;;AA;5;2026-05-25 1</t>
  </si>
  <si>
    <t>13861657;c3696eb7-917d-49d3-a18c-ac7697fb85d4;;111111118;Vodacom Life 20260324;;;;;AA;5;2026-05-25 12:52:58+02;system;2026-03-24 09:54:08+02;2026-03-24 09:54:08+02;;;;;;;;;27724173905;;;;;;;;prepaid life;;;;;</t>
  </si>
  <si>
    <t>ID_527</t>
  </si>
  <si>
    <t>13861601;f06f4210-0b4f-4136-b418-02b69d9ceaaa;;111111118;Vodacom Life 20260324;;;;;AE;5;2026-05-23 1</t>
  </si>
  <si>
    <t>13861601;f06f4210-0b4f-4136-b418-02b69d9ceaaa;;111111118;Vodacom Life 20260324;;;;;AE;5;2026-05-23 11:03:33+02;system;2026-03-24 09:54:08+02;2026-03-24 09:54:08+02;;;;;;;;;27609892603;;;;;;;;prepaid life;;;;;</t>
  </si>
  <si>
    <t>ID_528</t>
  </si>
  <si>
    <t>13861602;c9d4a33e-e48f-4409-8420-2c171b29c8e8;;111111118;Vodacom Life 20260324;;;;;AA;5;2026-05-25 1</t>
  </si>
  <si>
    <t>13861602;c9d4a33e-e48f-4409-8420-2c171b29c8e8;;111111118;Vodacom Life 20260324;;;;;AA;5;2026-05-25 14:34:47+02;system;2026-03-24 09:54:08+02;2026-03-24 09:54:08+02;;;;;;;;;27619071485;;;;;;;;prepaid life;;;;;</t>
  </si>
  <si>
    <t>ID_529</t>
  </si>
  <si>
    <t>13861515;95acfabb-6e1c-4dca-914e-ff73be5bbf01;;111111118;Vodacom Life 20260324;;;27767517515;;IABDN;</t>
  </si>
  <si>
    <t>13861515;95acfabb-6e1c-4dca-914e-ff73be5bbf01;;111111118;Vodacom Life 20260324;;;27767517515;;IABDN;5;2026-05-25 13:51:28+02;system;2026-03-24 09:54:08+02;2026-03-24 09:54:08+02;;;;;;;;;27767517515;;;;;;;;prepaid life;;;;;</t>
  </si>
  <si>
    <t>ID_530</t>
  </si>
  <si>
    <t>13861658;0bfb5c73-5553-48d1-93a6-80d138088f53;;111111118;Vodacom Life 20260324;;;;;NA;5;2026-05-25 1</t>
  </si>
  <si>
    <t>13861658;0bfb5c73-5553-48d1-93a6-80d138088f53;;111111118;Vodacom Life 20260324;;;;;NA;5;2026-05-25 14:12:51+02;system;2026-03-24 09:54:08+02;2026-03-24 09:54:08+02;;;;;;;;;27724228758;;;;;;;;prepaid life;;;;;</t>
  </si>
  <si>
    <t>ID_531</t>
  </si>
  <si>
    <t>13861516;bd7a35ed-34fb-4889-9056-cac759f9b4ff;;111111118;Vodacom Life 20260324;;;;;U;1;2026-03-24 11</t>
  </si>
  <si>
    <t>13861516;bd7a35ed-34fb-4889-9056-cac759f9b4ff;;111111118;Vodacom Life 20260324;;;;;U;1;2026-03-24 11:40:06+02;bongiwe lushaba;2026-03-24 09:54:08+02;2026-03-24 09:54:08+02;;;;;;;;;27767764768;;;;;;;;prepaid life;;;;;</t>
  </si>
  <si>
    <t>ID_532</t>
  </si>
  <si>
    <t>13861603;315bf100-dc99-450a-9b78-e6599e733d1d;;111111118;Vodacom Life 20260324;;;;;AA;5;2026-05-25 0</t>
  </si>
  <si>
    <t>13861603;315bf100-dc99-450a-9b78-e6599e733d1d;;111111118;Vodacom Life 20260324;;;;;AA;5;2026-05-25 09:48:09+02;system;2026-03-24 09:54:08+02;2026-03-24 09:54:08+02;;;;;;;;;27636058986;;;;;;;;prepaid life;;;;;</t>
  </si>
  <si>
    <t>ID_533</t>
  </si>
  <si>
    <t>13861604;2ba99f26-19ce-4e12-b851-eeffd43832e5;;111111118;Vodacom Life 20260324;;;;;AC;1;2026-03-24 1</t>
  </si>
  <si>
    <t>13861604;2ba99f26-19ce-4e12-b851-eeffd43832e5;;111111118;Vodacom Life 20260324;;;;;AC;1;2026-03-24 11:56:51+02;Esther Ramalete;2026-03-24 09:54:08+02;2026-03-24 09:54:08+02;;;;;;;;;27636165656;;;;;;;;prepaid life;;;;;</t>
  </si>
  <si>
    <t>ID_534</t>
  </si>
  <si>
    <t>13861659;c16afe6a-c7a5-454e-98da-3a3d4e46afdd;;111111118;Vodacom Life 20260324;;;27724903264;;IABDN;</t>
  </si>
  <si>
    <t>13861659;c16afe6a-c7a5-454e-98da-3a3d4e46afdd;;111111118;Vodacom Life 20260324;;;27724903264;;IABDN;5;2026-05-23 12:13:06+02;system;2026-03-24 09:54:08+02;2026-03-24 09:54:08+02;;;;;;;;;27724903264;;;;;;;;prepaid life;;;;;</t>
  </si>
  <si>
    <t>ID_535</t>
  </si>
  <si>
    <t>13861517;06fc8469-10dd-4ae2-b048-4f180d9bfe5c;;111111118;Vodacom Life 20260324;;;;;A;5;2026-05-25 09</t>
  </si>
  <si>
    <t>13861517;06fc8469-10dd-4ae2-b048-4f180d9bfe5c;;111111118;Vodacom Life 20260324;;;;;A;5;2026-05-25 09:30:01+02;bongiwe lushaba;2026-03-24 09:54:08+02;2026-03-24 09:54:08+02;;;;;;;;;27768089346;;;;;;;;prepaid life;;;;;</t>
  </si>
  <si>
    <t>ID_536</t>
  </si>
  <si>
    <t>13861660;bab8f182-14b8-4ba6-8e89-fa77aed8c1ad;;111111118;Vodacom Life 20260324;;;;;AA;5;2026-05-25 0</t>
  </si>
  <si>
    <t>13861660;bab8f182-14b8-4ba6-8e89-fa77aed8c1ad;;111111118;Vodacom Life 20260324;;;;;AA;5;2026-05-25 09:27:23+02;system;2026-03-24 09:54:08+02;2026-03-24 09:54:08+02;;;;;;;;;27725243768;;;;;;;;prepaid life;;;;;</t>
  </si>
  <si>
    <t>ID_537</t>
  </si>
  <si>
    <t>13861518;6b60726e-7c80-461e-a2b4-080e5ec5f8b6;;111111118;Vodacom Life 20260324;;;;;AE;5;2026-05-25 0</t>
  </si>
  <si>
    <t>13861518;6b60726e-7c80-461e-a2b4-080e5ec5f8b6;;111111118;Vodacom Life 20260324;;;;;AE;5;2026-05-25 09:30:01+02;system;2026-03-24 09:54:08+02;2026-03-24 09:54:08+02;;;;;;;;;27768320562;;;;;;;;prepaid life;;;;;</t>
  </si>
  <si>
    <t>ID_538</t>
  </si>
  <si>
    <t>13861605;a7a8d00e-749b-414e-9b50-80e593dacf20;;111111118;Vodacom Life 20260324;;;;;AA;5;2026-05-23 1</t>
  </si>
  <si>
    <t>13861605;a7a8d00e-749b-414e-9b50-80e593dacf20;;111111118;Vodacom Life 20260324;;;;;AA;5;2026-05-23 11:03:41+02;system;2026-03-24 09:54:08+02;2026-03-24 09:54:08+02;;;;;;;;;27636326228;;;;;;;;prepaid life;;;;;</t>
  </si>
  <si>
    <t>ID_539</t>
  </si>
  <si>
    <t>13861661;98537415-ce83-4cb4-803d-ff7d9026e3f9;;111111118;Vodacom Life 20260324;;;;;CBACK;3;2026-04-1</t>
  </si>
  <si>
    <t>13861661;98537415-ce83-4cb4-803d-ff7d9026e3f9;;111111118;Vodacom Life 20260324;;;;;CBACK;3;2026-04-15 09:18:29+02;Thandile Nokubeni;2026-03-24 09:54:08+02;2026-03-24 09:54:08+02;;;;;;;;;27725657733;;;;;;;;prepaid life;;;;;</t>
  </si>
  <si>
    <t>ID_540</t>
  </si>
  <si>
    <t>13861606;a227257d-80e6-4e54-bc62-25123eda9371;;111111118;Vodacom Life 20260324;;;;;CU;5;2026-05-25 1</t>
  </si>
  <si>
    <t>13861606;a227257d-80e6-4e54-bc62-25123eda9371;;111111118;Vodacom Life 20260324;;;;;CU;5;2026-05-25 10:46:48+02;Khensane Mabasa;2026-03-24 09:54:08+02;2026-03-24 09:54:08+02;;;;;;;;;27637108990;;;;;;;;prepaid life;;;;;</t>
  </si>
  <si>
    <t>ID_541</t>
  </si>
  <si>
    <t>13861662;7cdbfad1-5286-44aa-924c-55db3f6b9ae7;;111111118;Vodacom Life 20260324;;;27726474151;;CU;5;2</t>
  </si>
  <si>
    <t>13861662;7cdbfad1-5286-44aa-924c-55db3f6b9ae7;;111111118;Vodacom Life 20260324;;;27726474151;;CU;5;2026-05-25 09:28:57+02;Maureen Ntsoko;2026-03-24 09:54:08+02;2026-03-24 09:54:08+02;;;;;;;;;27726474151;;;;;;;;prepaid life;;;;;</t>
  </si>
  <si>
    <t>ID_542</t>
  </si>
  <si>
    <t>13861607;a07c7c9a-5c5c-451b-b1bf-7472fe2bd7c8;;111111118;Vodacom Life 20260324;;;;;AA;5;2026-05-25 1</t>
  </si>
  <si>
    <t>13861607;a07c7c9a-5c5c-451b-b1bf-7472fe2bd7c8;;111111118;Vodacom Life 20260324;;;;;AA;5;2026-05-25 10:41:02+02;system;2026-03-24 09:54:08+02;2026-03-24 09:54:08+02;;;;;;;;;27646208931;;;;;;;;prepaid life;;;;;</t>
  </si>
  <si>
    <t>ID_543</t>
  </si>
  <si>
    <t>13861519;f1c1a94f-e863-42bc-92ed-1cb382b56119;;111111118;Vodacom Life 20260324;;;27768440500;;DROP;5</t>
  </si>
  <si>
    <t>13861519;f1c1a94f-e863-42bc-92ed-1cb382b56119;;111111118;Vodacom Life 20260324;;;27768440500;;DROP;5;2026-05-25 09:30:01+02;system;2026-03-24 09:54:08+02;2026-03-24 09:54:08+02;;;;;;;;;27768440500;;;;;;;;prepaid life;;;;;</t>
  </si>
  <si>
    <t>ID_544</t>
  </si>
  <si>
    <t>13861608;badb43ac-2c25-4335-ad62-d8cb62157c6f;;111111118;Vodacom Life 20260324;;;;;AA;5;2026-05-25 1</t>
  </si>
  <si>
    <t>13861608;badb43ac-2c25-4335-ad62-d8cb62157c6f;;111111118;Vodacom Life 20260324;;;;;AA;5;2026-05-25 10:46:48+02;system;2026-03-24 09:54:08+02;2026-03-24 09:54:08+02;;;;;;;;;27646212297;;;;;;;;prepaid life;;;;;</t>
  </si>
  <si>
    <t>ID_545</t>
  </si>
  <si>
    <t>13861609;6c8ea030-798d-46b1-8b65-02b586e3808f;;111111118;Vodacom Life 20260324;;;;;CBACK;1;2026-03-2</t>
  </si>
  <si>
    <t>13861609;6c8ea030-798d-46b1-8b65-02b586e3808f;;111111118;Vodacom Life 20260324;;;;;CBACK;1;2026-03-24 12:03:12+02;Maureen Ntsoko;2026-03-24 09:54:08+02;2026-03-24 09:54:08+02;;;;;;;;;27646606370;;;;;;;;prepaid life;;;;;</t>
  </si>
  <si>
    <t>ID_546</t>
  </si>
  <si>
    <t>13861664;6033d914-61df-4293-9573-d4e9afaa714f;;111111118;Vodacom Life 20260324;;;;;U;3;2026-04-15 11</t>
  </si>
  <si>
    <t>13861664;6033d914-61df-4293-9573-d4e9afaa714f;;111111118;Vodacom Life 20260324;;;;;U;3;2026-04-15 11:35:55+02;bongiwe lushaba;2026-03-24 09:54:08+02;2026-03-24 09:54:08+02;;;;;;;;;27727040948;;;;;;;;prepaid life;;;;;</t>
  </si>
  <si>
    <t>ID_547</t>
  </si>
  <si>
    <t>13861610;6d73c0d3-2cbf-499f-9284-af66fd385cfc;;111111118;Vodacom Life 20260324;;;;;NI;1;2026-03-24 1</t>
  </si>
  <si>
    <t>13861610;6d73c0d3-2cbf-499f-9284-af66fd385cfc;;111111118;Vodacom Life 20260324;;;;;NI;1;2026-03-24 11:58:29+02;Musiiwa Mary Mabirimisa;2026-03-24 09:54:08+02;2026-03-24 09:54:08+02;;;;;;;;;27647823875;;;;;;;;prepaid life;;;;;</t>
  </si>
  <si>
    <t>ID_548</t>
  </si>
  <si>
    <t>13861520;a41f3bbb-5942-4fbf-a2ca-51f0246e1808;;111111118;Vodacom Life 20260324;;;;;AA;5;2026-05-25 0</t>
  </si>
  <si>
    <t>13861520;a41f3bbb-5942-4fbf-a2ca-51f0246e1808;;111111118;Vodacom Life 20260324;;;;;AA;5;2026-05-25 09:34:31+02;system;2026-03-24 09:54:08+02;2026-03-24 09:54:08+02;;;;;;;;;27768554453;;;;;;;;prepaid life;;;;;</t>
  </si>
  <si>
    <t>ID_549</t>
  </si>
  <si>
    <t>13861665;fd8d127d-cb71-4962-a51f-257c94d870af;;111111118;Vodacom Life 20260324;;;;;A;5;2026-05-23 12</t>
  </si>
  <si>
    <t>13861665;fd8d127d-cb71-4962-a51f-257c94d870af;;111111118;Vodacom Life 20260324;;;;;A;5;2026-05-23 12:16:50+02;Maureen Ntsoko;2026-03-24 09:54:08+02;2026-03-24 09:54:08+02;;;;;;;;;27727124560;;;;;;;;prepaid life;;;;;</t>
  </si>
  <si>
    <t>ID_550</t>
  </si>
  <si>
    <t>13861521;7501431a-07c7-4782-b567-bce9c651d136;;111111118;Vodacom Life 20260324;;;;;NA;5;2026-05-25 1</t>
  </si>
  <si>
    <t>13861521;7501431a-07c7-4782-b567-bce9c651d136;;111111118;Vodacom Life 20260324;;;;;NA;5;2026-05-25 11:36:52+02;system;2026-03-24 09:54:08+02;2026-03-24 09:54:08+02;;;;;;;;;27768660793;;;;;;;;prepaid life;;;;;</t>
  </si>
  <si>
    <t>ID_551</t>
  </si>
  <si>
    <t>13861522;6a381965-63ba-47c3-950f-413e09fd0859;;111111118;Vodacom Life 20260324;;;;;AF;2;2026-04-09 1</t>
  </si>
  <si>
    <t>13861522;6a381965-63ba-47c3-950f-413e09fd0859;;111111118;Vodacom Life 20260324;;;;;AF;2;2026-04-09 16:23:31+02;Seboifeng Mogola;2026-03-24 09:54:08+02;2026-03-24 09:54:08+02;;;;;;;;;27769320674;;;;;;;;prepaid life;;;;;</t>
  </si>
  <si>
    <t>ID_552</t>
  </si>
  <si>
    <t xml:space="preserve">13861666;8539c5e9-3fb9-4f65-aaab-97056df75778;;111111118;Vodacom Life 20260324;;;;;ADC;5;2026-05-25 </t>
  </si>
  <si>
    <t>13861666;8539c5e9-3fb9-4f65-aaab-97056df75778;;111111118;Vodacom Life 20260324;;;;;ADC;5;2026-05-25 09:27:59+02;system;2026-03-24 09:54:08+02;2026-03-24 09:54:08+02;;;;;;;;;27727157591;;;;;;;;prepaid life;;;;;</t>
  </si>
  <si>
    <t>ID_553</t>
  </si>
  <si>
    <t>13861523;dfe8a183-8e4e-44c6-a59e-8d6731bfb54d;;111111118;Vodacom Life 20260324;;;;;AA;5;2026-05-25 1</t>
  </si>
  <si>
    <t>13861523;dfe8a183-8e4e-44c6-a59e-8d6731bfb54d;;111111118;Vodacom Life 20260324;;;;;AA;5;2026-05-25 12:47:56+02;system;2026-03-24 09:54:08+02;2026-03-24 09:54:08+02;;;;;;;;;27769513416;;;;;;;;prepaid life;;;;;</t>
  </si>
  <si>
    <t>ID_554</t>
  </si>
  <si>
    <t>13861611;c08170b0-66b3-46c7-95e6-f30094c4d3d7;;111111118;Vodacom Life 20260324;;;;;NI;6;2026-03-26 1</t>
  </si>
  <si>
    <t>13861611;c08170b0-66b3-46c7-95e6-f30094c4d3d7;;111111118;Vodacom Life 20260324;;;;;NI;6;2026-03-26 16:01:25+02;Thandile Nokubeni;2026-03-24 09:54:08+02;2026-03-24 09:54:08+02;;;;;;;;;27647852563;;;;;;;;prepaid life;;;;;</t>
  </si>
  <si>
    <t>ID_555</t>
  </si>
  <si>
    <t>13861667;85dde0c2-7e3d-4cfb-ac43-c0484c30cea5;;111111118;Vodacom Life 20260324;;;27727482875;;NI;5;2</t>
  </si>
  <si>
    <t>13861667;85dde0c2-7e3d-4cfb-ac43-c0484c30cea5;;111111118;Vodacom Life 20260324;;;27727482875;;NI;5;2026-05-07 13:55:21+02;Musiiwa Mary Mabirimisa;2026-03-24 09:54:08+02;2026-03-24 09:54:08+02;;;;;;;;;27727482875;;;;;;;;prepaid life;;;;;</t>
  </si>
  <si>
    <t>ID_556</t>
  </si>
  <si>
    <t>13861612;37515e19-32d2-4af4-b509-a95c7f177460;;111111118;Vodacom Life 20260324;;;;;AA;5;2026-05-25 1</t>
  </si>
  <si>
    <t>13861612;37515e19-32d2-4af4-b509-a95c7f177460;;111111118;Vodacom Life 20260324;;;;;AA;5;2026-05-25 10:47:40+02;system;2026-03-24 09:54:08+02;2026-03-24 09:54:08+02;;;;;;;;;27647859683;;;;;;;;prepaid life;;;;;</t>
  </si>
  <si>
    <t>ID_557</t>
  </si>
  <si>
    <t>13861524;462f112c-a126-484a-bd3b-15e0ac01b569;;111111118;Vodacom Life 20260324;;;;;CBACK;5;2026-05-2</t>
  </si>
  <si>
    <t>13861524;462f112c-a126-484a-bd3b-15e0ac01b569;;111111118;Vodacom Life 20260324;;;;;CBACK;5;2026-05-25 10:57:26+02;Maureen Ntsoko;2026-03-24 09:54:08+02;2026-03-24 09:54:08+02;;;;;;;;;27769542159;;;;;;;;prepaid life;;;;;</t>
  </si>
  <si>
    <t>ID_558</t>
  </si>
  <si>
    <t>13861719;927ba14d-2743-45a0-af22-2187d7de9f2d;;111111118;Vodacom Life 20260324;;;;;AA;5;2026-05-25 1</t>
  </si>
  <si>
    <t>13861719;927ba14d-2743-45a0-af22-2187d7de9f2d;;111111118;Vodacom Life 20260324;;;;;AA;5;2026-05-25 11:55:17+02;system;2026-03-24 09:54:08+02;2026-03-24 09:54:08+02;;;;;;;;;27793700561;;;;;;;;prepaid life;;;;;</t>
  </si>
  <si>
    <t>ID_559</t>
  </si>
  <si>
    <t>13861668;4b2afbb0-abb1-4cc9-af9f-3ca72f7c253d;;111111118;Vodacom Life 20260324;;;;;NI;2;2026-04-10 0</t>
  </si>
  <si>
    <t>13861668;4b2afbb0-abb1-4cc9-af9f-3ca72f7c253d;;111111118;Vodacom Life 20260324;;;;;NI;2;2026-04-10 09:05:24+02;Esther Ramalete;2026-03-24 09:54:08+02;2026-03-24 09:54:08+02;;;;;;;;;27727522297;;;;;;;;prepaid life;;;;;</t>
  </si>
  <si>
    <t>ID_560</t>
  </si>
  <si>
    <t xml:space="preserve">13861613;4575d19d-3175-4f14-99a2-c676029019bf;;111111118;Vodacom Life 20260324;;;;;ADC;5;2026-05-25 </t>
  </si>
  <si>
    <t>13861613;4575d19d-3175-4f14-99a2-c676029019bf;;111111118;Vodacom Life 20260324;;;;;ADC;5;2026-05-25 10:47:53+02;system;2026-03-24 09:54:08+02;2026-03-24 09:54:08+02;;;;;;;;;27647933232;;;;;;;;prepaid life;;;;;</t>
  </si>
  <si>
    <t>ID_561</t>
  </si>
  <si>
    <t>13861669;ef341ca8-1c92-481d-9586-991dbc657122;;111111118;Vodacom Life 20260324;;;;;CBACK;3;2026-04-1</t>
  </si>
  <si>
    <t>13861669;ef341ca8-1c92-481d-9586-991dbc657122;;111111118;Vodacom Life 20260324;;;;;CBACK;3;2026-04-15 09:52:17+02;Maureen Ntsoko;2026-03-24 09:54:08+02;2026-03-24 09:54:08+02;;;;;;;;;27727707323;;;;;;;;prepaid life;;;;;</t>
  </si>
  <si>
    <t>ID_562</t>
  </si>
  <si>
    <t>13861720;b6a753f5-1ab2-4854-8755-8893d6787023;;111111118;Vodacom Life 20260324;;;;;AA;5;2026-05-23 1</t>
  </si>
  <si>
    <t>13861720;b6a753f5-1ab2-4854-8755-8893d6787023;;111111118;Vodacom Life 20260324;;;;;AA;5;2026-05-23 12:31:42+02;system;2026-03-24 09:54:08+02;2026-03-24 09:54:08+02;;;;;;;;;27793798353;;;;;;;;prepaid life;;;;;</t>
  </si>
  <si>
    <t>ID_563</t>
  </si>
  <si>
    <t>13861670;8da97ff3-5b35-4135-a68c-98679db814bc;;111111118;Vodacom Life 20260324;;;;;A;5;2026-05-25 09</t>
  </si>
  <si>
    <t>13861670;8da97ff3-5b35-4135-a68c-98679db814bc;;111111118;Vodacom Life 20260324;;;;;A;5;2026-05-25 09:28:00+02;bongiwe lushaba;2026-03-24 09:54:08+02;2026-03-24 09:54:08+02;;;;;;;;;27728511169;;;;;;;;prepaid life;;;;;</t>
  </si>
  <si>
    <t>ID_564</t>
  </si>
  <si>
    <t>13861614;ea409d11-c0a3-4733-94d1-277d506323d1;;111111118;Vodacom Life 20260324;;;;;AA;5;2026-05-25 1</t>
  </si>
  <si>
    <t>13861614;ea409d11-c0a3-4733-94d1-277d506323d1;;111111118;Vodacom Life 20260324;;;;;AA;5;2026-05-25 10:48:05+02;system;2026-03-24 09:54:08+02;2026-03-24 09:54:08+02;;;;;;;;;27648257027;;;;;;;;prepaid life;;;;;</t>
  </si>
  <si>
    <t>ID_565</t>
  </si>
  <si>
    <t>13861671;b70ffe39-82af-40cf-afca-54a6eaf03cae;;111111118;Vodacom Life 20260324;;;27729343627;;IABDN;</t>
  </si>
  <si>
    <t>13861671;b70ffe39-82af-40cf-afca-54a6eaf03cae;;111111118;Vodacom Life 20260324;;;27729343627;;IABDN;5;2026-05-23 12:18:37+02;system;2026-03-24 09:54:08+02;2026-03-24 09:54:08+02;;;;;;;;;27729343627;;;;;;;;prepaid life;;;;;</t>
  </si>
  <si>
    <t>ID_566</t>
  </si>
  <si>
    <t>13861615;93c27f4b-4d31-4d23-b887-cc81bcac6ff8;;111111118;Vodacom Life 20260324;;;;;AA;5;2026-05-25 1</t>
  </si>
  <si>
    <t>13861615;93c27f4b-4d31-4d23-b887-cc81bcac6ff8;;111111118;Vodacom Life 20260324;;;;;AA;5;2026-05-25 12:48:58+02;system;2026-03-24 09:54:08+02;2026-03-24 09:54:08+02;;;;;;;;;27648648639;;;;;;;;prepaid life;;;;;</t>
  </si>
  <si>
    <t>ID_567</t>
  </si>
  <si>
    <t>13861672;3d264690-15bc-4f83-b240-cb73d7cbcf62;;111111118;Vodacom Life 20260324;;;;;CU;5;2026-05-25 0</t>
  </si>
  <si>
    <t>13861672;3d264690-15bc-4f83-b240-cb73d7cbcf62;;111111118;Vodacom Life 20260324;;;;;CU;5;2026-05-25 09:28:04+02;Maureen Ntsoko;2026-03-24 09:54:08+02;2026-03-24 09:54:08+02;;;;;;;;;27729744709;;;;;;;;prepaid life;;;;;</t>
  </si>
  <si>
    <t>ID_568</t>
  </si>
  <si>
    <t>13861616;0f60d17b-0c51-4142-a84d-65ecca977a24;;111111118;Vodacom Life 20260324;;;;;NI;3;2026-04-15 0</t>
  </si>
  <si>
    <t>13861616;0f60d17b-0c51-4142-a84d-65ecca977a24;;111111118;Vodacom Life 20260324;;;;;NI;3;2026-04-15 09:21:55+02;Thandile Nokubeni;2026-03-24 09:54:08+02;2026-03-24 09:54:08+02;;;;;;;;;27649604781;;;;;;;;prepaid life;;;;;</t>
  </si>
  <si>
    <t>ID_569</t>
  </si>
  <si>
    <t>13861721;ba2a2fcd-7b9a-4e95-afd3-3899fa6267f2;;111111118;Vodacom Life 20260324;;;;;SELECTED;3;2026-0</t>
  </si>
  <si>
    <t>13861721;ba2a2fcd-7b9a-4e95-afd3-3899fa6267f2;;111111118;Vodacom Life 20260324;;;;;SELECTED;3;2026-04-09 14:41:10+02;system;2026-03-24 09:54:08+02;2026-03-24 09:54:08+02;;;;;;;;;27793912561;;;;;;;;prepaid life;;;;;</t>
  </si>
  <si>
    <t>ID_570</t>
  </si>
  <si>
    <t>13861673;17dba36c-e773-492c-9d1a-3199d404f1a1;;111111118;Vodacom Life 20260324;;;;;CU;5;2026-05-23 1</t>
  </si>
  <si>
    <t>13861673;17dba36c-e773-492c-9d1a-3199d404f1a1;;111111118;Vodacom Life 20260324;;;;;CU;5;2026-05-23 12:17:14+02;bongiwe lushaba;2026-03-24 09:54:08+02;2026-03-24 09:54:08+02;;;;;;;;;27760439854;;;;;;;;prepaid life;;;;;</t>
  </si>
  <si>
    <t>ID_571</t>
  </si>
  <si>
    <t>13861722;80c073a7-a689-48ac-87cf-489cc96bc8a8;;111111118;Vodacom Life 20260324;;;;;CU;5;2026-05-25 1</t>
  </si>
  <si>
    <t>13861722;80c073a7-a689-48ac-87cf-489cc96bc8a8;;111111118;Vodacom Life 20260324;;;;;CU;5;2026-05-25 11:40:27+02;Maureen Ntsoko;2026-03-24 09:54:08+02;2026-03-24 09:54:08+02;;;;;;;;;27794337253;;;;;;;;prepaid life;;;;;</t>
  </si>
  <si>
    <t>ID_572</t>
  </si>
  <si>
    <t>13861674;b22bb6ba-7a62-404e-83fd-c00b66aa68c7;;111111118;Vodacom Life 20260324;;;;;AA;5;2026-05-23 1</t>
  </si>
  <si>
    <t>13861674;b22bb6ba-7a62-404e-83fd-c00b66aa68c7;;111111118;Vodacom Life 20260324;;;;;AA;5;2026-05-23 12:18:23+02;system;2026-03-24 09:54:08+02;2026-03-24 09:54:08+02;;;;;;;;;27760509653;;;;;;;;prepaid life;;;;;</t>
  </si>
  <si>
    <t>ID_573</t>
  </si>
  <si>
    <t>13861618;ed581019-6124-4b8e-b893-7c12a618ef29;;111111118;Vodacom Life 20260324;;;;;AE;5;2026-05-25 1</t>
  </si>
  <si>
    <t>13861618;ed581019-6124-4b8e-b893-7c12a618ef29;;111111118;Vodacom Life 20260324;;;;;AE;5;2026-05-25 14:04:25+02;system;2026-03-24 09:54:08+02;2026-03-24 09:54:08+02;;;;;;;;;27661481322;;;;;;;;prepaid life;;;;;</t>
  </si>
  <si>
    <t>ID_574</t>
  </si>
  <si>
    <t>13861723;f43513f5-db0e-414b-a898-48722746f0ce;;111111118;Vodacom Life 20260324;;;;;AA;5;2026-05-07 1</t>
  </si>
  <si>
    <t>13861723;f43513f5-db0e-414b-a898-48722746f0ce;;111111118;Vodacom Life 20260324;;;;;AA;5;2026-05-07 16:13:08+02;system;2026-03-24 09:54:08+02;2026-03-24 09:54:08+02;;;;;;;;;27794740453;;;;;;;;prepaid life;;;;;</t>
  </si>
  <si>
    <t>ID_575</t>
  </si>
  <si>
    <t>13861675;5d136a76-3b11-4d84-a807-ea7a5e5ab629;;111111118;Vodacom Life 20260324;;;;;AA;5;2026-05-25 1</t>
  </si>
  <si>
    <t>13861675;5d136a76-3b11-4d84-a807-ea7a5e5ab629;;111111118;Vodacom Life 20260324;;;;;AA;5;2026-05-25 12:47:41+02;system;2026-03-24 09:54:08+02;2026-03-24 09:54:08+02;;;;;;;;;27760517346;;;;;;;;prepaid life;;;;;</t>
  </si>
  <si>
    <t>ID_576</t>
  </si>
  <si>
    <t>13861724;;;111111118;Vodacom Life 20260324;;;;;None;0;;;2026-03-24 09:54:08+02;2026-03-24 09:54:08+0</t>
  </si>
  <si>
    <t>13861724;;;111111118;Vodacom Life 20260324;;;;;None;0;;;2026-03-24 09:54:08+02;2026-03-24 09:54:08+02;;;;;;;;;27794791902;;;;;;;;prepaid life;;;;;</t>
  </si>
  <si>
    <t>ID_577</t>
  </si>
  <si>
    <t>13861619;748822e9-5ee1-4061-8317-3ff763f7d2b8;;111111118;Vodacom Life 20260324;;;;;CBACK;2;2026-03-2</t>
  </si>
  <si>
    <t>13861619;748822e9-5ee1-4061-8317-3ff763f7d2b8;;111111118;Vodacom Life 20260324;;;;;CBACK;2;2026-03-24 12:08:24+02;Thandile Nokubeni;2026-03-24 09:54:08+02;2026-03-24 09:54:08+02;;;;;;;;;27664069676;;;;;;;;prepaid life;;;;;</t>
  </si>
  <si>
    <t>ID_578</t>
  </si>
  <si>
    <t>13861620;6b2bed9e-9934-4783-8aaf-2f53c9d19d35;;111111118;Vodacom Life 20260324;;;;;NI;4;2026-05-07 1</t>
  </si>
  <si>
    <t>13861620;6b2bed9e-9934-4783-8aaf-2f53c9d19d35;;111111118;Vodacom Life 20260324;;;;;NI;4;2026-05-07 12:08:59+02;Seboifeng Mogola;2026-03-24 09:54:08+02;2026-03-24 09:54:08+02;;;;;;;;;27664255002;;;;;;;;prepaid life;;;;;</t>
  </si>
  <si>
    <t>ID_579</t>
  </si>
  <si>
    <t>13861676;808c4d6e-fa78-48b8-9b3e-bb0b17551580;;111111118;Vodacom Life 20260324;;;;;DROP;5;2026-05-25</t>
  </si>
  <si>
    <t>13861676;808c4d6e-fa78-48b8-9b3e-bb0b17551580;;111111118;Vodacom Life 20260324;;;;;DROP;5;2026-05-25 11:17:06+02;system;2026-03-24 09:54:08+02;2026-03-24 09:54:08+02;;;;;;;;;27760590192;;;;;;;;prepaid life;;;;;</t>
  </si>
  <si>
    <t>ID_580</t>
  </si>
  <si>
    <t>13861621;cc0ee584-aa79-4d80-91ae-00eb8fb16d1f;;111111118;Vodacom Life 20260324;;;;;AA;5;2026-05-25 1</t>
  </si>
  <si>
    <t>13861621;cc0ee584-aa79-4d80-91ae-00eb8fb16d1f;;111111118;Vodacom Life 20260324;;;;;AA;5;2026-05-25 14:04:53+02;system;2026-03-24 09:54:08+02;2026-03-24 09:54:08+02;;;;;;;;;27664290656;;;;;;;;prepaid life;;;;;</t>
  </si>
  <si>
    <t>ID_581</t>
  </si>
  <si>
    <t>13861725;a24fab17-6300-4f1b-81f0-2d3aa13a570e;;111111118;Vodacom Life 20260324;;;27795395416;;IABDN;</t>
  </si>
  <si>
    <t>13861725;a24fab17-6300-4f1b-81f0-2d3aa13a570e;;111111118;Vodacom Life 20260324;;;27795395416;;IABDN;5;2026-05-23 12:33:11+02;system;2026-03-24 09:54:08+02;2026-03-24 09:54:08+02;;;;;;;;;27795395416;;;;;;;;prepaid life;;;;;</t>
  </si>
  <si>
    <t>ID_582</t>
  </si>
  <si>
    <t>13861677;07314c3b-4a28-41ca-bea9-4c05d628b89c;;111111118;Vodacom Life 20260324;;;;;CU;5;2026-05-25 1</t>
  </si>
  <si>
    <t>13861677;07314c3b-4a28-41ca-bea9-4c05d628b89c;;111111118;Vodacom Life 20260324;;;;;CU;5;2026-05-25 11:17:06+02;bongiwe lushaba;2026-03-24 09:54:08+02;2026-03-24 09:54:08+02;;;;;;;;;27761268641;;;;;;;;prepaid life;;;;;</t>
  </si>
  <si>
    <t>ID_583</t>
  </si>
  <si>
    <t>13861726;44716eed-eac4-45e9-a892-452bc8d11964;;111111118;Vodacom Life 20260324;;;;;NI;3;2026-04-15 0</t>
  </si>
  <si>
    <t>13861726;44716eed-eac4-45e9-a892-452bc8d11964;;111111118;Vodacom Life 20260324;;;;;NI;3;2026-04-15 09:17:27+02;Thandile Nokubeni;2026-03-24 09:54:08+02;2026-03-24 09:54:08+02;;;;;;;;;27795594961;;;;;;;;prepaid life;;;;;</t>
  </si>
  <si>
    <t>ID_584</t>
  </si>
  <si>
    <t>13861816;800e28d7-4997-4318-a48b-c7def2570857;;111111118;Vodacom Life 20260324;;;;;DNQS;1;2026-03-24</t>
  </si>
  <si>
    <t>13861816;800e28d7-4997-4318-a48b-c7def2570857;;111111118;Vodacom Life 20260324;;;;;DNQS;1;2026-03-24 12:29:54+02;Seboifeng Mogola;2026-03-24 09:54:08+02;2026-03-24 09:54:08+02;;;;;;;;;27725603139;;;;;;;;prepaid life;;;;;</t>
  </si>
  <si>
    <t>ID_585</t>
  </si>
  <si>
    <t>13861678;5c8ca293-80dc-4873-ac39-f0ccbe959f0c;;111111118;Vodacom Life 20260324;;;;;CU;5;2026-05-25 1</t>
  </si>
  <si>
    <t>13861678;5c8ca293-80dc-4873-ac39-f0ccbe959f0c;;111111118;Vodacom Life 20260324;;;;;CU;5;2026-05-25 11:02:40+02;bongiwe lushaba;2026-03-24 09:54:08+02;2026-03-24 09:54:08+02;;;;;;;;;27762041674;;;;;;;;prepaid life;;;;;</t>
  </si>
  <si>
    <t>ID_586</t>
  </si>
  <si>
    <t>13861727;3e33dcd7-ea4d-4155-80b3-288bb4ab9fe8;;111111118;Vodacom Life 20260324;;;;;DROP;5;2026-05-23</t>
  </si>
  <si>
    <t>13861727;3e33dcd7-ea4d-4155-80b3-288bb4ab9fe8;;111111118;Vodacom Life 20260324;;;;;DROP;5;2026-05-23 12:32:23+02;system;2026-03-24 09:54:08+02;2026-03-24 09:54:08+02;;;;;;;;;27795777512;;;;;;;;prepaid life;;;;;</t>
  </si>
  <si>
    <t>ID_587</t>
  </si>
  <si>
    <t>13861679;68d284ed-8a8b-4442-83ca-99cbcd1a5af0;;111111118;Vodacom Life 20260324;;;;;DROP;5;2026-05-25</t>
  </si>
  <si>
    <t>13861679;68d284ed-8a8b-4442-83ca-99cbcd1a5af0;;111111118;Vodacom Life 20260324;;;;;DROP;5;2026-05-25 12:47:41+02;system;2026-03-24 09:54:08+02;2026-03-24 09:54:08+02;;;;;;;;;27762217516;;;;;;;;prepaid life;;;;;</t>
  </si>
  <si>
    <t>ID_588</t>
  </si>
  <si>
    <t>13861728;fdb0c3d8-c6b7-4c89-91b1-616f5859a05d;;111111118;Vodacom Life 20260324;;;27796404537;;IABDN;</t>
  </si>
  <si>
    <t>13861728;fdb0c3d8-c6b7-4c89-91b1-616f5859a05d;;111111118;Vodacom Life 20260324;;;27796404537;;IABDN;5;2026-05-25 12:29:31+02;system;2026-03-24 09:54:08+02;2026-03-24 09:54:08+02;;;;;;;;;27796404537;;;;;;;;prepaid life;;;;;</t>
  </si>
  <si>
    <t>ID_589</t>
  </si>
  <si>
    <t>13861817;5cd01120-8283-441d-a446-d8bd69b2e6a9;;111111118;Vodacom Life 20260324;;;;;DROP;5;2026-05-25</t>
  </si>
  <si>
    <t>13861817;5cd01120-8283-441d-a446-d8bd69b2e6a9;;111111118;Vodacom Life 20260324;;;;;DROP;5;2026-05-25 09:31:17+02;system;2026-03-24 09:54:08+02;2026-03-24 09:54:08+02;;;;;;;;;27725639779;;;;;;;;prepaid life;;;;;</t>
  </si>
  <si>
    <t>ID_590</t>
  </si>
  <si>
    <t>13861680;431021eb-78f0-462e-8eb5-6cf6956aa0d5;;111111118;Vodacom Life 20260324;;;27762248386;;IABDN;</t>
  </si>
  <si>
    <t>13861680;431021eb-78f0-462e-8eb5-6cf6956aa0d5;;111111118;Vodacom Life 20260324;;;27762248386;;IABDN;5;2026-05-25 11:03:35+02;system;2026-03-24 09:54:08+02;2026-03-24 09:54:08+02;;;;;;;;;27762248386;;;;;;;;prepaid life;;;;;</t>
  </si>
  <si>
    <t>ID_591</t>
  </si>
  <si>
    <t>13861818;99c6495d-0592-44f9-be4a-09f6c0281231;;111111118;Vodacom Life 20260324;;;;;AA;5;2026-05-25 0</t>
  </si>
  <si>
    <t>13861818;99c6495d-0592-44f9-be4a-09f6c0281231;;111111118;Vodacom Life 20260324;;;;;AA;5;2026-05-25 09:30:52+02;system;2026-03-24 09:54:08+02;2026-03-24 09:54:08+02;;;;;;;;;27726670964;;;;;;;;prepaid life;;;;;</t>
  </si>
  <si>
    <t>ID_592</t>
  </si>
  <si>
    <t>13861729;8c32ed81-25bc-4812-8697-91f12ec9ff8e;;111111118;Vodacom Life 20260324;;;27796778050;;CU;5;2</t>
  </si>
  <si>
    <t>13861729;8c32ed81-25bc-4812-8697-91f12ec9ff8e;;111111118;Vodacom Life 20260324;;;27796778050;;CU;5;2026-05-25 11:16:40+02;Maureen Ntsoko;2026-03-24 09:54:08+02;2026-03-24 09:54:08+02;;;;;;;;;27796778050;;;;;;;;prepaid life;;;;;</t>
  </si>
  <si>
    <t>ID_593</t>
  </si>
  <si>
    <t>13861681;002ab9e7-66eb-4c33-8ed0-5f889d4bdc58;;111111118;Vodacom Life 20260324;;;;;AA;5;2026-05-25 1</t>
  </si>
  <si>
    <t>13861681;002ab9e7-66eb-4c33-8ed0-5f889d4bdc58;;111111118;Vodacom Life 20260324;;;;;AA;5;2026-05-25 11:02:40+02;system;2026-03-24 09:54:08+02;2026-03-24 09:54:08+02;;;;;;;;;27762649979;;;;;;;;prepaid life;;;;;</t>
  </si>
  <si>
    <t>ID_594</t>
  </si>
  <si>
    <t>13861819;ad3226dc-86a0-459e-909a-141a2b1bc7b1;;111111118;Vodacom Life 20260324;;;;;CBACK;3;2026-04-1</t>
  </si>
  <si>
    <t>13861819;ad3226dc-86a0-459e-909a-141a2b1bc7b1;;111111118;Vodacom Life 20260324;;;;;CBACK;3;2026-04-15 09:10:17+02;Thandile Nokubeni;2026-03-24 09:54:08+02;2026-03-24 09:54:08+02;;;;;;;;;27726675248;;;;;;;;prepaid life;;;;;</t>
  </si>
  <si>
    <t>ID_595</t>
  </si>
  <si>
    <t>13861682;c8701dda-4e18-45f3-a277-1dcf9ba1f7e1;;111111118;Vodacom Life 20260324;;;27763114915;;NA;5;2</t>
  </si>
  <si>
    <t>13861682;c8701dda-4e18-45f3-a277-1dcf9ba1f7e1;;111111118;Vodacom Life 20260324;;;27763114915;;NA;5;2026-05-25 14:37:59+02;system;2026-03-24 09:54:08+02;2026-03-24 09:54:08+02;;;;;;;;;27763114915;;;;;;;;prepaid life;;;;;</t>
  </si>
  <si>
    <t>ID_596</t>
  </si>
  <si>
    <t>13861820;8a740265-6985-4737-9256-1bd06dd583e1;;111111118;Vodacom Life 20260324;;;;;A;5;2026-05-25 09</t>
  </si>
  <si>
    <t>13861820;8a740265-6985-4737-9256-1bd06dd583e1;;111111118;Vodacom Life 20260324;;;;;A;5;2026-05-25 09:31:18+02;bongiwe lushaba;2026-03-24 09:54:08+02;2026-03-24 09:54:08+02;;;;;;;;;27727817994;;;;;;;;prepaid life;;;;;</t>
  </si>
  <si>
    <t>ID_597</t>
  </si>
  <si>
    <t>13861730;cdf21992-0639-457f-8075-a4a48a7276b3;;111111118;Vodacom Life 20260324;;;;;SELECTED;4;2026-0</t>
  </si>
  <si>
    <t>13861730;cdf21992-0639-457f-8075-a4a48a7276b3;;111111118;Vodacom Life 20260324;;;;;SELECTED;4;2026-04-15 09:17:31+02;Seboifeng Mogola;2026-03-24 09:54:08+02;2026-03-24 09:54:08+02;;;;;;;;;27796881102;;;;;;;;prepaid life;;;;;</t>
  </si>
  <si>
    <t>ID_598</t>
  </si>
  <si>
    <t>13861731;34ce1a84-32a4-43a4-9e07-bf9b6cf95b39;;111111118;Vodacom Life 20260324;;;;;CBACK;3;2026-04-1</t>
  </si>
  <si>
    <t>13861731;34ce1a84-32a4-43a4-9e07-bf9b6cf95b39;;111111118;Vodacom Life 20260324;;;;;CBACK;3;2026-04-15 09:17:32+02;Musiiwa Mary Mabirimisa;2026-03-24 09:54:08+02;2026-03-24 09:54:08+02;;;;;;;;;27796890705;;;;;;;;prepaid life;;;;;</t>
  </si>
  <si>
    <t>ID_599</t>
  </si>
  <si>
    <t>13861683;4d29139e-f482-4487-bffb-fac2b3e6d9f7;;111111118;Vodacom Life 20260324;;;;;AA;5;2026-05-25 1</t>
  </si>
  <si>
    <t>13861683;4d29139e-f482-4487-bffb-fac2b3e6d9f7;;111111118;Vodacom Life 20260324;;;;;AA;5;2026-05-25 13:00:33+02;system;2026-03-24 09:54:08+02;2026-03-24 09:54:08+02;;;;;;;;;27764016459;;;;;;;;prepaid life;;;;;</t>
  </si>
  <si>
    <t>ID_600</t>
  </si>
  <si>
    <t>13861732;f599fee1-b7a3-4a2f-8bce-50226a5e4a45;;111111118;Vodacom Life 20260324;;;;;DROP;5;2026-05-25</t>
  </si>
  <si>
    <t>13861732;f599fee1-b7a3-4a2f-8bce-50226a5e4a45;;111111118;Vodacom Life 20260324;;;;;DROP;5;2026-05-25 09:28:43+02;system;2026-03-24 09:54:08+02;2026-03-24 09:54:08+02;;;;;;;;;27797865972;;;;;;;;prepaid life;;;;;</t>
  </si>
  <si>
    <t>ID_601</t>
  </si>
  <si>
    <t>13861821;859ec029-f62f-4140-b8a1-554cb5291f03;;111111118;Vodacom Life 20260324;;;;;NI;1;2026-03-24 1</t>
  </si>
  <si>
    <t>13861821;859ec029-f62f-4140-b8a1-554cb5291f03;;111111118;Vodacom Life 20260324;;;;;NI;1;2026-03-24 12:29:57+02;Thandile Nokubeni;2026-03-24 09:54:08+02;2026-03-24 09:54:08+02;;;;;;;;;27727919838;;;;;;;;prepaid life;;;;;</t>
  </si>
  <si>
    <t>ID_602</t>
  </si>
  <si>
    <t>13861822;30089306-757b-4463-bc20-c8c26f5cee95;;111111118;Vodacom Life 20260324;;;27728209776;;IABDN;</t>
  </si>
  <si>
    <t>13861822;30089306-757b-4463-bc20-c8c26f5cee95;;111111118;Vodacom Life 20260324;;;27728209776;;IABDN;5;2026-05-25 09:31:06+02;system;2026-03-24 09:54:08+02;2026-03-24 09:54:08+02;;;;;;;;;27728209776;;;;;;;;prepaid life;;;;;</t>
  </si>
  <si>
    <t>ID_603</t>
  </si>
  <si>
    <t>13861684;394ddff4-17fe-4949-91d3-cd6daa7743d0;;111111118;Vodacom Life 20260324;;;;;DROP;5;2026-05-25</t>
  </si>
  <si>
    <t>13861684;394ddff4-17fe-4949-91d3-cd6daa7743d0;;111111118;Vodacom Life 20260324;;;;;DROP;5;2026-05-25 11:51:34+02;system;2026-03-24 09:54:08+02;2026-03-24 09:54:08+02;;;;;;;;;27764923163;;;;;;;;prepaid life;;;;;</t>
  </si>
  <si>
    <t>ID_604</t>
  </si>
  <si>
    <t>13861823;2d731324-d9bb-44ee-a9fd-612300ef28ac;;111111118;Vodacom Life 20260324;;;;;NI;5;2026-05-23 1</t>
  </si>
  <si>
    <t>13861823;2d731324-d9bb-44ee-a9fd-612300ef28ac;;111111118;Vodacom Life 20260324;;;;;NI;5;2026-05-23 12:42:55+02;Maureen Ntsoko;2026-03-24 09:54:08+02;2026-03-24 09:54:08+02;;;;;;;;;27728748443;;;;;;;;prepaid life;;;;;</t>
  </si>
  <si>
    <t>ID_605</t>
  </si>
  <si>
    <t>13861733;9cdf9edf-9da8-4dd0-b6a4-e82645b1c1a5;;111111118;Vodacom Life 20260324;;;;;DROP;5;2026-05-25</t>
  </si>
  <si>
    <t>13861733;9cdf9edf-9da8-4dd0-b6a4-e82645b1c1a5;;111111118;Vodacom Life 20260324;;;;;DROP;5;2026-05-25 11:08:33+02;system;2026-03-24 09:54:08+02;2026-03-24 09:54:08+02;;;;;;;;;27798141391;;;;;;;;prepaid life;;;;;</t>
  </si>
  <si>
    <t>ID_606</t>
  </si>
  <si>
    <t>13861685;3c5b7eae-3265-4d2d-b867-16daf0623490;;111111118;Vodacom Life 20260324;;;;;AF;2;2026-04-10 0</t>
  </si>
  <si>
    <t>13861685;3c5b7eae-3265-4d2d-b867-16daf0623490;;111111118;Vodacom Life 20260324;;;;;AF;2;2026-04-10 09:10:01+02;Seboifeng Mogola;2026-03-24 09:54:08+02;2026-03-24 09:54:08+02;;;;;;;;;27765221579;;;;;;;;prepaid life;;;;;</t>
  </si>
  <si>
    <t>ID_607</t>
  </si>
  <si>
    <t>13861734;3136614f-8edf-408d-9699-3cf819ab47f9;;111111118;Vodacom Life 20260324;;;;;DROP;5;2026-05-25</t>
  </si>
  <si>
    <t>13861734;3136614f-8edf-408d-9699-3cf819ab47f9;;111111118;Vodacom Life 20260324;;;;;DROP;5;2026-05-25 09:29:12+02;system;2026-03-24 09:54:08+02;2026-06-01 12:03:49+02;;;;;;;;;27798298337;;;;;;;;prepaid life;;;;;</t>
  </si>
  <si>
    <t>ID_608</t>
  </si>
  <si>
    <t>13861686;4a731bd8-0c2a-42e3-9748-725a41d4e793;;111111118;Vodacom Life 20260324;;;27765227912;;IABDN;</t>
  </si>
  <si>
    <t>13861686;4a731bd8-0c2a-42e3-9748-725a41d4e793;;111111118;Vodacom Life 20260324;;;27765227912;;IABDN;5;2026-05-13 15:29:18+02;system;2026-03-24 09:54:08+02;2026-03-24 09:54:08+02;;;;;;;;;27765227912;;;;;;;;prepaid life;;;;;</t>
  </si>
  <si>
    <t>ID_609</t>
  </si>
  <si>
    <t>13861735;d23233f2-eb7d-41d6-a295-eea21036e707;;111111118;Vodacom Life 20260324;;;;;A;5;2026-05-25 09</t>
  </si>
  <si>
    <t>13861735;d23233f2-eb7d-41d6-a295-eea21036e707;;111111118;Vodacom Life 20260324;;;;;A;5;2026-05-25 09:29:12+02;bongiwe lushaba;2026-03-24 09:54:08+02;2026-03-24 09:54:08+02;;;;;;;;;27798345510;;;;;;;;prepaid life;;;;;</t>
  </si>
  <si>
    <t>ID_610</t>
  </si>
  <si>
    <t>13861824;472cf0fe-4220-40b8-bf66-ef904fc18bfa;;111111118;Vodacom Life 20260324;;;;;AA;5;2026-05-25 0</t>
  </si>
  <si>
    <t>13861824;472cf0fe-4220-40b8-bf66-ef904fc18bfa;;111111118;Vodacom Life 20260324;;;;;AA;5;2026-05-25 09:30:53+02;system;2026-03-24 09:54:08+02;2026-03-24 09:54:08+02;;;;;;;;;27728841037;;;;;;;;prepaid life;;;;;</t>
  </si>
  <si>
    <t>ID_611</t>
  </si>
  <si>
    <t>13861687;884eada7-5cdc-4884-983f-b8517512f3ae;;111111118;Vodacom Life 20260324;;;;;AA;5;2026-05-25 1</t>
  </si>
  <si>
    <t>13861687;884eada7-5cdc-4884-983f-b8517512f3ae;;111111118;Vodacom Life 20260324;;;;;AA;5;2026-05-25 11:04:52+02;system;2026-03-24 09:54:08+02;2026-03-24 09:54:08+02;;;;;;;;;27765481085;;;;;;;;prepaid life;;;;;</t>
  </si>
  <si>
    <t>ID_612</t>
  </si>
  <si>
    <t>13861825;47bda21a-0453-450a-a7ad-265b2c3ce966;;111111118;Vodacom Life 20260324;;;;;AA;5;2026-05-23 1</t>
  </si>
  <si>
    <t>13861825;47bda21a-0453-450a-a7ad-265b2c3ce966;;111111118;Vodacom Life 20260324;;;;;AA;5;2026-05-23 12:42:55+02;system;2026-03-24 09:54:08+02;2026-03-24 09:54:08+02;;;;;;;;;27728870281;;;;;;;;prepaid life;;;;;</t>
  </si>
  <si>
    <t>ID_613</t>
  </si>
  <si>
    <t>13861826;87aeff8e-7dc0-46f9-8a2e-6dadb1a0cd3d;;111111118;Vodacom Life 20260324;;;;;NA;5;2026-05-23 1</t>
  </si>
  <si>
    <t>13861826;87aeff8e-7dc0-46f9-8a2e-6dadb1a0cd3d;;111111118;Vodacom Life 20260324;;;;;NA;5;2026-05-23 12:43:08+02;system;2026-03-24 09:54:08+02;2026-03-24 09:54:08+02;;;;;;;;;27729795928;;;;;;;;prepaid life;;;;;</t>
  </si>
  <si>
    <t>ID_614</t>
  </si>
  <si>
    <t>13861688;617f03d1-9261-4536-b58c-519c435dda5f;;111111118;Vodacom Life 20260324;;;27766108968;;AA;5;2</t>
  </si>
  <si>
    <t>13861688;617f03d1-9261-4536-b58c-519c435dda5f;;111111118;Vodacom Life 20260324;;;27766108968;;AA;5;2026-05-25 11:06:02+02;system;2026-03-24 09:54:08+02;2026-03-24 09:54:08+02;;;;;;;;;27766108968;;;;;;;;prepaid life;;;;;</t>
  </si>
  <si>
    <t>ID_615</t>
  </si>
  <si>
    <t>13861737;58ad14e8-3f3d-4444-a248-8dbdded0512e;;111111118;Vodacom Life 20260324;;;;;SELECTED;1;;;2026</t>
  </si>
  <si>
    <t>13861737;58ad14e8-3f3d-4444-a248-8dbdded0512e;;111111118;Vodacom Life 20260324;;;;;SELECTED;1;;;2026-03-24 09:54:08+02;2026-03-24 09:54:08+02;;;;;;;;;27799070572;;;;;;;;prepaid life;;;;;</t>
  </si>
  <si>
    <t>ID_616</t>
  </si>
  <si>
    <t>13861827;6549e31d-c86d-4494-95fb-8ece625f73d9;;111111118;Vodacom Life 20260324;;;;;NI;3;2026-04-10 0</t>
  </si>
  <si>
    <t>13861827;6549e31d-c86d-4494-95fb-8ece625f73d9;;111111118;Vodacom Life 20260324;;;;;NI;3;2026-04-10 08:39:26+02;Musiiwa Mary Mabirimisa;2026-03-24 09:54:08+02;2026-03-24 09:54:08+02;;;;;;;;;27729942882;;;;;;;;prepaid life;;;;;</t>
  </si>
  <si>
    <t>ID_617</t>
  </si>
  <si>
    <t>13861689;64d30aff-a5a7-4392-8bff-0d230671519e;;111111118;Vodacom Life 20260324;;;;;DROP;5;2026-05-25</t>
  </si>
  <si>
    <t>13861689;64d30aff-a5a7-4392-8bff-0d230671519e;;111111118;Vodacom Life 20260324;;;;;DROP;5;2026-05-25 12:48:55+02;system;2026-03-24 09:54:08+02;2026-03-24 09:54:08+02;;;;;;;;;27766358677;;;;;;;;prepaid life;;;;;</t>
  </si>
  <si>
    <t>ID_618</t>
  </si>
  <si>
    <t>13861828;82c4e836-5ed9-40e7-b8a0-859e712d4c63;;111111118;Vodacom Life 20260324;;;;;AE;5;2026-05-25 0</t>
  </si>
  <si>
    <t>13861828;82c4e836-5ed9-40e7-b8a0-859e712d4c63;;111111118;Vodacom Life 20260324;;;;;AE;5;2026-05-25 09:31:23+02;system;2026-03-24 09:54:08+02;2026-03-24 09:54:08+02;;;;;;;;;27739497169;;;;;;;;prepaid life;;;;;</t>
  </si>
  <si>
    <t>ID_619</t>
  </si>
  <si>
    <t>13861738;ba1b56ec-6940-4561-847a-3b3baba24216;;111111118;Vodacom Life 20260324;;;;;AA;5;2026-05-25 0</t>
  </si>
  <si>
    <t>13861738;ba1b56ec-6940-4561-847a-3b3baba24216;;111111118;Vodacom Life 20260324;;;;;AA;5;2026-05-25 09:29:14+02;system;2026-03-24 09:54:08+02;2026-03-24 09:54:08+02;;;;;;;;;27814695869;;;;;;;;prepaid life;;;;;</t>
  </si>
  <si>
    <t>ID_620</t>
  </si>
  <si>
    <t>13861690;f8dc23a5-d714-4694-bb65-7ddfa187a77b;;111111118;Vodacom Life 20260324;;;;;DROP;5;2026-05-23</t>
  </si>
  <si>
    <t>13861690;f8dc23a5-d714-4694-bb65-7ddfa187a77b;;111111118;Vodacom Life 20260324;;;;;DROP;5;2026-05-23 12:18:11+02;system;2026-03-24 09:54:08+02;2026-03-24 09:54:08+02;;;;;;;;;27766404320;;;;;;;;prepaid life;;;;;</t>
  </si>
  <si>
    <t>ID_621</t>
  </si>
  <si>
    <t>13861739;c376e503-747c-4d8b-a1c8-31e554cd8187;;111111118;Vodacom Life 20260324;;;;;CU;5;2026-05-25 0</t>
  </si>
  <si>
    <t>13861739;c376e503-747c-4d8b-a1c8-31e554cd8187;;111111118;Vodacom Life 20260324;;;;;CU;5;2026-05-25 09:29:14+02;Khensane Mabasa;2026-03-24 09:54:08+02;2026-03-24 09:54:08+02;;;;;;;;;27818103653;;;;;;;;prepaid life;;;;;</t>
  </si>
  <si>
    <t>ID_622</t>
  </si>
  <si>
    <t>13861829;87d8ddd4-9f2d-4b43-b5a6-def7fdb53b65;;111111118;Vodacom Life 20260324;;;;;DROP;5;2026-05-25</t>
  </si>
  <si>
    <t>13861829;87d8ddd4-9f2d-4b43-b5a6-def7fdb53b65;;111111118;Vodacom Life 20260324;;;;;DROP;5;2026-05-25 09:31:28+02;system;2026-03-24 09:54:08+02;2026-03-24 09:54:08+02;;;;;;;;;27760751962;;;;;;;;prepaid life;;;;;</t>
  </si>
  <si>
    <t>ID_623</t>
  </si>
  <si>
    <t>13861691;eb18e561-2c0e-4b29-8cde-110a0a8f1690;;111111118;Vodacom Life 20260324;;;;;NI;2;2026-04-09 1</t>
  </si>
  <si>
    <t>13861691;eb18e561-2c0e-4b29-8cde-110a0a8f1690;;111111118;Vodacom Life 20260324;;;;;NI;2;2026-04-09 15:44:54+02;Thandile Nokubeni;2026-03-24 09:54:08+02;2026-03-24 09:54:08+02;;;;;;;;;27766861491;;;;;;;;prepaid life;;;;;</t>
  </si>
  <si>
    <t>ID_624</t>
  </si>
  <si>
    <t>13861740;c7410d20-1405-49cf-9df3-360e8f05b94e;;111111118;Vodacom Life 20260324;;;;;NA;5;2026-05-25 0</t>
  </si>
  <si>
    <t>13861740;c7410d20-1405-49cf-9df3-360e8f05b94e;;111111118;Vodacom Life 20260324;;;;;NA;5;2026-05-25 09:29:14+02;system;2026-03-24 09:54:08+02;2026-03-24 09:54:08+02;;;;;;;;;27820458559;;;;;;;;prepaid life;;;;;</t>
  </si>
  <si>
    <t>ID_625</t>
  </si>
  <si>
    <t>13861692;b44d67a8-0a23-4008-8937-d06d974e9f55;;111111118;Vodacom Life 20260324;;;;;AE;5;2026-05-23 1</t>
  </si>
  <si>
    <t>13861692;b44d67a8-0a23-4008-8937-d06d974e9f55;;111111118;Vodacom Life 20260324;;;;;AE;5;2026-05-23 12:18:11+02;system;2026-03-24 09:54:08+02;2026-03-24 09:54:08+02;;;;;;;;;27767102273;;;;;;;;prepaid life;;;;;</t>
  </si>
  <si>
    <t>ID_626</t>
  </si>
  <si>
    <t>13861741;725045c4-d68e-4abb-b356-cf06f9f81e41;;111111118;Vodacom Life 20260324;;;;;NIUP;3;2026-04-15</t>
  </si>
  <si>
    <t>13861741;725045c4-d68e-4abb-b356-cf06f9f81e41;;111111118;Vodacom Life 20260324;;;;;NIUP;3;2026-04-15 09:14:29+02;Seboifeng Mogola;2026-03-24 09:54:08+02;2026-03-24 09:54:08+02;;;;;;;;;27820750201;;;;;;;;prepaid life;;;;;</t>
  </si>
  <si>
    <t>ID_627</t>
  </si>
  <si>
    <t>13861831;048372b6-e235-491a-bca8-f2127e8922d5;;111111118;Vodacom Life 20260324;;;;;AA;5;2026-05-25 0</t>
  </si>
  <si>
    <t>13861831;048372b6-e235-491a-bca8-f2127e8922d5;;111111118;Vodacom Life 20260324;;;;;AA;5;2026-05-25 09:31:39+02;system;2026-03-24 09:54:08+02;2026-03-24 09:54:08+02;;;;;;;;;27761530147;;;;;;;;prepaid life;;;;;</t>
  </si>
  <si>
    <t>ID_628</t>
  </si>
  <si>
    <t>13861693;1314afc7-aa67-41cf-be03-1a9d8e60959f;;111111118;Vodacom Life 20260324;;;;;AA;5;2026-05-23 1</t>
  </si>
  <si>
    <t>13861693;1314afc7-aa67-41cf-be03-1a9d8e60959f;;111111118;Vodacom Life 20260324;;;;;AA;5;2026-05-23 12:18:23+02;system;2026-03-24 09:54:08+02;2026-03-24 09:54:08+02;;;;;;;;;27767152057;;;;;;;;prepaid life;;;;;</t>
  </si>
  <si>
    <t>ID_629</t>
  </si>
  <si>
    <t>13861832;0bd761fd-1040-42d1-a928-8ebd48ee6714;;111111118;Vodacom Life 20260324;;;;;AA;5;2026-05-25 0</t>
  </si>
  <si>
    <t>13861832;0bd761fd-1040-42d1-a928-8ebd48ee6714;;111111118;Vodacom Life 20260324;;;;;AA;5;2026-05-25 09:33:41+02;system;2026-03-24 09:54:08+02;2026-03-24 09:54:08+02;;;;;;;;;27761615418;;;;;;;;prepaid life;;;;;</t>
  </si>
  <si>
    <t>ID_630</t>
  </si>
  <si>
    <t>13861742;03eedaba-0603-45a3-9706-2e926804a932;;111111118;Vodacom Life 20260324;;;27820751231;;AE;5;2</t>
  </si>
  <si>
    <t>13861742;03eedaba-0603-45a3-9706-2e926804a932;;111111118;Vodacom Life 20260324;;;27820751231;;AE;5;2026-05-25 09:29:15+02;system;2026-03-24 09:54:08+02;2026-03-24 09:54:08+02;;;;;;;;;27820751231;;;;;;;;prepaid life;;;;;</t>
  </si>
  <si>
    <t>ID_631</t>
  </si>
  <si>
    <t>13861743;c14f386d-f7c9-4dc0-97ff-33c673acb826;;111111118;Vodacom Life 20260324;;;;;NA;5;2026-05-25 0</t>
  </si>
  <si>
    <t>13861743;c14f386d-f7c9-4dc0-97ff-33c673acb826;;111111118;Vodacom Life 20260324;;;;;NA;5;2026-05-25 09:29:49+02;system;2026-03-24 09:54:08+02;2026-03-24 09:54:08+02;;;;;;;;;27820833513;;;;;;;;prepaid life;;;;;</t>
  </si>
  <si>
    <t>ID_632</t>
  </si>
  <si>
    <t>13861694;77dade5c-f377-4ec6-a4f7-9240843e4a29;;111111118;Vodacom Life 20260324;;;;;AA;5;2026-05-25 1</t>
  </si>
  <si>
    <t>13861694;77dade5c-f377-4ec6-a4f7-9240843e4a29;;111111118;Vodacom Life 20260324;;;;;AA;5;2026-05-25 14:20:33+02;system;2026-03-24 09:54:08+02;2026-03-24 09:54:08+02;;;;;;;;;27767351172;;;;;;;;prepaid life;;;;;</t>
  </si>
  <si>
    <t>ID_633</t>
  </si>
  <si>
    <t>13861744;90d1e37f-79fd-4931-b1d6-32cb05fd6445;;111111118;Vodacom Life 20260324;;;;;AA;5;2026-05-25 0</t>
  </si>
  <si>
    <t>13861744;90d1e37f-79fd-4931-b1d6-32cb05fd6445;;111111118;Vodacom Life 20260324;;;;;AA;5;2026-05-25 09:29:49+02;system;2026-03-24 09:54:08+02;2026-03-24 09:54:08+02;;;;;;;;;27820912702;;;;;;;;prepaid life;;;;;</t>
  </si>
  <si>
    <t>ID_634</t>
  </si>
  <si>
    <t>13861833;eb3e0d8a-53b4-4988-807b-a970601a5f5e;;111111118;Vodacom Life 20260324;;;;;NA;5;2026-05-25 0</t>
  </si>
  <si>
    <t>13861833;eb3e0d8a-53b4-4988-807b-a970601a5f5e;;111111118;Vodacom Life 20260324;;;;;NA;5;2026-05-25 09:34:05+02;system;2026-03-24 09:54:08+02;2026-03-24 09:54:08+02;;;;;;;;;27761924780;;;;;;;;prepaid life;;;;;</t>
  </si>
  <si>
    <t>ID_635</t>
  </si>
  <si>
    <t>13861695;0d505b69-2afe-4623-91b0-cf01a95896cb;;111111118;Vodacom Life 20260324;;;27767465573;;DROP;5</t>
  </si>
  <si>
    <t>13861695;0d505b69-2afe-4623-91b0-cf01a95896cb;;111111118;Vodacom Life 20260324;;;27767465573;;DROP;5;2026-05-25 10:35:06+02;system;2026-03-24 09:54:08+02;2026-03-24 09:54:08+02;;;;;;;;;27767465573;;;;;;;;prepaid life;;;;;</t>
  </si>
  <si>
    <t>ID_636</t>
  </si>
  <si>
    <t>13861834;336a0663-7f46-4848-88d7-747c3f7f4eb5;;111111118;Vodacom Life 20260324;;;;;AE;5;2026-05-25 0</t>
  </si>
  <si>
    <t>13861834;336a0663-7f46-4848-88d7-747c3f7f4eb5;;111111118;Vodacom Life 20260324;;;;;AE;5;2026-05-25 09:34:26+02;system;2026-03-24 09:54:08+02;2026-03-24 09:54:08+02;;;;;;;;;27761962750;;;;;;;;prepaid life;;;;;</t>
  </si>
  <si>
    <t>ID_637</t>
  </si>
  <si>
    <t>13861835;4f430d40-ec06-415e-bf87-7b4f032bec95;;111111118;Vodacom Life 20260324;;;;;NA;5;2026-05-23 1</t>
  </si>
  <si>
    <t>13861835;4f430d40-ec06-415e-bf87-7b4f032bec95;;111111118;Vodacom Life 20260324;;;;;NA;5;2026-05-23 12:46:00+02;system;2026-03-24 09:54:08+02;2026-03-24 09:54:08+02;;;;;;;;;27762147021;;;;;;;;prepaid life;;;;;</t>
  </si>
  <si>
    <t>ID_638</t>
  </si>
  <si>
    <t>13861745;99bbbd0e-f770-4c8f-bb79-0b967fffbde1;;111111118;Vodacom Life 20260324;;;;;DNQS;1;2026-03-24</t>
  </si>
  <si>
    <t>13861745;99bbbd0e-f770-4c8f-bb79-0b967fffbde1;;111111118;Vodacom Life 20260324;;;;;DNQS;1;2026-03-24 12:19:08+02;Musiiwa Mary Mabirimisa;2026-03-24 09:54:08+02;2026-03-24 09:54:08+02;;;;;;;;;27820948050;;;;;;;;prepaid life;;;;;</t>
  </si>
  <si>
    <t>ID_639</t>
  </si>
  <si>
    <t>13861746;751045b6-a563-4a8c-b7f8-74e2c6f2f210;;111111118;Vodacom Life 20260324;;;;;NI;2;2026-04-10 0</t>
  </si>
  <si>
    <t>13861746;751045b6-a563-4a8c-b7f8-74e2c6f2f210;;111111118;Vodacom Life 20260324;;;;;NI;2;2026-04-10 08:45:05+02;Thandile Nokubeni;2026-03-24 09:54:08+02;2026-03-24 09:54:08+02;;;;;;;;;27823081196;;;;;;;;prepaid life;;;;;</t>
  </si>
  <si>
    <t>ID_640</t>
  </si>
  <si>
    <t>13861696;d07cb7d6-9432-49d3-bd5e-54a914aea166;;111111118;Vodacom Life 20260324;;;;;AA;5;2026-05-25 1</t>
  </si>
  <si>
    <t>13861696;d07cb7d6-9432-49d3-bd5e-54a914aea166;;111111118;Vodacom Life 20260324;;;;;AA;5;2026-05-25 10:35:33+02;system;2026-03-24 09:54:08+02;2026-03-24 09:54:08+02;;;;;;;;;27768037038;;;;;;;;prepaid life;;;;;</t>
  </si>
  <si>
    <t>ID_641</t>
  </si>
  <si>
    <t>13861747;83e17c34-ac0a-4722-bb86-103100232288;;111111118;Vodacom Life 20260324;;;;;NIUP;1;2026-03-24</t>
  </si>
  <si>
    <t>13861747;83e17c34-ac0a-4722-bb86-103100232288;;111111118;Vodacom Life 20260324;;;;;NIUP;1;2026-03-24 12:19:25+02;Millicent Motsuku;2026-03-24 09:54:08+02;2026-03-24 09:54:08+02;;;;;;;;;27823140123;;;;;;;;prepaid life;;;;;</t>
  </si>
  <si>
    <t>ID_642</t>
  </si>
  <si>
    <t xml:space="preserve">13861836;0e06a8df-6357-45e5-9944-15dd2badc1a4;;111111118;Vodacom Life 20260324;;;;;ADC;5;2026-05-25 </t>
  </si>
  <si>
    <t>13861836;0e06a8df-6357-45e5-9944-15dd2badc1a4;;111111118;Vodacom Life 20260324;;;;;ADC;5;2026-05-25 09:38:57+02;system;2026-03-24 09:54:08+02;2026-03-24 09:54:08+02;;;;;;;;;27763390211;;;;;;;;prepaid life;;;;;</t>
  </si>
  <si>
    <t>ID_643</t>
  </si>
  <si>
    <t>13861697;1caa69cd-077e-405f-9e30-221b1770a560;;111111118;Vodacom Life 20260324;;;;;NIUP;4;2026-05-07</t>
  </si>
  <si>
    <t>13861697;1caa69cd-077e-405f-9e30-221b1770a560;;111111118;Vodacom Life 20260324;;;;;NIUP;4;2026-05-07 12:04:07+02;Seboifeng Mogola;2026-03-24 09:54:08+02;2026-03-24 09:54:08+02;;;;;;;;;27768057802;;;;;;;;prepaid life;;;;;</t>
  </si>
  <si>
    <t>ID_644</t>
  </si>
  <si>
    <t>13861748;d0087504-db52-4fce-bb76-1270957a7907;;111111118;Vodacom Life 20260324;;;;;AA;5;2026-05-23 1</t>
  </si>
  <si>
    <t>13861748;d0087504-db52-4fce-bb76-1270957a7907;;111111118;Vodacom Life 20260324;;;;;AA;5;2026-05-23 12:32:54+02;system;2026-03-24 09:54:08+02;2026-03-24 09:54:08+02;;;;;;;;;27823470349;;;;;;;;prepaid life;;;;;</t>
  </si>
  <si>
    <t>ID_645</t>
  </si>
  <si>
    <t>13861698;49367a44-6294-4cd6-896e-c13324fc9a18;;111111118;Vodacom Life 20260324;;;;;NI;2;2026-04-09 1</t>
  </si>
  <si>
    <t>13861698;49367a44-6294-4cd6-896e-c13324fc9a18;;111111118;Vodacom Life 20260324;;;;;NI;2;2026-04-09 15:45:48+02;Mahlatse Manamela;2026-03-24 09:54:08+02;2026-03-24 09:54:08+02;;;;;;;;;27768228660;;;;;;;;prepaid life;;;;;</t>
  </si>
  <si>
    <t>ID_646</t>
  </si>
  <si>
    <t>13861749;5e3f9e2e-411e-4e33-ab6e-cfdafe84b28a;;111111118;Vodacom Life 20260324;;;;;AE;5;2026-05-23 1</t>
  </si>
  <si>
    <t>13861749;5e3f9e2e-411e-4e33-ab6e-cfdafe84b28a;;111111118;Vodacom Life 20260324;;;;;AE;5;2026-05-23 12:34:19+02;system;2026-03-24 09:54:08+02;2026-03-24 09:54:08+02;;;;;;;;;27823634440;;;;;;;;prepaid life;;;;;</t>
  </si>
  <si>
    <t>ID_647</t>
  </si>
  <si>
    <t>13861837;7075d4aa-1052-4b92-a522-3c7c697b3856;;111111118;Vodacom Life 20260324;;;27763562272;;IABDN;</t>
  </si>
  <si>
    <t>13861837;7075d4aa-1052-4b92-a522-3c7c697b3856;;111111118;Vodacom Life 20260324;;;27763562272;;IABDN;5;2026-05-23 12:46:11+02;system;2026-03-24 09:54:08+02;2026-03-24 09:54:08+02;;;;;;;;;27763562272;;;;;;;;prepaid life;;;;;</t>
  </si>
  <si>
    <t>ID_648</t>
  </si>
  <si>
    <t>13861838;4a0003f4-cfb0-45ab-9f5a-4ed8c88830ba;;111111118;Vodacom Life 20260324;;;27763748012;;IABDN;</t>
  </si>
  <si>
    <t>13861838;4a0003f4-cfb0-45ab-9f5a-4ed8c88830ba;;111111118;Vodacom Life 20260324;;;27763748012;;IABDN;5;2026-05-23 12:50:59+02;system;2026-03-24 09:54:08+02;2026-03-24 09:54:08+02;;;;;;;;;27763748012;;;;;;;;prepaid life;;;;;</t>
  </si>
  <si>
    <t>ID_649</t>
  </si>
  <si>
    <t>13861699;09d070d3-27f8-4b81-bd12-286059438537;;111111118;Vodacom Life 20260324;;;;;AE;5;2026-05-25 1</t>
  </si>
  <si>
    <t>13861699;09d070d3-27f8-4b81-bd12-286059438537;;111111118;Vodacom Life 20260324;;;;;AE;5;2026-05-25 14:24:52+02;system;2026-03-24 09:54:08+02;2026-03-24 09:54:08+02;;;;;;;;;27768328114;;;;;;;;prepaid life;;;;;</t>
  </si>
  <si>
    <t>ID_650</t>
  </si>
  <si>
    <t>13861839;79779ef2-303c-4605-9a10-359c7dc3eeeb;;111111118;Vodacom Life 20260324;;;;;NI;1;2026-03-24 1</t>
  </si>
  <si>
    <t>13861839;79779ef2-303c-4605-9a10-359c7dc3eeeb;;111111118;Vodacom Life 20260324;;;;;NI;1;2026-03-24 12:36:57+02;Maureen Ntsoko;2026-03-24 09:54:08+02;2026-03-24 09:54:08+02;;;;;;;;;27763921453;;;;;;;;prepaid life;;;;;</t>
  </si>
  <si>
    <t>ID_651</t>
  </si>
  <si>
    <t>13861750;5f939437-3c72-457e-91f8-f2b76cd32f94;;111111118;Vodacom Life 20260324;;;;;AE;5;2026-05-23 1</t>
  </si>
  <si>
    <t>13861750;5f939437-3c72-457e-91f8-f2b76cd32f94;;111111118;Vodacom Life 20260324;;;;;AE;5;2026-05-23 12:42:30+02;system;2026-03-24 09:54:08+02;2026-03-24 09:54:08+02;;;;;;;;;27823637153;;;;;;;;prepaid life;;;;;</t>
  </si>
  <si>
    <t>ID_652</t>
  </si>
  <si>
    <t>13861700;27738f7a-7201-4c0c-aa91-d55a5b369974;;111111118;Vodacom Life 20260324;;;27768340244;;AE;5;2</t>
  </si>
  <si>
    <t>13861700;27738f7a-7201-4c0c-aa91-d55a5b369974;;111111118;Vodacom Life 20260324;;;27768340244;;AE;5;2026-05-25 14:32:53+02;system;2026-03-24 09:54:08+02;2026-03-24 09:54:08+02;;;;;;;;;27768340244;;;;;;;;prepaid life;;;;;</t>
  </si>
  <si>
    <t>ID_653</t>
  </si>
  <si>
    <t>13861751;e3b492ea-9458-4b16-be99-ef2e1c462b27;;111111118;Vodacom Life 20260324;;;;;AA;5;2026-05-25 0</t>
  </si>
  <si>
    <t>13861751;e3b492ea-9458-4b16-be99-ef2e1c462b27;;111111118;Vodacom Life 20260324;;;;;AA;5;2026-05-25 09:30:01+02;system;2026-03-24 09:54:08+02;2026-03-24 09:54:08+02;;;;;;;;;27823716304;;;;;;;;prepaid life;;;;;</t>
  </si>
  <si>
    <t>ID_654</t>
  </si>
  <si>
    <t>13861840;8b944fa5-6272-4ad4-a78a-6d86b37c5120;;111111118;Vodacom Life 20260324;;;;;AA;5;2026-05-25 1</t>
  </si>
  <si>
    <t>13861840;8b944fa5-6272-4ad4-a78a-6d86b37c5120;;111111118;Vodacom Life 20260324;;;;;AA;5;2026-05-25 12:35:10+02;system;2026-03-24 09:54:08+02;2026-03-24 09:54:08+02;;;;;;;;;27764463897;;;;;;;;prepaid life;;;;;</t>
  </si>
  <si>
    <t>ID_655</t>
  </si>
  <si>
    <t>13861701;abd67c68-d57c-4387-995c-71a3fcb430d3;;111111118;Vodacom Life 20260324;;;;;AA;5;2026-05-25 1</t>
  </si>
  <si>
    <t>13861701;abd67c68-d57c-4387-995c-71a3fcb430d3;;111111118;Vodacom Life 20260324;;;;;AA;5;2026-05-25 14:24:31+02;system;2026-03-24 09:54:08+02;2026-03-24 09:54:08+02;;;;;;;;;27768424045;;;;;;;;prepaid life;;;;;</t>
  </si>
  <si>
    <t>ID_656</t>
  </si>
  <si>
    <t>13861841;4d45fcd2-4241-4b97-bebf-1dfb4825f0f6;;111111118;Vodacom Life 20260324;;;;;NI;2;2026-04-09 1</t>
  </si>
  <si>
    <t>13861841;4d45fcd2-4241-4b97-bebf-1dfb4825f0f6;;111111118;Vodacom Life 20260324;;;;;NI;2;2026-04-09 15:50:51+02;Thandile Nokubeni;2026-03-24 09:54:08+02;2026-03-24 09:54:08+02;;;;;;;;;27765839431;;;;;;;;prepaid life;;;;;</t>
  </si>
  <si>
    <t>ID_657</t>
  </si>
  <si>
    <t>13861752;aa8987f1-3397-4f72-ab55-8b2e3dd90dc0;;111111118;Vodacom Life 20260324;;;;;AE;5;2026-05-23 1</t>
  </si>
  <si>
    <t>13861752;aa8987f1-3397-4f72-ab55-8b2e3dd90dc0;;111111118;Vodacom Life 20260324;;;;;AE;5;2026-05-23 12:34:12+02;system;2026-03-24 09:54:08+02;2026-03-24 09:54:08+02;;;;;;;;;27824065736;;;;;;;;prepaid life;;;;;</t>
  </si>
  <si>
    <t>ID_658</t>
  </si>
  <si>
    <t>13861702;b4094b25-2177-402b-9b53-3a70938a018e;;111111118;Vodacom Life 20260324;;;;;SELECTED;3;2026-0</t>
  </si>
  <si>
    <t>13861702;b4094b25-2177-402b-9b53-3a70938a018e;;111111118;Vodacom Life 20260324;;;;;SELECTED;3;2026-04-09 15:45:51+02;system;2026-03-24 09:54:08+02;2026-03-24 09:54:08+02;;;;;;;;;27768558978;;;;;;;;prepaid life;;;;;</t>
  </si>
  <si>
    <t>ID_659</t>
  </si>
  <si>
    <t>13861753;0d79072c-7738-44df-a53c-86c6f99480b0;;111111118;Vodacom Life 20260324;;;;;A;5;2026-05-25 09</t>
  </si>
  <si>
    <t>13861753;0d79072c-7738-44df-a53c-86c6f99480b0;;111111118;Vodacom Life 20260324;;;;;A;5;2026-05-25 09:36:41+02;bongiwe lushaba;2026-03-24 09:54:08+02;2026-03-24 09:54:08+02;;;;;;;;;27825002105;;;;;;;;prepaid life;;;;;</t>
  </si>
  <si>
    <t>ID_660</t>
  </si>
  <si>
    <t>13861842;1d23b0e1-9808-4b1f-be95-04df5189acf4;;111111118;Vodacom Life 20260324;;;27765851770;;CU;5;2</t>
  </si>
  <si>
    <t>13861842;1d23b0e1-9808-4b1f-be95-04df5189acf4;;111111118;Vodacom Life 20260324;;;27765851770;;CU;5;2026-05-25 14:39:34+02;Maureen Ntsoko;2026-03-24 09:54:08+02;2026-03-24 09:54:08+02;;;;;;;;;27765851770;;;;;;;;prepaid life;;;;;</t>
  </si>
  <si>
    <t>ID_661</t>
  </si>
  <si>
    <t>13861843;e1de5406-3ccf-4707-9dee-f07f8bded0cd;;111111118;Vodacom Life 20260324;;;;;AA;5;2026-05-25 1</t>
  </si>
  <si>
    <t>13861843;e1de5406-3ccf-4707-9dee-f07f8bded0cd;;111111118;Vodacom Life 20260324;;;;;AA;5;2026-05-25 14:30:29+02;system;2026-03-24 09:54:08+02;2026-03-24 09:54:08+02;;;;;;;;;27766221935;;;;;;;;prepaid life;;;;;</t>
  </si>
  <si>
    <t>ID_662</t>
  </si>
  <si>
    <t>13861703;cb63e9a9-1fa6-47e4-aeac-2dc3c9e25b06;;111111118;Vodacom Life 20260324;;;;;AA;5;2026-05-25 1</t>
  </si>
  <si>
    <t>13861703;cb63e9a9-1fa6-47e4-aeac-2dc3c9e25b06;;111111118;Vodacom Life 20260324;;;;;AA;5;2026-05-25 14:35:32+02;system;2026-03-24 09:54:08+02;2026-03-24 09:54:08+02;;;;;;;;;27768585927;;;;;;;;prepaid life;;;;;</t>
  </si>
  <si>
    <t>ID_663</t>
  </si>
  <si>
    <t>13861844;0f9d594d-9572-48d4-8bcc-7f77c3771003;;111111118;Vodacom Life 20260324;;;;;AE;5;2026-05-25 1</t>
  </si>
  <si>
    <t>13861844;0f9d594d-9572-48d4-8bcc-7f77c3771003;;111111118;Vodacom Life 20260324;;;;;AE;5;2026-05-25 14:29:30+02;system;2026-03-24 09:54:08+02;2026-03-24 09:54:08+02;;;;;;;;;27766378117;;;;;;;;prepaid life;;;;;</t>
  </si>
  <si>
    <t>ID_664</t>
  </si>
  <si>
    <t>13861754;330f202d-a2b4-4902-8ed3-0be7962cd48f;;111111118;Vodacom Life 20260324;;;;;CBACK;4;2026-05-0</t>
  </si>
  <si>
    <t>13861754;330f202d-a2b4-4902-8ed3-0be7962cd48f;;111111118;Vodacom Life 20260324;;;;;CBACK;4;2026-05-07 12:03:36+02;bongiwe lushaba;2026-03-24 09:54:08+02;2026-03-24 09:54:08+02;;;;;;;;;27825301314;;;;;;;;prepaid life;;;;;</t>
  </si>
  <si>
    <t>ID_665</t>
  </si>
  <si>
    <t>13861704;256effb3-ebb0-47e4-9b39-4499675b8a55;;111111118;Vodacom Life 20260324;;;;;AE;5;2026-05-25 1</t>
  </si>
  <si>
    <t>13861704;256effb3-ebb0-47e4-9b39-4499675b8a55;;111111118;Vodacom Life 20260324;;;;;AE;5;2026-05-25 14:08:54+02;system;2026-03-24 09:54:08+02;2026-03-24 09:54:08+02;;;;;;;;;27769111477;;;;;;;;prepaid life;;;;;</t>
  </si>
  <si>
    <t>ID_666</t>
  </si>
  <si>
    <t>13861755;5db8dc17-e117-4fbb-bf2a-5792546b5117;;111111118;Vodacom Life 20260324;;;;;AA;5;2026-05-23 1</t>
  </si>
  <si>
    <t>13861755;5db8dc17-e117-4fbb-bf2a-5792546b5117;;111111118;Vodacom Life 20260324;;;;;AA;5;2026-05-23 12:41:23+02;system;2026-03-24 09:54:08+02;2026-03-24 09:54:08+02;;;;;;;;;27826969327;;;;;;;;prepaid life;;;;;</t>
  </si>
  <si>
    <t>ID_667</t>
  </si>
  <si>
    <t>13861845;785f46f0-2190-4f73-bfb5-a2d5c344fbe6;;111111118;Vodacom Life 20260324;;;;;SELECTED;1;;;2026</t>
  </si>
  <si>
    <t>13861845;785f46f0-2190-4f73-bfb5-a2d5c344fbe6;;111111118;Vodacom Life 20260324;;;;;SELECTED;1;;;2026-03-24 09:54:08+02;2026-03-24 09:54:08+02;;;;;;;;;27766421624;;;;;;;;prepaid life;;;;;</t>
  </si>
  <si>
    <t>ID_668</t>
  </si>
  <si>
    <t>13861705;927301b1-d966-4b06-8992-a2eec85923b0;;111111118;Vodacom Life 20260324;;;;;AA;5;2026-05-23 1</t>
  </si>
  <si>
    <t>13861705;927301b1-d966-4b06-8992-a2eec85923b0;;111111118;Vodacom Life 20260324;;;;;AA;5;2026-05-23 12:18:43+02;system;2026-03-24 09:54:08+02;2026-03-24 09:54:08+02;;;;;;;;;27769337275;;;;;;;;prepaid life;;;;;</t>
  </si>
  <si>
    <t>ID_669</t>
  </si>
  <si>
    <t>13861846;5af6ef26-4012-4dc1-8efa-57340a9509e6;;111111118;Vodacom Life 20260324;;;27766616055;;A;5;20</t>
  </si>
  <si>
    <t>13861846;5af6ef26-4012-4dc1-8efa-57340a9509e6;;111111118;Vodacom Life 20260324;;;27766616055;;A;5;2026-05-23 12:48:42+02;bongiwe lushaba;2026-03-24 09:54:08+02;2026-03-24 09:54:08+02;;;;;;;;;27766616055;;;;;;;;prepaid life;;;;;</t>
  </si>
  <si>
    <t>ID_670</t>
  </si>
  <si>
    <t>13861756;2be6b9aa-6e75-470f-a8ab-45a58b927806;;111111118;Vodacom Life 20260324;;;;;AA;5;2026-05-23 1</t>
  </si>
  <si>
    <t>13861756;2be6b9aa-6e75-470f-a8ab-45a58b927806;;111111118;Vodacom Life 20260324;;;;;AA;5;2026-05-23 12:49:31+02;system;2026-03-24 09:54:08+02;2026-03-24 09:54:08+02;;;;;;;;;27827218929;;;;;;;;prepaid life;;;;;</t>
  </si>
  <si>
    <t>ID_671</t>
  </si>
  <si>
    <t>13861757;b87cf31b-70f7-4a01-81f6-c1cb4c084476;;111111118;Vodacom Life 20260324;;;;;AA;5;2026-05-25 1</t>
  </si>
  <si>
    <t>13861757;b87cf31b-70f7-4a01-81f6-c1cb4c084476;;111111118;Vodacom Life 20260324;;;;;AA;5;2026-05-25 12:03:10+02;system;2026-03-24 09:54:08+02;2026-03-24 09:54:08+02;;;;;;;;;27606123919;;;;;;;;prepaid life;;;;;</t>
  </si>
  <si>
    <t>ID_672</t>
  </si>
  <si>
    <t>13861706;61209e53-0086-4547-b3f9-f6e1f5dd9ace;;111111118;Vodacom Life 20260324;;;;;NI;1;2026-03-24 1</t>
  </si>
  <si>
    <t>13861706;61209e53-0086-4547-b3f9-f6e1f5dd9ace;;111111118;Vodacom Life 20260324;;;;;NI;1;2026-03-24 12:13:28+02;Thandile Nokubeni;2026-03-24 09:54:08+02;2026-03-24 09:54:08+02;;;;;;;;;27769421248;;;;;;;;prepaid life;;;;;</t>
  </si>
  <si>
    <t>ID_673</t>
  </si>
  <si>
    <t>13861847;612cbb77-1587-4670-a0b1-ee170543ea84;;111111118;Vodacom Life 20260324;;;;;CBACK;1;2026-03-2</t>
  </si>
  <si>
    <t>13861847;612cbb77-1587-4670-a0b1-ee170543ea84;;111111118;Vodacom Life 20260324;;;;;CBACK;1;2026-03-24 12:38:47+02;Thandile Nokubeni;2026-03-24 09:54:08+02;2026-03-24 09:54:08+02;;;;;;;;;27768208962;;;;;;;;prepaid life;;;;;</t>
  </si>
  <si>
    <t>ID_674</t>
  </si>
  <si>
    <t>13861707;02d8ae87-f6f3-4bd1-a4ec-2404ae2cd3b6;;111111118;Vodacom Life 20260324;;;;;NI;3;2026-04-15 0</t>
  </si>
  <si>
    <t>13861707;02d8ae87-f6f3-4bd1-a4ec-2404ae2cd3b6;;111111118;Vodacom Life 20260324;;;;;NI;3;2026-04-15 09:16:57+02;Maureen Ntsoko;2026-03-24 09:54:08+02;2026-03-24 09:54:08+02;;;;;;;;;27769833244;;;;;;;;prepaid life;;;;;</t>
  </si>
  <si>
    <t>ID_675</t>
  </si>
  <si>
    <t>13861848;de413338-46d7-40d6-93f8-a530ee3d3578;;111111118;Vodacom Life 20260324;;;;;NI;2;2026-04-10 0</t>
  </si>
  <si>
    <t>13861848;de413338-46d7-40d6-93f8-a530ee3d3578;;111111118;Vodacom Life 20260324;;;;;NI;2;2026-04-10 08:19:22+02;Musiiwa Mary Mabirimisa;2026-03-24 09:54:08+02;2026-03-24 09:54:08+02;;;;;;;;;27768433764;;;;;;;;prepaid life;;;;;</t>
  </si>
  <si>
    <t>ID_676</t>
  </si>
  <si>
    <t>13861758;21b728b7-c379-47a5-9e85-dbd504eafd4c;;111111118;Vodacom Life 20260324;;;27606267929;;IABDN;</t>
  </si>
  <si>
    <t>13861758;21b728b7-c379-47a5-9e85-dbd504eafd4c;;111111118;Vodacom Life 20260324;;;27606267929;;IABDN;5;2026-05-25 12:22:57+02;system;2026-03-24 09:54:08+02;2026-03-24 09:54:08+02;;;;;;;;;27606267929;;;;;;;;prepaid life;;;;;</t>
  </si>
  <si>
    <t>ID_677</t>
  </si>
  <si>
    <t>13861708;07c5b251-2b8c-4cae-bbdf-3dd79d5ccd43;;111111118;Vodacom Life 20260324;;;;;CBACK;5;2026-05-1</t>
  </si>
  <si>
    <t>13861708;07c5b251-2b8c-4cae-bbdf-3dd79d5ccd43;;111111118;Vodacom Life 20260324;;;;;CBACK;5;2026-05-12 11:03:20+02;Maureen Ntsoko;2026-03-24 09:54:08+02;2026-03-24 09:54:08+02;;;;;;;;;27772787946;;;;;;;;prepaid life;;;;;</t>
  </si>
  <si>
    <t>ID_678</t>
  </si>
  <si>
    <t>13861709;b698b5ca-5965-4fdb-a76b-3eef796ece7e;;111111118;Vodacom Life 20260324;;;;;NI;1;2026-03-24 1</t>
  </si>
  <si>
    <t>13861709;b698b5ca-5965-4fdb-a76b-3eef796ece7e;;111111118;Vodacom Life 20260324;;;;;NI;1;2026-03-24 12:13:59+02;Esther Ramalete;2026-03-24 09:54:08+02;2026-03-24 09:54:08+02;;;;;;;;;27781219667;;;;;;;;prepaid life;;;;;</t>
  </si>
  <si>
    <t>ID_679</t>
  </si>
  <si>
    <t>13861759;5459eced-bf46-4263-8e02-c2c781bc1ac0;;111111118;Vodacom Life 20260324;;;27606499855;;CBACK;</t>
  </si>
  <si>
    <t>13861759;5459eced-bf46-4263-8e02-c2c781bc1ac0;;111111118;Vodacom Life 20260324;;;27606499855;;CBACK;6;2026-05-25 12:05:30+02;Maureen Ntsoko;2026-03-24 09:54:08+02;2026-03-24 09:54:08+02;;;;;;;;;27606499855;;;;;;;;prepaid life;;;;;</t>
  </si>
  <si>
    <t>ID_680</t>
  </si>
  <si>
    <t>13861849;015f3c5e-fc58-441e-a170-cbfa5024ecb1;;111111118;Vodacom Life 20260324;;;;;AE;5;2026-05-23 1</t>
  </si>
  <si>
    <t>13861849;015f3c5e-fc58-441e-a170-cbfa5024ecb1;;111111118;Vodacom Life 20260324;;;;;AE;5;2026-05-23 12:48:43+02;system;2026-03-24 09:54:08+02;2026-03-24 09:54:08+02;;;;;;;;;27769337910;;;;;;;;prepaid life;;;;;</t>
  </si>
  <si>
    <t>ID_681</t>
  </si>
  <si>
    <t>13861850;190b3d0b-37c6-45fd-9ec8-a6fd0af5fa71;;111111118;Vodacom Life 20260324;;;;;AA;5;2026-05-23 1</t>
  </si>
  <si>
    <t>13861850;190b3d0b-37c6-45fd-9ec8-a6fd0af5fa71;;111111118;Vodacom Life 20260324;;;;;AA;5;2026-05-23 12:48:43+02;system;2026-03-24 09:54:08+02;2026-03-24 09:54:08+02;;;;;;;;;27769398174;;;;;;;;prepaid life;;;;;</t>
  </si>
  <si>
    <t>ID_682</t>
  </si>
  <si>
    <t>13861710;a0447dff-806e-4d0c-ba14-d78a88e9cfd8;;111111118;Vodacom Life 20260324;;;;;U;4;2026-05-07 12</t>
  </si>
  <si>
    <t>13861710;a0447dff-806e-4d0c-ba14-d78a88e9cfd8;;111111118;Vodacom Life 20260324;;;;;U;4;2026-05-07 12:05:27+02;bongiwe lushaba;2026-03-24 09:54:08+02;2026-03-24 09:54:08+02;;;;;;;;;27790205212;;;;;;;;prepaid life;;;;;</t>
  </si>
  <si>
    <t>ID_683</t>
  </si>
  <si>
    <t>13861760;ac1560de-d0ef-4063-bbce-adc2142a9e14;;111111118;Vodacom Life 20260324;;;;;DNQS;3;2026-04-15</t>
  </si>
  <si>
    <t>13861760;ac1560de-d0ef-4063-bbce-adc2142a9e14;;111111118;Vodacom Life 20260324;;;;;DNQS;3;2026-04-15 09:12:46+02;Thandile Nokubeni;2026-03-24 09:54:08+02;2026-03-24 09:54:08+02;;;;;;;;;27607571155;;;;;;;;prepaid life;;;;;</t>
  </si>
  <si>
    <t>ID_684</t>
  </si>
  <si>
    <t>13861711;c12daa51-207d-4024-b73e-b62a61652882;;111111118;Vodacom Life 20260324;;;;;DROP;5;2026-05-23</t>
  </si>
  <si>
    <t>13861711;c12daa51-207d-4024-b73e-b62a61652882;;111111118;Vodacom Life 20260324;;;;;DROP;5;2026-05-23 12:34:23+02;system;2026-03-24 09:54:08+02;2026-03-24 09:54:08+02;;;;;;;;;27791127583;;;;;;;;prepaid life;;;;;</t>
  </si>
  <si>
    <t>ID_685</t>
  </si>
  <si>
    <t>13861761;349e41d3-5827-4307-b106-5390882ad5ec;;111111118;Vodacom Life 20260324;;;;;U;1;2026-03-24 12</t>
  </si>
  <si>
    <t>13861761;349e41d3-5827-4307-b106-5390882ad5ec;;111111118;Vodacom Life 20260324;;;;;U;1;2026-03-24 12:21:22+02;Esther Ramalete;2026-03-24 09:54:08+02;2026-03-24 09:54:08+02;;;;;;;;;27608502506;;;;;;;;prepaid life;;;;;</t>
  </si>
  <si>
    <t>ID_686</t>
  </si>
  <si>
    <t>13861851;04f6c830-a012-4f36-887b-fcab951c1fc9;;111111118;Vodacom Life 20260324;;;;;AE;5;2026-05-23 1</t>
  </si>
  <si>
    <t>13861851;04f6c830-a012-4f36-887b-fcab951c1fc9;;111111118;Vodacom Life 20260324;;;;;AE;5;2026-05-23 12:48:43+02;system;2026-03-24 09:54:08+02;2026-03-24 09:54:08+02;;;;;;;;;27769666183;;;;;;;;prepaid life;;;;;</t>
  </si>
  <si>
    <t>ID_687</t>
  </si>
  <si>
    <t>13861712;abc2f909-79a3-473f-ab13-6fbc6d7ec54c;;111111118;Vodacom Life 20260324;;;27791132803;;IABDN;</t>
  </si>
  <si>
    <t>13861712;abc2f909-79a3-473f-ab13-6fbc6d7ec54c;;111111118;Vodacom Life 20260324;;;27791132803;;IABDN;5;2026-05-25 10:40:46+02;system;2026-03-24 09:54:08+02;2026-03-24 09:54:08+02;;;;;;;;;27791132803;;;;;;;;prepaid life;;;;;</t>
  </si>
  <si>
    <t>ID_688</t>
  </si>
  <si>
    <t>13861852;77fe7c84-fea4-4aa7-85bf-319844dbeee5;;111111118;Vodacom Life 20260324;;;;;NI;1;2026-03-24 1</t>
  </si>
  <si>
    <t>13861852;77fe7c84-fea4-4aa7-85bf-319844dbeee5;;111111118;Vodacom Life 20260324;;;;;NI;1;2026-03-24 12:42:04+02;Esther Ramalete;2026-03-24 09:54:08+02;2026-03-24 09:54:08+02;;;;;;;;;27772883394;;;;;;;;prepaid life;;;;;</t>
  </si>
  <si>
    <t>ID_689</t>
  </si>
  <si>
    <t>13861762;3be6ecbb-222c-40e8-877d-8223e38f05b1;;111111118;Vodacom Life 20260324;;;27609135350;;CU;5;2</t>
  </si>
  <si>
    <t>13861762;3be6ecbb-222c-40e8-877d-8223e38f05b1;;111111118;Vodacom Life 20260324;;;27609135350;;CU;5;2026-05-25 12:31:13+02;Maureen Ntsoko;2026-03-24 09:54:08+02;2026-03-24 09:54:08+02;;;;;;;;;27609135350;;;;;;;;prepaid life;;;;;</t>
  </si>
  <si>
    <t>ID_690</t>
  </si>
  <si>
    <t>13861713;5f07f445-c5a1-487c-9641-9227fa312a37;;111111118;Vodacom Life 20260324;;;;;AA;5;2026-05-25 1</t>
  </si>
  <si>
    <t>13861713;5f07f445-c5a1-487c-9641-9227fa312a37;;111111118;Vodacom Life 20260324;;;;;AA;5;2026-05-25 10:39:56+02;system;2026-03-24 09:54:08+02;2026-03-24 09:54:08+02;;;;;;;;;27792103146;;;;;;;;prepaid life;;;;;</t>
  </si>
  <si>
    <t>ID_691</t>
  </si>
  <si>
    <t>13861763;c9098765-d5bb-463c-8df5-367dc85e78c8;;111111118;Vodacom Life 20260324;;;;;NI;2;2026-04-09 1</t>
  </si>
  <si>
    <t>13861763;c9098765-d5bb-463c-8df5-367dc85e78c8;;111111118;Vodacom Life 20260324;;;;;NI;2;2026-04-09 15:46:44+02;Esther Ramalete;2026-03-24 09:54:08+02;2026-03-24 09:54:08+02;;;;;;;;;27609939218;;;;;;;;prepaid life;;;;;</t>
  </si>
  <si>
    <t>ID_692</t>
  </si>
  <si>
    <t>13861853;1b035555-1f5d-4ff4-8b7a-25de9f4a3f81;;111111118;Vodacom Life 20260324;;;;;NA;5;2026-05-23 1</t>
  </si>
  <si>
    <t>13861853;1b035555-1f5d-4ff4-8b7a-25de9f4a3f81;;111111118;Vodacom Life 20260324;;;;;NA;5;2026-05-23 12:48:49+02;system;2026-03-24 09:54:08+02;2026-03-24 09:54:08+02;;;;;;;;;27773863291;;;;;;;;prepaid life;;;;;</t>
  </si>
  <si>
    <t>ID_693</t>
  </si>
  <si>
    <t>13861714;4ff7a66c-82f5-48c6-a73b-1b586440d284;;111111118;Vodacom Life 20260324;;;;;NIUP;1;2026-03-24</t>
  </si>
  <si>
    <t>13861714;4ff7a66c-82f5-48c6-a73b-1b586440d284;;111111118;Vodacom Life 20260324;;;;;NIUP;1;2026-03-24 12:14:24+02;bongiwe lushaba;2026-03-24 09:54:08+02;2026-03-24 09:54:08+02;;;;;;;;;27792595279;;;;;;;;prepaid life;;;;;</t>
  </si>
  <si>
    <t>ID_694</t>
  </si>
  <si>
    <t>13861854;427371af-2bda-43cd-adbe-c066842c97e4;;111111118;Vodacom Life 20260324;;;;;AA;5;2026-05-25 1</t>
  </si>
  <si>
    <t>13861854;427371af-2bda-43cd-adbe-c066842c97e4;;111111118;Vodacom Life 20260324;;;;;AA;5;2026-05-25 11:35:34+02;system;2026-03-24 09:54:08+02;2026-03-24 09:54:08+02;;;;;;;;;27774990255;;;;;;;;prepaid life;;;;;</t>
  </si>
  <si>
    <t>ID_695</t>
  </si>
  <si>
    <t>13861855;70b8c354-7295-4004-b0a6-d229c9c9fdf6;;111111118;Vodacom Life 20260324;;;27785854426;;IABDN;</t>
  </si>
  <si>
    <t>13861855;70b8c354-7295-4004-b0a6-d229c9c9fdf6;;111111118;Vodacom Life 20260324;;;27785854426;;IABDN;5;2026-05-25 10:56:22+02;system;2026-03-24 09:54:08+02;2026-03-24 09:54:08+02;;;;;;;;;27785854426;;;;;;;;prepaid life;;;;;</t>
  </si>
  <si>
    <t>ID_696</t>
  </si>
  <si>
    <t>13861764;fe3502cf-3962-434f-bce9-2baff5e6771b;;111111118;Vodacom Life 20260324;;;;;SELECTED;1;;;2026</t>
  </si>
  <si>
    <t>13861764;fe3502cf-3962-434f-bce9-2baff5e6771b;;111111118;Vodacom Life 20260324;;;;;SELECTED;1;;;2026-03-24 09:54:08+02;2026-03-24 09:54:08+02;;;;;;;;;27631068447;;;;;;;;prepaid life;;;;;</t>
  </si>
  <si>
    <t>ID_697</t>
  </si>
  <si>
    <t>13861715;bec55173-a2c4-4c7c-a89b-bb75ed7c9801;;111111118;Vodacom Life 20260324;;;;;AA;5;2026-05-25 1</t>
  </si>
  <si>
    <t>13861715;bec55173-a2c4-4c7c-a89b-bb75ed7c9801;;111111118;Vodacom Life 20260324;;;;;AA;5;2026-05-25 10:40:15+02;system;2026-03-24 09:54:08+02;2026-03-24 09:54:08+02;;;;;;;;;27792798333;;;;;;;;prepaid life;;;;;</t>
  </si>
  <si>
    <t>ID_698</t>
  </si>
  <si>
    <t>13861765;bde978bc-66dd-4d7e-ab9e-55fe4392d1b3;;111111118;Vodacom Life 20260324;;;;;DROP;5;2026-05-25</t>
  </si>
  <si>
    <t>13861765;bde978bc-66dd-4d7e-ab9e-55fe4392d1b3;;111111118;Vodacom Life 20260324;;;;;DROP;5;2026-05-25 12:03:35+02;system;2026-03-24 09:54:08+02;2026-03-24 09:54:08+02;;;;;;;;;27634994995;;;;;;;;prepaid life;;;;;</t>
  </si>
  <si>
    <t>ID_699</t>
  </si>
  <si>
    <t>13861856;338b69ee-8434-423d-9562-eeefe74a1954;;111111118;Vodacom Life 20260324;;;;;DNCLIFE;1;2026-03</t>
  </si>
  <si>
    <t>13861856;338b69ee-8434-423d-9562-eeefe74a1954;;111111118;Vodacom Life 20260324;;;;;DNCLIFE;1;2026-03-24 12:40:43+02;Thandile Nokubeni;2026-03-24 09:54:08+02;2026-03-24 09:54:08+02;;;;;;;;;27790182362;;;;;;;;prepaid life;;;;;</t>
  </si>
  <si>
    <t>ID_700</t>
  </si>
  <si>
    <t>13861716;32f6e8b5-f827-4a33-ab65-6cc27e95489f;;111111118;Vodacom Life 20260324;;;;;CU;5;2026-05-23 1</t>
  </si>
  <si>
    <t>13861716;32f6e8b5-f827-4a33-ab65-6cc27e95489f;;111111118;Vodacom Life 20260324;;;;;CU;5;2026-05-23 12:31:42+02;Maureen Ntsoko;2026-03-24 09:54:08+02;2026-03-24 09:54:08+02;;;;;;;;;27792885853;;;;;;;;prepaid life;;;;;</t>
  </si>
  <si>
    <t>ID_701</t>
  </si>
  <si>
    <t>13861766;78ae15f6-82a8-49e5-878e-6648a86d4e3e;;111111118;Vodacom Life 20260324;;;;;DROP;5;2026-05-25</t>
  </si>
  <si>
    <t>13861766;78ae15f6-82a8-49e5-878e-6648a86d4e3e;;111111118;Vodacom Life 20260324;;;;;DROP;5;2026-05-25 12:03:42+02;system;2026-03-24 09:54:08+02;2026-03-24 09:54:08+02;;;;;;;;;27636551215;;;;;;;;prepaid life;;;;;</t>
  </si>
  <si>
    <t>ID_702</t>
  </si>
  <si>
    <t>13861717;56472e3b-12c6-4e3e-97a9-34d8fef05d74;;111111118;Vodacom Life 20260324;;;;;AA;5;2026-05-25 1</t>
  </si>
  <si>
    <t>13861717;56472e3b-12c6-4e3e-97a9-34d8fef05d74;;111111118;Vodacom Life 20260324;;;;;AA;5;2026-05-25 11:55:17+02;system;2026-03-24 09:54:08+02;2026-03-24 09:54:08+02;;;;;;;;;27793055187;;;;;;;;prepaid life;;;;;</t>
  </si>
  <si>
    <t>ID_703</t>
  </si>
  <si>
    <t>13861767;0482bb83-d305-4de2-9111-b4c6cc0ebde4;;111111118;Vodacom Life 20260324;;;;;DROP;5;2026-05-25</t>
  </si>
  <si>
    <t>13861767;0482bb83-d305-4de2-9111-b4c6cc0ebde4;;111111118;Vodacom Life 20260324;;;;;DROP;5;2026-05-25 12:03:42+02;system;2026-03-24 09:54:08+02;2026-03-24 09:54:08+02;;;;;;;;;27647613595;;;;;;;;prepaid life;;;;;</t>
  </si>
  <si>
    <t>ID_704</t>
  </si>
  <si>
    <t xml:space="preserve">13861857;05941b73-352e-4454-8518-116a23fd39ec;;111111118;Vodacom Life 20260324;;;;;ADC;5;2026-05-25 </t>
  </si>
  <si>
    <t>13861857;05941b73-352e-4454-8518-116a23fd39ec;;111111118;Vodacom Life 20260324;;;;;ADC;5;2026-05-25 10:40:03+02;system;2026-03-24 09:54:08+02;2026-03-24 09:54:08+02;;;;;;;;;27790265334;;;;;;;;prepaid life;;;;;</t>
  </si>
  <si>
    <t>ID_705</t>
  </si>
  <si>
    <t>13861718;9c955af6-90cc-44a6-a651-e055546cb1c5;;111111118;Vodacom Life 20260324;;;;;DNQS;4;2026-05-20</t>
  </si>
  <si>
    <t>13861718;9c955af6-90cc-44a6-a651-e055546cb1c5;;111111118;Vodacom Life 20260324;;;;;DNQS;4;2026-05-20 08:41:03+02;Maureen Ntsoko;2026-03-24 09:54:08+02;2026-03-24 09:54:08+02;;;;;;;;;27793136460;;;;;;;;prepaid life;;;;;</t>
  </si>
  <si>
    <t>ID_706</t>
  </si>
  <si>
    <t>13861858;a69e64ab-2212-4d66-ac70-b86feb652b2e;;111111118;Vodacom Life 20260324;;;;;NI;4;2026-05-07 1</t>
  </si>
  <si>
    <t>13861858;a69e64ab-2212-4d66-ac70-b86feb652b2e;;111111118;Vodacom Life 20260324;;;;;NI;4;2026-05-07 11:58:20+02;Maureen Ntsoko;2026-03-24 09:54:08+02;2026-03-24 09:54:08+02;;;;;;;;;27790362896;;;;;;;;prepaid life;;;;;</t>
  </si>
  <si>
    <t>ID_707</t>
  </si>
  <si>
    <t>13861914;2b9eef35-3c42-4be7-91d5-0c0ab67a552d;;111111118;Vodacom Life 20260324;;;27826803004;;IABDN;</t>
  </si>
  <si>
    <t>13861914;2b9eef35-3c42-4be7-91d5-0c0ab67a552d;;111111118;Vodacom Life 20260324;;;27826803004;;IABDN;5;2026-05-20 13:49:41+02;system;2026-03-24 09:54:08+02;2026-03-24 09:54:08+02;;;;;;;;;27826803004;;;;;;;;prepaid life;;;;;</t>
  </si>
  <si>
    <t>ID_708</t>
  </si>
  <si>
    <t>13861859;3101f7b3-40bd-4c00-b0b5-83022b2219ee;;111111118;Vodacom Life 20260324;;;;;CU;5;2026-05-25 1</t>
  </si>
  <si>
    <t>13861859;3101f7b3-40bd-4c00-b0b5-83022b2219ee;;111111118;Vodacom Life 20260324;;;;;CU;5;2026-05-25 11:25:55+02;Khensane Mabasa;2026-03-24 09:54:08+02;2026-03-24 09:54:08+02;;;;;;;;;27790391361;;;;;;;;prepaid life;;;;;</t>
  </si>
  <si>
    <t>ID_709</t>
  </si>
  <si>
    <t>13861768;661c4875-0d86-467d-9058-cfaebbfe05fb;;111111118;Vodacom Life 20260324;;;;;AA;5;2026-05-25 1</t>
  </si>
  <si>
    <t>13861768;661c4875-0d86-467d-9058-cfaebbfe05fb;;111111118;Vodacom Life 20260324;;;;;AA;5;2026-05-25 12:48:17+02;system;2026-03-24 09:54:08+02;2026-03-24 09:54:08+02;;;;;;;;;27647837205;;;;;;;;prepaid life;;;;;</t>
  </si>
  <si>
    <t>ID_710</t>
  </si>
  <si>
    <t>13861769;d8498e80-b1c3-454c-a23e-c8909d51dbcf;;111111118;Vodacom Life 20260324;;;;;AE;5;2026-05-25 1</t>
  </si>
  <si>
    <t>13861769;d8498e80-b1c3-454c-a23e-c8909d51dbcf;;111111118;Vodacom Life 20260324;;;;;AE;5;2026-05-25 12:53:47+02;system;2026-03-24 09:54:08+02;2026-03-24 09:54:08+02;;;;;;;;;27647937776;;;;;;;;prepaid life;;;;;</t>
  </si>
  <si>
    <t>ID_711</t>
  </si>
  <si>
    <t>13861915;de0850d4-fd75-4641-b5f7-9ba9b6ad3a67;;111111118;Vodacom Life 20260324;;;;;AA;5;2026-05-25 1</t>
  </si>
  <si>
    <t>13861915;de0850d4-fd75-4641-b5f7-9ba9b6ad3a67;;111111118;Vodacom Life 20260324;;;;;AA;5;2026-05-25 10:41:03+02;system;2026-03-24 09:54:08+02;2026-03-24 09:54:08+02;;;;;;;;;27826856019;;;;;;;;prepaid life;;;;;</t>
  </si>
  <si>
    <t>ID_712</t>
  </si>
  <si>
    <t>13861770;9f2d98af-2231-4636-b01b-d9b619a84ce6;;111111118;Vodacom Life 20260324;;;;;NA;5;2026-05-25 1</t>
  </si>
  <si>
    <t>13861770;9f2d98af-2231-4636-b01b-d9b619a84ce6;;111111118;Vodacom Life 20260324;;;;;NA;5;2026-05-25 10:41:02+02;system;2026-03-24 09:54:08+02;2026-03-24 09:54:08+02;;;;;;;;;27648442221;;;;;;;;prepaid life;;;;;</t>
  </si>
  <si>
    <t>ID_713</t>
  </si>
  <si>
    <t>13861861;ba8829fa-8d92-4124-88bd-04a9290e2a39;;111111118;Vodacom Life 20260324;;;;;DROP;5;2026-05-25</t>
  </si>
  <si>
    <t>13861861;ba8829fa-8d92-4124-88bd-04a9290e2a39;;111111118;Vodacom Life 20260324;;;;;DROP;5;2026-05-25 11:36:07+02;system;2026-03-24 09:54:08+02;2026-03-24 09:54:08+02;;;;;;;;;27790660824;;;;;;;;prepaid life;;;;;</t>
  </si>
  <si>
    <t>ID_714</t>
  </si>
  <si>
    <t>13861862;a871009e-704a-4abf-b2da-079b4930998f;;111111118;Vodacom Life 20260324;;;;;CBACK;3;2026-04-1</t>
  </si>
  <si>
    <t>13861862;a871009e-704a-4abf-b2da-079b4930998f;;111111118;Vodacom Life 20260324;;;;;CBACK;3;2026-04-15 12:21:33+02;Millicent Motsuku;2026-03-24 09:54:08+02;2026-03-24 09:54:08+02;;;;;;;;;27790687070;;;;;;;;prepaid life;;;;;</t>
  </si>
  <si>
    <t>ID_715</t>
  </si>
  <si>
    <t>13861916;91380cc6-abc2-4293-a163-839c900a25dd;;111111118;Vodacom Life 20260324;;;;;NA;5;2026-05-25 1</t>
  </si>
  <si>
    <t>13861916;91380cc6-abc2-4293-a163-839c900a25dd;;111111118;Vodacom Life 20260324;;;;;NA;5;2026-05-25 10:47:53+02;system;2026-03-24 09:54:08+02;2026-03-24 09:54:08+02;;;;;;;;;27826909432;;;;;;;;prepaid life;;;;;</t>
  </si>
  <si>
    <t>ID_716</t>
  </si>
  <si>
    <t>13861863;ad2c99a1-b74d-4050-9e8c-63d7cdf25959;;111111118;Vodacom Life 20260324;;;;;DROP;5;2026-05-25</t>
  </si>
  <si>
    <t>13861863;ad2c99a1-b74d-4050-9e8c-63d7cdf25959;;111111118;Vodacom Life 20260324;;;;;DROP;5;2026-05-25 11:36:07+02;system;2026-03-24 09:54:08+02;2026-03-24 09:54:08+02;;;;;;;;;27790908092;;;;;;;;prepaid life;;;;;</t>
  </si>
  <si>
    <t>ID_717</t>
  </si>
  <si>
    <t>13861771;dc39a965-391d-4aed-bccb-ef7ed39837b2;;111111118;Vodacom Life 20260324;;;;;CBACK;2;2026-04-1</t>
  </si>
  <si>
    <t>13861771;dc39a965-391d-4aed-bccb-ef7ed39837b2;;111111118;Vodacom Life 20260324;;;;;CBACK;2;2026-04-10 09:11:05+02;Thandile Nokubeni;2026-03-24 09:54:08+02;2026-03-24 09:54:08+02;;;;;;;;;27648466062;;;;;;;;prepaid life;;;;;</t>
  </si>
  <si>
    <t>ID_718</t>
  </si>
  <si>
    <t>13861917;1d41de88-4e98-4836-9f91-2f9e68ae1d30;;111111118;Vodacom Life 20260324;;;;;NI;3;2026-04-15 0</t>
  </si>
  <si>
    <t>13861917;1d41de88-4e98-4836-9f91-2f9e68ae1d30;;111111118;Vodacom Life 20260324;;;;;NI;3;2026-04-15 09:01:32+02;Thandile Nokubeni;2026-03-24 09:54:08+02;2026-03-24 09:54:08+02;;;;;;;;;27826926347;;;;;;;;prepaid life;;;;;</t>
  </si>
  <si>
    <t>ID_719</t>
  </si>
  <si>
    <t>13861772;749b8840-9ef9-4cc5-8c6c-f1033490d474;;111111118;Vodacom Life 20260324;;;27648778661;;CU;5;2</t>
  </si>
  <si>
    <t>13861772;749b8840-9ef9-4cc5-8c6c-f1033490d474;;111111118;Vodacom Life 20260324;;;27648778661;;CU;5;2026-05-23 12:41:06+02;Maureen Ntsoko;2026-03-24 09:54:08+02;2026-03-24 09:54:08+02;;;;;;;;;27648778661;;;;;;;;prepaid life;;;;;</t>
  </si>
  <si>
    <t>ID_720</t>
  </si>
  <si>
    <t>13861864;e55dcff9-21d5-4530-80ac-8f9e661a4ef1;;111111118;Vodacom Life 20260324;;;;;AA;5;2026-05-25 0</t>
  </si>
  <si>
    <t>13861864;e55dcff9-21d5-4530-80ac-8f9e661a4ef1;;111111118;Vodacom Life 20260324;;;;;AA;5;2026-05-25 09:32:55+02;system;2026-03-24 09:54:08+02;2026-03-24 09:54:08+02;;;;;;;;;27791417538;;;;;;;;prepaid life;;;;;</t>
  </si>
  <si>
    <t>ID_721</t>
  </si>
  <si>
    <t>13861918;4bf5740c-9fd2-4937-9a71-f7d8b09b5588;;111111118;Vodacom Life 20260324;;;;;AE;5;2026-05-25 1</t>
  </si>
  <si>
    <t>13861918;4bf5740c-9fd2-4937-9a71-f7d8b09b5588;;111111118;Vodacom Life 20260324;;;;;AE;5;2026-05-25 10:47:54+02;system;2026-03-24 09:54:08+02;2026-03-24 09:54:08+02;;;;;;;;;27827123927;;;;;;;;prepaid life;;;;;</t>
  </si>
  <si>
    <t>ID_722</t>
  </si>
  <si>
    <t>13861773;18ba6be4-cb16-4b9b-93ae-9413204b628c;;111111118;Vodacom Life 20260324;;;;;NIUP;1;2026-03-24</t>
  </si>
  <si>
    <t>13861773;18ba6be4-cb16-4b9b-93ae-9413204b628c;;111111118;Vodacom Life 20260324;;;;;NIUP;1;2026-03-24 12:23:01+02;Millicent Motsuku;2026-03-24 09:54:08+02;2026-03-24 09:54:08+02;;;;;;;;;27649186388;;;;;;;;prepaid life;;;;;</t>
  </si>
  <si>
    <t>ID_723</t>
  </si>
  <si>
    <t xml:space="preserve">13861919;197040dd-7d42-4ff7-8e0e-2a0842596c32;;111111118;Vodacom Life 20260324;;;;;ADC;5;2026-05-25 </t>
  </si>
  <si>
    <t>13861919;197040dd-7d42-4ff7-8e0e-2a0842596c32;;111111118;Vodacom Life 20260324;;;;;ADC;5;2026-05-25 10:47:58+02;system;2026-03-24 09:54:08+02;2026-03-24 09:54:08+02;;;;;;;;;27829041912;;;;;;;;prepaid life;;;;;</t>
  </si>
  <si>
    <t>ID_724</t>
  </si>
  <si>
    <t>13861865;6d354994-cf28-40bd-bd9a-3becf930e342;;111111118;Vodacom Life 20260324;;;27791433135;;CU;6;2</t>
  </si>
  <si>
    <t>13861865;6d354994-cf28-40bd-bd9a-3becf930e342;;111111118;Vodacom Life 20260324;;;27791433135;;CU;6;2026-05-25 09:36:14+02;bongiwe lushaba;2026-03-24 09:54:08+02;2026-03-24 09:54:08+02;;;;;;;;;27791433135;;;;;;;;prepaid life;;;;;</t>
  </si>
  <si>
    <t>ID_725</t>
  </si>
  <si>
    <t>13861920;ea009eb1-08fe-49ff-81aa-b13ef623614e;;111111118;Vodacom Life 20260324;;;;;AE;5;2026-05-25 1</t>
  </si>
  <si>
    <t>13861920;ea009eb1-08fe-49ff-81aa-b13ef623614e;;111111118;Vodacom Life 20260324;;;;;AE;5;2026-05-25 10:48:00+02;system;2026-03-24 09:54:08+02;2026-03-24 09:54:08+02;;;;;;;;;27837420067;;;;;;;;prepaid life;;;;;</t>
  </si>
  <si>
    <t>ID_726</t>
  </si>
  <si>
    <t>13861866;845997e7-780c-46f6-95e2-a64904ae691e;;111111118;Vodacom Life 20260324;;;;;AA;5;2026-05-25 0</t>
  </si>
  <si>
    <t>13861866;845997e7-780c-46f6-95e2-a64904ae691e;;111111118;Vodacom Life 20260324;;;;;AA;5;2026-05-25 09:33:19+02;system;2026-03-24 09:54:08+02;2026-03-24 09:54:08+02;;;;;;;;;27791730608;;;;;;;;prepaid life;;;;;</t>
  </si>
  <si>
    <t>ID_727</t>
  </si>
  <si>
    <t>13861774;12e51c5f-78f0-47ba-ac13-3616a77f1838;;111111118;Vodacom Life 20260324;;;;;CBACK;5;2026-05-2</t>
  </si>
  <si>
    <t>13861774;12e51c5f-78f0-47ba-ac13-3616a77f1838;;111111118;Vodacom Life 20260324;;;;;CBACK;5;2026-05-23 12:41:00+02;Maureen Ntsoko;2026-03-24 09:54:08+02;2026-03-24 09:54:08+02;;;;;;;;;27649328165;;;;;;;;prepaid life;;;;;</t>
  </si>
  <si>
    <t>ID_728</t>
  </si>
  <si>
    <t>13861921;358bb40f-35c2-49ae-b8c8-4767665e6568;;111111118;Vodacom Life 20260324;;;;;A;5;2026-05-25 10</t>
  </si>
  <si>
    <t>13861921;358bb40f-35c2-49ae-b8c8-4767665e6568;;111111118;Vodacom Life 20260324;;;;;A;5;2026-05-25 10:48:02+02;bongiwe lushaba;2026-03-24 09:54:08+02;2026-03-24 09:54:08+02;;;;;;;;;27837946607;;;;;;;;prepaid life;;;;;</t>
  </si>
  <si>
    <t>ID_729</t>
  </si>
  <si>
    <t>13861775;49cfe614-2019-4196-98e9-6cdd5a162ec3;;111111118;Vodacom Life 20260324;;;27660822535;;AFTHRS</t>
  </si>
  <si>
    <t>13861775;49cfe614-2019-4196-98e9-6cdd5a162ec3;;111111118;Vodacom Life 20260324;;;27660822535;;AFTHRS;5;2026-05-25 18:52:15+02;system;2026-03-24 09:54:08+02;2026-03-24 09:54:08+02;;;;;;;;;27660822535;;;;;;;;prepaid life;;;;;</t>
  </si>
  <si>
    <t>ID_730</t>
  </si>
  <si>
    <t>13861776;a451b040-ad06-4575-b962-e40778fce907;;111111118;Vodacom Life 20260324;;;;;DROP;5;2026-05-25</t>
  </si>
  <si>
    <t>13861776;a451b040-ad06-4575-b962-e40778fce907;;111111118;Vodacom Life 20260324;;;;;DROP;5;2026-05-25 11:45:11+02;system;2026-03-24 09:54:08+02;2026-03-24 09:54:08+02;;;;;;;;;27661796358;;;;;;;;prepaid life;;;;;</t>
  </si>
  <si>
    <t>ID_731</t>
  </si>
  <si>
    <t>13861867;f0387f5e-6396-41e6-b2ab-27f378ca04f5;;111111118;Vodacom Life 20260324;;;;;AA;5;2026-05-25 0</t>
  </si>
  <si>
    <t>13861867;f0387f5e-6396-41e6-b2ab-27f378ca04f5;;111111118;Vodacom Life 20260324;;;;;AA;5;2026-05-25 09:33:28+02;system;2026-03-24 09:54:08+02;2026-03-24 09:54:08+02;;;;;;;;;27791930426;;;;;;;;prepaid life;;;;;</t>
  </si>
  <si>
    <t>ID_732</t>
  </si>
  <si>
    <t>13861922;912b43f6-2c24-4652-8490-0500f0fb5edd;;111111118;Vodacom Life 20260324;;;;;AE;5;2026-05-25 0</t>
  </si>
  <si>
    <t>13861922;912b43f6-2c24-4652-8490-0500f0fb5edd;;111111118;Vodacom Life 20260324;;;;;AE;5;2026-05-25 09:35:03+02;system;2026-03-24 09:54:08+02;2026-03-24 09:54:08+02;;;;;;;;;27606172201;;;;;;;;prepaid life;;;;;</t>
  </si>
  <si>
    <t>ID_733</t>
  </si>
  <si>
    <t>13861777;24813850-b39b-4d85-b81a-5ea9918232af;;111111118;Vodacom Life 20260324;;;27662508339;;AFTHRS</t>
  </si>
  <si>
    <t>13861777;24813850-b39b-4d85-b81a-5ea9918232af;;111111118;Vodacom Life 20260324;;;27662508339;;AFTHRS;5;2026-05-24 04:43:17+02;system;2026-03-24 09:54:08+02;2026-03-24 09:54:08+02;;;;;;;;;27662508339;;;;;;;;prepaid life;;;;;</t>
  </si>
  <si>
    <t>ID_734</t>
  </si>
  <si>
    <t>13861923;fd90f0dd-2b87-4080-81a2-4492288b593a;;111111118;Vodacom Life 20260324;;;27606462775;;IABDN;</t>
  </si>
  <si>
    <t>13861923;fd90f0dd-2b87-4080-81a2-4492288b593a;;111111118;Vodacom Life 20260324;;;27606462775;;IABDN;5;2026-05-27 09:28:05+02;system;2026-03-24 09:54:08+02;2026-03-24 09:54:08+02;;;;;;;;;27606462775;;;;;;;;prepaid life;;;;;</t>
  </si>
  <si>
    <t>ID_735</t>
  </si>
  <si>
    <t>13861778;54ded5b4-524f-41ac-8702-7170d62e3825;;111111118;Vodacom Life 20260324;;;;;AA;5;2026-05-25 1</t>
  </si>
  <si>
    <t>13861778;54ded5b4-524f-41ac-8702-7170d62e3825;;111111118;Vodacom Life 20260324;;;;;AA;5;2026-05-25 11:08:58+02;system;2026-03-24 09:54:08+02;2026-03-24 09:54:08+02;;;;;;;;;27662840542;;;;;;;;prepaid life;;;;;</t>
  </si>
  <si>
    <t>ID_736</t>
  </si>
  <si>
    <t>13861868;14a82a07-629d-4293-b894-7fdf21776a8b;;111111118;Vodacom Life 20260324;;;;;U;1;2026-03-24 12</t>
  </si>
  <si>
    <t>13861868;14a82a07-629d-4293-b894-7fdf21776a8b;;111111118;Vodacom Life 20260324;;;;;U;1;2026-03-24 12:43:47+02;Thandile Nokubeni;2026-03-24 09:54:08+02;2026-03-24 09:54:08+02;;;;;;;;;27792778876;;;;;;;;prepaid life;;;;;</t>
  </si>
  <si>
    <t>ID_737</t>
  </si>
  <si>
    <t>13861924;e9cc5050-a25d-4d30-9d0d-ceda14f0b9a3;;111111118;Vodacom Life 20260324;;;;;GTTB;3;2026-04-15</t>
  </si>
  <si>
    <t>13861924;e9cc5050-a25d-4d30-9d0d-ceda14f0b9a3;;111111118;Vodacom Life 20260324;;;;;GTTB;3;2026-04-15 08:58:54+02;Esther Ramalete;2026-03-24 09:54:08+02;2026-03-24 09:54:08+02;;;;;;;;;27606944691;;;;;;;;prepaid life;;;;;</t>
  </si>
  <si>
    <t>ID_738</t>
  </si>
  <si>
    <t>13861869;b3bcf80a-cf85-469f-b96f-686ddcc7d17b;;111111118;Vodacom Life 20260324;;;;;CU;5;2026-05-25 0</t>
  </si>
  <si>
    <t>13861869;b3bcf80a-cf85-469f-b96f-686ddcc7d17b;;111111118;Vodacom Life 20260324;;;;;CU;5;2026-05-25 09:33:36+02;Khensane Mabasa;2026-03-24 09:54:08+02;2026-03-24 09:54:08+02;;;;;;;;;27793331285;;;;;;;;prepaid life;;;;;</t>
  </si>
  <si>
    <t>ID_739</t>
  </si>
  <si>
    <t>13861779;2f2a3191-1675-4917-9669-472eeee62f78;;111111118;Vodacom Life 20260324;;;27663620439;;N;6;20</t>
  </si>
  <si>
    <t>13861779;2f2a3191-1675-4917-9669-472eeee62f78;;111111118;Vodacom Life 20260324;;;27663620439;;N;6;2026-05-07 13:33:28+02;Millicent Motsuku;2026-03-24 09:54:08+02;2026-03-24 09:54:08+02;;;;;;;;;27663620439;;;;;;;;prepaid life;;;;;</t>
  </si>
  <si>
    <t>ID_740</t>
  </si>
  <si>
    <t>13861925;5364acab-a4e1-4cd1-93e9-0502caa7fe48;;111111118;Vodacom Life 20260324;;;;;NI;3;2026-04-15 0</t>
  </si>
  <si>
    <t>13861925;5364acab-a4e1-4cd1-93e9-0502caa7fe48;;111111118;Vodacom Life 20260324;;;;;NI;3;2026-04-15 09:00:04+02;Thandile Nokubeni;2026-03-24 09:54:08+02;2026-03-24 09:54:08+02;;;;;;;;;27607138624;;;;;;;;prepaid life;;;;;</t>
  </si>
  <si>
    <t>ID_741</t>
  </si>
  <si>
    <t>13861926;f54818ff-bc81-40a3-aa0c-ebee840b743b;;111111118;Vodacom Life 20260324;;;;;U;2;2026-04-10 09</t>
  </si>
  <si>
    <t>13861926;f54818ff-bc81-40a3-aa0c-ebee840b743b;;111111118;Vodacom Life 20260324;;;;;U;2;2026-04-10 09:03:04+02;Musiiwa Mary Mabirimisa;2026-03-24 09:54:08+02;2026-03-24 09:54:08+02;;;;;;;;;27607478795;;;;;;;;prepaid life;;;;;</t>
  </si>
  <si>
    <t>ID_742</t>
  </si>
  <si>
    <t>13861780;d9d0b7eb-59d4-47c7-9166-e579e6c66df8;;111111118;Vodacom Life 20260324;;;;;CU;5;2026-05-25 1</t>
  </si>
  <si>
    <t>13861780;d9d0b7eb-59d4-47c7-9166-e579e6c66df8;;111111118;Vodacom Life 20260324;;;;;CU;5;2026-05-25 11:09:03+02;bongiwe lushaba;2026-03-24 09:54:08+02;2026-03-24 09:54:08+02;;;;;;;;;27664318606;;;;;;;;prepaid life;;;;;</t>
  </si>
  <si>
    <t>ID_743</t>
  </si>
  <si>
    <t>13861870;c7233ae0-59f7-4134-adab-9a03803495a1;;111111118;Vodacom Life 20260324;;;;;NI;1;2026-03-24 1</t>
  </si>
  <si>
    <t>13861870;c7233ae0-59f7-4134-adab-9a03803495a1;;111111118;Vodacom Life 20260324;;;;;NI;1;2026-03-24 12:44:21+02;Musiiwa Mary Mabirimisa;2026-03-24 09:54:08+02;2026-03-24 09:54:08+02;;;;;;;;;27793594303;;;;;;;;prepaid life;;;;;</t>
  </si>
  <si>
    <t>ID_744</t>
  </si>
  <si>
    <t>13861927;978beaf2-8a87-4916-854e-38e5404d6d63;;111111118;Vodacom Life 20260324;;;;;AE;5;2026-05-25 0</t>
  </si>
  <si>
    <t>13861927;978beaf2-8a87-4916-854e-38e5404d6d63;;111111118;Vodacom Life 20260324;;;;;AE;5;2026-05-25 09:36:11+02;system;2026-03-24 09:54:08+02;2026-03-24 09:54:08+02;;;;;;;;;27609718316;;;;;;;;prepaid life;;;;;</t>
  </si>
  <si>
    <t>ID_745</t>
  </si>
  <si>
    <t>13861871;7adfff6e-a373-4717-b902-4240fe1be79a;;111111118;Vodacom Life 20260324;;;;;NA;5;2026-05-25 0</t>
  </si>
  <si>
    <t>13861871;7adfff6e-a373-4717-b902-4240fe1be79a;;111111118;Vodacom Life 20260324;;;;;NA;5;2026-05-25 09:33:38+02;system;2026-03-24 09:54:08+02;2026-03-24 09:54:08+02;;;;;;;;;27793606751;;;;;;;;prepaid life;;;;;</t>
  </si>
  <si>
    <t>ID_746</t>
  </si>
  <si>
    <t>13861781;27afa824-26aa-4df6-96e1-eedfa8f2b92b;;111111118;Vodacom Life 20260324;;;;;AA;5;2026-05-25 1</t>
  </si>
  <si>
    <t>13861781;27afa824-26aa-4df6-96e1-eedfa8f2b92b;;111111118;Vodacom Life 20260324;;;;;AA;5;2026-05-25 11:09:22+02;system;2026-03-24 09:54:08+02;2026-03-24 09:54:08+02;;;;;;;;;27664415615;;;;;;;;prepaid life;;;;;</t>
  </si>
  <si>
    <t>ID_747</t>
  </si>
  <si>
    <t>13861928;c500fa7f-fbdc-4f95-b7f1-3a11a7976848;;111111118;Vodacom Life 20260324;;;;;AA;5;2026-05-25 0</t>
  </si>
  <si>
    <t>13861928;c500fa7f-fbdc-4f95-b7f1-3a11a7976848;;111111118;Vodacom Life 20260324;;;;;AA;5;2026-05-25 09:36:11+02;system;2026-03-24 09:54:08+02;2026-03-24 09:54:08+02;;;;;;;;;27613744065;;;;;;;;prepaid life;;;;;</t>
  </si>
  <si>
    <t>ID_748</t>
  </si>
  <si>
    <t>13861782;fe69a1a2-72b2-4dc1-b2dd-ea6c36fa8f8d;;111111118;Vodacom Life 20260324;;;;;CU;5;2026-05-25 1</t>
  </si>
  <si>
    <t>13861782;fe69a1a2-72b2-4dc1-b2dd-ea6c36fa8f8d;;111111118;Vodacom Life 20260324;;;;;CU;5;2026-05-25 11:09:22+02;Maureen Ntsoko;2026-03-24 09:54:08+02;2026-03-24 09:54:08+02;;;;;;;;;27665065367;;;;;;;;prepaid life;;;;;</t>
  </si>
  <si>
    <t>ID_749</t>
  </si>
  <si>
    <t>13861929;635a1fd6-39e7-4c14-b539-016073f07e5a;;111111118;Vodacom Life 20260324;;;;;AA;5;2026-05-25 0</t>
  </si>
  <si>
    <t>13861929;635a1fd6-39e7-4c14-b539-016073f07e5a;;111111118;Vodacom Life 20260324;;;;;AA;5;2026-05-25 09:36:14+02;system;2026-03-24 09:54:08+02;2026-03-24 09:54:08+02;;;;;;;;;27636068010;;;;;;;;prepaid life;;;;;</t>
  </si>
  <si>
    <t>ID_750</t>
  </si>
  <si>
    <t>13861873;26793626-55d0-4d76-bd86-0bbe160adc7c;;111111118;Vodacom Life 20260324;;;;;AA;5;2026-05-23 1</t>
  </si>
  <si>
    <t>13861873;26793626-55d0-4d76-bd86-0bbe160adc7c;;111111118;Vodacom Life 20260324;;;;;AA;5;2026-05-23 12:50:04+02;system;2026-03-24 09:54:08+02;2026-03-24 09:54:08+02;;;;;;;;;27794278505;;;;;;;;prepaid life;;;;;</t>
  </si>
  <si>
    <t>ID_751</t>
  </si>
  <si>
    <t>13861783;1c188e0a-965f-4d13-9deb-cf479c4679c2;;111111118;Vodacom Life 20260324;;;;;AA;5;2026-05-25 1</t>
  </si>
  <si>
    <t>13861783;1c188e0a-965f-4d13-9deb-cf479c4679c2;;111111118;Vodacom Life 20260324;;;;;AA;5;2026-05-25 11:09:22+02;system;2026-03-24 09:54:08+02;2026-03-24 09:54:08+02;;;;;;;;;27673047792;;;;;;;;prepaid life;;;;;</t>
  </si>
  <si>
    <t>ID_752</t>
  </si>
  <si>
    <t>13861930;f4792eb0-4565-4688-af90-0d2bf6ceefd0;;111111118;Vodacom Life 20260324;;;;;AA;5;2026-05-25 0</t>
  </si>
  <si>
    <t>13861930;f4792eb0-4565-4688-af90-0d2bf6ceefd0;;111111118;Vodacom Life 20260324;;;;;AA;5;2026-05-25 09:36:14+02;system;2026-03-24 09:54:08+02;2026-03-24 09:54:08+02;;;;;;;;;27636686431;;;;;;;;prepaid life;;;;;</t>
  </si>
  <si>
    <t>ID_753</t>
  </si>
  <si>
    <t>13861874;c35eb94f-dbf6-4ac0-8912-1dffc25b0e3f;;111111118;Vodacom Life 20260324;;;;;NA;5;2026-05-23 1</t>
  </si>
  <si>
    <t>13861874;c35eb94f-dbf6-4ac0-8912-1dffc25b0e3f;;111111118;Vodacom Life 20260324;;;;;NA;5;2026-05-23 12:50:09+02;system;2026-03-24 09:54:08+02;2026-03-24 09:54:08+02;;;;;;;;;27794330867;;;;;;;;prepaid life;;;;;</t>
  </si>
  <si>
    <t>ID_754</t>
  </si>
  <si>
    <t>13861931;96492631-00e7-428c-9f67-8f73cdd99130;;111111118;Vodacom Life 20260324;;;;;AE;5;2026-05-25 0</t>
  </si>
  <si>
    <t>13861931;96492631-00e7-428c-9f67-8f73cdd99130;;111111118;Vodacom Life 20260324;;;;;AE;5;2026-05-25 09:36:14+02;system;2026-03-24 09:54:08+02;2026-03-24 09:54:08+02;;;;;;;;;27647469922;;;;;;;;prepaid life;;;;;</t>
  </si>
  <si>
    <t>ID_755</t>
  </si>
  <si>
    <t>13861875;1da52bf2-27dc-4a5b-bd81-fe0effef91d6;;111111118;Vodacom Life 20260324;;;;;AA;5;2026-05-25 0</t>
  </si>
  <si>
    <t>13861875;1da52bf2-27dc-4a5b-bd81-fe0effef91d6;;111111118;Vodacom Life 20260324;;;;;AA;5;2026-05-25 09:34:05+02;system;2026-03-24 09:54:08+02;2026-03-24 09:54:08+02;;;;;;;;;27794729343;;;;;;;;prepaid life;;;;;</t>
  </si>
  <si>
    <t>ID_756</t>
  </si>
  <si>
    <t>13861784;a100af1d-45ca-46b7-ab2b-2733e12e337a;;111111118;Vodacom Life 20260324;;;;;CU;5;2026-05-07 1</t>
  </si>
  <si>
    <t>13861784;a100af1d-45ca-46b7-ab2b-2733e12e337a;;111111118;Vodacom Life 20260324;;;;;CU;5;2026-05-07 15:53:51+02;Khensane Mabasa;2026-03-24 09:54:08+02;2026-03-24 09:54:08+02;;;;;;;;;27673417685;;;;;;;;prepaid life;;;;;</t>
  </si>
  <si>
    <t>ID_757</t>
  </si>
  <si>
    <t>13861932;82901c50-2cfd-48fd-8acb-285279b3b0c9;;111111118;Vodacom Life 20260324;;;;;NI;3;2026-04-15 0</t>
  </si>
  <si>
    <t>13861932;82901c50-2cfd-48fd-8acb-285279b3b0c9;;111111118;Vodacom Life 20260324;;;;;NI;3;2026-04-15 08:58:56+02;Musiiwa Mary Mabirimisa;2026-03-24 09:54:08+02;2026-03-24 09:54:08+02;;;;;;;;;27647705235;;;;;;;;prepaid life;;;;;</t>
  </si>
  <si>
    <t>ID_758</t>
  </si>
  <si>
    <t>13861785;60d4c37c-c5c2-413f-a742-8e4705deebe1;;111111118;Vodacom Life 20260324;;;;;DNQS;3;2026-04-13</t>
  </si>
  <si>
    <t>13861785;60d4c37c-c5c2-413f-a742-8e4705deebe1;;111111118;Vodacom Life 20260324;;;;;DNQS;3;2026-04-13 15:07:52+02;Thandile Nokubeni;2026-03-24 09:54:08+02;2026-03-24 09:54:08+02;;;;;;;;;27674760621;;;;;;;;prepaid life;;;;;</t>
  </si>
  <si>
    <t>ID_759</t>
  </si>
  <si>
    <t>13861876;91b3e8f2-bcb8-488f-8b6a-e187b7d95529;;111111118;Vodacom Life 20260324;;;27795370012;;IABDN;</t>
  </si>
  <si>
    <t>13861876;91b3e8f2-bcb8-488f-8b6a-e187b7d95529;;111111118;Vodacom Life 20260324;;;27795370012;;IABDN;5;2026-05-27 08:43:28+02;system;2026-03-24 09:54:08+02;2026-03-24 09:54:08+02;;;;;;;;;27795370012;;;;;;;;prepaid life;;;;;</t>
  </si>
  <si>
    <t>ID_760</t>
  </si>
  <si>
    <t>13861933;9ab5a8f9-30d1-4582-99f0-7ced846fde74;;111111118;Vodacom Life 20260324;;;;;DROP;5;2026-05-23</t>
  </si>
  <si>
    <t>13861933;9ab5a8f9-30d1-4582-99f0-7ced846fde74;;111111118;Vodacom Life 20260324;;;;;DROP;5;2026-05-23 12:54:03+02;system;2026-03-24 09:54:08+02;2026-03-24 09:54:08+02;;;;;;;;;27648112252;;;;;;;;prepaid life;;;;;</t>
  </si>
  <si>
    <t>ID_761</t>
  </si>
  <si>
    <t>13861786;caebfe21-3fc7-4335-a482-e0faa6b96f1f;;111111118;Vodacom Life 20260324;;;;;AE;5;2026-05-25 1</t>
  </si>
  <si>
    <t>13861786;caebfe21-3fc7-4335-a482-e0faa6b96f1f;;111111118;Vodacom Life 20260324;;;;;AE;5;2026-05-25 11:09:23+02;system;2026-03-24 09:54:08+02;2026-03-24 09:54:08+02;;;;;;;;;27710841974;;;;;;;;prepaid life;;;;;</t>
  </si>
  <si>
    <t>ID_762</t>
  </si>
  <si>
    <t>13861934;7bd41a2a-fe1b-435b-b78e-502dda73435f;;111111118;Vodacom Life 20260324;;;;;AA;5;2026-05-25 0</t>
  </si>
  <si>
    <t>13861934;7bd41a2a-fe1b-435b-b78e-502dda73435f;;111111118;Vodacom Life 20260324;;;;;AA;5;2026-05-25 09:38:27+02;system;2026-03-24 09:54:08+02;2026-03-24 09:54:08+02;;;;;;;;;27648147188;;;;;;;;prepaid life;;;;;</t>
  </si>
  <si>
    <t>ID_763</t>
  </si>
  <si>
    <t>13861787;89ae830e-33fe-467c-a03f-77ffab81f52d;;111111118;Vodacom Life 20260324;;;;;DROP;5;2026-05-25</t>
  </si>
  <si>
    <t>13861787;89ae830e-33fe-467c-a03f-77ffab81f52d;;111111118;Vodacom Life 20260324;;;;;DROP;5;2026-05-25 11:09:23+02;system;2026-03-24 09:54:08+02;2026-03-24 09:54:08+02;;;;;;;;;27711151667;;;;;;;;prepaid life;;;;;</t>
  </si>
  <si>
    <t>ID_764</t>
  </si>
  <si>
    <t>13861878;fecbe450-03f9-4ecc-a1a2-79025cb4f28e;;111111118;Vodacom Life 20260324;;;;;AA;5;2026-05-25 1</t>
  </si>
  <si>
    <t>13861878;fecbe450-03f9-4ecc-a1a2-79025cb4f28e;;111111118;Vodacom Life 20260324;;;;;AA;5;2026-05-25 11:36:52+02;system;2026-03-24 09:54:08+02;2026-03-24 09:54:08+02;;;;;;;;;27795647336;;;;;;;;prepaid life;;;;;</t>
  </si>
  <si>
    <t>ID_765</t>
  </si>
  <si>
    <t>13861935;ec2704d9-835b-44ef-a9ea-766677c448ea;;111111118;Vodacom Life 20260324;;;;;CBACK;4;2026-05-1</t>
  </si>
  <si>
    <t>13861935;ec2704d9-835b-44ef-a9ea-766677c448ea;;111111118;Vodacom Life 20260324;;;;;CBACK;4;2026-05-19 13:58:42+02;Khensane Mabasa;2026-03-24 09:54:08+02;2026-03-24 09:54:08+02;;;;;;;;;27648284570;;;;;;;;prepaid life;;;;;</t>
  </si>
  <si>
    <t>ID_766</t>
  </si>
  <si>
    <t>13861879;78918e81-6c39-4f74-975c-ed668770275b;;111111118;Vodacom Life 20260324;;;;;AA;5;2026-05-25 1</t>
  </si>
  <si>
    <t>13861879;78918e81-6c39-4f74-975c-ed668770275b;;111111118;Vodacom Life 20260324;;;;;AA;5;2026-05-25 11:36:52+02;system;2026-03-24 09:54:08+02;2026-03-24 09:54:08+02;;;;;;;;;27795988806;;;;;;;;prepaid life;;;;;</t>
  </si>
  <si>
    <t>ID_767</t>
  </si>
  <si>
    <t>13861788;f64040a7-8a84-43e7-84f2-8f6535288e8e;;111111118;Vodacom Life 20260324;;;27711933609;;CU;5;2</t>
  </si>
  <si>
    <t>13861788;f64040a7-8a84-43e7-84f2-8f6535288e8e;;111111118;Vodacom Life 20260324;;;27711933609;;CU;5;2026-05-25 11:09:52+02;Maureen Ntsoko;2026-03-24 09:54:08+02;2026-03-24 09:54:08+02;;;;;;;;;27711933609;;;;;;;;prepaid life;;;;;</t>
  </si>
  <si>
    <t>ID_768</t>
  </si>
  <si>
    <t>13861936;69d74c00-ce92-4ddf-8ab6-194addbe0e56;;111111118;Vodacom Life 20260324;;;27648837787;;A;6;20</t>
  </si>
  <si>
    <t>13861936;69d74c00-ce92-4ddf-8ab6-194addbe0e56;;111111118;Vodacom Life 20260324;;;27648837787;;A;6;2026-05-20 08:53:48+02;bongiwe lushaba;2026-03-24 09:54:08+02;2026-03-24 09:54:08+02;;;;;;;;;27648837787;;;;;;;;prepaid life;;;;;</t>
  </si>
  <si>
    <t>ID_769</t>
  </si>
  <si>
    <t>13861789;00b3df10-5d90-4164-a342-954dcc5a3270;;111111118;Vodacom Life 20260324;;;;;NI;1;2026-03-24 1</t>
  </si>
  <si>
    <t>13861789;00b3df10-5d90-4164-a342-954dcc5a3270;;111111118;Vodacom Life 20260324;;;;;NI;1;2026-03-24 12:25:45+02;Musiiwa Mary Mabirimisa;2026-03-24 09:54:08+02;2026-03-24 09:54:08+02;;;;;;;;;27712356125;;;;;;;;prepaid life;;;;;</t>
  </si>
  <si>
    <t>ID_770</t>
  </si>
  <si>
    <t>13861880;49bc2c49-f150-4b2b-9b9a-837ca3d989a5;;111111118;Vodacom Life 20260324;;;;;AA;5;2026-05-25 1</t>
  </si>
  <si>
    <t>13861880;49bc2c49-f150-4b2b-9b9a-837ca3d989a5;;111111118;Vodacom Life 20260324;;;;;AA;5;2026-05-25 14:35:52+02;system;2026-03-24 09:54:08+02;2026-03-24 09:54:08+02;;;;;;;;;27796033943;;;;;;;;prepaid life;;;;;</t>
  </si>
  <si>
    <t>ID_771</t>
  </si>
  <si>
    <t xml:space="preserve">13861881;ee7d3563-1733-406c-903f-0ea472136b4b;;111111118;Vodacom Life 20260324;;;;;ADC;5;2026-05-25 </t>
  </si>
  <si>
    <t>13861881;ee7d3563-1733-406c-903f-0ea472136b4b;;111111118;Vodacom Life 20260324;;;;;ADC;5;2026-05-25 12:52:58+02;system;2026-03-24 09:54:08+02;2026-03-24 09:54:08+02;;;;;;;;;27796236414;;;;;;;;prepaid life;;;;;</t>
  </si>
  <si>
    <t>ID_772</t>
  </si>
  <si>
    <t>13861937;cf317766-40fa-418e-bca2-a35cdbf12067;;111111118;Vodacom Life 20260324;;;;;AA;5;2026-05-25 0</t>
  </si>
  <si>
    <t>13861937;cf317766-40fa-418e-bca2-a35cdbf12067;;111111118;Vodacom Life 20260324;;;;;AA;5;2026-05-25 09:39:16+02;system;2026-03-24 09:54:08+02;2026-03-24 09:54:08+02;;;;;;;;;27648847914;;;;;;;;prepaid life;;;;;</t>
  </si>
  <si>
    <t>ID_773</t>
  </si>
  <si>
    <t>13861882;60b09cce-5ec5-42bb-a193-416205527aea;;111111118;Vodacom Life 20260324;;;;;CBACK;1;2026-03-2</t>
  </si>
  <si>
    <t>13861882;60b09cce-5ec5-42bb-a193-416205527aea;;111111118;Vodacom Life 20260324;;;;;CBACK;1;2026-03-24 12:47:08+02;Thandile Nokubeni;2026-03-24 09:54:08+02;2026-03-24 09:54:08+02;;;;;;;;;27796384684;;;;;;;;prepaid life;;;;;</t>
  </si>
  <si>
    <t>ID_774</t>
  </si>
  <si>
    <t>13861790;9d8cefbc-aada-4fc1-895d-db86e717cd11;;111111118;Vodacom Life 20260324;;;;;DROP;5;2026-05-25</t>
  </si>
  <si>
    <t>13861790;9d8cefbc-aada-4fc1-895d-db86e717cd11;;111111118;Vodacom Life 20260324;;;;;DROP;5;2026-05-25 11:09:27+02;system;2026-03-24 09:54:08+02;2026-03-24 09:54:08+02;;;;;;;;;27712812557;;;;;;;;prepaid life;;;;;</t>
  </si>
  <si>
    <t>ID_775</t>
  </si>
  <si>
    <t>13861938;7a871a86-3e91-42d4-a07c-bbc547b77f67;;111111118;Vodacom Life 20260324;;;;;NA;5;2026-05-25 1</t>
  </si>
  <si>
    <t>13861938;7a871a86-3e91-42d4-a07c-bbc547b77f67;;111111118;Vodacom Life 20260324;;;;;NA;5;2026-05-25 10:48:10+02;system;2026-03-24 09:54:08+02;2026-03-24 09:54:08+02;;;;;;;;;27649738058;;;;;;;;prepaid life;;;;;</t>
  </si>
  <si>
    <t>ID_776</t>
  </si>
  <si>
    <t>13861792;c06b68e9-5b41-4183-91b3-7632654da7dd;;111111118;Vodacom Life 20260324;;;;;CBACK;2;2026-04-0</t>
  </si>
  <si>
    <t>13861792;c06b68e9-5b41-4183-91b3-7632654da7dd;;111111118;Vodacom Life 20260324;;;;;CBACK;2;2026-04-09 16:31:24+02;Mahlatse Manamela;2026-03-24 09:54:08+02;2026-03-24 09:54:08+02;;;;;;;;;27714283689;;;;;;;;prepaid life;;;;;</t>
  </si>
  <si>
    <t>ID_777</t>
  </si>
  <si>
    <t>13861883;889d5adc-2b9c-4a63-9401-b9f62d27f4ec;;111111118;Vodacom Life 20260324;;;27796563532;;CU;5;2</t>
  </si>
  <si>
    <t>13861883;889d5adc-2b9c-4a63-9401-b9f62d27f4ec;;111111118;Vodacom Life 20260324;;;27796563532;;CU;5;2026-05-25 14:31:25+02;bongiwe lushaba;2026-03-24 09:54:08+02;2026-03-24 09:54:08+02;;;;;;;;;27796563532;;;;;;;;prepaid life;;;;;</t>
  </si>
  <si>
    <t>ID_778</t>
  </si>
  <si>
    <t>13861939;4e1da33d-b75f-4f43-b1e0-6d150408386f;;111111118;Vodacom Life 20260324;;;;;CU;5;2026-05-25 1</t>
  </si>
  <si>
    <t>13861939;4e1da33d-b75f-4f43-b1e0-6d150408386f;;111111118;Vodacom Life 20260324;;;;;CU;5;2026-05-25 10:48:34+02;bongiwe lushaba;2026-03-24 09:54:08+02;2026-03-24 09:54:08+02;;;;;;;;;27660011182;;;;;;;;prepaid life;;;;;</t>
  </si>
  <si>
    <t>ID_779</t>
  </si>
  <si>
    <t>13861884;248f2f73-a488-4e6a-bbf2-257b447a184d;;111111118;Vodacom Life 20260324;;;27796604441;;IABDN;</t>
  </si>
  <si>
    <t>13861884;248f2f73-a488-4e6a-bbf2-257b447a184d;;111111118;Vodacom Life 20260324;;;27796604441;;IABDN;5;2026-05-25 11:51:49+02;system;2026-03-24 09:54:08+02;2026-03-24 09:54:08+02;;;;;;;;;27796604441;;;;;;;;prepaid life;;;;;</t>
  </si>
  <si>
    <t>ID_780</t>
  </si>
  <si>
    <t>13861885;9aaf51cd-aeba-41c3-ad95-4ab051e651b4;;111111118;Vodacom Life 20260324;;;;;AA;5;2026-05-25 1</t>
  </si>
  <si>
    <t>13861885;9aaf51cd-aeba-41c3-ad95-4ab051e651b4;;111111118;Vodacom Life 20260324;;;;;AA;5;2026-05-25 11:50:20+02;system;2026-03-24 09:54:08+02;2026-03-24 09:54:08+02;;;;;;;;;27797073446;;;;;;;;prepaid life;;;;;</t>
  </si>
  <si>
    <t>ID_781</t>
  </si>
  <si>
    <t>13861793;6b20b7c6-e442-4bae-a03f-f5c2a19e8991;;111111118;Vodacom Life 20260324;;;;;CBACK;2;2026-04-0</t>
  </si>
  <si>
    <t>13861793;6b20b7c6-e442-4bae-a03f-f5c2a19e8991;;111111118;Vodacom Life 20260324;;;;;CBACK;2;2026-04-09 16:33:25+02;Mahlatse Manamela;2026-03-24 09:54:08+02;2026-03-24 09:54:08+02;;;;;;;;;27714569813;;;;;;;;prepaid life;;;;;</t>
  </si>
  <si>
    <t>ID_782</t>
  </si>
  <si>
    <t>13861940;b24a2c57-1b05-48e9-a1d6-c45c8df1a70e;;111111118;Vodacom Life 20260324;;;27660191238;;CU;5;2</t>
  </si>
  <si>
    <t>13861940;b24a2c57-1b05-48e9-a1d6-c45c8df1a70e;;111111118;Vodacom Life 20260324;;;27660191238;;CU;5;2026-05-25 14:59:22+02;Khensane Mabasa;2026-03-24 09:54:08+02;2026-03-24 09:54:08+02;;;;;;;;;27660191238;;;;;;;;prepaid life;;;;;</t>
  </si>
  <si>
    <t>ID_783</t>
  </si>
  <si>
    <t>13861794;413f3c25-6bd4-44c0-9b7b-31f4f260f60e;;111111118;Vodacom Life 20260324;;;27714880669;;IABDN;</t>
  </si>
  <si>
    <t>13861794;413f3c25-6bd4-44c0-9b7b-31f4f260f60e;;111111118;Vodacom Life 20260324;;;27714880669;;IABDN;5;2026-05-23 12:42:59+02;system;2026-03-24 09:54:08+02;2026-03-24 09:54:08+02;;;;;;;;;27714880669;;;;;;;;prepaid life;;;;;</t>
  </si>
  <si>
    <t>ID_784</t>
  </si>
  <si>
    <t>13861886;f416b3e1-32a0-45a6-90d3-639c0198302f;;111111118;Vodacom Life 20260324;;;;;NI;2;2026-04-09 1</t>
  </si>
  <si>
    <t>13861886;f416b3e1-32a0-45a6-90d3-639c0198302f;;111111118;Vodacom Life 20260324;;;;;NI;2;2026-04-09 15:55:04+02;Thandile Nokubeni;2026-03-24 09:54:08+02;2026-03-24 09:54:08+02;;;;;;;;;27797420744;;;;;;;;prepaid life;;;;;</t>
  </si>
  <si>
    <t>ID_785</t>
  </si>
  <si>
    <t>13861941;bba47258-4992-4a6b-a990-0a85c5c2a49d;;111111118;Vodacom Life 20260324;;;27661002032;;AE;5;2</t>
  </si>
  <si>
    <t>13861941;bba47258-4992-4a6b-a990-0a85c5c2a49d;;111111118;Vodacom Life 20260324;;;27661002032;;AE;5;2026-05-25 10:48:34+02;system;2026-03-24 09:54:08+02;2026-03-24 09:54:08+02;;;;;;;;;27661002032;;;;;;;;prepaid life;;;;;</t>
  </si>
  <si>
    <t>ID_786</t>
  </si>
  <si>
    <t>13861887;84144901-dbcd-406c-b190-c1431c8414c6;;111111118;Vodacom Life 20260324;;;;;AA;5;2026-05-25 1</t>
  </si>
  <si>
    <t>13861887;84144901-dbcd-406c-b190-c1431c8414c6;;111111118;Vodacom Life 20260324;;;;;AA;5;2026-05-25 10:46:36+02;system;2026-03-24 09:54:08+02;2026-03-24 09:54:08+02;;;;;;;;;27797432467;;;;;;;;prepaid life;;;;;</t>
  </si>
  <si>
    <t>ID_787</t>
  </si>
  <si>
    <t>13861795;d779b8c6-de97-430d-ab7a-69e7374a36cb;;111111118;Vodacom Life 20260324;;;;;AA;5;2026-05-23 1</t>
  </si>
  <si>
    <t>13861795;d779b8c6-de97-430d-ab7a-69e7374a36cb;;111111118;Vodacom Life 20260324;;;;;AA;5;2026-05-23 12:42:16+02;system;2026-03-24 09:54:08+02;2026-03-24 09:54:08+02;;;;;;;;;27714958444;;;;;;;;prepaid life;;;;;</t>
  </si>
  <si>
    <t>ID_788</t>
  </si>
  <si>
    <t>13861942;147d190f-87b7-4ce6-aef2-be5080c9200d;;111111118;Vodacom Life 20260324;;;;;AA;5;2026-05-25 1</t>
  </si>
  <si>
    <t>13861942;147d190f-87b7-4ce6-aef2-be5080c9200d;;111111118;Vodacom Life 20260324;;;;;AA;5;2026-05-25 12:44:02+02;system;2026-03-24 09:54:08+02;2026-03-24 09:54:08+02;;;;;;;;;27662215099;;;;;;;;prepaid life;;;;;</t>
  </si>
  <si>
    <t>ID_789</t>
  </si>
  <si>
    <t>13861796;697599e0-102e-470f-89cb-267cce50c4b9;;111111118;Vodacom Life 20260324;;;;;AA;5;2026-05-23 1</t>
  </si>
  <si>
    <t>13861796;697599e0-102e-470f-89cb-267cce50c4b9;;111111118;Vodacom Life 20260324;;;;;AA;5;2026-05-23 12:42:16+02;system;2026-03-24 09:54:08+02;2026-03-24 09:54:08+02;;;;;;;;;27715342820;;;;;;;;prepaid life;;;;;</t>
  </si>
  <si>
    <t>ID_790</t>
  </si>
  <si>
    <t>13861797;edb64211-a671-4f34-9417-597b42b2048a;;111111118;Vodacom Life 20260324;;;;;CU;5;2026-05-23 1</t>
  </si>
  <si>
    <t>13861797;edb64211-a671-4f34-9417-597b42b2048a;;111111118;Vodacom Life 20260324;;;;;CU;5;2026-05-23 12:42:19+02;Maureen Ntsoko;2026-03-24 09:54:08+02;2026-03-24 09:54:08+02;;;;;;;;;27716248754;;;;;;;;prepaid life;;;;;</t>
  </si>
  <si>
    <t>ID_791</t>
  </si>
  <si>
    <t>13861943;fa7c14ac-449e-46dd-bc8b-ff47d5b7363a;;111111118;Vodacom Life 20260324;;;;;AA;5;2026-05-25 1</t>
  </si>
  <si>
    <t>13861943;fa7c14ac-449e-46dd-bc8b-ff47d5b7363a;;111111118;Vodacom Life 20260324;;;;;AA;5;2026-05-25 11:59:26+02;system;2026-03-24 09:54:08+02;2026-03-24 09:54:08+02;;;;;;;;;27663738938;;;;;;;;prepaid life;;;;;</t>
  </si>
  <si>
    <t>ID_792</t>
  </si>
  <si>
    <t>13861888;62907315-2d15-4132-ae38-3b7a4a60a5a4;;111111118;Vodacom Life 20260324;;;;;AF;3;2026-04-14 1</t>
  </si>
  <si>
    <t>13861888;62907315-2d15-4132-ae38-3b7a4a60a5a4;;111111118;Vodacom Life 20260324;;;;;AF;3;2026-04-14 15:10:46+02;Musiiwa Mary Mabirimisa;2026-03-24 09:54:08+02;2026-03-24 09:54:08+02;;;;;;;;;27797566086;;;;;;;;prepaid life;;;;;</t>
  </si>
  <si>
    <t>ID_793</t>
  </si>
  <si>
    <t>13861944;f0520019-d797-40f1-a600-4163d23c5975;;111111118;Vodacom Life 20260324;;;;;U;5;2026-05-25 11</t>
  </si>
  <si>
    <t>13861944;f0520019-d797-40f1-a600-4163d23c5975;;111111118;Vodacom Life 20260324;;;;;U;5;2026-05-25 11:59:26+02;bongiwe lushaba;2026-03-24 09:54:08+02;2026-03-24 09:54:08+02;;;;;;;;;27663771502;;;;;;;;prepaid life;;;;;</t>
  </si>
  <si>
    <t>ID_794</t>
  </si>
  <si>
    <t>13861889;92f9a0a2-85a4-4230-9ac0-677934bfb7ae;;111111118;Vodacom Life 20260324;;;;;CBACK;5;2026-05-1</t>
  </si>
  <si>
    <t>13861889;92f9a0a2-85a4-4230-9ac0-677934bfb7ae;;111111118;Vodacom Life 20260324;;;;;CBACK;5;2026-05-12 13:15:48+02;Siyabonga Khoza;2026-03-24 09:54:08+02;2026-03-24 09:54:08+02;;;;;;;;;27798387915;;;;;;;;prepaid life;;;;;</t>
  </si>
  <si>
    <t>ID_795</t>
  </si>
  <si>
    <t>13861798;0444310e-8e6c-45ee-8b08-d59571c540f0;;111111118;Vodacom Life 20260324;;;;;DNQS;1;2026-03-24</t>
  </si>
  <si>
    <t>13861798;0444310e-8e6c-45ee-8b08-d59571c540f0;;111111118;Vodacom Life 20260324;;;;;DNQS;1;2026-03-24 12:27:20+02;Maureen Ntsoko;2026-03-24 09:54:08+02;2026-03-24 09:54:08+02;;;;;;;;;27716425940;;;;;;;;prepaid life;;;;;</t>
  </si>
  <si>
    <t>ID_796</t>
  </si>
  <si>
    <t>13861945;4bd03e6d-5eb2-421a-848a-2366fb0f90d5;;111111118;Vodacom Life 20260324;;;27665036238;;AA;5;2</t>
  </si>
  <si>
    <t>13861945;4bd03e6d-5eb2-421a-848a-2366fb0f90d5;;111111118;Vodacom Life 20260324;;;27665036238;;AA;5;2026-05-25 10:47:59+02;system;2026-03-24 09:54:08+02;2026-03-24 09:54:08+02;;;;;;;;;27665036238;;;;;;;;prepaid life;;;;;</t>
  </si>
  <si>
    <t>ID_797</t>
  </si>
  <si>
    <t>13861799;2deb77d5-d0bb-4762-a28b-4c41c61b6458;;111111118;Vodacom Life 20260324;;;;;AA;5;2026-05-23 1</t>
  </si>
  <si>
    <t>13861799;2deb77d5-d0bb-4762-a28b-4c41c61b6458;;111111118;Vodacom Life 20260324;;;;;AA;5;2026-05-23 12:42:21+02;system;2026-03-24 09:54:08+02;2026-03-24 09:54:08+02;;;;;;;;;27716518613;;;;;;;;prepaid life;;;;;</t>
  </si>
  <si>
    <t>ID_798</t>
  </si>
  <si>
    <t>13861800;38f0499d-79a2-46dc-9fb7-34bdf42cf04a;;111111118;Vodacom Life 20260324;;;;;AF;1;2026-03-24 1</t>
  </si>
  <si>
    <t>13861800;38f0499d-79a2-46dc-9fb7-34bdf42cf04a;;111111118;Vodacom Life 20260324;;;;;AF;1;2026-03-24 12:27:30+02;Thandile Nokubeni;2026-03-24 09:54:08+02;2026-03-24 09:54:08+02;;;;;;;;;27716834574;;;;;;;;prepaid life;;;;;</t>
  </si>
  <si>
    <t>ID_799</t>
  </si>
  <si>
    <t>13861946;d3fcb328-d0e9-4e66-8069-f0a4d9afacd3;;111111118;Vodacom Life 20260324;;;;;AE;5;2026-05-25 1</t>
  </si>
  <si>
    <t>13861946;d3fcb328-d0e9-4e66-8069-f0a4d9afacd3;;111111118;Vodacom Life 20260324;;;;;AE;5;2026-05-25 11:59:39+02;system;2026-03-24 09:54:08+02;2026-03-24 09:54:08+02;;;;;;;;;27665454386;;;;;;;;prepaid life;;;;;</t>
  </si>
  <si>
    <t>ID_800</t>
  </si>
  <si>
    <t>13861947;f1646ce1-776a-48b9-a27e-3dd310df3d03;;111111118;Vodacom Life 20260324;;;;;NI;3;2026-04-15 0</t>
  </si>
  <si>
    <t>13861947;f1646ce1-776a-48b9-a27e-3dd310df3d03;;111111118;Vodacom Life 20260324;;;;;NI;3;2026-04-15 08:58:21+02;Thandile Nokubeni;2026-03-24 09:54:08+02;2026-03-24 09:54:08+02;;;;;;;;;27674575567;;;;;;;;prepaid life;;;;;</t>
  </si>
  <si>
    <t>ID_801</t>
  </si>
  <si>
    <t>13861891;ce4fa339-c3f0-45f8-83fc-d207aec63db7;;111111118;Vodacom Life 20260324;;;;;AA;5;2026-05-23 1</t>
  </si>
  <si>
    <t>13861891;ce4fa339-c3f0-45f8-83fc-d207aec63db7;;111111118;Vodacom Life 20260324;;;;;AA;5;2026-05-23 12:52:31+02;system;2026-03-24 09:54:08+02;2026-03-24 09:54:08+02;;;;;;;;;27798723665;;;;;;;;prepaid life;;;;;</t>
  </si>
  <si>
    <t>ID_802</t>
  </si>
  <si>
    <t xml:space="preserve">13861801;7f83343c-e8d1-4826-95ce-634835c05322;;111111118;Vodacom Life 20260324;;;;;OAL;3;2026-04-10 </t>
  </si>
  <si>
    <t>13861801;7f83343c-e8d1-4826-95ce-634835c05322;;111111118;Vodacom Life 20260324;;;;;OAL;3;2026-04-10 09:35:55+02;Thandile Nokubeni;2026-03-24 09:54:08+02;2026-03-24 09:54:08+02;;;;;;;;;27716884245;;;;;;;;prepaid life;;;;;</t>
  </si>
  <si>
    <t>ID_803</t>
  </si>
  <si>
    <t>13861948;ecc9d27b-18fe-4b3c-9feb-4b6988310f33;;111111118;Vodacom Life 20260324;;;;;CBACK;1;2026-03-2</t>
  </si>
  <si>
    <t>13861948;ecc9d27b-18fe-4b3c-9feb-4b6988310f33;;111111118;Vodacom Life 20260324;;;;;CBACK;1;2026-03-24 14:33:22+02;Esther Ramalete;2026-03-24 09:54:08+02;2026-03-24 09:54:08+02;;;;;;;;;27691960125;;;;;;;;prepaid life;;;;;</t>
  </si>
  <si>
    <t>ID_804</t>
  </si>
  <si>
    <t>13861802;2fa57fe9-32f7-4178-b2cb-d1907583babd;;111111118;Vodacom Life 20260324;;;;;AE;5;2026-05-23 1</t>
  </si>
  <si>
    <t>13861802;2fa57fe9-32f7-4178-b2cb-d1907583babd;;111111118;Vodacom Life 20260324;;;;;AE;5;2026-05-23 12:49:24+02;system;2026-03-24 09:54:08+02;2026-03-24 09:54:08+02;;;;;;;;;27717009789;;;;;;;;prepaid life;;;;;</t>
  </si>
  <si>
    <t>ID_805</t>
  </si>
  <si>
    <t>13861950;9694d0cb-27ff-41ff-84e9-d9c36c8b1f00;;111111118;Vodacom Life 20260324;;;;;AE;5;2026-05-25 1</t>
  </si>
  <si>
    <t>13861950;9694d0cb-27ff-41ff-84e9-d9c36c8b1f00;;111111118;Vodacom Life 20260324;;;;;AE;5;2026-05-25 11:59:39+02;system;2026-03-24 09:54:08+02;2026-03-24 09:54:08+02;;;;;;;;;27711320580;;;;;;;;prepaid life;;;;;</t>
  </si>
  <si>
    <t>ID_806</t>
  </si>
  <si>
    <t>13861951;f2118993-32d2-49e3-acd0-8ef28d82e3ea;;111111118;Vodacom Life 20260324;;;;;AE;5;2026-05-25 1</t>
  </si>
  <si>
    <t>13861951;f2118993-32d2-49e3-acd0-8ef28d82e3ea;;111111118;Vodacom Life 20260324;;;;;AE;5;2026-05-25 11:59:39+02;system;2026-03-24 09:54:08+02;2026-03-24 09:54:08+02;;;;;;;;;27711866511;;;;;;;;prepaid life;;;;;</t>
  </si>
  <si>
    <t>ID_807</t>
  </si>
  <si>
    <t>13861893;2bf54950-99eb-4a44-870b-15d0a5b3b3e0;;111111118;Vodacom Life 20260324;;;;;NI;4;2026-05-07 1</t>
  </si>
  <si>
    <t>13861893;2bf54950-99eb-4a44-870b-15d0a5b3b3e0;;111111118;Vodacom Life 20260324;;;;;NI;4;2026-05-07 12:02:24+02;Khensane Mabasa;2026-03-24 09:54:08+02;2026-03-24 09:54:08+02;;;;;;;;;27818685722;;;;;;;;prepaid life;;;;;</t>
  </si>
  <si>
    <t>ID_808</t>
  </si>
  <si>
    <t>13861803;33c9db49-921b-4a3d-ab71-667032399435;;111111118;Vodacom Life 20260324;;;;;AA;5;2026-05-25 1</t>
  </si>
  <si>
    <t>13861803;33c9db49-921b-4a3d-ab71-667032399435;;111111118;Vodacom Life 20260324;;;;;AA;5;2026-05-25 11:10:08+02;system;2026-03-24 09:54:08+02;2026-03-24 09:54:08+02;;;;;;;;;27718677473;;;;;;;;prepaid life;;;;;</t>
  </si>
  <si>
    <t>ID_809</t>
  </si>
  <si>
    <t>13861952;d3ae8c93-b555-4e18-97a0-07f4cc34a3d5;;111111118;Vodacom Life 20260324;;;;;AA;5;2026-05-25 1</t>
  </si>
  <si>
    <t>13861952;d3ae8c93-b555-4e18-97a0-07f4cc34a3d5;;111111118;Vodacom Life 20260324;;;;;AA;5;2026-05-25 11:59:39+02;system;2026-03-24 09:54:08+02;2026-03-24 09:54:08+02;;;;;;;;;27712491358;;;;;;;;prepaid life;;;;;</t>
  </si>
  <si>
    <t>ID_810</t>
  </si>
  <si>
    <t>13861804;8c4a226b-ae8a-467e-87de-3dbaaf8f7524;;111111118;Vodacom Life 20260324;;;;;AA;5;2026-05-25 1</t>
  </si>
  <si>
    <t>13861804;8c4a226b-ae8a-467e-87de-3dbaaf8f7524;;111111118;Vodacom Life 20260324;;;;;AA;5;2026-05-25 14:25:03+02;system;2026-03-24 09:54:08+02;2026-03-24 09:54:08+02;;;;;;;;;27720124938;;;;;;;;prepaid life;;;;;</t>
  </si>
  <si>
    <t>ID_811</t>
  </si>
  <si>
    <t>13861894;34f70d7c-b06b-48c7-8a3d-d3d0bd424ddf;;111111118;Vodacom Life 20260324;;;27818802004;;IABDN;</t>
  </si>
  <si>
    <t>13861894;34f70d7c-b06b-48c7-8a3d-d3d0bd424ddf;;111111118;Vodacom Life 20260324;;;27818802004;;IABDN;5;2026-05-23 12:53:12+02;system;2026-03-24 09:54:08+02;2026-03-24 09:54:08+02;;;;;;;;;27818802004;;;;;;;;prepaid life;;;;;</t>
  </si>
  <si>
    <t>ID_812</t>
  </si>
  <si>
    <t>13861895;ffd7b1dd-264e-4493-b6c0-61750663758e;;111111118;Vodacom Life 20260324;;;;;NI;1;2026-03-24 1</t>
  </si>
  <si>
    <t>13861895;ffd7b1dd-264e-4493-b6c0-61750663758e;;111111118;Vodacom Life 20260324;;;;;NI;1;2026-03-24 12:49:12+02;Thandile Nokubeni;2026-03-24 09:54:08+02;2026-03-24 09:54:08+02;;;;;;;;;27818956567;;;;;;;;prepaid life;;;;;</t>
  </si>
  <si>
    <t>ID_813</t>
  </si>
  <si>
    <t>13861953;3d3f84cd-4dd7-496d-b976-66d3eb9d0841;;111111118;Vodacom Life 20260324;;;;;CU;5;2026-05-25 1</t>
  </si>
  <si>
    <t>13861953;3d3f84cd-4dd7-496d-b976-66d3eb9d0841;;111111118;Vodacom Life 20260324;;;;;CU;5;2026-05-25 11:59:41+02;Maureen Ntsoko;2026-03-24 09:54:08+02;2026-03-24 09:54:08+02;;;;;;;;;27712617420;;;;;;;;prepaid life;;;;;</t>
  </si>
  <si>
    <t>ID_814</t>
  </si>
  <si>
    <t>13861896;9d5d7ffd-a236-4de1-bb56-ba504085d978;;111111118;Vodacom Life 20260324;;;;;NA;5;2026-05-25 1</t>
  </si>
  <si>
    <t>13861896;9d5d7ffd-a236-4de1-bb56-ba504085d978;;111111118;Vodacom Life 20260324;;;;;NA;5;2026-05-25 10:46:55+02;system;2026-03-24 09:54:08+02;2026-03-24 09:54:08+02;;;;;;;;;27820661503;;;;;;;;prepaid life;;;;;</t>
  </si>
  <si>
    <t>ID_815</t>
  </si>
  <si>
    <t>13861805;5e6b49ee-3547-49cf-a129-bdfff7d095f6;;111111118;Vodacom Life 20260324;;;27720270058;;IABDN;</t>
  </si>
  <si>
    <t>13861805;5e6b49ee-3547-49cf-a129-bdfff7d095f6;;111111118;Vodacom Life 20260324;;;27720270058;;IABDN;5;2026-05-25 12:49:17+02;system;2026-03-24 09:54:08+02;2026-03-24 09:54:08+02;;;;;;;;;27720270058;;;;;;;;prepaid life;;;;;</t>
  </si>
  <si>
    <t>ID_816</t>
  </si>
  <si>
    <t>13861954;b8f560e7-c4c4-4ccd-ad06-bb5cf294609e;;111111118;Vodacom Life 20260324;;;;;DROP;5;2026-05-25</t>
  </si>
  <si>
    <t>13861954;b8f560e7-c4c4-4ccd-ad06-bb5cf294609e;;111111118;Vodacom Life 20260324;;;;;DROP;5;2026-05-25 14:22:11+02;system;2026-03-24 09:54:08+02;2026-03-24 09:54:08+02;;;;;;;;;27712801073;;;;;;;;prepaid life;;;;;</t>
  </si>
  <si>
    <t>ID_817</t>
  </si>
  <si>
    <t>13861806;98eded15-31af-45da-a482-4137aa6476fc;;111111118;Vodacom Life 20260324;;;;;AA;5;2026-05-25 1</t>
  </si>
  <si>
    <t>13861806;98eded15-31af-45da-a482-4137aa6476fc;;111111118;Vodacom Life 20260324;;;;;AA;5;2026-05-25 12:47:29+02;system;2026-03-24 09:54:08+02;2026-03-24 09:54:08+02;;;;;;;;;27720575907;;;;;;;;prepaid life;;;;;</t>
  </si>
  <si>
    <t>ID_818</t>
  </si>
  <si>
    <t>13861897;b5ac6733-3725-4199-9891-df634d96520b;;111111118;Vodacom Life 20260324;;;;;CU;5;2026-05-25 1</t>
  </si>
  <si>
    <t>13861897;b5ac6733-3725-4199-9891-df634d96520b;;111111118;Vodacom Life 20260324;;;;;CU;5;2026-05-25 10:47:07+02;Maureen Ntsoko;2026-03-24 09:54:08+02;2026-03-24 09:54:08+02;;;;;;;;;27820896557;;;;;;;;prepaid life;;;;;</t>
  </si>
  <si>
    <t>ID_819</t>
  </si>
  <si>
    <t>13861955;09a417b7-370b-4228-af16-da2fab1765df;;111111118;Vodacom Life 20260324;;;;;DROP;5;2026-05-25</t>
  </si>
  <si>
    <t>13861955;09a417b7-370b-4228-af16-da2fab1765df;;111111118;Vodacom Life 20260324;;;;;DROP;5;2026-05-25 14:09:07+02;system;2026-03-24 09:54:08+02;2026-03-24 09:54:08+02;;;;;;;;;27712817705;;;;;;;;prepaid life;;;;;</t>
  </si>
  <si>
    <t>ID_820</t>
  </si>
  <si>
    <t>13861898;9bec1b52-209e-403a-976e-d6c51811ea78;;111111118;Vodacom Life 20260324;;;;;AE;5;2026-05-25 1</t>
  </si>
  <si>
    <t>13861898;9bec1b52-209e-403a-976e-d6c51811ea78;;111111118;Vodacom Life 20260324;;;;;AE;5;2026-05-25 10:47:07+02;system;2026-03-24 09:54:08+02;2026-03-24 09:54:08+02;;;;;;;;;27822368707;;;;;;;;prepaid life;;;;;</t>
  </si>
  <si>
    <t>ID_821</t>
  </si>
  <si>
    <t>13861807;9acc3310-b10c-4618-9a9f-2cc3afc41ae0;;111111118;Vodacom Life 20260324;;;;;NA;5;2026-05-25 1</t>
  </si>
  <si>
    <t>13861807;9acc3310-b10c-4618-9a9f-2cc3afc41ae0;;111111118;Vodacom Life 20260324;;;;;NA;5;2026-05-25 12:47:39+02;system;2026-03-24 09:54:08+02;2026-03-24 09:54:08+02;;;;;;;;;27721030269;;;;;;;;prepaid life;;;;;</t>
  </si>
  <si>
    <t>ID_822</t>
  </si>
  <si>
    <t xml:space="preserve">13861956;8e4cc99a-2736-47da-8279-199688e23957;;111111118;Vodacom Life 20260324;;;;;ADC;5;2026-05-25 </t>
  </si>
  <si>
    <t>13861956;8e4cc99a-2736-47da-8279-199688e23957;;111111118;Vodacom Life 20260324;;;;;ADC;5;2026-05-25 14:23:10+02;system;2026-03-24 09:54:08+02;2026-03-24 09:54:08+02;;;;;;;;;27713037894;;;;;;;;prepaid life;;;;;</t>
  </si>
  <si>
    <t>ID_823</t>
  </si>
  <si>
    <t>13861808;ae1ad7b1-6411-400e-8afe-54fbb5a69c14;;111111118;Vodacom Life 20260324;;;;;N;5;2026-05-07 15</t>
  </si>
  <si>
    <t>13861808;ae1ad7b1-6411-400e-8afe-54fbb5a69c14;;111111118;Vodacom Life 20260324;;;;;N;5;2026-05-07 15:50:53+02;Khensane Mabasa;2026-03-24 09:54:08+02;2026-03-24 09:54:08+02;;;;;;;;;27722039010;;;;;;;;prepaid life;;;;;</t>
  </si>
  <si>
    <t>ID_824</t>
  </si>
  <si>
    <t>13861899;fdd04204-b8bb-4be5-85e0-e552735db72b;;111111118;Vodacom Life 20260324;;;;;NI;2;2026-04-10 0</t>
  </si>
  <si>
    <t>13861899;fdd04204-b8bb-4be5-85e0-e552735db72b;;111111118;Vodacom Life 20260324;;;;;NI;2;2026-04-10 09:01:24+02;Esther Ramalete;2026-03-24 09:54:08+02;2026-03-24 09:54:08+02;;;;;;;;;27822675362;;;;;;;;prepaid life;;;;;</t>
  </si>
  <si>
    <t>ID_825</t>
  </si>
  <si>
    <t>13861957;a037781d-49a5-461a-8b4e-ba8069b19ea2;;111111118;Vodacom Life 20260324;;;27713218536;;IABDN;</t>
  </si>
  <si>
    <t>13861957;a037781d-49a5-461a-8b4e-ba8069b19ea2;;111111118;Vodacom Life 20260324;;;27713218536;;IABDN;5;2026-05-25 17:24:15+02;system;2026-03-24 09:54:08+02;2026-03-24 09:54:08+02;;;;;;;;;27713218536;;;;;;;;prepaid life;;;;;</t>
  </si>
  <si>
    <t>ID_826</t>
  </si>
  <si>
    <t>13861900;cd0150e5-d9e4-47a8-9db1-f5c0b8aefd68;;111111118;Vodacom Life 20260324;;;;;DROP;5;2026-05-25</t>
  </si>
  <si>
    <t>13861900;cd0150e5-d9e4-47a8-9db1-f5c0b8aefd68;;111111118;Vodacom Life 20260324;;;;;DROP;5;2026-05-25 10:47:07+02;system;2026-03-24 09:54:08+02;2026-03-24 09:54:08+02;;;;;;;;;27822996632;;;;;;;;prepaid life;;;;;</t>
  </si>
  <si>
    <t>ID_827</t>
  </si>
  <si>
    <t>13861809;f4d6981a-017c-4843-b2b4-789febc19730;;111111118;Vodacom Life 20260324;;;;;AE;5;2026-05-25 1</t>
  </si>
  <si>
    <t>13861809;f4d6981a-017c-4843-b2b4-789febc19730;;111111118;Vodacom Life 20260324;;;;;AE;5;2026-05-25 10:44:55+02;system;2026-03-24 09:54:08+02;2026-03-24 09:54:08+02;;;;;;;;;27722058200;;;;;;;;prepaid life;;;;;</t>
  </si>
  <si>
    <t>ID_828</t>
  </si>
  <si>
    <t>13861958;9489d54d-0ac9-40f9-bb54-bbd53528588e;;111111118;Vodacom Life 20260324;;;;;AE;5;2026-05-25 1</t>
  </si>
  <si>
    <t>13861958;9489d54d-0ac9-40f9-bb54-bbd53528588e;;111111118;Vodacom Life 20260324;;;;;AE;5;2026-05-25 14:34:55+02;system;2026-03-24 09:54:08+02;2026-03-24 09:54:08+02;;;;;;;;;27713407113;;;;;;;;prepaid life;;;;;</t>
  </si>
  <si>
    <t>ID_829</t>
  </si>
  <si>
    <t>13861810;a910eec0-206e-4836-b5dd-c86b51e396e8;;111111118;Vodacom Life 20260324;;;27722316196;;IABDN;</t>
  </si>
  <si>
    <t>13861810;a910eec0-206e-4836-b5dd-c86b51e396e8;;111111118;Vodacom Life 20260324;;;27722316196;;IABDN;5;2026-05-21 18:17:55+02;system;2026-03-24 09:54:08+02;2026-03-24 09:54:08+02;;;;;;;;;27722316196;;;;;;;;prepaid life;;;;;</t>
  </si>
  <si>
    <t>ID_830</t>
  </si>
  <si>
    <t>13861959;2d074cd0-0880-4493-b881-bc2294076864;;111111118;Vodacom Life 20260324;;;;;CBACK;1;2026-03-2</t>
  </si>
  <si>
    <t>13861959;2d074cd0-0880-4493-b881-bc2294076864;;111111118;Vodacom Life 20260324;;;;;CBACK;1;2026-03-24 13:50:31+02;Thandile Nokubeni;2026-03-24 09:54:08+02;2026-03-24 09:54:08+02;;;;;;;;;27713649548;;;;;;;;prepaid life;;;;;</t>
  </si>
  <si>
    <t>ID_831</t>
  </si>
  <si>
    <t>13861811;600348fd-261b-4d42-9885-1381e8f201c3;;111111118;Vodacom Life 20260324;;;;;NI;2;2026-04-09 1</t>
  </si>
  <si>
    <t>13861811;600348fd-261b-4d42-9885-1381e8f201c3;;111111118;Vodacom Life 20260324;;;;;NI;2;2026-04-09 15:52:46+02;Esther Ramalete;2026-03-24 09:54:08+02;2026-03-24 09:54:08+02;;;;;;;;;27723179005;;;;;;;;prepaid life;;;;;</t>
  </si>
  <si>
    <t>ID_832</t>
  </si>
  <si>
    <t>13861901;0d987428-588a-43ac-b7c9-f33b393bfd6c;;111111118;Vodacom Life 20260324;;;;;AE;5;2026-05-25 1</t>
  </si>
  <si>
    <t>13861901;0d987428-588a-43ac-b7c9-f33b393bfd6c;;111111118;Vodacom Life 20260324;;;;;AE;5;2026-05-25 10:47:07+02;system;2026-03-24 09:54:08+02;2026-03-24 09:54:08+02;;;;;;;;;27823028855;;;;;;;;prepaid life;;;;;</t>
  </si>
  <si>
    <t>ID_833</t>
  </si>
  <si>
    <t>13861960;af2ae26f-3407-47d5-9f79-3b6c6c7e5128;;111111118;Vodacom Life 20260324;;;27714176265;;IABDN;</t>
  </si>
  <si>
    <t>13861960;af2ae26f-3407-47d5-9f79-3b6c6c7e5128;;111111118;Vodacom Life 20260324;;;27714176265;;IABDN;5;2026-05-25 16:39:21+02;system;2026-03-24 09:54:08+02;2026-03-24 09:54:08+02;;;;;;;;;27714176265;;;;;;;;prepaid life;;;;;</t>
  </si>
  <si>
    <t>ID_834</t>
  </si>
  <si>
    <t>13861902;96b5de84-e6cb-48e4-b16e-a932755b5392;;111111118;Vodacom Life 20260324;;;;;AE;5;2026-05-25 1</t>
  </si>
  <si>
    <t>13861902;96b5de84-e6cb-48e4-b16e-a932755b5392;;111111118;Vodacom Life 20260324;;;;;AE;5;2026-05-25 10:47:07+02;system;2026-03-24 09:54:08+02;2026-03-24 09:54:08+02;;;;;;;;;27823639089;;;;;;;;prepaid life;;;;;</t>
  </si>
  <si>
    <t>ID_835</t>
  </si>
  <si>
    <t>13861961;15679f6f-7b0f-44e7-bedf-819c288ab711;;111111118;Vodacom Life 20260324;;;;;AE;5;2026-05-25 1</t>
  </si>
  <si>
    <t>13861961;15679f6f-7b0f-44e7-bedf-819c288ab711;;111111118;Vodacom Life 20260324;;;;;AE;5;2026-05-25 12:45:42+02;system;2026-03-24 09:54:08+02;2026-03-24 09:54:08+02;;;;;;;;;27714319136;;;;;;;;prepaid life;;;;;</t>
  </si>
  <si>
    <t>ID_836</t>
  </si>
  <si>
    <t>13861903;138b125e-b2ce-46af-8d1c-d05feb6556a8;;111111118;Vodacom Life 20260324;;;;;AA;5;2026-05-25 1</t>
  </si>
  <si>
    <t>13861903;138b125e-b2ce-46af-8d1c-d05feb6556a8;;111111118;Vodacom Life 20260324;;;;;AA;5;2026-05-25 10:47:10+02;system;2026-03-24 09:54:08+02;2026-03-24 09:54:08+02;;;;;;;;;27823719317;;;;;;;;prepaid life;;;;;</t>
  </si>
  <si>
    <t>ID_837</t>
  </si>
  <si>
    <t>13861812;9215c244-b74b-4ea5-aab4-988091e20ba2;;111111118;Vodacom Life 20260324;;;27723184466;;AA;5;2</t>
  </si>
  <si>
    <t>13861812;9215c244-b74b-4ea5-aab4-988091e20ba2;;111111118;Vodacom Life 20260324;;;27723184466;;AA;5;2026-05-25 10:46:30+02;system;2026-03-24 09:54:08+02;2026-03-24 09:54:08+02;;;;;;;;;27723184466;;;;;;;;prepaid life;;;;;</t>
  </si>
  <si>
    <t>ID_838</t>
  </si>
  <si>
    <t>13861962;5d4324d1-f6c7-40c6-b623-044941bcef88;;111111118;Vodacom Life 20260324;;;;;U;2;2026-04-09 15</t>
  </si>
  <si>
    <t>13861962;5d4324d1-f6c7-40c6-b623-044941bcef88;;111111118;Vodacom Life 20260324;;;;;U;2;2026-04-09 15:59:24+02;Seboifeng Mogola;2026-03-24 09:54:08+02;2026-03-24 09:54:08+02;;;;;;;;;27714368190;;;;;;;;prepaid life;;;;;</t>
  </si>
  <si>
    <t>ID_839</t>
  </si>
  <si>
    <t>13861813;1e8b61d4-1d5b-411c-bd3c-1654ed2c990b;;111111118;Vodacom Life 20260324;;;;;NA;5;2026-05-25 1</t>
  </si>
  <si>
    <t>13861813;1e8b61d4-1d5b-411c-bd3c-1654ed2c990b;;111111118;Vodacom Life 20260324;;;;;NA;5;2026-05-25 10:46:30+02;system;2026-03-24 09:54:08+02;2026-03-24 09:54:08+02;;;;;;;;;27723478250;;;;;;;;prepaid life;;;;;</t>
  </si>
  <si>
    <t>ID_840</t>
  </si>
  <si>
    <t>13861904;2c236abc-90bb-404a-ae5c-ee93b4f1113d;;111111118;Vodacom Life 20260324;;;;;AC;2;2026-04-09 1</t>
  </si>
  <si>
    <t>13861904;2c236abc-90bb-404a-ae5c-ee93b4f1113d;;111111118;Vodacom Life 20260324;;;;;AC;2;2026-04-09 15:55:49+02;Esther Ramalete;2026-03-24 09:54:08+02;2026-03-24 09:54:08+02;;;;;;;;;27824421714;;;;;;;;prepaid life;;;;;</t>
  </si>
  <si>
    <t>ID_841</t>
  </si>
  <si>
    <t>13861963;ee845246-6a52-4a63-95b4-48f8ae44269e;;111111118;Vodacom Life 20260324;;;;;CBACK;1;2026-03-2</t>
  </si>
  <si>
    <t>13861963;ee845246-6a52-4a63-95b4-48f8ae44269e;;111111118;Vodacom Life 20260324;;;;;CBACK;1;2026-03-24 13:51:32+02;Maureen Ntsoko;2026-03-24 09:54:08+02;2026-03-24 09:54:08+02;;;;;;;;;27714398197;;;;;;;;prepaid life;;;;;</t>
  </si>
  <si>
    <t>ID_842</t>
  </si>
  <si>
    <t>13861905;a887de57-87e6-4fe7-aed2-f537aec1a333;;111111118;Vodacom Life 20260324;;;;;AE;5;2026-05-25 1</t>
  </si>
  <si>
    <t>13861905;a887de57-87e6-4fe7-aed2-f537aec1a333;;111111118;Vodacom Life 20260324;;;;;AE;5;2026-05-25 10:47:11+02;system;2026-03-24 09:54:08+02;2026-03-24 09:54:08+02;;;;;;;;;27824466846;;;;;;;;prepaid life;;;;;</t>
  </si>
  <si>
    <t>ID_843</t>
  </si>
  <si>
    <t>13861814;5acee302-e7ab-4d24-82dc-febb9afec673;;111111118;Vodacom Life 20260324;;;;;AA;5;2026-05-25 0</t>
  </si>
  <si>
    <t>13861814;5acee302-e7ab-4d24-82dc-febb9afec673;;111111118;Vodacom Life 20260324;;;;;AA;5;2026-05-25 09:31:17+02;system;2026-03-24 09:54:08+02;2026-03-24 09:54:08+02;;;;;;;;;27724398052;;;;;;;;prepaid life;;;;;</t>
  </si>
  <si>
    <t>ID_844</t>
  </si>
  <si>
    <t>13861964;eac18976-cf81-459e-a870-b95f2eceb9b8;;111111118;Vodacom Life 20260324;;;;;AE;5;2026-05-25 1</t>
  </si>
  <si>
    <t>13861964;eac18976-cf81-459e-a870-b95f2eceb9b8;;111111118;Vodacom Life 20260324;;;;;AE;5;2026-05-25 12:45:42+02;system;2026-03-24 09:54:08+02;2026-03-24 09:54:08+02;;;;;;;;;27714420155;;;;;;;;prepaid life;;;;;</t>
  </si>
  <si>
    <t>ID_845</t>
  </si>
  <si>
    <t xml:space="preserve">13861815;c15f5727-4b9d-4872-a6b9-87bed2d94636;;111111118;Vodacom Life 20260324;;;;;AGE;2;2026-03-24 </t>
  </si>
  <si>
    <t>13861815;c15f5727-4b9d-4872-a6b9-87bed2d94636;;111111118;Vodacom Life 20260324;;;;;AGE;2;2026-03-24 12:32:06+02;Musiiwa Mary Mabirimisa;2026-03-24 09:54:08+02;2026-03-24 09:54:08+02;;;;;;;;;27725414975;;;;;;;;prepaid life;;;;;</t>
  </si>
  <si>
    <t>ID_846</t>
  </si>
  <si>
    <t>13861906;18f9093d-4d8f-4e63-9632-8bdcdd691e8c;;111111118;Vodacom Life 20260324;;;;;AE;5;2026-05-23 1</t>
  </si>
  <si>
    <t>13861906;18f9093d-4d8f-4e63-9632-8bdcdd691e8c;;111111118;Vodacom Life 20260324;;;;;AE;5;2026-05-23 12:52:48+02;system;2026-03-24 09:54:08+02;2026-03-24 09:54:08+02;;;;;;;;;27824524103;;;;;;;;prepaid life;;;;;</t>
  </si>
  <si>
    <t>ID_847</t>
  </si>
  <si>
    <t>13861965;4fcb5149-0471-4460-869a-daf595612405;;111111118;Vodacom Life 20260324;;;;;DROP;5;2026-05-25</t>
  </si>
  <si>
    <t>13861965;4fcb5149-0471-4460-869a-daf595612405;;111111118;Vodacom Life 20260324;;;;;DROP;5;2026-05-25 12:45:42+02;system;2026-03-24 09:54:08+02;2026-03-24 09:54:08+02;;;;;;;;;27714524255;;;;;;;;prepaid life;;;;;</t>
  </si>
  <si>
    <t>ID_848</t>
  </si>
  <si>
    <t>13861966;1981ea70-4bea-4928-a70f-968604818eab;;111111118;Vodacom Life 20260324;;;;;DROP;5;2026-05-25</t>
  </si>
  <si>
    <t>13861966;1981ea70-4bea-4928-a70f-968604818eab;;111111118;Vodacom Life 20260324;;;;;DROP;5;2026-05-25 12:45:49+02;system;2026-03-24 09:54:08+02;2026-03-24 09:54:08+02;;;;;;;;;27714581805;;;;;;;;prepaid life;;;;;</t>
  </si>
  <si>
    <t>ID_849</t>
  </si>
  <si>
    <t>13861907;173d7ebb-0435-4cd6-bf2e-e6c9814f47fe;;111111118;Vodacom Life 20260324;;;;;NI;1;2026-03-24 1</t>
  </si>
  <si>
    <t>13861907;173d7ebb-0435-4cd6-bf2e-e6c9814f47fe;;111111118;Vodacom Life 20260324;;;;;NI;1;2026-03-24 12:51:57+02;Thandile Nokubeni;2026-03-24 09:54:08+02;2026-03-24 09:54:08+02;;;;;;;;;27824782925;;;;;;;;prepaid life;;;;;</t>
  </si>
  <si>
    <t>ID_850</t>
  </si>
  <si>
    <t>13862012;c53bbb95-e89f-4826-85ff-76fc352792b3;;111111118;Vodacom Life 20260324;;;;;CBACK;5;2026-05-2</t>
  </si>
  <si>
    <t>13862012;c53bbb95-e89f-4826-85ff-76fc352792b3;;111111118;Vodacom Life 20260324;;;;;CBACK;5;2026-05-25 10:48:34+02;Maureen Ntsoko;2026-03-24 09:54:08+02;2026-03-24 09:54:08+02;;;;;;;;;27764581994;;;;;;;;prepaid life;;;;;</t>
  </si>
  <si>
    <t>ID_851</t>
  </si>
  <si>
    <t>13861967;5be48f7b-4a70-418c-b175-2d6d75e6213c;;111111118;Vodacom Life 20260324;;;;;CBACK;1;2026-03-2</t>
  </si>
  <si>
    <t>13861967;5be48f7b-4a70-418c-b175-2d6d75e6213c;;111111118;Vodacom Life 20260324;;;;;CBACK;1;2026-03-24 13:52:04+02;Thandile Nokubeni;2026-03-24 09:54:08+02;2026-03-24 09:54:08+02;;;;;;;;;27715379675;;;;;;;;prepaid life;;;;;</t>
  </si>
  <si>
    <t>ID_852</t>
  </si>
  <si>
    <t>13861908;894456ce-254c-4147-b3ef-7c29ee988b7c;;111111118;Vodacom Life 20260324;;;;;NIUP;2;2026-04-09</t>
  </si>
  <si>
    <t>13861908;894456ce-254c-4147-b3ef-7c29ee988b7c;;111111118;Vodacom Life 20260324;;;;;NIUP;2;2026-04-09 16:00:11+02;bongiwe lushaba;2026-03-24 09:54:08+02;2026-03-24 09:54:08+02;;;;;;;;;27825176472;;;;;;;;prepaid life;;;;;</t>
  </si>
  <si>
    <t>ID_853</t>
  </si>
  <si>
    <t>13861968;77821fd7-80d9-4a43-bacb-99a1c4ca9c9b;;111111118;Vodacom Life 20260324;;;;;DROP;5;2026-05-25</t>
  </si>
  <si>
    <t>13861968;77821fd7-80d9-4a43-bacb-99a1c4ca9c9b;;111111118;Vodacom Life 20260324;;;;;DROP;5;2026-05-25 12:04:40+02;system;2026-03-24 09:54:08+02;2026-03-24 09:54:08+02;;;;;;;;;27715925155;;;;;;;;prepaid life;;;;;</t>
  </si>
  <si>
    <t>ID_854</t>
  </si>
  <si>
    <t>13861909;afbcd493-7cef-435a-969b-6649e4f3d46e;;111111118;Vodacom Life 20260324;;;;;NIUP;2;2026-04-10</t>
  </si>
  <si>
    <t>13861909;afbcd493-7cef-435a-969b-6649e4f3d46e;;111111118;Vodacom Life 20260324;;;;;NIUP;2;2026-04-10 08:38:38+02;bongiwe lushaba;2026-03-24 09:54:08+02;2026-03-24 09:54:08+02;;;;;;;;;27825309160;;;;;;;;prepaid life;;;;;</t>
  </si>
  <si>
    <t>ID_855</t>
  </si>
  <si>
    <t>13862013;43b3042f-ac6e-4939-b3be-3b84577d4f24;;111111118;Vodacom Life 20260324;;;;;CD;1;2026-03-30 1</t>
  </si>
  <si>
    <t>13862013;43b3042f-ac6e-4939-b3be-3b84577d4f24;;111111118;Vodacom Life 20260324;;;;;CD;1;2026-03-30 11:32:08+02;Musiiwa Mary Mabirimisa;2026-03-24 09:54:08+02;2026-03-24 09:54:08+02;;;;;;;;;27764628861;;;;;;;;prepaid life;;;;;</t>
  </si>
  <si>
    <t>ID_856</t>
  </si>
  <si>
    <t>13862014;4c1e3689-4397-4378-864f-3b9968bdd53b;;111111118;Vodacom Life 20260324;;;;;AF;3;2026-04-09 1</t>
  </si>
  <si>
    <t>13862014;4c1e3689-4397-4378-864f-3b9968bdd53b;;111111118;Vodacom Life 20260324;;;;;AF;3;2026-04-09 16:03:07+02;Seboifeng Mogola;2026-03-24 09:54:08+02;2026-03-24 09:54:08+02;;;;;;;;;27765858242;;;;;;;;prepaid life;;;;;</t>
  </si>
  <si>
    <t>ID_857</t>
  </si>
  <si>
    <t>13861910;493a9aca-1f20-4ea0-9cb8-7eace52e49e7;;111111118;Vodacom Life 20260324;;;;;SELECTED;2;2026-0</t>
  </si>
  <si>
    <t>13861910;493a9aca-1f20-4ea0-9cb8-7eace52e49e7;;111111118;Vodacom Life 20260324;;;;;SELECTED;2;2026-03-24 12:55:37+02;system;2026-03-24 09:54:08+02;2026-03-24 09:54:08+02;;;;;;;;;27825445970;;;;;;;;prepaid life;;;;;</t>
  </si>
  <si>
    <t>ID_858</t>
  </si>
  <si>
    <t>13861970;d641df85-434e-458d-96bb-3d519606440e;;111111118;Vodacom Life 20260324;;;;;AE;5;2026-05-25 0</t>
  </si>
  <si>
    <t>13861970;d641df85-434e-458d-96bb-3d519606440e;;111111118;Vodacom Life 20260324;;;;;AE;5;2026-05-25 09:36:59+02;system;2026-03-24 09:54:08+02;2026-03-24 09:54:08+02;;;;;;;;;27721166713;;;;;;;;prepaid life;;;;;</t>
  </si>
  <si>
    <t>ID_859</t>
  </si>
  <si>
    <t>13861911;760dac65-21df-442c-b07f-dc3cf144d688;;111111118;Vodacom Life 20260324;;;27826322561;;CCB;5;</t>
  </si>
  <si>
    <t>13861911;760dac65-21df-442c-b07f-dc3cf144d688;;111111118;Vodacom Life 20260324;;;27826322561;;CCB;5;2026-05-25 10:49:14+02;Maureen Ntsoko;2026-03-24 09:54:08+02;2026-03-24 09:54:08+02;;;;;;;;;27826322561;;;;;;;;prepaid life;;;;;</t>
  </si>
  <si>
    <t>ID_860</t>
  </si>
  <si>
    <t>13862015;a034fef5-81c1-4c65-988c-0c38b145aae2;;111111118;Vodacom Life 20260324;;;;;AA;5;2026-05-25 1</t>
  </si>
  <si>
    <t>13862015;a034fef5-81c1-4c65-988c-0c38b145aae2;;111111118;Vodacom Life 20260324;;;;;AA;5;2026-05-25 14:31:02+02;system;2026-03-24 09:54:08+02;2026-03-24 09:54:08+02;;;;;;;;;27765894300;;;;;;;;prepaid life;;;;;</t>
  </si>
  <si>
    <t>ID_861</t>
  </si>
  <si>
    <t>13861971;bdfecebd-16cb-4981-a241-39e47abaad22;;111111118;Vodacom Life 20260324;;;;;DROP;5;2026-05-25</t>
  </si>
  <si>
    <t>13861971;bdfecebd-16cb-4981-a241-39e47abaad22;;111111118;Vodacom Life 20260324;;;;;DROP;5;2026-05-25 14:20:40+02;system;2026-03-24 09:54:08+02;2026-03-24 09:54:08+02;;;;;;;;;27721570493;;;;;;;;prepaid life;;;;;</t>
  </si>
  <si>
    <t>ID_862</t>
  </si>
  <si>
    <t>13862016;24545f50-84e7-4420-859a-0f54ec87ed45;;111111118;Vodacom Life 20260324;;;;;NIUP;2;2026-04-09</t>
  </si>
  <si>
    <t>13862016;24545f50-84e7-4420-859a-0f54ec87ed45;;111111118;Vodacom Life 20260324;;;;;NIUP;2;2026-04-09 08:49:09+02;Seboifeng Mogola;2026-03-24 09:54:08+02;2026-03-24 09:54:08+02;;;;;;;;;27766487704;;;;;;;;prepaid life;;;;;</t>
  </si>
  <si>
    <t>ID_863</t>
  </si>
  <si>
    <t xml:space="preserve">13861912;d1d3373f-2af6-4b24-bbe7-9cb36c101cc9;;111111118;Vodacom Life 20260324;;;;;CCB;5;2026-05-25 </t>
  </si>
  <si>
    <t>13861912;d1d3373f-2af6-4b24-bbe7-9cb36c101cc9;;111111118;Vodacom Life 20260324;;;;;CCB;5;2026-05-25 10:47:53+02;Maureen Ntsoko;2026-03-24 09:54:08+02;2026-03-24 09:54:08+02;;;;;;;;;27826747474;;;;;;;;prepaid life;;;;;</t>
  </si>
  <si>
    <t>ID_864</t>
  </si>
  <si>
    <t>13861972;f47629bf-1611-4a0c-b125-e50e08c02224;;111111118;Vodacom Life 20260324;;;;;AA;5;2026-05-25 0</t>
  </si>
  <si>
    <t>13861972;f47629bf-1611-4a0c-b125-e50e08c02224;;111111118;Vodacom Life 20260324;;;;;AA;5;2026-05-25 09:37:00+02;system;2026-03-24 09:54:08+02;2026-03-24 09:54:08+02;;;;;;;;;27721769441;;;;;;;;prepaid life;;;;;</t>
  </si>
  <si>
    <t>ID_865</t>
  </si>
  <si>
    <t>13862017;f0fb5a6b-2570-458c-bfac-e54be3d99056;;111111118;Vodacom Life 20260324;;;27766675684;;AFTHRS</t>
  </si>
  <si>
    <t>13862017;f0fb5a6b-2570-458c-bfac-e54be3d99056;;111111118;Vodacom Life 20260324;;;27766675684;;AFTHRS;5;2026-05-25 20:25:28+02;system;2026-03-24 09:54:08+02;2026-03-24 09:54:08+02;;;;;;;;;27766675684;;;;;;;;prepaid life;;;;;</t>
  </si>
  <si>
    <t>ID_866</t>
  </si>
  <si>
    <t>13861973;83d0b664-3149-4726-97f6-d9747e789e67;;111111118;Vodacom Life 20260324;;;;;CU;5;2026-05-25 0</t>
  </si>
  <si>
    <t>13861973;83d0b664-3149-4726-97f6-d9747e789e67;;111111118;Vodacom Life 20260324;;;;;CU;5;2026-05-25 09:37:02+02;Khensane Mabasa;2026-03-24 09:54:08+02;2026-03-24 09:54:08+02;;;;;;;;;27721771254;;;;;;;;prepaid life;;;;;</t>
  </si>
  <si>
    <t>ID_867</t>
  </si>
  <si>
    <t>13862018;f449b94d-13f7-4858-9189-abb853bba723;;111111118;Vodacom Life 20260324;;;;;AA;5;2026-05-25 1</t>
  </si>
  <si>
    <t>13862018;f449b94d-13f7-4858-9189-abb853bba723;;111111118;Vodacom Life 20260324;;;;;AA;5;2026-05-25 14:20:33+02;system;2026-03-24 09:54:08+02;2026-03-24 09:54:08+02;;;;;;;;;27766699261;;;;;;;;prepaid life;;;;;</t>
  </si>
  <si>
    <t>ID_868</t>
  </si>
  <si>
    <t>13862109;d6701d2a-f2d8-45d5-aa20-2c8936debc16;;111111118;Vodacom Life 20260324;;;;;DNQF;2;2026-04-10</t>
  </si>
  <si>
    <t>13862109;d6701d2a-f2d8-45d5-aa20-2c8936debc16;;111111118;Vodacom Life 20260324;;;;;DNQF;2;2026-04-10 08:45:05+02;Seboifeng Mogola;2026-03-24 09:54:08+02;2026-03-24 09:54:08+02;;;;;;;;;27716269795;;;;;;;;prepaid life;;;;;</t>
  </si>
  <si>
    <t>ID_869</t>
  </si>
  <si>
    <t>13861974;65b8e619-777b-484e-a43d-d1a679550330;;111111118;Vodacom Life 20260324;;;;;CBACK;1;2026-03-2</t>
  </si>
  <si>
    <t>13861974;65b8e619-777b-484e-a43d-d1a679550330;;111111118;Vodacom Life 20260324;;;;;CBACK;1;2026-03-24 13:53:50+02;Maureen Ntsoko;2026-03-24 09:54:08+02;2026-03-24 09:54:08+02;;;;;;;;;27721863027;;;;;;;;prepaid life;;;;;</t>
  </si>
  <si>
    <t>ID_870</t>
  </si>
  <si>
    <t>13862110;8a3caba8-8edf-43dc-92fa-3142e70bf198;;111111118;Vodacom Life 20260324;;;;;AA;5;2026-05-25 0</t>
  </si>
  <si>
    <t>13862110;8a3caba8-8edf-43dc-92fa-3142e70bf198;;111111118;Vodacom Life 20260324;;;;;AA;5;2026-05-25 08:22:19+02;system;2026-03-24 09:54:08+02;2026-03-24 09:54:08+02;;;;;;;;;27716479853;;;;;;;;prepaid life;;;;;</t>
  </si>
  <si>
    <t>ID_871</t>
  </si>
  <si>
    <t xml:space="preserve">13862111;0d157d13-873d-40b6-b990-47dd422882d0;;111111118;Vodacom Life 20260324;;;;;CCB;5;2026-05-25 </t>
  </si>
  <si>
    <t>13862111;0d157d13-873d-40b6-b990-47dd422882d0;;111111118;Vodacom Life 20260324;;;;;CCB;5;2026-05-25 08:22:19+02;Khensane Mabasa;2026-03-24 09:54:08+02;2026-03-24 09:54:08+02;;;;;;;;;27716940632;;;;;;;;prepaid life;;;;;</t>
  </si>
  <si>
    <t>ID_872</t>
  </si>
  <si>
    <t>13862019;c1dda5dd-740b-406f-b8d4-df802486e22c;;111111118;Vodacom Life 20260324;;;;;NA;5;2026-05-25 1</t>
  </si>
  <si>
    <t>13862019;c1dda5dd-740b-406f-b8d4-df802486e22c;;111111118;Vodacom Life 20260324;;;;;NA;5;2026-05-25 14:15:39+02;system;2026-03-24 09:54:08+02;2026-03-24 09:54:08+02;;;;;;;;;27766770596;;;;;;;;prepaid life;;;;;</t>
  </si>
  <si>
    <t>ID_873</t>
  </si>
  <si>
    <t>13862020;e7e40a20-d8ae-4c50-a910-0462808e9323;;111111118;Vodacom Life 20260324;;;;;AA;5;2026-05-25 1</t>
  </si>
  <si>
    <t>13862020;e7e40a20-d8ae-4c50-a910-0462808e9323;;111111118;Vodacom Life 20260324;;;;;AA;5;2026-05-25 14:15:49+02;system;2026-03-24 09:54:08+02;2026-03-24 09:54:08+02;;;;;;;;;27766986956;;;;;;;;prepaid life;;;;;</t>
  </si>
  <si>
    <t>ID_874</t>
  </si>
  <si>
    <t>13861976;05a193a7-b577-4f93-99c4-f3da12a9c45f;;111111118;Vodacom Life 20260324;;;;;DROP;5;2026-05-25</t>
  </si>
  <si>
    <t>13861976;05a193a7-b577-4f93-99c4-f3da12a9c45f;;111111118;Vodacom Life 20260324;;;;;DROP;5;2026-05-25 09:37:10+02;system;2026-03-24 09:54:08+02;2026-03-24 09:54:08+02;;;;;;;;;27722815014;;;;;;;;prepaid life;;;;;</t>
  </si>
  <si>
    <t>ID_875</t>
  </si>
  <si>
    <t>13862021;b65eaa37-2bed-4148-a766-ee205dedd139;;111111118;Vodacom Life 20260324;;;;;U;1;2026-04-01 10</t>
  </si>
  <si>
    <t>13862021;b65eaa37-2bed-4148-a766-ee205dedd139;;111111118;Vodacom Life 20260324;;;;;U;1;2026-04-01 10:52:05+02;Seboifeng Mogola;2026-03-24 09:54:08+02;2026-03-24 09:54:08+02;;;;;;;;;27769026884;;;;;;;;prepaid life;;;;;</t>
  </si>
  <si>
    <t>ID_876</t>
  </si>
  <si>
    <t>13862022;6bf1c8f3-b2ea-499a-919b-f720deebc644;;111111118;Vodacom Life 20260324;;;27769203972;;MULTI;</t>
  </si>
  <si>
    <t>13862022;6bf1c8f3-b2ea-499a-919b-f720deebc644;;111111118;Vodacom Life 20260324;;;27769203972;;MULTI;4;2026-05-07 11:46:45+02;Siyabonga Khoza;2026-03-24 09:54:08+02;2026-03-24 09:54:08+02;;;;;;;;;27769203972;;;;;;;;prepaid life;;;;;</t>
  </si>
  <si>
    <t>ID_877</t>
  </si>
  <si>
    <t>13862112;6be92b69-7b9a-4ea7-adea-0c514ab65d86;;111111118;Vodacom Life 20260324;;;;;AE;5;2026-05-25 0</t>
  </si>
  <si>
    <t>13862112;6be92b69-7b9a-4ea7-adea-0c514ab65d86;;111111118;Vodacom Life 20260324;;;;;AE;5;2026-05-25 08:22:37+02;system;2026-03-24 09:54:08+02;2026-03-24 09:54:08+02;;;;;;;;;27720495005;;;;;;;;prepaid life;;;;;</t>
  </si>
  <si>
    <t>ID_878</t>
  </si>
  <si>
    <t>13861977;3d9071a9-0707-49f1-a980-6c4f1b4d7c95;;111111118;Vodacom Life 20260324;;;;;CU;5;2026-05-25 0</t>
  </si>
  <si>
    <t>13861977;3d9071a9-0707-49f1-a980-6c4f1b4d7c95;;111111118;Vodacom Life 20260324;;;;;CU;5;2026-05-25 09:38:16+02;bongiwe lushaba;2026-03-24 09:54:08+02;2026-03-24 09:54:08+02;;;;;;;;;27722947774;;;;;;;;prepaid life;;;;;</t>
  </si>
  <si>
    <t>ID_879</t>
  </si>
  <si>
    <t>13862113;00c4254c-6a70-4fe9-9082-debeac8041d3;;111111118;Vodacom Life 20260324;;;;;DROP;5;2026-05-25</t>
  </si>
  <si>
    <t>13862113;00c4254c-6a70-4fe9-9082-debeac8041d3;;111111118;Vodacom Life 20260324;;;;;DROP;5;2026-05-25 08:22:39+02;system;2026-03-24 09:54:08+02;2026-03-24 09:54:08+02;;;;;;;;;27720989874;;;;;;;;prepaid life;;;;;</t>
  </si>
  <si>
    <t>ID_880</t>
  </si>
  <si>
    <t>13862023;46b327b6-6300-4473-af79-eaa601de1e83;;111111118;Vodacom Life 20260324;;;;;NA;5;2026-05-25 1</t>
  </si>
  <si>
    <t>13862023;46b327b6-6300-4473-af79-eaa601de1e83;;111111118;Vodacom Life 20260324;;;;;NA;5;2026-05-25 12:39:26+02;system;2026-03-24 09:54:08+02;2026-03-24 09:54:08+02;;;;;;;;;27769288449;;;;;;;;prepaid life;;;;;</t>
  </si>
  <si>
    <t>ID_881</t>
  </si>
  <si>
    <t>13861978;a68368c1-d888-4bc1-a4d6-195b08e03183;;111111118;Vodacom Life 20260324;;;27723953191;;AA;5;2</t>
  </si>
  <si>
    <t>13861978;a68368c1-d888-4bc1-a4d6-195b08e03183;;111111118;Vodacom Life 20260324;;;27723953191;;AA;5;2026-05-25 09:38:58+02;system;2026-03-24 09:54:08+02;2026-03-24 09:54:08+02;;;;;;;;;27723953191;;;;;;;;prepaid life;;;;;</t>
  </si>
  <si>
    <t>ID_882</t>
  </si>
  <si>
    <t>13862024;5b8d618f-27d5-4415-94ab-eb23b0cb7ddd;;111111118;Vodacom Life 20260324;;;27769978462;;AA;5;2</t>
  </si>
  <si>
    <t>13862024;5b8d618f-27d5-4415-94ab-eb23b0cb7ddd;;111111118;Vodacom Life 20260324;;;27769978462;;AA;5;2026-05-25 12:10:48+02;system;2026-03-24 09:54:08+02;2026-03-24 09:54:08+02;;;;;;;;;27769978462;;;;;;;;prepaid life;;;;;</t>
  </si>
  <si>
    <t>ID_883</t>
  </si>
  <si>
    <t>13861979;0acd2349-b8c2-4be6-a7db-c64a753b39f1;;111111118;Vodacom Life 20260324;;;;;CBACK;3;2026-04-1</t>
  </si>
  <si>
    <t>13861979;0acd2349-b8c2-4be6-a7db-c64a753b39f1;;111111118;Vodacom Life 20260324;;;;;CBACK;3;2026-04-15 10:46:41+02;Thandile Nokubeni;2026-03-24 09:54:08+02;2026-03-24 09:54:08+02;;;;;;;;;27724137184;;;;;;;;prepaid life;;;;;</t>
  </si>
  <si>
    <t>ID_884</t>
  </si>
  <si>
    <t>13862025;0db4acd1-ab3c-431c-9a8b-ecbe66a9f927;;111111118;Vodacom Life 20260324;;;;;SELECTED;2;2026-0</t>
  </si>
  <si>
    <t>13862025;0db4acd1-ab3c-431c-9a8b-ecbe66a9f927;;111111118;Vodacom Life 20260324;;;;;SELECTED;2;2026-04-01 11:21:44+02;bongiwe lushaba;2026-03-24 09:54:08+02;2026-03-24 09:54:08+02;;;;;;;;;27773856241;;;;;;;;prepaid life;;;;;</t>
  </si>
  <si>
    <t>ID_885</t>
  </si>
  <si>
    <t>13862114;319ea803-b578-4e60-b297-61fc56e8ceeb;;111111118;Vodacom Life 20260324;;;;;AE;5;2026-05-25 1</t>
  </si>
  <si>
    <t>13862114;319ea803-b578-4e60-b297-61fc56e8ceeb;;111111118;Vodacom Life 20260324;;;;;AE;5;2026-05-25 11:15:07+02;system;2026-03-24 09:54:08+02;2026-03-24 09:54:08+02;;;;;;;;;27721205134;;;;;;;;prepaid life;;;;;</t>
  </si>
  <si>
    <t>ID_886</t>
  </si>
  <si>
    <t xml:space="preserve">13861980;402e89e0-4e6d-4d7e-b4f3-4f0420a0a2ae;;111111118;Vodacom Life 20260324;;;;;BLQ;5;2026-05-25 </t>
  </si>
  <si>
    <t>13861980;402e89e0-4e6d-4d7e-b4f3-4f0420a0a2ae;;111111118;Vodacom Life 20260324;;;;;BLQ;5;2026-05-25 09:39:03+02;bongiwe lushaba;2026-03-24 09:54:08+02;2026-03-24 09:54:08+02;;;;;;;;;27724514713;;;;;;;;prepaid life;;;;;</t>
  </si>
  <si>
    <t>ID_887</t>
  </si>
  <si>
    <t>13862026;8dc93dbf-a931-4746-8093-000412b373a1;;111111118;Vodacom Life 20260324;;;;;DNQS;5;2026-04-14</t>
  </si>
  <si>
    <t>13862026;8dc93dbf-a931-4746-8093-000412b373a1;;111111118;Vodacom Life 20260324;;;;;DNQS;5;2026-04-14 14:00:16+02;Musiiwa Mary Mabirimisa;2026-03-24 09:54:08+02;2026-03-24 09:54:08+02;;;;;;;;;27787723467;;;;;;;;prepaid life;;;;;</t>
  </si>
  <si>
    <t>ID_888</t>
  </si>
  <si>
    <t>13861981;ec894e45-c107-4939-93ff-02a239cd0244;;111111118;Vodacom Life 20260324;;;;;NI;1;2026-03-24 1</t>
  </si>
  <si>
    <t>13861981;ec894e45-c107-4939-93ff-02a239cd0244;;111111118;Vodacom Life 20260324;;;;;NI;1;2026-03-24 13:57:11+02;Thandile Nokubeni;2026-03-24 09:54:08+02;2026-03-24 09:54:08+02;;;;;;;;;27724670901;;;;;;;;prepaid life;;;;;</t>
  </si>
  <si>
    <t>ID_889</t>
  </si>
  <si>
    <t>13862027;39862d6a-31de-41d3-a82f-74fb4b0c3f33;;111111118;Vodacom Life 20260324;;;;;DROP;5;2026-05-25</t>
  </si>
  <si>
    <t>13862027;39862d6a-31de-41d3-a82f-74fb4b0c3f33;;111111118;Vodacom Life 20260324;;;;;DROP;5;2026-05-25 14:31:24+02;system;2026-03-24 09:54:08+02;2026-03-24 09:54:08+02;;;;;;;;;27790203507;;;;;;;;prepaid life;;;;;</t>
  </si>
  <si>
    <t>ID_890</t>
  </si>
  <si>
    <t>13862116;b80b432d-8db9-49e4-9bbb-28c4a05466c9;;111111118;Vodacom Life 20260324;;;;;NI;3;2026-04-15 0</t>
  </si>
  <si>
    <t>13862116;b80b432d-8db9-49e4-9bbb-28c4a05466c9;;111111118;Vodacom Life 20260324;;;;;NI;3;2026-04-15 09:41:25+02;Esther Ramalete;2026-03-24 09:54:08+02;2026-03-24 09:54:08+02;;;;;;;;;27721710716;;;;;;;;prepaid life;;;;;</t>
  </si>
  <si>
    <t>ID_891</t>
  </si>
  <si>
    <t>13861982;46c3df56-df18-4c3a-9b8a-60088078d4e4;;111111118;Vodacom Life 20260324;;;27725180685;;CU;5;2</t>
  </si>
  <si>
    <t>13861982;46c3df56-df18-4c3a-9b8a-60088078d4e4;;111111118;Vodacom Life 20260324;;;27725180685;;CU;5;2026-05-25 09:44:32+02;bongiwe lushaba;2026-03-24 09:54:08+02;2026-03-24 09:54:08+02;;;;;;;;;27725180685;;;;;;;;prepaid life;;;;;</t>
  </si>
  <si>
    <t>ID_892</t>
  </si>
  <si>
    <t>13862117;0ceb177a-c7fe-4213-a668-1aca0a7359d1;;111111118;Vodacom Life 20260324;;;;;SELECTED;3;2026-0</t>
  </si>
  <si>
    <t>13862117;0ceb177a-c7fe-4213-a668-1aca0a7359d1;;111111118;Vodacom Life 20260324;;;;;SELECTED;3;2026-04-10 08:25:11+02;Thandile Nokubeni;2026-03-24 09:54:08+02;2026-03-24 09:54:08+02;;;;;;;;;27721767081;;;;;;;;prepaid life;;;;;</t>
  </si>
  <si>
    <t>ID_893</t>
  </si>
  <si>
    <t>13862028;3db73787-8a27-489f-b8fc-1b9470bc4407;;111111118;Vodacom Life 20260324;;;;;DROP;5;2026-05-25</t>
  </si>
  <si>
    <t>13862028;3db73787-8a27-489f-b8fc-1b9470bc4407;;111111118;Vodacom Life 20260324;;;;;DROP;5;2026-05-25 12:10:48+02;system;2026-03-24 09:54:08+02;2026-03-24 09:54:08+02;;;;;;;;;27790263884;;;;;;;;prepaid life;;;;;</t>
  </si>
  <si>
    <t>ID_894</t>
  </si>
  <si>
    <t>13861983;c37e0175-dda5-4b1b-b1e0-7837f7cf6345;;111111118;Vodacom Life 20260324;;;;;DROP;5;2026-05-25</t>
  </si>
  <si>
    <t>13861983;c37e0175-dda5-4b1b-b1e0-7837f7cf6345;;111111118;Vodacom Life 20260324;;;;;DROP;5;2026-05-25 11:51:35+02;system;2026-03-24 09:54:08+02;2026-03-24 09:54:08+02;;;;;;;;;27725211920;;;;;;;;prepaid life;;;;;</t>
  </si>
  <si>
    <t>ID_895</t>
  </si>
  <si>
    <t>13862029;ffe6d5a0-a4ab-4cb0-a571-4e56672819de;;111111118;Vodacom Life 20260324;;;;;AE;5;2026-05-25 1</t>
  </si>
  <si>
    <t>13862029;ffe6d5a0-a4ab-4cb0-a571-4e56672819de;;111111118;Vodacom Life 20260324;;;;;AE;5;2026-05-25 12:10:49+02;system;2026-03-24 09:54:08+02;2026-03-24 09:54:08+02;;;;;;;;;27790273651;;;;;;;;prepaid life;;;;;</t>
  </si>
  <si>
    <t>ID_896</t>
  </si>
  <si>
    <t>13862118;eef72527-54e2-4e1d-b3ac-4e4894fbeb1b;;111111118;Vodacom Life 20260324;;;;;NA;5;2026-05-25 1</t>
  </si>
  <si>
    <t>13862118;eef72527-54e2-4e1d-b3ac-4e4894fbeb1b;;111111118;Vodacom Life 20260324;;;;;NA;5;2026-05-25 11:15:12+02;system;2026-03-24 09:54:08+02;2026-03-24 09:54:08+02;;;;;;;;;27721939682;;;;;;;;prepaid life;;;;;</t>
  </si>
  <si>
    <t>ID_897</t>
  </si>
  <si>
    <t>13861984;fd65e843-aba4-46b5-9be2-746763a75471;;111111118;Vodacom Life 20260324;;;;;AA;5;2026-05-25 1</t>
  </si>
  <si>
    <t>13861984;fd65e843-aba4-46b5-9be2-746763a75471;;111111118;Vodacom Life 20260324;;;;;AA;5;2026-05-25 14:05:18+02;system;2026-03-24 09:54:08+02;2026-03-24 09:54:08+02;;;;;;;;;27725220706;;;;;;;;prepaid life;;;;;</t>
  </si>
  <si>
    <t>ID_898</t>
  </si>
  <si>
    <t>13862119;29921204-6bc9-428e-8338-071459f6a39f;;111111118;Vodacom Life 20260324;;;;;AA;5;2026-05-25 1</t>
  </si>
  <si>
    <t>13862119;29921204-6bc9-428e-8338-071459f6a39f;;111111118;Vodacom Life 20260324;;;;;AA;5;2026-05-25 11:15:55+02;system;2026-03-24 09:54:08+02;2026-03-24 09:54:08+02;;;;;;;;;27722217333;;;;;;;;prepaid life;;;;;</t>
  </si>
  <si>
    <t>ID_899</t>
  </si>
  <si>
    <t>13862030;c31ef804-1118-453a-81b7-2d1099aa2732;;111111118;Vodacom Life 20260324;;;;;AA;5;2026-05-25 1</t>
  </si>
  <si>
    <t>13862030;c31ef804-1118-453a-81b7-2d1099aa2732;;111111118;Vodacom Life 20260324;;;;;AA;5;2026-05-25 14:26:52+02;system;2026-03-24 09:54:08+02;2026-03-24 09:54:08+02;;;;;;;;;27790691982;;;;;;;;prepaid life;;;;;</t>
  </si>
  <si>
    <t>ID_900</t>
  </si>
  <si>
    <t>13861985;f6e32cc3-af58-4584-84b4-cd1d281702ab;;111111118;Vodacom Life 20260324;;;;;CU;5;2026-05-25 1</t>
  </si>
  <si>
    <t>13861985;f6e32cc3-af58-4584-84b4-cd1d281702ab;;111111118;Vodacom Life 20260324;;;;;CU;5;2026-05-25 14:16:15+02;bongiwe lushaba;2026-03-24 09:54:08+02;2026-03-24 09:54:08+02;;;;;;;;;27725998645;;;;;;;;prepaid life;;;;;</t>
  </si>
  <si>
    <t>ID_901</t>
  </si>
  <si>
    <t>13862031;b8e74bbc-1226-43cf-b2a0-e27de1ace794;;111111118;Vodacom Life 20260324;;;;;DROP;5;2026-05-25</t>
  </si>
  <si>
    <t>13862031;b8e74bbc-1226-43cf-b2a0-e27de1ace794;;111111118;Vodacom Life 20260324;;;;;DROP;5;2026-05-25 12:00:55+02;system;2026-03-24 09:54:08+02;2026-03-24 09:54:08+02;;;;;;;;;27790953777;;;;;;;;prepaid life;;;;;</t>
  </si>
  <si>
    <t>ID_902</t>
  </si>
  <si>
    <t>13861986;6fe57395-9ff1-434a-9bf4-d66d0e1a4774;;111111118;Vodacom Life 20260324;;;27726750440;;IABDN;</t>
  </si>
  <si>
    <t>13861986;6fe57395-9ff1-434a-9bf4-d66d0e1a4774;;111111118;Vodacom Life 20260324;;;27726750440;;IABDN;5;2026-05-25 14:59:15+02;system;2026-03-24 09:54:08+02;2026-03-24 09:54:08+02;;;;;;;;;27726750440;;;;;;;;prepaid life;;;;;</t>
  </si>
  <si>
    <t>ID_903</t>
  </si>
  <si>
    <t>13862121;61d0fc13-6671-4e20-9a4a-0a84eeba9e19;;111111118;Vodacom Life 20260324;;;;;DROP;5;2026-05-25</t>
  </si>
  <si>
    <t>13862121;61d0fc13-6671-4e20-9a4a-0a84eeba9e19;;111111118;Vodacom Life 20260324;;;;;DROP;5;2026-05-25 14:20:33+02;system;2026-03-24 09:54:08+02;2026-03-24 09:54:08+02;;;;;;;;;27722510405;;;;;;;;prepaid life;;;;;</t>
  </si>
  <si>
    <t>ID_904</t>
  </si>
  <si>
    <t>13862032;562eb350-1acd-4e27-97e8-32aef601ffda;;111111118;Vodacom Life 20260324;;;;;AF;2;2026-04-10 0</t>
  </si>
  <si>
    <t>13862032;562eb350-1acd-4e27-97e8-32aef601ffda;;111111118;Vodacom Life 20260324;;;;;AF;2;2026-04-10 08:11:29+02;Seboifeng Mogola;2026-03-24 09:54:08+02;2026-03-24 09:54:08+02;;;;;;;;;27791287497;;;;;;;;prepaid life;;;;;</t>
  </si>
  <si>
    <t>ID_905</t>
  </si>
  <si>
    <t>13861987;f4ffdf25-5f6a-4b6a-bd0c-f41cbd34d302;;111111118;Vodacom Life 20260324;;;;;CU;5;2026-05-07 1</t>
  </si>
  <si>
    <t>13861987;f4ffdf25-5f6a-4b6a-bd0c-f41cbd34d302;;111111118;Vodacom Life 20260324;;;;;CU;5;2026-05-07 15:08:41+02;Musiiwa Mary Mabirimisa;2026-03-24 09:54:08+02;2026-03-24 09:54:08+02;;;;;;;;;27726821965;;;;;;;;prepaid life;;;;;</t>
  </si>
  <si>
    <t>ID_906</t>
  </si>
  <si>
    <t>13862033;1884ec4f-6e98-4d54-8afe-6dfa9dc54137;;111111118;Vodacom Life 20260324;;;27791506704;;IABDN;</t>
  </si>
  <si>
    <t>13862033;1884ec4f-6e98-4d54-8afe-6dfa9dc54137;;111111118;Vodacom Life 20260324;;;27791506704;;IABDN;5;2026-05-25 16:54:00+02;system;2026-03-24 09:54:08+02;2026-03-24 09:54:08+02;;;;;;;;;27791506704;;;;;;;;prepaid life;;;;;</t>
  </si>
  <si>
    <t>ID_907</t>
  </si>
  <si>
    <t>13862122;eaee0567-d52f-4250-adc7-0b7bf1232579;;111111118;Vodacom Life 20260324;;;;;U;3;2026-04-15 09</t>
  </si>
  <si>
    <t>13862122;eaee0567-d52f-4250-adc7-0b7bf1232579;;111111118;Vodacom Life 20260324;;;;;U;3;2026-04-15 09:41:30+02;Thandile Nokubeni;2026-03-24 09:54:08+02;2026-03-24 09:54:08+02;;;;;;;;;27722532537;;;;;;;;prepaid life;;;;;</t>
  </si>
  <si>
    <t>ID_908</t>
  </si>
  <si>
    <t>13862034;5ae39b6e-982a-4afa-94a2-f3a6396674b9;;111111118;Vodacom Life 20260324;;;;;AE;5;2026-05-25 1</t>
  </si>
  <si>
    <t>13862034;5ae39b6e-982a-4afa-94a2-f3a6396674b9;;111111118;Vodacom Life 20260324;;;;;AE;5;2026-05-25 11:37:14+02;system;2026-03-24 09:54:08+02;2026-03-24 09:54:08+02;;;;;;;;;27791750013;;;;;;;;prepaid life;;;;;</t>
  </si>
  <si>
    <t>ID_909</t>
  </si>
  <si>
    <t>13861989;7ade582f-dda0-456e-b7b0-8aa72075d989;;111111118;Vodacom Life 20260324;;;;;NIUP;1;2026-03-24</t>
  </si>
  <si>
    <t>13861989;7ade582f-dda0-456e-b7b0-8aa72075d989;;111111118;Vodacom Life 20260324;;;;;NIUP;1;2026-03-24 13:58:14+02;Maureen Ntsoko;2026-03-24 09:54:08+02;2026-03-24 09:54:08+02;;;;;;;;;27727866621;;;;;;;;prepaid life;;;;;</t>
  </si>
  <si>
    <t>ID_910</t>
  </si>
  <si>
    <t>13862035;3f126199-2418-4881-8e5e-1c1fabe06a75;;111111118;Vodacom Life 20260324;;;;;AA;5;2026-05-25 1</t>
  </si>
  <si>
    <t>13862035;3f126199-2418-4881-8e5e-1c1fabe06a75;;111111118;Vodacom Life 20260324;;;;;AA;5;2026-05-25 11:38:24+02;system;2026-03-24 09:54:08+02;2026-03-24 09:54:08+02;;;;;;;;;27792151788;;;;;;;;prepaid life;;;;;</t>
  </si>
  <si>
    <t>ID_911</t>
  </si>
  <si>
    <t xml:space="preserve">13862123;b6551725-6281-4ce5-9cd8-1e23528d17f8;;111111118;Vodacom Life 20260324;;;;;CCB;5;2026-04-24 </t>
  </si>
  <si>
    <t>13862123;b6551725-6281-4ce5-9cd8-1e23528d17f8;;111111118;Vodacom Life 20260324;;;;;CCB;5;2026-04-24 08:28:43+02;Thandile Nokubeni;2026-03-24 09:54:08+02;2026-03-24 09:54:08+02;;;;;;;;;27722679502;;;;;;;;prepaid life;;;;;</t>
  </si>
  <si>
    <t>ID_912</t>
  </si>
  <si>
    <t>13861990;b3ffc2b9-df63-42f9-b63e-b17b365207da;;111111118;Vodacom Life 20260324;;;;;NI;3;2026-04-15 1</t>
  </si>
  <si>
    <t>13861990;b3ffc2b9-df63-42f9-b63e-b17b365207da;;111111118;Vodacom Life 20260324;;;;;NI;3;2026-04-15 11:09:52+02;Musiiwa Mary Mabirimisa;2026-03-24 09:54:08+02;2026-03-24 09:54:08+02;;;;;;;;;27727887515;;;;;;;;prepaid life;;;;;</t>
  </si>
  <si>
    <t>ID_913</t>
  </si>
  <si>
    <t>13862124;d1adbfe2-f4a0-4d46-ab1d-2d9a0017776c;;111111118;Vodacom Life 20260324;;;;;CU;5;2026-05-25 1</t>
  </si>
  <si>
    <t>13862124;d1adbfe2-f4a0-4d46-ab1d-2d9a0017776c;;111111118;Vodacom Life 20260324;;;;;CU;5;2026-05-25 14:20:39+02;Khensane Mabasa;2026-03-24 09:54:08+02;2026-03-24 09:54:08+02;;;;;;;;;27722892154;;;;;;;;prepaid life;;;;;</t>
  </si>
  <si>
    <t>ID_914</t>
  </si>
  <si>
    <t>13862036;6386396f-e419-4764-a6c3-dbbba9ff9dc9;;111111118;Vodacom Life 20260324;;;;;NIUP;4;2026-05-07</t>
  </si>
  <si>
    <t>13862036;6386396f-e419-4764-a6c3-dbbba9ff9dc9;;111111118;Vodacom Life 20260324;;;;;NIUP;4;2026-05-07 11:47:18+02;Millicent Motsuku;2026-03-24 09:54:08+02;2026-03-24 09:54:08+02;;;;;;;;;27792253597;;;;;;;;prepaid life;;;;;</t>
  </si>
  <si>
    <t>ID_915</t>
  </si>
  <si>
    <t>13861991;44ebf535-256a-41f6-ac08-948b27b2dd6a;;111111118;Vodacom Life 20260324;;;27728088299;;AE;5;2</t>
  </si>
  <si>
    <t>13861991;44ebf535-256a-41f6-ac08-948b27b2dd6a;;111111118;Vodacom Life 20260324;;;27728088299;;AE;5;2026-05-25 14:24:31+02;system;2026-03-24 09:54:08+02;2026-03-24 09:54:08+02;;;;;;;;;27728088299;;;;;;;;prepaid life;;;;;</t>
  </si>
  <si>
    <t>ID_916</t>
  </si>
  <si>
    <t>13862037;4dce854b-db09-4fff-b82a-57727e647d68;;111111118;Vodacom Life 20260324;;;27793276783;;AA;5;2</t>
  </si>
  <si>
    <t>13862037;4dce854b-db09-4fff-b82a-57727e647d68;;111111118;Vodacom Life 20260324;;;27793276783;;AA;5;2026-05-25 11:38:24+02;system;2026-03-24 09:54:08+02;2026-03-24 09:54:08+02;;;;;;;;;27793276783;;;;;;;;prepaid life;;;;;</t>
  </si>
  <si>
    <t>ID_917</t>
  </si>
  <si>
    <t xml:space="preserve">13862125;80634211-d739-47da-930e-c73b8a35bb90;;111111118;Vodacom Life 20260324;;;;;ADC;5;2026-05-25 </t>
  </si>
  <si>
    <t>13862125;80634211-d739-47da-930e-c73b8a35bb90;;111111118;Vodacom Life 20260324;;;;;ADC;5;2026-05-25 12:32:57+02;system;2026-03-24 09:54:08+02;2026-03-24 09:54:08+02;;;;;;;;;27723071280;;;;;;;;prepaid life;;;;;</t>
  </si>
  <si>
    <t>ID_918</t>
  </si>
  <si>
    <t>13861992;6fa03496-3542-485b-8322-eb83692f7610;;111111118;Vodacom Life 20260324;;;;;AE;5;2026-05-25 1</t>
  </si>
  <si>
    <t>13861992;6fa03496-3542-485b-8322-eb83692f7610;;111111118;Vodacom Life 20260324;;;;;AE;5;2026-05-25 14:24:49+02;system;2026-03-24 09:54:08+02;2026-03-24 09:54:08+02;;;;;;;;;27728296138;;;;;;;;prepaid life;;;;;</t>
  </si>
  <si>
    <t>ID_919</t>
  </si>
  <si>
    <t>13862038;c2d191c5-fbcb-4a60-9dbe-a9c10d48c579;;111111118;Vodacom Life 20260324;;;;;CBACK;4;2026-05-0</t>
  </si>
  <si>
    <t>13862038;c2d191c5-fbcb-4a60-9dbe-a9c10d48c579;;111111118;Vodacom Life 20260324;;;;;CBACK;4;2026-05-07 11:47:23+02;Siyabonga Khoza;2026-03-24 09:54:08+02;2026-03-24 09:54:08+02;;;;;;;;;27793294403;;;;;;;;prepaid life;;;;;</t>
  </si>
  <si>
    <t>ID_920</t>
  </si>
  <si>
    <t>13861993;fe8bf042-37eb-4158-9cf5-3a5d5b502859;;111111118;Vodacom Life 20260324;;;;;AA;5;2026-05-25 1</t>
  </si>
  <si>
    <t>13861993;fe8bf042-37eb-4158-9cf5-3a5d5b502859;;111111118;Vodacom Life 20260324;;;;;AA;5;2026-05-25 14:35:32+02;system;2026-03-24 09:54:08+02;2026-03-24 09:54:08+02;;;;;;;;;27728664563;;;;;;;;prepaid life;;;;;</t>
  </si>
  <si>
    <t>ID_921</t>
  </si>
  <si>
    <t>13862039;6f52e3b2-6511-4264-9d11-4f196b3c1fc0;;111111118;Vodacom Life 20260324;;;27793922895;;IABDN;</t>
  </si>
  <si>
    <t>13862039;6f52e3b2-6511-4264-9d11-4f196b3c1fc0;;111111118;Vodacom Life 20260324;;;27793922895;;IABDN;5;2026-05-25 11:47:50+02;system;2026-03-24 09:54:08+02;2026-03-24 09:54:08+02;;;;;;;;;27793922895;;;;;;;;prepaid life;;;;;</t>
  </si>
  <si>
    <t>ID_922</t>
  </si>
  <si>
    <t>13862127;45d3461e-833e-47dd-baef-031a78010edc;;111111118;Vodacom Life 20260324;;;;;QAVET;18;2026-04-</t>
  </si>
  <si>
    <t>13862127;45d3461e-833e-47dd-baef-031a78010edc;;111111118;Vodacom Life 20260324;;;;;QAVET;18;2026-04-14 11:32:32+02;Maureen Ntsoko;2026-03-24 09:54:08+02;2026-03-24 09:54:08+02;;;;;;;;;27723457170;;;;;;;;prepaid life;;;;;</t>
  </si>
  <si>
    <t>ID_923</t>
  </si>
  <si>
    <t>13861994;72bcc66b-bca8-46b5-9753-e144ae8bb207;;111111118;Vodacom Life 20260324;;;;;NI;1;2026-03-24 1</t>
  </si>
  <si>
    <t>13861994;72bcc66b-bca8-46b5-9753-e144ae8bb207;;111111118;Vodacom Life 20260324;;;;;NI;1;2026-03-24 13:59:37+02;Thandile Nokubeni;2026-03-24 09:54:08+02;2026-03-24 09:54:08+02;;;;;;;;;27729342739;;;;;;;;prepaid life;;;;;</t>
  </si>
  <si>
    <t>ID_924</t>
  </si>
  <si>
    <t>13862128;0adee95c-f614-4bbb-801f-f0cf8e003095;;111111118;Vodacom Life 20260324;;;;;AA;5;2026-05-25 1</t>
  </si>
  <si>
    <t>13862128;0adee95c-f614-4bbb-801f-f0cf8e003095;;111111118;Vodacom Life 20260324;;;;;AA;5;2026-05-25 12:33:04+02;system;2026-03-24 09:54:08+02;2026-03-24 09:54:08+02;;;;;;;;;27723874229;;;;;;;;prepaid life;;;;;</t>
  </si>
  <si>
    <t>ID_925</t>
  </si>
  <si>
    <t>13862129;7096307d-d11f-4890-9eeb-a47b8bc39666;;111111118;Vodacom Life 20260324;;;27723986886;;CU;5;2</t>
  </si>
  <si>
    <t>13862129;7096307d-d11f-4890-9eeb-a47b8bc39666;;111111118;Vodacom Life 20260324;;;27723986886;;CU;5;2026-05-25 12:33:27+02;Maureen Ntsoko;2026-03-24 09:54:08+02;2026-03-24 09:54:08+02;;;;;;;;;27723986886;;;;;;;;prepaid life;;;;;</t>
  </si>
  <si>
    <t>ID_926</t>
  </si>
  <si>
    <t>13862040;a263678e-efda-444a-958c-75af12a2d37a;;111111118;Vodacom Life 20260324;;;27794645525;;ADC;5;</t>
  </si>
  <si>
    <t>13862040;a263678e-efda-444a-958c-75af12a2d37a;;111111118;Vodacom Life 20260324;;;27794645525;;ADC;5;2026-05-25 11:38:48+02;system;2026-03-24 09:54:08+02;2026-03-24 09:54:08+02;;;;;;;;;27794645525;;;;;;;;prepaid life;;;;;</t>
  </si>
  <si>
    <t>ID_927</t>
  </si>
  <si>
    <t>13861995;6f5a9f2a-4ed6-4f94-843f-f3a3a6323f29;;111111118;Vodacom Life 20260324;;;;;NA;5;2026-05-25 1</t>
  </si>
  <si>
    <t>13861995;6f5a9f2a-4ed6-4f94-843f-f3a3a6323f29;;111111118;Vodacom Life 20260324;;;;;NA;5;2026-05-25 11:11:24+02;system;2026-03-24 09:54:08+02;2026-03-24 09:54:08+02;;;;;;;;;27729536257;;;;;;;;prepaid life;;;;;</t>
  </si>
  <si>
    <t>ID_928</t>
  </si>
  <si>
    <t>13862041;90385f0d-0320-4034-bce2-1cf51b3bd608;;111111118;Vodacom Life 20260324;;;;;NA;5;2026-05-25 1</t>
  </si>
  <si>
    <t>13862041;90385f0d-0320-4034-bce2-1cf51b3bd608;;111111118;Vodacom Life 20260324;;;;;NA;5;2026-05-25 11:38:48+02;system;2026-03-24 09:54:08+02;2026-03-24 09:54:08+02;;;;;;;;;27795676606;;;;;;;;prepaid life;;;;;</t>
  </si>
  <si>
    <t>ID_929</t>
  </si>
  <si>
    <t>13862130;41427119-8eee-48a2-a360-9ae2ec44d44d;;111111118;Vodacom Life 20260324;;;;;DNQF;5;2026-05-25</t>
  </si>
  <si>
    <t>13862130;41427119-8eee-48a2-a360-9ae2ec44d44d;;111111118;Vodacom Life 20260324;;;;;DNQF;5;2026-05-25 12:33:13+02;Maureen Ntsoko;2026-03-24 09:54:08+02;2026-03-24 09:54:08+02;;;;;;;;;27724015683;;;;;;;;prepaid life;;;;;</t>
  </si>
  <si>
    <t>ID_930</t>
  </si>
  <si>
    <t>13861996;23c0c727-9bde-4ae7-b5f9-0ad3da53b856;;111111118;Vodacom Life 20260324;;;;;U;2;2026-04-09 08</t>
  </si>
  <si>
    <t>13861996;23c0c727-9bde-4ae7-b5f9-0ad3da53b856;;111111118;Vodacom Life 20260324;;;;;U;2;2026-04-09 08:28:51+02;Seboifeng Mogola;2026-03-24 09:54:08+02;2026-03-24 09:54:08+02;;;;;;;;;27729882445;;;;;;;;prepaid life;;;;;</t>
  </si>
  <si>
    <t>ID_931</t>
  </si>
  <si>
    <t>13862131;292962b6-0eb3-4e12-a9f5-1a189ffb1aca;;111111118;Vodacom Life 20260324;;;;;NA;5;2026-05-25 1</t>
  </si>
  <si>
    <t>13862131;292962b6-0eb3-4e12-a9f5-1a189ffb1aca;;111111118;Vodacom Life 20260324;;;;;NA;5;2026-05-25 12:33:14+02;system;2026-03-24 09:54:08+02;2026-03-24 09:54:08+02;;;;;;;;;27724223860;;;;;;;;prepaid life;;;;;</t>
  </si>
  <si>
    <t>ID_932</t>
  </si>
  <si>
    <t>13862042;016fcd4b-dfe5-4b7a-975f-9055839806f6;;111111118;Vodacom Life 20260324;;;;;NA;5;2026-05-25 1</t>
  </si>
  <si>
    <t>13862042;016fcd4b-dfe5-4b7a-975f-9055839806f6;;111111118;Vodacom Life 20260324;;;;;NA;5;2026-05-25 11:38:49+02;system;2026-03-24 09:54:08+02;2026-03-24 09:54:08+02;;;;;;;;;27796168543;;;;;;;;prepaid life;;;;;</t>
  </si>
  <si>
    <t>ID_933</t>
  </si>
  <si>
    <t>13861998;3d8f0d2f-cb11-4531-81ca-b809ebc771b0;;111111118;Vodacom Life 20260324;;;;;A;5;2026-04-15 10</t>
  </si>
  <si>
    <t>13861998;3d8f0d2f-cb11-4531-81ca-b809ebc771b0;;111111118;Vodacom Life 20260324;;;;;A;5;2026-04-15 10:53:35+02;Thandile Nokubeni;2026-03-24 09:54:08+02;2026-03-24 09:54:08+02;;;;;;;;;27760353351;;;;;;;;prepaid life;;;;;</t>
  </si>
  <si>
    <t>ID_934</t>
  </si>
  <si>
    <t>13862043;1f454875-96d4-46cb-bbda-1b7cc9b40a6b;;111111118;Vodacom Life 20260324;;;;;DROP;5;2026-05-25</t>
  </si>
  <si>
    <t>13862043;1f454875-96d4-46cb-bbda-1b7cc9b40a6b;;111111118;Vodacom Life 20260324;;;;;DROP;5;2026-05-25 11:39:01+02;system;2026-03-24 09:54:08+02;2026-03-24 09:54:08+02;;;;;;;;;27796584731;;;;;;;;prepaid life;;;;;</t>
  </si>
  <si>
    <t>ID_935</t>
  </si>
  <si>
    <t>13862132;5b052b5a-f074-490a-b01c-6d9e81673b6f;;111111118;Vodacom Life 20260324;;;27724352753;;IABDN;</t>
  </si>
  <si>
    <t>13862132;5b052b5a-f074-490a-b01c-6d9e81673b6f;;111111118;Vodacom Life 20260324;;;27724352753;;IABDN;5;2026-05-25 14:38:12+02;system;2026-03-24 09:54:08+02;2026-03-24 09:54:08+02;;;;;;;;;27724352753;;;;;;;;prepaid life;;;;;</t>
  </si>
  <si>
    <t>ID_936</t>
  </si>
  <si>
    <t>13861999;a4db5b65-d90e-476a-9dae-912df94dd683;;111111118;Vodacom Life 20260324;;;;;CBACK;2;2026-04-0</t>
  </si>
  <si>
    <t>13861999;a4db5b65-d90e-476a-9dae-912df94dd683;;111111118;Vodacom Life 20260324;;;;;CBACK;2;2026-04-09 08:29:28+02;Maureen Ntsoko;2026-03-24 09:54:08+02;2026-03-24 09:54:08+02;;;;;;;;;27760379009;;;;;;;;prepaid life;;;;;</t>
  </si>
  <si>
    <t>ID_937</t>
  </si>
  <si>
    <t>13862133;637eee85-89a0-40dd-bcb4-6cb2fa901035;;111111118;Vodacom Life 20260324;;;;;U;2;2026-04-10 08</t>
  </si>
  <si>
    <t>13862133;637eee85-89a0-40dd-bcb4-6cb2fa901035;;111111118;Vodacom Life 20260324;;;;;U;2;2026-04-10 08:32:53+02;Seboifeng Mogola;2026-03-24 09:54:08+02;2026-03-24 09:54:08+02;;;;;;;;;27725316213;;;;;;;;prepaid life;;;;;</t>
  </si>
  <si>
    <t>ID_938</t>
  </si>
  <si>
    <t>13862134;90a2acf6-d4c3-43b7-b52e-71089310af68;;111111118;Vodacom Life 20260324;;;;;CBACK;5;2026-05-2</t>
  </si>
  <si>
    <t>13862134;90a2acf6-d4c3-43b7-b52e-71089310af68;;111111118;Vodacom Life 20260324;;;;;CBACK;5;2026-05-25 14:20:46+02;bongiwe lushaba;2026-03-24 09:54:08+02;2026-03-24 09:54:08+02;;;;;;;;;27725653153;;;;;;;;prepaid life;;;;;</t>
  </si>
  <si>
    <t>ID_939</t>
  </si>
  <si>
    <t>13862044;7638b60d-74be-4383-95e4-4ead2f58f9f4;;111111118;Vodacom Life 20260324;;;;;AE;5;2026-05-25 1</t>
  </si>
  <si>
    <t>13862044;7638b60d-74be-4383-95e4-4ead2f58f9f4;;111111118;Vodacom Life 20260324;;;;;AE;5;2026-05-25 11:39:02+02;system;2026-03-24 09:54:08+02;2026-03-24 09:54:08+02;;;;;;;;;27797212783;;;;;;;;prepaid life;;;;;</t>
  </si>
  <si>
    <t>ID_940</t>
  </si>
  <si>
    <t>13862045;6424da31-182f-4dc3-9042-408c08313687;;111111118;Vodacom Life 20260324;;;;;NA;5;2026-05-25 1</t>
  </si>
  <si>
    <t>13862045;6424da31-182f-4dc3-9042-408c08313687;;111111118;Vodacom Life 20260324;;;;;NA;5;2026-05-25 11:39:02+02;system;2026-03-24 09:54:08+02;2026-03-24 09:54:08+02;;;;;;;;;27797392585;;;;;;;;prepaid life;;;;;</t>
  </si>
  <si>
    <t>ID_941</t>
  </si>
  <si>
    <t>13862000;3169b93c-b6d6-4a40-9e1f-dcdc128e863f;;111111118;Vodacom Life 20260324;;;;;AA;5;2026-05-25 1</t>
  </si>
  <si>
    <t>13862000;3169b93c-b6d6-4a40-9e1f-dcdc128e863f;;111111118;Vodacom Life 20260324;;;;;AA;5;2026-05-25 11:11:37+02;system;2026-03-24 09:54:08+02;2026-03-24 09:54:08+02;;;;;;;;;27761248643;;;;;;;;prepaid life;;;;;</t>
  </si>
  <si>
    <t>ID_942</t>
  </si>
  <si>
    <t>13862046;86eae403-0f5c-4563-8897-9689a32c40c7;;111111118;Vodacom Life 20260324;;;;;CBACK;3;2026-04-0</t>
  </si>
  <si>
    <t>13862046;86eae403-0f5c-4563-8897-9689a32c40c7;;111111118;Vodacom Life 20260324;;;;;CBACK;3;2026-04-09 14:56:00+02;Maureen Ntsoko;2026-03-24 09:54:08+02;2026-03-24 09:54:08+02;;;;;;;;;27797952673;;;;;;;;prepaid life;;;;;</t>
  </si>
  <si>
    <t>ID_943</t>
  </si>
  <si>
    <t>13862047;fefddf39-c7e6-41df-af18-dadf95ef12a1;;111111118;Vodacom Life 20260324;;;;;AA;5;2026-05-25 1</t>
  </si>
  <si>
    <t>13862047;fefddf39-c7e6-41df-af18-dadf95ef12a1;;111111118;Vodacom Life 20260324;;;;;AA;5;2026-05-25 14:25:00+02;system;2026-03-24 09:54:08+02;2026-03-24 09:54:08+02;;;;;;;;;27798101868;;;;;;;;prepaid life;;;;;</t>
  </si>
  <si>
    <t>ID_944</t>
  </si>
  <si>
    <t>13862135;a3e1be2b-db94-4ddb-ae33-e1120251cf9c;;111111118;Vodacom Life 20260324;;;;;AA;5;2026-05-25 1</t>
  </si>
  <si>
    <t>13862135;a3e1be2b-db94-4ddb-ae33-e1120251cf9c;;111111118;Vodacom Life 20260324;;;;;AA;5;2026-05-25 14:20:47+02;system;2026-03-24 09:54:08+02;2026-03-24 09:54:08+02;;;;;;;;;27725758748;;;;;;;;prepaid life;;;;;</t>
  </si>
  <si>
    <t>ID_945</t>
  </si>
  <si>
    <t>13862001;932b9ab4-f026-4df0-b657-9065902e8d13;;111111118;Vodacom Life 20260324;;;27761714300;;DROP;5</t>
  </si>
  <si>
    <t>13862001;932b9ab4-f026-4df0-b657-9065902e8d13;;111111118;Vodacom Life 20260324;;;27761714300;;DROP;5;2026-05-25 08:27:48+02;system;2026-03-24 09:54:08+02;2026-03-24 09:54:08+02;;;;;;;;;27761714300;;;;;;;;prepaid life;;;;;</t>
  </si>
  <si>
    <t>ID_946</t>
  </si>
  <si>
    <t>13862136;9cdaf9db-1316-4b89-b97e-a9419ee0bfb3;;111111118;Vodacom Life 20260324;;;;;NI;3;2026-04-15 0</t>
  </si>
  <si>
    <t>13862136;9cdaf9db-1316-4b89-b97e-a9419ee0bfb3;;111111118;Vodacom Life 20260324;;;;;NI;3;2026-04-15 09:42:26+02;Musiiwa Mary Mabirimisa;2026-03-24 09:54:08+02;2026-03-24 09:54:08+02;;;;;;;;;27726526224;;;;;;;;prepaid life;;;;;</t>
  </si>
  <si>
    <t>ID_947</t>
  </si>
  <si>
    <t>13862048;2472b781-57eb-404a-9d48-79fda817f312;;111111118;Vodacom Life 20260324;;;;;DNCLIFE;4;2026-05</t>
  </si>
  <si>
    <t>13862048;2472b781-57eb-404a-9d48-79fda817f312;;111111118;Vodacom Life 20260324;;;;;DNCLIFE;4;2026-05-20 08:51:10+02;Maureen Ntsoko;2026-03-24 09:54:08+02;2026-03-24 09:54:08+02;;;;;;;;;27799535598;;;;;;;;prepaid life;;;;;</t>
  </si>
  <si>
    <t>ID_948</t>
  </si>
  <si>
    <t>13862002;21cd8658-54b5-4266-a83e-40aab5b3c0c5;;111111118;Vodacom Life 20260324;;;;;AA;5;2026-05-25 1</t>
  </si>
  <si>
    <t>13862002;21cd8658-54b5-4266-a83e-40aab5b3c0c5;;111111118;Vodacom Life 20260324;;;;;AA;5;2026-05-25 11:11:58+02;system;2026-03-24 09:54:08+02;2026-03-24 09:54:08+02;;;;;;;;;27762695267;;;;;;;;prepaid life;;;;;</t>
  </si>
  <si>
    <t>ID_949</t>
  </si>
  <si>
    <t>13862049;ffaee083-7b3f-489d-87ef-2c1fa687132b;;111111118;Vodacom Life 20260324;;;;;AA;5;2026-05-25 1</t>
  </si>
  <si>
    <t>13862049;ffaee083-7b3f-489d-87ef-2c1fa687132b;;111111118;Vodacom Life 20260324;;;;;AA;5;2026-05-25 14:22:54+02;system;2026-03-24 09:54:08+02;2026-03-24 09:54:08+02;;;;;;;;;27799637343;;;;;;;;prepaid life;;;;;</t>
  </si>
  <si>
    <t>ID_950</t>
  </si>
  <si>
    <t>13862137;ec2ccc9d-c757-4574-abc7-5ed8ccebdef7;;111111118;Vodacom Life 20260324;;;;;U;2;2026-04-09 15</t>
  </si>
  <si>
    <t>13862137;ec2ccc9d-c757-4574-abc7-5ed8ccebdef7;;111111118;Vodacom Life 20260324;;;;;U;2;2026-04-09 15:00:01+02;Maureen Ntsoko;2026-03-24 09:54:08+02;2026-03-24 09:54:08+02;;;;;;;;;27727968469;;;;;;;;prepaid life;;;;;</t>
  </si>
  <si>
    <t>ID_951</t>
  </si>
  <si>
    <t>13862003;ad1d3d6c-9d74-492e-b897-00ee9009b0a0;;111111118;Vodacom Life 20260324;;;;;NIUP;1;2026-03-26</t>
  </si>
  <si>
    <t>13862003;ad1d3d6c-9d74-492e-b897-00ee9009b0a0;;111111118;Vodacom Life 20260324;;;;;NIUP;1;2026-03-26 10:55:50+02;Mahlatse Manamela;2026-03-24 09:54:08+02;2026-03-24 09:54:08+02;;;;;;;;;27762717956;;;;;;;;prepaid life;;;;;</t>
  </si>
  <si>
    <t>ID_952</t>
  </si>
  <si>
    <t>13862138;53b928c4-f3bc-41d9-8edb-e2655e9c40e5;;111111118;Vodacom Life 20260324;;;;;DROP;5;2026-05-25</t>
  </si>
  <si>
    <t>13862138;53b928c4-f3bc-41d9-8edb-e2655e9c40e5;;111111118;Vodacom Life 20260324;;;;;DROP;5;2026-05-25 14:11:35+02;system;2026-03-24 09:54:08+02;2026-03-24 09:54:08+02;;;;;;;;;27728212429;;;;;;;;prepaid life;;;;;</t>
  </si>
  <si>
    <t>ID_953</t>
  </si>
  <si>
    <t>13862050;fa438e38-dfa9-4e34-b080-cf31e34ba0c6;;111111118;Vodacom Life 20260324;;;;;CU;5;2026-05-25 1</t>
  </si>
  <si>
    <t>13862050;fa438e38-dfa9-4e34-b080-cf31e34ba0c6;;111111118;Vodacom Life 20260324;;;;;CU;5;2026-05-25 11:54:41+02;Khensane Mabasa;2026-03-24 09:54:08+02;2026-03-24 09:54:08+02;;;;;;;;;27799850401;;;;;;;;prepaid life;;;;;</t>
  </si>
  <si>
    <t>ID_954</t>
  </si>
  <si>
    <t>13862004;ddddd275-7f12-4bd7-9364-98f18e06e118;;111111118;Vodacom Life 20260324;;;;;NA;5;2026-05-25 1</t>
  </si>
  <si>
    <t>13862004;ddddd275-7f12-4bd7-9364-98f18e06e118;;111111118;Vodacom Life 20260324;;;;;NA;5;2026-05-25 11:12:03+02;system;2026-03-24 09:54:08+02;2026-03-24 09:54:08+02;;;;;;;;;27763039989;;;;;;;;prepaid life;;;;;</t>
  </si>
  <si>
    <t>ID_955</t>
  </si>
  <si>
    <t>13862051;963a331e-60c3-4d94-8abd-250e4c4a8341;;111111118;Vodacom Life 20260324;;;27799903577;;A;5;20</t>
  </si>
  <si>
    <t>13862051;963a331e-60c3-4d94-8abd-250e4c4a8341;;111111118;Vodacom Life 20260324;;;27799903577;;A;5;2026-05-25 09:41:10+02;bongiwe lushaba;2026-03-24 09:54:08+02;2026-03-24 09:54:08+02;;;;;;;;;27799903577;;;;;;;;prepaid life;;;;;</t>
  </si>
  <si>
    <t>ID_956</t>
  </si>
  <si>
    <t>13862139;b4c48a76-0edf-4fdf-8654-26ae0968dcc6;;111111118;Vodacom Life 20260324;;;;;NIUP;2;2026-04-10</t>
  </si>
  <si>
    <t>13862139;b4c48a76-0edf-4fdf-8654-26ae0968dcc6;;111111118;Vodacom Life 20260324;;;;;NIUP;2;2026-04-10 08:52:20+02;Seboifeng Mogola;2026-03-24 09:54:08+02;2026-03-24 09:54:08+02;;;;;;;;;27728353252;;;;;;;;prepaid life;;;;;</t>
  </si>
  <si>
    <t>ID_957</t>
  </si>
  <si>
    <t>13862005;a8bd8153-dfdf-4f50-af26-cf058d2cb139;;111111118;Vodacom Life 20260324;;;;;NA;5;2026-05-25 1</t>
  </si>
  <si>
    <t>13862005;a8bd8153-dfdf-4f50-af26-cf058d2cb139;;111111118;Vodacom Life 20260324;;;;;NA;5;2026-05-25 11:12:05+02;system;2026-03-24 09:54:08+02;2026-03-24 09:54:08+02;;;;;;;;;27763113273;;;;;;;;prepaid life;;;;;</t>
  </si>
  <si>
    <t>ID_958</t>
  </si>
  <si>
    <t>13862140;7f1659c9-15c7-4a65-8ee0-858401b5e5a7;;111111118;Vodacom Life 20260324;;;;;AE;5;2026-05-25 1</t>
  </si>
  <si>
    <t>13862140;7f1659c9-15c7-4a65-8ee0-858401b5e5a7;;111111118;Vodacom Life 20260324;;;;;AE;5;2026-05-25 14:11:36+02;system;2026-03-24 09:54:08+02;2026-03-24 09:54:08+02;;;;;;;;;27728481841;;;;;;;;prepaid life;;;;;</t>
  </si>
  <si>
    <t>ID_959</t>
  </si>
  <si>
    <t>13862052;d44ef1d0-c1a8-4cb0-b5c5-6669e226c257;;111111118;Vodacom Life 20260324;;;;;DNQS;5;2026-05-25</t>
  </si>
  <si>
    <t>13862052;d44ef1d0-c1a8-4cb0-b5c5-6669e226c257;;111111118;Vodacom Life 20260324;;;;;DNQS;5;2026-05-25 09:39:53+02;Khensane Mabasa;2026-03-24 09:54:08+02;2026-03-24 09:54:08+02;;;;;;;;;27799914160;;;;;;;;prepaid life;;;;;</t>
  </si>
  <si>
    <t>ID_960</t>
  </si>
  <si>
    <t>13862006;c4db0012-e1da-45ea-a927-6e1310521e48;;111111118;Vodacom Life 20260324;;;;;SELECTED;1;;;2026</t>
  </si>
  <si>
    <t>13862006;c4db0012-e1da-45ea-a927-6e1310521e48;;111111118;Vodacom Life 20260324;;;;;SELECTED;1;;;2026-03-24 09:54:08+02;2026-03-24 09:54:08+02;;;;;;;;;27763457226;;;;;;;;prepaid life;;;;;</t>
  </si>
  <si>
    <t>ID_961</t>
  </si>
  <si>
    <t>13862053;e1a00945-ae3a-49f7-a116-1e22357f92b5;;111111118;Vodacom Life 20260324;;;;;DROP;5;2026-05-25</t>
  </si>
  <si>
    <t>13862053;e1a00945-ae3a-49f7-a116-1e22357f92b5;;111111118;Vodacom Life 20260324;;;;;DROP;5;2026-05-25 09:39:59+02;system;2026-03-24 09:54:08+02;2026-03-24 09:54:08+02;;;;;;;;;27818385853;;;;;;;;prepaid life;;;;;</t>
  </si>
  <si>
    <t>ID_962</t>
  </si>
  <si>
    <t>13862141;3c7b5144-be6d-426a-a4d0-0049a2001973;;111111118;Vodacom Life 20260324;;;;;AA;5;2026-05-25 1</t>
  </si>
  <si>
    <t>13862141;3c7b5144-be6d-426a-a4d0-0049a2001973;;111111118;Vodacom Life 20260324;;;;;AA;5;2026-05-25 13:00:33+02;system;2026-03-24 09:54:08+02;2026-03-24 09:54:08+02;;;;;;;;;27728516223;;;;;;;;prepaid life;;;;;</t>
  </si>
  <si>
    <t>ID_963</t>
  </si>
  <si>
    <t>13862007;29a32b11-1f5f-428e-893a-8fedbf5191c2;;111111118;Vodacom Life 20260324;;;;;CU;5;2026-05-25 1</t>
  </si>
  <si>
    <t>13862007;29a32b11-1f5f-428e-893a-8fedbf5191c2;;111111118;Vodacom Life 20260324;;;;;CU;5;2026-05-25 11:12:09+02;bongiwe lushaba;2026-03-24 09:54:08+02;2026-03-24 09:54:08+02;;;;;;;;;27763470202;;;;;;;;prepaid life;;;;;</t>
  </si>
  <si>
    <t>ID_964</t>
  </si>
  <si>
    <t>13862142;075ae391-5ced-42e5-bc87-dcfbc31fd9a9;;111111118;Vodacom Life 20260324;;;;;NI;3;2026-04-15 0</t>
  </si>
  <si>
    <t>13862142;075ae391-5ced-42e5-bc87-dcfbc31fd9a9;;111111118;Vodacom Life 20260324;;;;;NI;3;2026-04-15 09:11:28+02;Maureen Ntsoko;2026-03-24 09:54:08+02;2026-03-24 09:54:08+02;;;;;;;;;27728992088;;;;;;;;prepaid life;;;;;</t>
  </si>
  <si>
    <t>ID_965</t>
  </si>
  <si>
    <t>13862054;dc6ca10d-88b5-4daf-af24-c94768e97832;;111111118;Vodacom Life 20260324;;;;;A;5;2026-05-25 09</t>
  </si>
  <si>
    <t>13862054;dc6ca10d-88b5-4daf-af24-c94768e97832;;111111118;Vodacom Life 20260324;;;;;A;5;2026-05-25 09:40:01+02;bongiwe lushaba;2026-03-24 09:54:08+02;2026-03-24 09:54:08+02;;;;;;;;;27818468954;;;;;;;;prepaid life;;;;;</t>
  </si>
  <si>
    <t>ID_966</t>
  </si>
  <si>
    <t>13862008;fff6a168-9ed6-45cb-af73-e2bb7e61cf76;;111111118;Vodacom Life 20260324;;;;;CU;5;2026-05-25 1</t>
  </si>
  <si>
    <t>13862008;fff6a168-9ed6-45cb-af73-e2bb7e61cf76;;111111118;Vodacom Life 20260324;;;;;CU;5;2026-05-25 11:12:38+02;Khensane Mabasa;2026-03-24 09:54:08+02;2026-03-24 09:54:08+02;;;;;;;;;27763522600;;;;;;;;prepaid life;;;;;</t>
  </si>
  <si>
    <t>ID_967</t>
  </si>
  <si>
    <t>13862055;4a9299ce-dad8-4f8e-82e3-e11fedbee12e;;111111118;Vodacom Life 20260324;;;;;AA;5;2026-05-25 0</t>
  </si>
  <si>
    <t>13862055;4a9299ce-dad8-4f8e-82e3-e11fedbee12e;;111111118;Vodacom Life 20260324;;;;;AA;5;2026-05-25 09:40:00+02;system;2026-03-24 09:54:08+02;2026-03-24 09:54:08+02;;;;;;;;;27822590923;;;;;;;;prepaid life;;;;;</t>
  </si>
  <si>
    <t>ID_968</t>
  </si>
  <si>
    <t>13862143;c3442f2a-6d4a-48c2-8625-fadfc36cdb47;;111111118;Vodacom Life 20260324;;;;;DROP;5;2026-05-25</t>
  </si>
  <si>
    <t>13862143;c3442f2a-6d4a-48c2-8625-fadfc36cdb47;;111111118;Vodacom Life 20260324;;;;;DROP;5;2026-05-25 14:05:18+02;system;2026-03-24 09:54:08+02;2026-03-24 09:54:08+02;;;;;;;;;27729049496;;;;;;;;prepaid life;;;;;</t>
  </si>
  <si>
    <t>ID_969</t>
  </si>
  <si>
    <t>13862009;b69ca322-bedc-4ca2-8d1b-736656db7109;;111111118;Vodacom Life 20260324;;;;;CU;6;2026-05-19 1</t>
  </si>
  <si>
    <t>13862009;b69ca322-bedc-4ca2-8d1b-736656db7109;;111111118;Vodacom Life 20260324;;;;;CU;6;2026-05-19 14:25:15+02;Khensane Mabasa;2026-03-24 09:54:08+02;2026-03-24 09:54:08+02;;;;;;;;;27763797964;;;;;;;;prepaid life;;;;;</t>
  </si>
  <si>
    <t>ID_970</t>
  </si>
  <si>
    <t>13862144;dc5c1c56-5777-45c3-b969-cda689a21456;;111111118;Vodacom Life 20260324;;;;;NI;3;2026-04-15 1</t>
  </si>
  <si>
    <t>13862144;dc5c1c56-5777-45c3-b969-cda689a21456;;111111118;Vodacom Life 20260324;;;;;NI;3;2026-04-15 12:00:14+02;Thandile Nokubeni;2026-03-24 09:54:08+02;2026-03-24 09:54:08+02;;;;;;;;;27729468225;;;;;;;;prepaid life;;;;;</t>
  </si>
  <si>
    <t>ID_971</t>
  </si>
  <si>
    <t>13862145;d7767219-15df-4e88-b7d3-c5c57913a9d4;;111111118;Vodacom Life 20260324;;;;;NA;5;2026-05-25 1</t>
  </si>
  <si>
    <t>13862145;d7767219-15df-4e88-b7d3-c5c57913a9d4;;111111118;Vodacom Life 20260324;;;;;NA;5;2026-05-25 14:05:25+02;system;2026-03-24 09:54:08+02;2026-03-24 09:54:08+02;;;;;;;;;27729913962;;;;;;;;prepaid life;;;;;</t>
  </si>
  <si>
    <t>ID_972</t>
  </si>
  <si>
    <t>13862056;7be2693e-b829-4f35-af52-29f9a3ef1f94;;111111118;Vodacom Life 20260324;;;;;NI;3;2026-04-15 0</t>
  </si>
  <si>
    <t>13862056;7be2693e-b829-4f35-af52-29f9a3ef1f94;;111111118;Vodacom Life 20260324;;;;;NI;3;2026-04-15 08:46:00+02;Maureen Ntsoko;2026-03-24 09:54:08+02;2026-03-24 09:54:08+02;;;;;;;;;27824057348;;;;;;;;prepaid life;;;;;</t>
  </si>
  <si>
    <t>ID_973</t>
  </si>
  <si>
    <t>13862010;e37c717b-2e70-4be1-a811-f1c527ecb869;;111111118;Vodacom Life 20260324;;;;;AA;5;2026-05-25 1</t>
  </si>
  <si>
    <t>13862010;e37c717b-2e70-4be1-a811-f1c527ecb869;;111111118;Vodacom Life 20260324;;;;;AA;5;2026-05-25 10:48:07+02;system;2026-03-24 09:54:08+02;2026-03-24 09:54:08+02;;;;;;;;;27764146760;;;;;;;;prepaid life;;;;;</t>
  </si>
  <si>
    <t>ID_974</t>
  </si>
  <si>
    <t>13862057;ec651970-e679-4b76-9749-23d48ba4e416;;111111118;Vodacom Life 20260324;;;27824347174;;AE;5;2</t>
  </si>
  <si>
    <t>13862057;ec651970-e679-4b76-9749-23d48ba4e416;;111111118;Vodacom Life 20260324;;;27824347174;;AE;5;2026-05-25 09:40:00+02;system;2026-03-24 09:54:08+02;2026-03-24 09:54:08+02;;;;;;;;;27824347174;;;;;;;;prepaid life;;;;;</t>
  </si>
  <si>
    <t>ID_975</t>
  </si>
  <si>
    <t>13862146;56a5f40a-a0d5-4db0-b5b8-a2f1eb69f0ec;;111111118;Vodacom Life 20260324;;;27760313960;;IABDN;</t>
  </si>
  <si>
    <t>13862146;56a5f40a-a0d5-4db0-b5b8-a2f1eb69f0ec;;111111118;Vodacom Life 20260324;;;27760313960;;IABDN;5;2026-05-25 14:28:51+02;system;2026-03-24 09:54:08+02;2026-03-24 09:54:08+02;;;;;;;;;27760313960;;;;;;;;prepaid life;;;;;</t>
  </si>
  <si>
    <t>ID_976</t>
  </si>
  <si>
    <t>13862011;b8e75762-2195-4410-98dc-fe98ac5262c9;;111111118;Vodacom Life 20260324;;;;;CBACK;2;2026-04-0</t>
  </si>
  <si>
    <t>13862011;b8e75762-2195-4410-98dc-fe98ac5262c9;;111111118;Vodacom Life 20260324;;;;;CBACK;2;2026-04-09 08:42:27+02;Thandile Nokubeni;2026-03-24 09:54:08+02;2026-03-24 09:54:08+02;;;;;;;;;27764317739;;;;;;;;prepaid life;;;;;</t>
  </si>
  <si>
    <t>ID_977</t>
  </si>
  <si>
    <t>13862206;a0c7326a-287c-4990-abd3-cfa9363af22a;;111111118;Vodacom Life 20260324;;;;;NA;5;2026-05-25 1</t>
  </si>
  <si>
    <t>13862206;a0c7326a-287c-4990-abd3-cfa9363af22a;;111111118;Vodacom Life 20260324;;;;;NA;5;2026-05-25 10:53:38+02;system;2026-03-24 09:54:08+02;2026-03-24 09:54:08+02;;;;;;;;;27820955806;;;;;;;;prepaid life;;;;;</t>
  </si>
  <si>
    <t>ID_978</t>
  </si>
  <si>
    <t>13862058;db9101a3-7df5-4960-977a-12c4d1bfac9a;;111111118;Vodacom Life 20260324;;;;;NA;5;2026-05-25 1</t>
  </si>
  <si>
    <t>13862058;db9101a3-7df5-4960-977a-12c4d1bfac9a;;111111118;Vodacom Life 20260324;;;;;NA;5;2026-05-25 11:54:48+02;system;2026-03-24 09:54:08+02;2026-03-24 09:54:08+02;;;;;;;;;27825087582;;;;;;;;prepaid life;;;;;</t>
  </si>
  <si>
    <t>ID_979</t>
  </si>
  <si>
    <t>13862059;5d7e9653-d99c-4ba4-9498-dfa311d24f61;;111111118;Vodacom Life 20260324;;;;;AA;5;2026-05-25 1</t>
  </si>
  <si>
    <t>13862059;5d7e9653-d99c-4ba4-9498-dfa311d24f61;;111111118;Vodacom Life 20260324;;;;;AA;5;2026-05-25 14:29:56+02;system;2026-03-24 09:54:08+02;2026-03-24 09:54:08+02;;;;;;;;;27825580167;;;;;;;;prepaid life;;;;;</t>
  </si>
  <si>
    <t>ID_980</t>
  </si>
  <si>
    <t>13862208;544c4c14-e05f-480b-9830-807c66a526e6;;111111118;Vodacom Life 20260324;;;;;NI;3;2026-04-15 0</t>
  </si>
  <si>
    <t>13862208;544c4c14-e05f-480b-9830-807c66a526e6;;111111118;Vodacom Life 20260324;;;;;NI;3;2026-04-15 09:20:48+02;Esther Ramalete;2026-03-24 09:54:08+02;2026-03-24 09:54:08+02;;;;;;;;;27822227649;;;;;;;;prepaid life;;;;;</t>
  </si>
  <si>
    <t>ID_981</t>
  </si>
  <si>
    <t>13862060;7922f683-665e-4d4a-b523-f86c755e6d1b;;111111118;Vodacom Life 20260324;;;;;NA;5;2026-05-25 1</t>
  </si>
  <si>
    <t>13862060;7922f683-665e-4d4a-b523-f86c755e6d1b;;111111118;Vodacom Life 20260324;;;;;NA;5;2026-05-25 14:03:24+02;system;2026-03-24 09:54:08+02;2026-03-24 09:54:08+02;;;;;;;;;27825903414;;;;;;;;prepaid life;;;;;</t>
  </si>
  <si>
    <t>ID_982</t>
  </si>
  <si>
    <t>13862148;c513704d-5926-4870-802f-88690b51dd47;;111111118;Vodacom Life 20260324;;;;;NA;5;2026-05-25 1</t>
  </si>
  <si>
    <t>13862148;c513704d-5926-4870-802f-88690b51dd47;;111111118;Vodacom Life 20260324;;;;;NA;5;2026-05-25 10:57:28+02;system;2026-03-24 09:54:08+02;2026-03-24 09:54:08+02;;;;;;;;;27761154090;;;;;;;;prepaid life;;;;;</t>
  </si>
  <si>
    <t>ID_983</t>
  </si>
  <si>
    <t>13862149;44d6e0e0-f6fa-48c2-a089-5f273bb899c9;;111111118;Vodacom Life 20260324;;;;;CU;5;2026-05-25 1</t>
  </si>
  <si>
    <t>13862149;44d6e0e0-f6fa-48c2-a089-5f273bb899c9;;111111118;Vodacom Life 20260324;;;;;CU;5;2026-05-25 14:34:48+02;bongiwe lushaba;2026-03-24 09:54:08+02;2026-03-24 09:54:08+02;;;;;;;;;27761654002;;;;;;;;prepaid life;;;;;</t>
  </si>
  <si>
    <t>ID_984</t>
  </si>
  <si>
    <t>13862209;a5afaf6e-5493-4d72-a1b6-d140508817fa;;111111118;Vodacom Life 20260324;;;;;NA;5;2026-05-25 1</t>
  </si>
  <si>
    <t>13862209;a5afaf6e-5493-4d72-a1b6-d140508817fa;;111111118;Vodacom Life 20260324;;;;;NA;5;2026-05-25 10:53:45+02;system;2026-03-24 09:54:08+02;2026-03-24 09:54:08+02;;;;;;;;;27822305385;;;;;;;;prepaid life;;;;;</t>
  </si>
  <si>
    <t>ID_985</t>
  </si>
  <si>
    <t>13862150;d795586c-6746-49b7-ac90-7bc7c052399d;;111111118;Vodacom Life 20260324;;;;;AA;5;2026-05-25 0</t>
  </si>
  <si>
    <t>13862150;d795586c-6746-49b7-ac90-7bc7c052399d;;111111118;Vodacom Life 20260324;;;;;AA;5;2026-05-25 09:45:30+02;system;2026-03-24 09:54:08+02;2026-03-24 09:54:08+02;;;;;;;;;27761965356;;;;;;;;prepaid life;;;;;</t>
  </si>
  <si>
    <t>ID_986</t>
  </si>
  <si>
    <t>13862210;abeae4f2-3809-475a-b25d-cd6e2f45b054;;111111118;Vodacom Life 20260324;;;;;AE;5;2026-05-25 1</t>
  </si>
  <si>
    <t>13862210;abeae4f2-3809-475a-b25d-cd6e2f45b054;;111111118;Vodacom Life 20260324;;;;;AE;5;2026-05-25 10:53:51+02;system;2026-03-24 09:54:08+02;2026-03-24 09:54:08+02;;;;;;;;;27822912126;;;;;;;;prepaid life;;;;;</t>
  </si>
  <si>
    <t>ID_987</t>
  </si>
  <si>
    <t>13862061;70fad59b-43b3-400a-b5ef-909b18c14670;;111111118;Vodacom Life 20260324;;;;;CBACK;5;2026-05-2</t>
  </si>
  <si>
    <t>13862061;70fad59b-43b3-400a-b5ef-909b18c14670;;111111118;Vodacom Life 20260324;;;;;CBACK;5;2026-05-25 14:03:24+02;Maureen Ntsoko;2026-03-24 09:54:08+02;2026-03-24 09:54:08+02;;;;;;;;;27825979758;;;;;;;;prepaid life;;;;;</t>
  </si>
  <si>
    <t>ID_988</t>
  </si>
  <si>
    <t>13862211;4f536e5f-4262-44d4-8b62-85edd30a1201;;111111118;Vodacom Life 20260324;;;27824033932;;CU;5;2</t>
  </si>
  <si>
    <t>13862211;4f536e5f-4262-44d4-8b62-85edd30a1201;;111111118;Vodacom Life 20260324;;;27824033932;;CU;5;2026-05-20 11:10:49+02;Khensane Mabasa;2026-03-24 09:54:08+02;2026-03-24 09:54:08+02;;;;;;;;;27824033932;;;;;;;;prepaid life;;;;;</t>
  </si>
  <si>
    <t>ID_989</t>
  </si>
  <si>
    <t>13862151;fc8f88a2-ff3b-4ca1-977c-65fb992c9fb6;;111111118;Vodacom Life 20260324;;;;;CU;6;2026-05-25 1</t>
  </si>
  <si>
    <t>13862151;fc8f88a2-ff3b-4ca1-977c-65fb992c9fb6;;111111118;Vodacom Life 20260324;;;;;CU;6;2026-05-25 12:47:43+02;bongiwe lushaba;2026-03-24 09:54:08+02;2026-03-24 09:54:08+02;;;;;;;;;27762002886;;;;;;;;prepaid life;;;;;</t>
  </si>
  <si>
    <t>ID_990</t>
  </si>
  <si>
    <t>13862212;44ea632a-83e6-42fb-b1cf-953339a5ca8e;;111111118;Vodacom Life 20260324;;;27824301721;;CU;5;2</t>
  </si>
  <si>
    <t>13862212;44ea632a-83e6-42fb-b1cf-953339a5ca8e;;111111118;Vodacom Life 20260324;;;27824301721;;CU;5;2026-05-25 11:55:39+02;bongiwe lushaba;2026-03-24 09:54:08+02;2026-03-24 09:54:08+02;;;;;;;;;27824301721;;;;;;;;prepaid life;;;;;</t>
  </si>
  <si>
    <t>ID_991</t>
  </si>
  <si>
    <t>13862152;edc72a36-8714-4bd7-a678-a049315bd768;;111111118;Vodacom Life 20260324;;;;;A;8;2026-04-10 12</t>
  </si>
  <si>
    <t>13862152;edc72a36-8714-4bd7-a678-a049315bd768;;111111118;Vodacom Life 20260324;;;;;A;8;2026-04-10 12:11:57+02;Seboifeng Mogola;2026-03-24 09:54:08+02;2026-03-24 09:54:08+02;;;;;;;;;27762084587;;;;;;;;prepaid life;;;;;</t>
  </si>
  <si>
    <t>ID_992</t>
  </si>
  <si>
    <t>13862062;fc3c0ee9-1fde-46b2-9de4-a46d83c15cae;;111111118;Vodacom Life 20260324;;;;;CBACK;2;2026-04-1</t>
  </si>
  <si>
    <t>13862062;fc3c0ee9-1fde-46b2-9de4-a46d83c15cae;;111111118;Vodacom Life 20260324;;;;;CBACK;2;2026-04-10 08:57:33+02;Esther Ramalete;2026-03-24 09:54:08+02;2026-03-24 09:54:08+02;;;;;;;;;27825982426;;;;;;;;prepaid life;;;;;</t>
  </si>
  <si>
    <t>ID_993</t>
  </si>
  <si>
    <t xml:space="preserve">13862213;a5e1ae27-336d-4cc4-9b9c-010fdea96090;;111111118;Vodacom Life 20260324;;;;;OAL;2;2026-04-10 </t>
  </si>
  <si>
    <t>13862213;a5e1ae27-336d-4cc4-9b9c-010fdea96090;;111111118;Vodacom Life 20260324;;;;;OAL;2;2026-04-10 09:11:06+02;Seboifeng Mogola;2026-03-24 09:54:08+02;2026-03-24 09:54:08+02;;;;;;;;;27824421603;;;;;;;;prepaid life;;;;;</t>
  </si>
  <si>
    <t>ID_994</t>
  </si>
  <si>
    <t>13862063;77af13cf-6843-48e9-ab99-29130e76bfd0;;111111118;Vodacom Life 20260324;;;;;CU;5;2026-05-25 1</t>
  </si>
  <si>
    <t>13862063;77af13cf-6843-48e9-ab99-29130e76bfd0;;111111118;Vodacom Life 20260324;;;;;CU;5;2026-05-25 12:41:07+02;Maureen Ntsoko;2026-03-24 09:54:08+02;2026-03-24 09:54:08+02;;;;;;;;;27826514713;;;;;;;;prepaid life;;;;;</t>
  </si>
  <si>
    <t>ID_995</t>
  </si>
  <si>
    <t>13862153;c4ad96a8-d6b6-4343-acf1-356de5483437;;111111118;Vodacom Life 20260324;;;;;AE;5;2026-05-25 0</t>
  </si>
  <si>
    <t>13862153;c4ad96a8-d6b6-4343-acf1-356de5483437;;111111118;Vodacom Life 20260324;;;;;AE;5;2026-05-25 09:45:30+02;system;2026-03-24 09:54:08+02;2026-03-24 09:54:08+02;;;;;;;;;27762844395;;;;;;;;prepaid life;;;;;</t>
  </si>
  <si>
    <t>ID_996</t>
  </si>
  <si>
    <t>13862214;e9ce57d3-4b14-4fe2-b664-18e3832ed04b;;111111118;Vodacom Life 20260324;;;;;CBACK;4;2026-05-2</t>
  </si>
  <si>
    <t>13862214;e9ce57d3-4b14-4fe2-b664-18e3832ed04b;;111111118;Vodacom Life 20260324;;;;;CBACK;4;2026-05-20 08:05:09+02;Maureen Ntsoko;2026-03-24 09:54:08+02;2026-03-24 09:54:08+02;;;;;;;;;27825009712;;;;;;;;prepaid life;;;;;</t>
  </si>
  <si>
    <t>ID_997</t>
  </si>
  <si>
    <t xml:space="preserve">13862154;307b4812-5b2f-4f9a-937f-a10e95d8a2d5;;111111118;Vodacom Life 20260324;;;;;CCB;5;2026-04-16 </t>
  </si>
  <si>
    <t>13862154;307b4812-5b2f-4f9a-937f-a10e95d8a2d5;;111111118;Vodacom Life 20260324;;;;;CCB;5;2026-04-16 16:32:32+02;Thandile Nokubeni;2026-03-24 09:54:08+02;2026-03-24 09:54:08+02;;;;;;;;;27762997996;;;;;;;;prepaid life;;;;;</t>
  </si>
  <si>
    <t>ID_998</t>
  </si>
  <si>
    <t>13862064;ddad99e2-a8c2-4195-bb9a-fcab4f36bfca;;111111118;Vodacom Life 20260324;;;;;DROP;5;2026-05-25</t>
  </si>
  <si>
    <t>13862064;ddad99e2-a8c2-4195-bb9a-fcab4f36bfca;;111111118;Vodacom Life 20260324;;;;;DROP;5;2026-05-25 14:03:24+02;system;2026-03-24 09:54:08+02;2026-03-24 09:54:08+02;;;;;;;;;27826638380;;;;;;;;prepaid life;;;;;</t>
  </si>
  <si>
    <t>ID_999</t>
  </si>
  <si>
    <t>13862215;50b7f13f-3e4d-4efc-8f40-6a0b7d4f575e;;111111118;Vodacom Life 20260324;;;27825299594;;IABDN;</t>
  </si>
  <si>
    <t>13862215;50b7f13f-3e4d-4efc-8f40-6a0b7d4f575e;;111111118;Vodacom Life 20260324;;;27825299594;;IABDN;5;2026-05-25 11:56:08+02;system;2026-03-24 09:54:08+02;2026-03-24 09:54:08+02;;;;;;;;;27825299594;;;;;;;;prepaid life;;;;;</t>
  </si>
  <si>
    <t>ID_1000</t>
  </si>
  <si>
    <t>13862065;4d6230d0-ccec-487c-ae58-cf1d15902c36;;111111118;Vodacom Life 20260324;;;;;CU;5;2026-05-25 1</t>
  </si>
  <si>
    <t>13862065;4d6230d0-ccec-487c-ae58-cf1d15902c36;;111111118;Vodacom Life 20260324;;;;;CU;5;2026-05-25 12:31:28+02;Maureen Ntsoko;2026-03-24 09:54:08+02;2026-03-24 09:54:08+02;;;;;;;;;27827516439;;;;;;;;prepaid life;;;;;</t>
  </si>
  <si>
    <t>ID_1001</t>
  </si>
  <si>
    <t>13862155;50fc24cc-79ca-4f79-807d-6b20fd7c8252;;111111118;Vodacom Life 20260324;;;27763092008;;IABDN;</t>
  </si>
  <si>
    <t>13862155;50fc24cc-79ca-4f79-807d-6b20fd7c8252;;111111118;Vodacom Life 20260324;;;27763092008;;IABDN;5;2026-05-25 11:03:51+02;system;2026-03-24 09:54:08+02;2026-03-24 09:54:08+02;;;;;;;;;27763092008;;;;;;;;prepaid life;;;;;</t>
  </si>
  <si>
    <t>ID_1002</t>
  </si>
  <si>
    <t>13862216;948224ed-ac39-45ce-94b4-bd7c54056729;;111111118;Vodacom Life 20260324;;;;;AE;5;2026-05-25 1</t>
  </si>
  <si>
    <t>13862216;948224ed-ac39-45ce-94b4-bd7c54056729;;111111118;Vodacom Life 20260324;;;;;AE;5;2026-05-25 14:06:09+02;system;2026-03-24 09:54:08+02;2026-03-24 09:54:08+02;;;;;;;;;27825735188;;;;;;;;prepaid life;;;;;</t>
  </si>
  <si>
    <t>ID_1003</t>
  </si>
  <si>
    <t>13862156;c94110a0-33cb-4d4a-b022-fb08a0897b79;;111111118;Vodacom Life 20260324;;;;;CBACK;3;2026-04-1</t>
  </si>
  <si>
    <t>13862156;c94110a0-33cb-4d4a-b022-fb08a0897b79;;111111118;Vodacom Life 20260324;;;;;CBACK;3;2026-04-15 10:06:48+02;bongiwe lushaba;2026-03-24 09:54:08+02;2026-03-24 09:54:08+02;;;;;;;;;27763374576;;;;;;;;prepaid life;;;;;</t>
  </si>
  <si>
    <t>ID_1004</t>
  </si>
  <si>
    <t>13862066;a3d270bf-dd6b-44c6-a5a4-a82bc9809c37;;111111118;Vodacom Life 20260324;;;;;NA;5;2026-05-25 1</t>
  </si>
  <si>
    <t>13862066;a3d270bf-dd6b-44c6-a5a4-a82bc9809c37;;111111118;Vodacom Life 20260324;;;;;NA;5;2026-05-25 12:47:29+02;system;2026-03-24 09:54:08+02;2026-03-24 09:54:08+02;;;;;;;;;27829311272;;;;;;;;prepaid life;;;;;</t>
  </si>
  <si>
    <t>ID_1005</t>
  </si>
  <si>
    <t>13862217;26f5b874-39e3-4592-bb7f-a6f24f4f34c6;;111111118;Vodacom Life 20260324;;;;;NA;5;2026-05-25 1</t>
  </si>
  <si>
    <t>13862217;26f5b874-39e3-4592-bb7f-a6f24f4f34c6;;111111118;Vodacom Life 20260324;;;;;NA;5;2026-05-25 14:06:22+02;system;2026-03-24 09:54:08+02;2026-03-24 09:54:08+02;;;;;;;;;27825952411;;;;;;;;prepaid life;;;;;</t>
  </si>
  <si>
    <t>ID_1006</t>
  </si>
  <si>
    <t>13862157;9f118b98-848f-4519-99cc-6c6193b34327;;111111118;Vodacom Life 20260324;;;;;AA;5;2026-05-25 0</t>
  </si>
  <si>
    <t>13862157;9f118b98-848f-4519-99cc-6c6193b34327;;111111118;Vodacom Life 20260324;;;;;AA;5;2026-05-25 09:46:01+02;system;2026-03-24 09:54:08+02;2026-03-24 09:54:08+02;;;;;;;;;27763712504;;;;;;;;prepaid life;;;;;</t>
  </si>
  <si>
    <t>ID_1007</t>
  </si>
  <si>
    <t>13862158;57bf81f4-9363-4d5b-ba64-08df59e2a560;;111111118;Vodacom Life 20260324;;;;;DNQS;1;2026-04-01</t>
  </si>
  <si>
    <t>13862158;57bf81f4-9363-4d5b-ba64-08df59e2a560;;111111118;Vodacom Life 20260324;;;;;DNQS;1;2026-04-01 09:54:22+02;Musiiwa Mary Mabirimisa;2026-03-24 09:54:08+02;2026-03-24 09:54:08+02;;;;;;;;;27764254017;;;;;;;;prepaid life;;;;;</t>
  </si>
  <si>
    <t>ID_1008</t>
  </si>
  <si>
    <t>13862218;d4841a47-8f98-487d-b97e-a96370ec63bd;;111111118;Vodacom Life 20260324;;;;;NI;3;2026-04-15 1</t>
  </si>
  <si>
    <t>13862218;d4841a47-8f98-487d-b97e-a96370ec63bd;;111111118;Vodacom Life 20260324;;;;;NI;3;2026-04-15 11:57:11+02;Musiiwa Mary Mabirimisa;2026-03-24 09:54:08+02;2026-03-24 09:54:08+02;;;;;;;;;27828586658;;;;;;;;prepaid life;;;;;</t>
  </si>
  <si>
    <t>ID_1009</t>
  </si>
  <si>
    <t xml:space="preserve">13862159;7df0f3c0-72e7-46cc-85c0-a7da383f639c;;111111118;Vodacom Life 20260324;;;;;ADC;5;2026-05-25 </t>
  </si>
  <si>
    <t>13862159;7df0f3c0-72e7-46cc-85c0-a7da383f639c;;111111118;Vodacom Life 20260324;;;;;ADC;5;2026-05-25 09:46:06+02;system;2026-03-24 09:54:08+02;2026-03-24 09:54:08+02;;;;;;;;;27764672482;;;;;;;;prepaid life;;;;;</t>
  </si>
  <si>
    <t>ID_1010</t>
  </si>
  <si>
    <t>13862068;c63fe912-e0d3-4a63-8473-04d43ae55d44;;111111118;Vodacom Life 20260324;;;;;CU;5;2026-05-25 1</t>
  </si>
  <si>
    <t>13862068;c63fe912-e0d3-4a63-8473-04d43ae55d44;;111111118;Vodacom Life 20260324;;;;;CU;5;2026-05-25 11:13:35+02;bongiwe lushaba;2026-03-24 09:54:08+02;2026-03-24 09:54:08+02;;;;;;;;;27606148049;;;;;;;;prepaid life;;;;;</t>
  </si>
  <si>
    <t>ID_1011</t>
  </si>
  <si>
    <t>13862069;e1ef0c54-cad9-4bc9-8b50-bb22873c9a5f;;111111118;Vodacom Life 20260324;;;;;AA;5;2026-05-25 0</t>
  </si>
  <si>
    <t>13862069;e1ef0c54-cad9-4bc9-8b50-bb22873c9a5f;;111111118;Vodacom Life 20260324;;;;;AA;5;2026-05-25 08:56:05+02;system;2026-03-24 09:54:08+02;2026-03-24 09:54:08+02;;;;;;;;;27607212704;;;;;;;;prepaid life;;;;;</t>
  </si>
  <si>
    <t>ID_1012</t>
  </si>
  <si>
    <t>13862219;3c25da9e-b789-4c37-bb5b-844fd9acbf45;;111111118;Vodacom Life 20260324;;;;;DNQF;4;2026-05-19</t>
  </si>
  <si>
    <t>13862219;3c25da9e-b789-4c37-bb5b-844fd9acbf45;;111111118;Vodacom Life 20260324;;;;;DNQF;4;2026-05-19 12:07:13+02;Khensane Mabasa;2026-03-24 09:54:08+02;2026-03-24 09:54:08+02;;;;;;;;;27828910193;;;;;;;;prepaid life;;;;;</t>
  </si>
  <si>
    <t>ID_1013</t>
  </si>
  <si>
    <t>13862070;f66cab49-380f-4bd4-9a1e-6cdd96b92554;;111111118;Vodacom Life 20260324;;;27607405716;;IABDN;</t>
  </si>
  <si>
    <t>13862070;f66cab49-380f-4bd4-9a1e-6cdd96b92554;;111111118;Vodacom Life 20260324;;;27607405716;;IABDN;5;2026-05-25 09:44:45+02;system;2026-03-24 09:54:08+02;2026-03-24 09:54:08+02;;;;;;;;;27607405716;;;;;;;;prepaid life;;;;;</t>
  </si>
  <si>
    <t>ID_1014</t>
  </si>
  <si>
    <t>13862160;a648149d-e841-4bcb-9c51-a82217793ba8;;111111118;Vodacom Life 20260324;;;;;AE;5;2026-05-25 0</t>
  </si>
  <si>
    <t>13862160;a648149d-e841-4bcb-9c51-a82217793ba8;;111111118;Vodacom Life 20260324;;;;;AE;5;2026-05-25 08:27:31+02;system;2026-03-24 09:54:08+02;2026-03-24 09:54:08+02;;;;;;;;;27764774035;;;;;;;;prepaid life;;;;;</t>
  </si>
  <si>
    <t>ID_1015</t>
  </si>
  <si>
    <t>13862220;a00107a1-baf8-4792-9b61-fcae8bc12054;;111111118;Vodacom Life 20260324;;;;;AE;5;2026-05-25 1</t>
  </si>
  <si>
    <t>13862220;a00107a1-baf8-4792-9b61-fcae8bc12054;;111111118;Vodacom Life 20260324;;;;;AE;5;2026-05-25 14:06:30+02;system;2026-03-24 09:54:08+02;2026-03-24 09:54:08+02;;;;;;;;;27833792909;;;;;;;;prepaid life;;;;;</t>
  </si>
  <si>
    <t>ID_1016</t>
  </si>
  <si>
    <t>13862071;834d2dc7-a848-46fa-a1ab-fa0fba0e4d3e;;111111118;Vodacom Life 20260324;;;;;DROP;5;2026-05-25</t>
  </si>
  <si>
    <t>13862071;834d2dc7-a848-46fa-a1ab-fa0fba0e4d3e;;111111118;Vodacom Life 20260324;;;;;DROP;5;2026-05-25 11:13:35+02;system;2026-03-24 09:54:08+02;2026-03-24 09:54:08+02;;;;;;;;;27607536918;;;;;;;;prepaid life;;;;;</t>
  </si>
  <si>
    <t>ID_1017</t>
  </si>
  <si>
    <t>13862221;230851d6-4601-4b88-8688-e7f66c6032a9;;111111118;Vodacom Life 20260324;;;;;DROP;5;2026-05-25</t>
  </si>
  <si>
    <t>13862221;230851d6-4601-4b88-8688-e7f66c6032a9;;111111118;Vodacom Life 20260324;;;;;DROP;5;2026-05-25 14:38:48+02;system;2026-03-24 09:54:08+02;2026-03-24 09:54:08+02;;;;;;;;;27847108999;;;;;;;;prepaid life;;;;;</t>
  </si>
  <si>
    <t>ID_1018</t>
  </si>
  <si>
    <t>13862072;71d76e10-629b-4c23-ad99-6d4eb6604827;;111111118;Vodacom Life 20260324;;;;;AA;5;2026-05-25 0</t>
  </si>
  <si>
    <t>13862072;71d76e10-629b-4c23-ad99-6d4eb6604827;;111111118;Vodacom Life 20260324;;;;;AA;5;2026-05-25 09:41:56+02;system;2026-03-24 09:54:08+02;2026-03-24 09:54:08+02;;;;;;;;;27607774449;;;;;;;;prepaid life;;;;;</t>
  </si>
  <si>
    <t>ID_1019</t>
  </si>
  <si>
    <t>13862073;5f9cf57f-6ec5-486b-a22d-cc0eb2c444c3;;111111118;Vodacom Life 20260324;;;;;AE;5;2026-05-25 0</t>
  </si>
  <si>
    <t>13862073;5f9cf57f-6ec5-486b-a22d-cc0eb2c444c3;;111111118;Vodacom Life 20260324;;;;;AE;5;2026-05-25 08:13:04+02;system;2026-03-24 09:54:08+02;2026-03-24 09:54:08+02;;;;;;;;;27607807968;;;;;;;;prepaid life;;;;;</t>
  </si>
  <si>
    <t>ID_1020</t>
  </si>
  <si>
    <t xml:space="preserve">13862161;8bee2bd5-83de-496d-b0d1-89f91080ead0;;111111118;Vodacom Life 20260324;;;;;TDN;5;2026-05-25 </t>
  </si>
  <si>
    <t>13862161;8bee2bd5-83de-496d-b0d1-89f91080ead0;;111111118;Vodacom Life 20260324;;;;;TDN;5;2026-05-25 09:46:21+02;system;2026-03-24 09:54:08+02;2026-03-24 09:54:08+02;;;;;;;;;27765326451;;;;;;;;prepaid life;;;;;</t>
  </si>
  <si>
    <t>ID_1021</t>
  </si>
  <si>
    <t>13862162;6dbba55f-d93b-4ee9-8b62-de19e712f58d;;111111118;Vodacom Life 20260324;;;;;CU;5;2026-05-25 0</t>
  </si>
  <si>
    <t>13862162;6dbba55f-d93b-4ee9-8b62-de19e712f58d;;111111118;Vodacom Life 20260324;;;;;CU;5;2026-05-25 08:27:31+02;bongiwe lushaba;2026-03-24 09:54:08+02;2026-03-24 09:54:08+02;;;;;;;;;27765827218;;;;;;;;prepaid life;;;;;</t>
  </si>
  <si>
    <t>ID_1022</t>
  </si>
  <si>
    <t>13862222;39ebf89c-a7b5-4854-85fa-3fcdfda74f19;;111111118;Vodacom Life 20260324;;;;;AA;5;2026-05-25 0</t>
  </si>
  <si>
    <t>13862222;39ebf89c-a7b5-4854-85fa-3fcdfda74f19;;111111118;Vodacom Life 20260324;;;;;AA;5;2026-05-25 09:16:31+02;system;2026-03-24 09:54:08+02;2026-03-24 09:54:08+02;;;;;;;;;27606128194;;;;;;;;prepaid life;;;;;</t>
  </si>
  <si>
    <t>ID_1023</t>
  </si>
  <si>
    <t>13862163;6b82c006-cea4-43ef-8fe6-c0cfc2fe68a7;;111111118;Vodacom Life 20260324;;;;;U;1;2026-04-01 12</t>
  </si>
  <si>
    <t>13862163;6b82c006-cea4-43ef-8fe6-c0cfc2fe68a7;;111111118;Vodacom Life 20260324;;;;;U;1;2026-04-01 12:59:16+02;Maureen Ntsoko;2026-03-24 09:54:08+02;2026-03-24 09:54:08+02;;;;;;;;;27766583714;;;;;;;;prepaid life;;;;;</t>
  </si>
  <si>
    <t>ID_1024</t>
  </si>
  <si>
    <t xml:space="preserve">13862074;9e53d922-bfbb-4be4-b017-8886ef0db138;;111111118;Vodacom Life 20260324;;;;;ADC;5;2026-05-25 </t>
  </si>
  <si>
    <t>13862074;9e53d922-bfbb-4be4-b017-8886ef0db138;;111111118;Vodacom Life 20260324;;;;;ADC;5;2026-05-25 09:41:57+02;system;2026-03-24 09:54:08+02;2026-03-24 09:54:08+02;;;;;;;;;27609474841;;;;;;;;prepaid life;;;;;</t>
  </si>
  <si>
    <t>ID_1025</t>
  </si>
  <si>
    <t>13862223;481dc60b-6a60-413a-a875-3ef26df5fae3;;111111118;Vodacom Life 20260324;;;;;NI;6;2026-05-27 0</t>
  </si>
  <si>
    <t>13862223;481dc60b-6a60-413a-a875-3ef26df5fae3;;111111118;Vodacom Life 20260324;;;;;NI;6;2026-05-27 08:49:09+02;Khensane Mabasa;2026-03-24 09:54:08+02;2026-03-24 09:54:08+02;;;;;;;;;27607083937;;;;;;;;prepaid life;;;;;</t>
  </si>
  <si>
    <t>ID_1026</t>
  </si>
  <si>
    <t>13862075;08b9ea1c-19ca-4e9e-97e5-66c895351b1e;;111111118;Vodacom Life 20260324;;;;;U;2;2026-04-01 12</t>
  </si>
  <si>
    <t>13862075;08b9ea1c-19ca-4e9e-97e5-66c895351b1e;;111111118;Vodacom Life 20260324;;;;;U;2;2026-04-01 12:49:30+02;Thandile Nokubeni;2026-03-24 09:54:08+02;2026-03-24 09:54:08+02;;;;;;;;;27636070692;;;;;;;;prepaid life;;;;;</t>
  </si>
  <si>
    <t>ID_1027</t>
  </si>
  <si>
    <t>13862076;18ee96bf-594e-4e72-b6d7-8d0fec0cd301;;111111118;Vodacom Life 20260324;;;;;DROP;5;2026-05-25</t>
  </si>
  <si>
    <t>13862076;18ee96bf-594e-4e72-b6d7-8d0fec0cd301;;111111118;Vodacom Life 20260324;;;;;DROP;5;2026-05-25 08:13:04+02;system;2026-03-24 09:54:08+02;2026-03-24 09:54:08+02;;;;;;;;;27636367718;;;;;;;;prepaid life;;;;;</t>
  </si>
  <si>
    <t>ID_1028</t>
  </si>
  <si>
    <t>13862224;f3839e44-0737-4437-a95c-3776b20fc0a7;;111111118;Vodacom Life 20260324;;;;;AA;5;2026-05-25 1</t>
  </si>
  <si>
    <t>13862224;f3839e44-0737-4437-a95c-3776b20fc0a7;;111111118;Vodacom Life 20260324;;;;;AA;5;2026-05-25 12:47:41+02;system;2026-03-24 09:54:08+02;2026-03-24 09:54:08+02;;;;;;;;;27607782362;;;;;;;;prepaid life;;;;;</t>
  </si>
  <si>
    <t>ID_1029</t>
  </si>
  <si>
    <t>13862165;6c6166a9-6858-4c38-9c01-b0645e254b3e;;111111118;Vodacom Life 20260324;;;;;AA;5;2026-05-25 0</t>
  </si>
  <si>
    <t>13862165;6c6166a9-6858-4c38-9c01-b0645e254b3e;;111111118;Vodacom Life 20260324;;;;;AA;5;2026-05-25 08:27:31+02;system;2026-03-24 09:54:08+02;2026-03-24 09:54:08+02;;;;;;;;;27766672292;;;;;;;;prepaid life;;;;;</t>
  </si>
  <si>
    <t>ID_1030</t>
  </si>
  <si>
    <t>13862077;dfabc5f6-c71d-4170-a720-8fc6ca3d53ea;;111111118;Vodacom Life 20260324;;;;;CBACK;2;2026-04-0</t>
  </si>
  <si>
    <t>13862077;dfabc5f6-c71d-4170-a720-8fc6ca3d53ea;;111111118;Vodacom Life 20260324;;;;;CBACK;2;2026-04-09 14:57:00+02;Maureen Ntsoko;2026-03-24 09:54:08+02;2026-03-24 09:54:08+02;;;;;;;;;27636869582;;;;;;;;prepaid life;;;;;</t>
  </si>
  <si>
    <t>ID_1031</t>
  </si>
  <si>
    <t>13862225;d222af6a-95c4-4ae7-864f-351684fef7fd;;111111118;Vodacom Life 20260324;;;;;AA;5;2026-05-25 1</t>
  </si>
  <si>
    <t>13862225;d222af6a-95c4-4ae7-864f-351684fef7fd;;111111118;Vodacom Life 20260324;;;;;AA;5;2026-05-25 14:29:32+02;system;2026-03-24 09:54:08+02;2026-03-24 09:54:08+02;;;;;;;;;27607841162;;;;;;;;prepaid life;;;;;</t>
  </si>
  <si>
    <t>ID_1032</t>
  </si>
  <si>
    <t>13862078;c1398f7b-1707-4a37-9f2d-3e276f990bf9;;111111118;Vodacom Life 20260324;;;;;DROP;5;2026-05-25</t>
  </si>
  <si>
    <t>13862078;c1398f7b-1707-4a37-9f2d-3e276f990bf9;;111111118;Vodacom Life 20260324;;;;;DROP;5;2026-05-25 08:13:04+02;system;2026-03-24 09:54:08+02;2026-03-24 09:54:08+02;;;;;;;;;27637274995;;;;;;;;prepaid life;;;;;</t>
  </si>
  <si>
    <t>ID_1033</t>
  </si>
  <si>
    <t>13862226;8854bcfc-ba97-422a-bae4-025764cdd7ee;;111111118;Vodacom Life 20260324;;;;;AE;5;2026-05-25 1</t>
  </si>
  <si>
    <t>13862226;8854bcfc-ba97-422a-bae4-025764cdd7ee;;111111118;Vodacom Life 20260324;;;;;AE;5;2026-05-25 12:00:53+02;system;2026-03-24 09:54:08+02;2026-03-24 09:54:08+02;;;;;;;;;27608097574;;;;;;;;prepaid life;;;;;</t>
  </si>
  <si>
    <t>ID_1034</t>
  </si>
  <si>
    <t>13862079;59cc925b-6692-4a17-86a4-4929341d87e0;;111111118;Vodacom Life 20260324;;;;;AA;5;2026-05-25 0</t>
  </si>
  <si>
    <t>13862079;59cc925b-6692-4a17-86a4-4929341d87e0;;111111118;Vodacom Life 20260324;;;;;AA;5;2026-05-25 09:41:57+02;system;2026-03-24 09:54:08+02;2026-03-24 09:54:08+02;;;;;;;;;27646109102;;;;;;;;prepaid life;;;;;</t>
  </si>
  <si>
    <t>ID_1035</t>
  </si>
  <si>
    <t>13862166;f9e2c065-e5f9-41f9-9e3a-a40e76d1f3c4;;111111118;Vodacom Life 20260324;;;;;DROP;5;2026-05-25</t>
  </si>
  <si>
    <t>13862166;f9e2c065-e5f9-41f9-9e3a-a40e76d1f3c4;;111111118;Vodacom Life 20260324;;;;;DROP;5;2026-05-25 08:27:38+02;system;2026-03-24 09:54:08+02;2026-03-24 09:54:08+02;;;;;;;;;27768642418;;;;;;;;prepaid life;;;;;</t>
  </si>
  <si>
    <t>ID_1036</t>
  </si>
  <si>
    <t>13862227;ee997584-36d9-48b0-ae00-58e21a7ea52a;;111111118;Vodacom Life 20260324;;;27608272054;;IABDN;</t>
  </si>
  <si>
    <t>13862227;ee997584-36d9-48b0-ae00-58e21a7ea52a;;111111118;Vodacom Life 20260324;;;27608272054;;IABDN;5;2026-05-25 12:46:02+02;system;2026-03-24 09:54:08+02;2026-03-24 09:54:08+02;;;;;;;;;27608272054;;;;;;;;prepaid life;;;;;</t>
  </si>
  <si>
    <t>ID_1037</t>
  </si>
  <si>
    <t>13862167;65dc52ff-18a8-46d0-99e8-8c18b0c37640;;111111118;Vodacom Life 20260324;;;;;DROP;5;2026-05-25</t>
  </si>
  <si>
    <t>13862167;65dc52ff-18a8-46d0-99e8-8c18b0c37640;;111111118;Vodacom Life 20260324;;;;;DROP;5;2026-05-25 08:27:48+02;system;2026-03-24 09:54:08+02;2026-03-24 09:54:08+02;;;;;;;;;27768738159;;;;;;;;prepaid life;;;;;</t>
  </si>
  <si>
    <t>ID_1038</t>
  </si>
  <si>
    <t>13862080;25e85cb8-06a0-42af-8f3f-07a248a7094f;;111111118;Vodacom Life 20260324;;;;;AA;5;2026-05-25 0</t>
  </si>
  <si>
    <t>13862080;25e85cb8-06a0-42af-8f3f-07a248a7094f;;111111118;Vodacom Life 20260324;;;;;AA;5;2026-05-25 09:43:30+02;system;2026-03-24 09:54:08+02;2026-03-24 09:54:08+02;;;;;;;;;27647048561;;;;;;;;prepaid life;;;;;</t>
  </si>
  <si>
    <t>ID_1039</t>
  </si>
  <si>
    <t>13862228;51a864b2-138e-420d-b4ca-d971e5c50a8d;;111111118;Vodacom Life 20260324;;;27608947206;;CU;5;2</t>
  </si>
  <si>
    <t>13862228;51a864b2-138e-420d-b4ca-d971e5c50a8d;;111111118;Vodacom Life 20260324;;;27608947206;;CU;5;2026-05-25 12:41:00+02;Maureen Ntsoko;2026-03-24 09:54:08+02;2026-03-24 09:54:08+02;;;;;;;;;27608947206;;;;;;;;prepaid life;;;;;</t>
  </si>
  <si>
    <t>ID_1040</t>
  </si>
  <si>
    <t>13862081;929ceca2-5512-408f-8773-e14bbcd2f787;;111111118;Vodacom Life 20260324;;;;;AE;5;2026-05-25 0</t>
  </si>
  <si>
    <t>13862081;929ceca2-5512-408f-8773-e14bbcd2f787;;111111118;Vodacom Life 20260324;;;;;AE;5;2026-05-25 09:44:18+02;system;2026-03-24 09:54:08+02;2026-03-24 09:54:08+02;;;;;;;;;27647775900;;;;;;;;prepaid life;;;;;</t>
  </si>
  <si>
    <t>ID_1041</t>
  </si>
  <si>
    <t>13862168;fc75ac7f-d4be-4983-b44c-9d64cf2c3e58;;111111118;Vodacom Life 20260324;;;;;CU;5;2026-05-25 0</t>
  </si>
  <si>
    <t>13862168;fc75ac7f-d4be-4983-b44c-9d64cf2c3e58;;111111118;Vodacom Life 20260324;;;;;CU;5;2026-05-25 08:28:10+02;Maureen Ntsoko;2026-03-24 09:54:08+02;2026-03-24 09:54:08+02;;;;;;;;;27768923655;;;;;;;;prepaid life;;;;;</t>
  </si>
  <si>
    <t>ID_1042</t>
  </si>
  <si>
    <t>13862229;b67b968d-4216-4761-8944-a43a861f10bd;;111111118;Vodacom Life 20260324;;;;;AA;5;2026-05-25 1</t>
  </si>
  <si>
    <t>13862229;b67b968d-4216-4761-8944-a43a861f10bd;;111111118;Vodacom Life 20260324;;;;;AA;5;2026-05-25 12:01:55+02;system;2026-03-24 09:54:08+02;2026-03-24 09:54:08+02;;;;;;;;;27609269647;;;;;;;;prepaid life;;;;;</t>
  </si>
  <si>
    <t>ID_1043</t>
  </si>
  <si>
    <t>13862169;b3586b3b-890e-4282-b21c-f390921471d1;;111111118;Vodacom Life 20260324;;;;;AF;2;2026-03-30 1</t>
  </si>
  <si>
    <t>13862169;b3586b3b-890e-4282-b21c-f390921471d1;;111111118;Vodacom Life 20260324;;;;;AF;2;2026-03-30 16:37:02+02;Seboifeng Mogola;2026-03-24 09:54:08+02;2026-03-24 09:54:08+02;;;;;;;;;27768964744;;;;;;;;prepaid life;;;;;</t>
  </si>
  <si>
    <t>ID_1044</t>
  </si>
  <si>
    <t>13862082;70270f9d-97e8-437e-8082-8eb3ca9fed33;;111111118;Vodacom Life 20260324;;;;;U;2;2026-04-10 08</t>
  </si>
  <si>
    <t>13862082;70270f9d-97e8-437e-8082-8eb3ca9fed33;;111111118;Vodacom Life 20260324;;;;;U;2;2026-04-10 08:54:36+02;Seboifeng Mogola;2026-03-24 09:54:08+02;2026-03-24 09:54:08+02;;;;;;;;;27648140030;;;;;;;;prepaid life;;;;;</t>
  </si>
  <si>
    <t>ID_1045</t>
  </si>
  <si>
    <t>13862230;9f7b6ccf-f968-4efe-aab6-9356b72f3f2a;;111111118;Vodacom Life 20260324;;;;;AA;5;2026-05-25 1</t>
  </si>
  <si>
    <t>13862230;9f7b6ccf-f968-4efe-aab6-9356b72f3f2a;;111111118;Vodacom Life 20260324;;;;;AA;5;2026-05-25 12:02:13+02;system;2026-03-24 09:54:08+02;2026-03-24 09:54:08+02;;;;;;;;;27609822050;;;;;;;;prepaid life;;;;;</t>
  </si>
  <si>
    <t>ID_1046</t>
  </si>
  <si>
    <t>13862231;4559929a-ef71-4137-8abe-fee378097688;;111111118;Vodacom Life 20260324;;;;;DROP;5;2026-05-25</t>
  </si>
  <si>
    <t>13862231;4559929a-ef71-4137-8abe-fee378097688;;111111118;Vodacom Life 20260324;;;;;DROP;5;2026-05-25 12:02:28+02;system;2026-03-24 09:54:08+02;2026-03-24 09:54:08+02;;;;;;;;;27636118369;;;;;;;;prepaid life;;;;;</t>
  </si>
  <si>
    <t>ID_1047</t>
  </si>
  <si>
    <t>13862083;5a207195-5b59-4647-9ca8-5f35644b4d03;;111111118;Vodacom Life 20260324;;;;;NA;5;2026-05-25 0</t>
  </si>
  <si>
    <t>13862083;5a207195-5b59-4647-9ca8-5f35644b4d03;;111111118;Vodacom Life 20260324;;;;;NA;5;2026-05-25 09:44:31+02;system;2026-03-24 09:54:08+02;2026-03-24 09:54:08+02;;;;;;;;;27649583928;;;;;;;;prepaid life;;;;;</t>
  </si>
  <si>
    <t>ID_1048</t>
  </si>
  <si>
    <t>13862170;02e62e15-a503-48f4-87ae-c193af51dd54;;111111118;Vodacom Life 20260324;;;27769016165;;OAL;6;</t>
  </si>
  <si>
    <t>13862170;02e62e15-a503-48f4-87ae-c193af51dd54;;111111118;Vodacom Life 20260324;;;27769016165;;OAL;6;2026-05-25 09:18:35+02;bongiwe lushaba;2026-03-24 09:54:08+02;2026-03-24 09:54:08+02;;;;;;;;;27769016165;;;;;;;;prepaid life;;;;;</t>
  </si>
  <si>
    <t>ID_1049</t>
  </si>
  <si>
    <t>13862232;320ad6bc-f14e-4c25-8a5e-474b533e6995;;111111118;Vodacom Life 20260324;;;;;DNCLIFE;3;2026-04</t>
  </si>
  <si>
    <t>13862232;320ad6bc-f14e-4c25-8a5e-474b533e6995;;111111118;Vodacom Life 20260324;;;;;DNCLIFE;3;2026-04-14 16:10:27+02;Millicent Motsuku;2026-03-24 09:54:08+02;2026-03-24 09:54:08+02;;;;;;;;;27636164614;;;;;;;;prepaid life;;;;;</t>
  </si>
  <si>
    <t>ID_1050</t>
  </si>
  <si>
    <t>13862171;0fcf89d4-e5d3-47ec-a50c-7c87df443dcc;;111111118;Vodacom Life 20260324;;;;;NI;1;2026-03-30 1</t>
  </si>
  <si>
    <t>13862171;0fcf89d4-e5d3-47ec-a50c-7c87df443dcc;;111111118;Vodacom Life 20260324;;;;;NI;1;2026-03-30 11:30:24+02;Maureen Ntsoko;2026-03-24 09:54:08+02;2026-03-24 09:54:08+02;;;;;;;;;27769763068;;;;;;;;prepaid life;;;;;</t>
  </si>
  <si>
    <t>ID_1051</t>
  </si>
  <si>
    <t>13862084;32c53ed9-f305-4ed2-81a4-c1ce0a0031b4;;111111118;Vodacom Life 20260324;;;27649885345;;AA;5;2</t>
  </si>
  <si>
    <t>13862084;32c53ed9-f305-4ed2-81a4-c1ce0a0031b4;;111111118;Vodacom Life 20260324;;;27649885345;;AA;5;2026-05-25 12:47:56+02;system;2026-03-24 09:54:08+02;2026-03-24 09:54:08+02;;;;;;;;;27649885345;;;;;;;;prepaid life;;;;;</t>
  </si>
  <si>
    <t>ID_1052</t>
  </si>
  <si>
    <t>13862233;3537fd11-f8e0-42ba-83cc-8e3d4b57e8da;;111111118;Vodacom Life 20260324;;;;;NA;5;2026-05-25 1</t>
  </si>
  <si>
    <t>13862233;3537fd11-f8e0-42ba-83cc-8e3d4b57e8da;;111111118;Vodacom Life 20260324;;;;;NA;5;2026-05-25 12:43:12+02;system;2026-03-24 09:54:08+02;2026-03-24 09:54:08+02;;;;;;;;;27636767001;;;;;;;;prepaid life;;;;;</t>
  </si>
  <si>
    <t>ID_1053</t>
  </si>
  <si>
    <t>13862085;d92eba7b-8e90-492c-bcfd-d5d4750b54a7;;111111118;Vodacom Life 20260324;;;;;NI;3;2026-04-13 1</t>
  </si>
  <si>
    <t>13862085;d92eba7b-8e90-492c-bcfd-d5d4750b54a7;;111111118;Vodacom Life 20260324;;;;;NI;3;2026-04-13 11:15:59+02;Musiiwa Mary Mabirimisa;2026-03-24 09:54:08+02;2026-03-24 09:54:08+02;;;;;;;;;27660620720;;;;;;;;prepaid life;;;;;</t>
  </si>
  <si>
    <t>ID_1054</t>
  </si>
  <si>
    <t xml:space="preserve">13862172;306d09b9-6932-4d05-a0b0-3cc8f85a33e6;;111111118;Vodacom Life 20260324;;;;;ADC;5;2026-05-25 </t>
  </si>
  <si>
    <t>13862172;306d09b9-6932-4d05-a0b0-3cc8f85a33e6;;111111118;Vodacom Life 20260324;;;;;ADC;5;2026-05-25 08:28:10+02;system;2026-03-24 09:54:08+02;2026-03-24 09:54:08+02;;;;;;;;;27769776302;;;;;;;;prepaid life;;;;;</t>
  </si>
  <si>
    <t>ID_1055</t>
  </si>
  <si>
    <t>13862234;415bf036-2b60-4339-8590-e2747ce27614;;111111118;Vodacom Life 20260324;;;;;AA;5;2026-05-25 1</t>
  </si>
  <si>
    <t>13862234;415bf036-2b60-4339-8590-e2747ce27614;;111111118;Vodacom Life 20260324;;;;;AA;5;2026-05-25 12:43:12+02;system;2026-03-24 09:54:08+02;2026-03-24 09:54:08+02;;;;;;;;;27637532214;;;;;;;;prepaid life;;;;;</t>
  </si>
  <si>
    <t>ID_1056</t>
  </si>
  <si>
    <t>13862173;f601cd27-c69f-4a37-ae8a-a6e2c502081f;;111111118;Vodacom Life 20260324;;;;;DROP;5;2026-05-25</t>
  </si>
  <si>
    <t>13862173;f601cd27-c69f-4a37-ae8a-a6e2c502081f;;111111118;Vodacom Life 20260324;;;;;DROP;5;2026-05-25 08:28:11+02;system;2026-03-24 09:54:08+02;2026-03-24 09:54:08+02;;;;;;;;;27769950051;;;;;;;;prepaid life;;;;;</t>
  </si>
  <si>
    <t>ID_1057</t>
  </si>
  <si>
    <t>13862174;04783eb3-b4fb-4862-97e9-2e96ed35f5cd;;111111118;Vodacom Life 20260324;;;;;AC;3;2026-04-15 1</t>
  </si>
  <si>
    <t>13862174;04783eb3-b4fb-4862-97e9-2e96ed35f5cd;;111111118;Vodacom Life 20260324;;;;;AC;3;2026-04-15 11:40:03+02;Thandile Nokubeni;2026-03-24 09:54:08+02;2026-03-24 09:54:08+02;;;;;;;;;27786083914;;;;;;;;prepaid life;;;;;</t>
  </si>
  <si>
    <t>ID_1058</t>
  </si>
  <si>
    <t>13862086;04a43bc9-5299-4dbb-82c3-2c8b10e2b5ad;;111111118;Vodacom Life 20260324;;;;;NI;1;2026-04-01 1</t>
  </si>
  <si>
    <t>13862086;04a43bc9-5299-4dbb-82c3-2c8b10e2b5ad;;111111118;Vodacom Life 20260324;;;;;NI;1;2026-04-01 11:42:37+02;Thandile Nokubeni;2026-03-24 09:54:08+02;2026-03-24 09:54:08+02;;;;;;;;;27660793153;;;;;;;;prepaid life;;;;;</t>
  </si>
  <si>
    <t>ID_1059</t>
  </si>
  <si>
    <t xml:space="preserve">13862235;724d907f-4e17-442f-8755-4123916f9ca4;;111111118;Vodacom Life 20260324;;;;;ADC;5;2026-05-25 </t>
  </si>
  <si>
    <t>13862235;724d907f-4e17-442f-8755-4123916f9ca4;;111111118;Vodacom Life 20260324;;;;;ADC;5;2026-05-25 12:43:17+02;system;2026-03-24 09:54:08+02;2026-03-24 09:54:08+02;;;;;;;;;27646185819;;;;;;;;prepaid life;;;;;</t>
  </si>
  <si>
    <t>ID_1060</t>
  </si>
  <si>
    <t>13862087;20842fb2-e2a5-4b60-8d59-fa89c0de8187;;111111118;Vodacom Life 20260324;;;;;NI;1;2026-04-01 1</t>
  </si>
  <si>
    <t>13862087;20842fb2-e2a5-4b60-8d59-fa89c0de8187;;111111118;Vodacom Life 20260324;;;;;NI;1;2026-04-01 11:42:37+02;Millicent Motsuku;2026-03-24 09:54:08+02;2026-03-24 09:54:08+02;;;;;;;;;27660904373;;;;;;;;prepaid life;;;;;</t>
  </si>
  <si>
    <t>ID_1061</t>
  </si>
  <si>
    <t>13862236;8c0bf121-f16e-41fc-ad71-6c9517a2e6ba;;111111118;Vodacom Life 20260324;;;;;AA;5;2026-05-25 1</t>
  </si>
  <si>
    <t>13862236;8c0bf121-f16e-41fc-ad71-6c9517a2e6ba;;111111118;Vodacom Life 20260324;;;;;AA;5;2026-05-25 14:29:33+02;system;2026-03-24 09:54:08+02;2026-03-24 09:54:08+02;;;;;;;;;27646211568;;;;;;;;prepaid life;;;;;</t>
  </si>
  <si>
    <t>ID_1062</t>
  </si>
  <si>
    <t>13862088;1f5f9164-6be9-4dce-b7aa-a23c4f28e88e;;111111118;Vodacom Life 20260324;;;;;NA;5;2026-05-25 1</t>
  </si>
  <si>
    <t>13862088;1f5f9164-6be9-4dce-b7aa-a23c4f28e88e;;111111118;Vodacom Life 20260324;;;;;NA;5;2026-05-25 14:36:30+02;system;2026-03-24 09:54:08+02;2026-03-24 09:54:08+02;;;;;;;;;27661077787;;;;;;;;prepaid life;;;;;</t>
  </si>
  <si>
    <t>ID_1063</t>
  </si>
  <si>
    <t>13862175;e78c7563-9fe4-4e64-9610-aeb9f634d40f;;111111118;Vodacom Life 20260324;;;;;AE;5;2026-05-25 0</t>
  </si>
  <si>
    <t>13862175;e78c7563-9fe4-4e64-9610-aeb9f634d40f;;111111118;Vodacom Life 20260324;;;;;AE;5;2026-05-25 08:28:11+02;system;2026-03-24 09:54:08+02;2026-03-24 09:54:08+02;;;;;;;;;27786247647;;;;;;;;prepaid life;;;;;</t>
  </si>
  <si>
    <t>ID_1064</t>
  </si>
  <si>
    <t>13862237;e10bf649-6406-43f5-8065-cabbd6c1e73a;;111111118;Vodacom Life 20260324;;;;;NA;5;2026-05-25 1</t>
  </si>
  <si>
    <t>13862237;e10bf649-6406-43f5-8065-cabbd6c1e73a;;111111118;Vodacom Life 20260324;;;;;NA;5;2026-05-25 14:03:35+02;system;2026-03-24 09:54:08+02;2026-03-24 09:54:08+02;;;;;;;;;27646756687;;;;;;;;prepaid life;;;;;</t>
  </si>
  <si>
    <t>ID_1065</t>
  </si>
  <si>
    <t>13862176;09cc8d4f-08c2-44a3-a914-d241590ef1cc;;111111118;Vodacom Life 20260324;;;;;DROP;5;2026-05-25</t>
  </si>
  <si>
    <t>13862176;09cc8d4f-08c2-44a3-a914-d241590ef1cc;;111111118;Vodacom Life 20260324;;;;;DROP;5;2026-05-25 08:28:13+02;system;2026-03-24 09:54:08+02;2026-03-24 09:54:08+02;;;;;;;;;27788274738;;;;;;;;prepaid life;;;;;</t>
  </si>
  <si>
    <t>ID_1066</t>
  </si>
  <si>
    <t>13862177;917c1d7c-90cb-467b-8d98-7b571e8e5b42;;111111118;Vodacom Life 20260324;;;;;CU;5;2026-05-25 0</t>
  </si>
  <si>
    <t>13862177;917c1d7c-90cb-467b-8d98-7b571e8e5b42;;111111118;Vodacom Life 20260324;;;;;CU;5;2026-05-25 09:46:24+02;bongiwe lushaba;2026-03-24 09:54:08+02;2026-03-24 09:54:08+02;;;;;;;;;27790818555;;;;;;;;prepaid life;;;;;</t>
  </si>
  <si>
    <t>ID_1067</t>
  </si>
  <si>
    <t>13862089;6a49df4e-1674-4ad9-9e78-3f1175445387;;111111118;Vodacom Life 20260324;;;;;AA;5;2026-05-25 1</t>
  </si>
  <si>
    <t>13862089;6a49df4e-1674-4ad9-9e78-3f1175445387;;111111118;Vodacom Life 20260324;;;;;AA;5;2026-05-25 14:12:36+02;system;2026-03-24 09:54:08+02;2026-03-24 09:54:08+02;;;;;;;;;27661364228;;;;;;;;prepaid life;;;;;</t>
  </si>
  <si>
    <t>ID_1068</t>
  </si>
  <si>
    <t>13862090;5be070ca-7bf9-4a35-b11c-1c65246baffd;;111111118;Vodacom Life 20260324;;;;;DNQS;5;2026-05-25</t>
  </si>
  <si>
    <t>13862090;5be070ca-7bf9-4a35-b11c-1c65246baffd;;111111118;Vodacom Life 20260324;;;;;DNQS;5;2026-05-25 14:06:59+02;Maureen Ntsoko;2026-03-24 09:54:08+02;2026-03-24 09:54:08+02;;;;;;;;;27661823981;;;;;;;;prepaid life;;;;;</t>
  </si>
  <si>
    <t>ID_1069</t>
  </si>
  <si>
    <t>13862238;78ca673c-70fa-427c-8e6f-fff880eb0586;;111111118;Vodacom Life 20260324;;;;;DROP;5;2026-05-25</t>
  </si>
  <si>
    <t>13862238;78ca673c-70fa-427c-8e6f-fff880eb0586;;111111118;Vodacom Life 20260324;;;;;DROP;5;2026-05-25 14:07:16+02;system;2026-03-24 09:54:08+02;2026-03-24 09:54:08+02;;;;;;;;;27647437260;;;;;;;;prepaid life;;;;;</t>
  </si>
  <si>
    <t>ID_1070</t>
  </si>
  <si>
    <t>13862091;7eb9fe9c-46a8-42c5-81f1-029f6c710f65;;111111118;Vodacom Life 20260324;;;;;LANG;5;2026-05-25</t>
  </si>
  <si>
    <t>13862091;7eb9fe9c-46a8-42c5-81f1-029f6c710f65;;111111118;Vodacom Life 20260324;;;;;LANG;5;2026-05-25 14:07:03+02;bongiwe lushaba;2026-03-24 09:54:08+02;2026-03-24 09:54:08+02;;;;;;;;;27661929719;;;;;;;;prepaid life;;;;;</t>
  </si>
  <si>
    <t>ID_1071</t>
  </si>
  <si>
    <t>13862239;f205002b-beb0-410e-8947-5dcc94da2522;;111111118;Vodacom Life 20260324;;;;;NA;5;2026-05-25 1</t>
  </si>
  <si>
    <t>13862239;f205002b-beb0-410e-8947-5dcc94da2522;;111111118;Vodacom Life 20260324;;;;;NA;5;2026-05-25 14:29:33+02;system;2026-03-24 09:54:08+02;2026-03-24 09:54:08+02;;;;;;;;;27647631997;;;;;;;;prepaid life;;;;;</t>
  </si>
  <si>
    <t>ID_1072</t>
  </si>
  <si>
    <t>13862092;48f306b4-4d58-43f7-9650-779c07df0f10;;111111118;Vodacom Life 20260324;;;27663843556;;DROP;5</t>
  </si>
  <si>
    <t>13862092;48f306b4-4d58-43f7-9650-779c07df0f10;;111111118;Vodacom Life 20260324;;;27663843556;;DROP;5;2026-05-25 11:36:07+02;system;2026-03-24 09:54:08+02;2026-03-24 09:54:08+02;;;;;;;;;27663843556;;;;;;;;prepaid life;;;;;</t>
  </si>
  <si>
    <t>ID_1073</t>
  </si>
  <si>
    <t>13862178;7a50f7fd-e44d-4bdf-a665-557a9a90afef;;111111118;Vodacom Life 20260324;;;;;AE;5;2026-05-25 0</t>
  </si>
  <si>
    <t>13862178;7a50f7fd-e44d-4bdf-a665-557a9a90afef;;111111118;Vodacom Life 20260324;;;;;AE;5;2026-05-25 09:09:55+02;system;2026-03-24 09:54:08+02;2026-03-24 09:54:08+02;;;;;;;;;27791628619;;;;;;;;prepaid life;;;;;</t>
  </si>
  <si>
    <t>ID_1074</t>
  </si>
  <si>
    <t>13862179;5b903b84-24e8-4168-8237-4208a4ecc0db;;111111118;Vodacom Life 20260324;;;;;AE;5;2026-05-25 0</t>
  </si>
  <si>
    <t>13862179;5b903b84-24e8-4168-8237-4208a4ecc0db;;111111118;Vodacom Life 20260324;;;;;AE;5;2026-05-25 09:46:55+02;system;2026-03-24 09:54:08+02;2026-03-24 09:54:08+02;;;;;;;;;27791909214;;;;;;;;prepaid life;;;;;</t>
  </si>
  <si>
    <t>ID_1075</t>
  </si>
  <si>
    <t>13862240;f6e93301-84ce-47c2-8aab-2a6ca46e9d31;;111111118;Vodacom Life 20260324;;;;;CU;5;2026-05-25 1</t>
  </si>
  <si>
    <t>13862240;f6e93301-84ce-47c2-8aab-2a6ca46e9d31;;111111118;Vodacom Life 20260324;;;;;CU;5;2026-05-25 14:29:38+02;bongiwe lushaba;2026-03-24 09:54:08+02;2026-03-24 09:54:08+02;;;;;;;;;27648095725;;;;;;;;prepaid life;;;;;</t>
  </si>
  <si>
    <t>ID_1076</t>
  </si>
  <si>
    <t>13862180;3895b20d-a8fb-4128-8880-14b95abaa74b;;111111118;Vodacom Life 20260324;;;27792564055;;AE;5;2</t>
  </si>
  <si>
    <t>13862180;3895b20d-a8fb-4128-8880-14b95abaa74b;;111111118;Vodacom Life 20260324;;;27792564055;;AE;5;2026-05-25 09:46:55+02;system;2026-03-24 09:54:08+02;2026-03-24 09:54:08+02;;;;;;;;;27792564055;;;;;;;;prepaid life;;;;;</t>
  </si>
  <si>
    <t>ID_1077</t>
  </si>
  <si>
    <t>13862093;e9f6dbb3-77bd-4627-be10-ba1c405409a1;;111111118;Vodacom Life 20260324;;;27664733883;;CU;5;2</t>
  </si>
  <si>
    <t>13862093;e9f6dbb3-77bd-4627-be10-ba1c405409a1;;111111118;Vodacom Life 20260324;;;27664733883;;CU;5;2026-05-25 14:07:16+02;Khensane Mabasa;2026-03-24 09:54:08+02;2026-03-24 09:54:08+02;;;;;;;;;27664733883;;;;;;;;prepaid life;;;;;</t>
  </si>
  <si>
    <t>ID_1078</t>
  </si>
  <si>
    <t>13862241;7ccbac3e-c1ee-409c-aaf7-dad769264dfa;;111111118;Vodacom Life 20260324;;;;;AA;5;2026-05-25 0</t>
  </si>
  <si>
    <t>13862241;7ccbac3e-c1ee-409c-aaf7-dad769264dfa;;111111118;Vodacom Life 20260324;;;;;AA;5;2026-05-25 09:48:27+02;system;2026-03-24 09:54:08+02;2026-03-24 09:54:08+02;;;;;;;;;27648209314;;;;;;;;prepaid life;;;;;</t>
  </si>
  <si>
    <t>ID_1079</t>
  </si>
  <si>
    <t>13862094;faccd07c-e104-42e9-afb1-33a8aafbd88b;;111111118;Vodacom Life 20260324;;;;;AA;5;2026-05-25 1</t>
  </si>
  <si>
    <t>13862094;faccd07c-e104-42e9-afb1-33a8aafbd88b;;111111118;Vodacom Life 20260324;;;;;AA;5;2026-05-25 14:12:37+02;system;2026-03-24 09:54:08+02;2026-03-24 09:54:08+02;;;;;;;;;27665471519;;;;;;;;prepaid life;;;;;</t>
  </si>
  <si>
    <t>ID_1080</t>
  </si>
  <si>
    <t>13862242;3a0e2a46-80ce-4408-9d6a-b5bdbd7c6823;;111111118;Vodacom Life 20260324;;;;;AA;5;2026-05-25 0</t>
  </si>
  <si>
    <t>13862242;3a0e2a46-80ce-4408-9d6a-b5bdbd7c6823;;111111118;Vodacom Life 20260324;;;;;AA;5;2026-05-25 09:48:27+02;system;2026-03-24 09:54:08+02;2026-03-24 09:54:08+02;;;;;;;;;27649157970;;;;;;;;prepaid life;;;;;</t>
  </si>
  <si>
    <t>ID_1081</t>
  </si>
  <si>
    <t>13862182;10fb2db7-319d-4d46-9f6c-55a07e49c908;;111111118;Vodacom Life 20260324;;;;;AF;4;2026-05-19 1</t>
  </si>
  <si>
    <t>13862182;10fb2db7-319d-4d46-9f6c-55a07e49c908;;111111118;Vodacom Life 20260324;;;;;AF;4;2026-05-19 15:43:19+02;Maureen Ntsoko;2026-03-24 09:54:08+02;2026-03-24 09:54:08+02;;;;;;;;;27793043193;;;;;;;;prepaid life;;;;;</t>
  </si>
  <si>
    <t>ID_1082</t>
  </si>
  <si>
    <t>13862243;8e4c5d0c-83ee-4013-af1d-35bbbe8385a7;;111111118;Vodacom Life 20260324;;;;;AA;5;2026-05-25 0</t>
  </si>
  <si>
    <t>13862243;8e4c5d0c-83ee-4013-af1d-35bbbe8385a7;;111111118;Vodacom Life 20260324;;;;;AA;5;2026-05-25 09:48:26+02;system;2026-03-24 09:54:08+02;2026-03-24 09:54:08+02;;;;;;;;;27660636013;;;;;;;;prepaid life;;;;;</t>
  </si>
  <si>
    <t>ID_1083</t>
  </si>
  <si>
    <t>13862095;cec128f4-270d-4b21-88fc-cae3695d6f4c;;111111118;Vodacom Life 20260324;;;27673371659;;ADC;5;</t>
  </si>
  <si>
    <t>13862095;cec128f4-270d-4b21-88fc-cae3695d6f4c;;111111118;Vodacom Life 20260324;;;27673371659;;ADC;5;2026-05-25 12:50:32+02;system;2026-03-24 09:54:08+02;2026-03-24 09:54:08+02;;;;;;;;;27673371659;;;;;;;;prepaid life;;;;;</t>
  </si>
  <si>
    <t>ID_1084</t>
  </si>
  <si>
    <t>13862244;b79712fb-ad75-4ef6-9d14-7f32179e57c1;;111111118;Vodacom Life 20260324;;;;;AA;5;2026-05-25 0</t>
  </si>
  <si>
    <t>13862244;b79712fb-ad75-4ef6-9d14-7f32179e57c1;;111111118;Vodacom Life 20260324;;;;;AA;5;2026-05-25 09:47:38+02;system;2026-03-24 09:54:08+02;2026-03-24 09:54:08+02;;;;;;;;;27660694875;;;;;;;;prepaid life;;;;;</t>
  </si>
  <si>
    <t>ID_1085</t>
  </si>
  <si>
    <t>13862245;153f95a6-d730-4679-a5ff-586eb80472c2;;111111118;Vodacom Life 20260324;;;;;AE;5;2026-05-25 0</t>
  </si>
  <si>
    <t>13862245;153f95a6-d730-4679-a5ff-586eb80472c2;;111111118;Vodacom Life 20260324;;;;;AE;5;2026-05-25 09:47:54+02;system;2026-03-24 09:54:08+02;2026-03-24 09:54:08+02;;;;;;;;;27661013221;;;;;;;;prepaid life;;;;;</t>
  </si>
  <si>
    <t>ID_1086</t>
  </si>
  <si>
    <t>13862183;81ab1417-4045-4485-baad-633d8e4b1f85;;111111118;Vodacom Life 20260324;;;;;NI;3;2026-04-13 1</t>
  </si>
  <si>
    <t>13862183;81ab1417-4045-4485-baad-633d8e4b1f85;;111111118;Vodacom Life 20260324;;;;;NI;3;2026-04-13 15:02:18+02;Thandile Nokubeni;2026-03-24 09:54:08+02;2026-03-24 09:54:08+02;;;;;;;;;27793268054;;;;;;;;prepaid life;;;;;</t>
  </si>
  <si>
    <t>ID_1087</t>
  </si>
  <si>
    <t>13862246;4c1c8210-5913-4bd7-bd47-584e5af7f301;;111111118;Vodacom Life 20260324;;;27661077257;;IABDN;</t>
  </si>
  <si>
    <t>13862246;4c1c8210-5913-4bd7-bd47-584e5af7f301;;111111118;Vodacom Life 20260324;;;27661077257;;IABDN;5;2026-05-25 13:13:42+02;system;2026-03-24 09:54:08+02;2026-03-24 09:54:08+02;;;;;;;;;27661077257;;;;;;;;prepaid life;;;;;</t>
  </si>
  <si>
    <t>ID_1088</t>
  </si>
  <si>
    <t>13862184;73e9e52a-49dd-4224-9eff-d4ab354dc0ce;;111111118;Vodacom Life 20260324;;;;;AA;5;2026-05-25 0</t>
  </si>
  <si>
    <t>13862184;73e9e52a-49dd-4224-9eff-d4ab354dc0ce;;111111118;Vodacom Life 20260324;;;;;AA;5;2026-05-25 09:46:58+02;system;2026-03-24 09:54:08+02;2026-03-24 09:54:08+02;;;;;;;;;27794104319;;;;;;;;prepaid life;;;;;</t>
  </si>
  <si>
    <t>ID_1089</t>
  </si>
  <si>
    <t>13862096;53f9f4ce-7a7d-4e4a-a3f6-5b6344f75fd3;;111111118;Vodacom Life 20260324;;;;;AA;5;2026-05-25 1</t>
  </si>
  <si>
    <t>13862096;53f9f4ce-7a7d-4e4a-a3f6-5b6344f75fd3;;111111118;Vodacom Life 20260324;;;;;AA;5;2026-05-25 11:59:26+02;system;2026-03-24 09:54:08+02;2026-03-24 09:54:08+02;;;;;;;;;27679333920;;;;;;;;prepaid life;;;;;</t>
  </si>
  <si>
    <t>ID_1090</t>
  </si>
  <si>
    <t>13862247;862745cd-7611-4c8f-ab79-a3408a1d4fa7;;111111118;Vodacom Life 20260324;;;;;DROP;5;2026-05-25</t>
  </si>
  <si>
    <t>13862247;862745cd-7611-4c8f-ab79-a3408a1d4fa7;;111111118;Vodacom Life 20260324;;;;;DROP;5;2026-05-25 09:47:54+02;system;2026-03-24 09:54:08+02;2026-03-24 09:54:08+02;;;;;;;;;27661413578;;;;;;;;prepaid life;;;;;</t>
  </si>
  <si>
    <t>ID_1091</t>
  </si>
  <si>
    <t>13862248;c4ddcd06-6454-4d22-8e94-badf1f5526eb;;111111118;Vodacom Life 20260324;;;;;QAVET;3;2026-03-2</t>
  </si>
  <si>
    <t>13862248;c4ddcd06-6454-4d22-8e94-badf1f5526eb;;111111118;Vodacom Life 20260324;;;;;QAVET;3;2026-03-27 08:23:23+02;Musiiwa Mary Mabirimisa;2026-03-24 09:54:08+02;2026-03-24 09:54:08+02;;;;;;;;;27661769961;;;;;;;;prepaid life;;;;;</t>
  </si>
  <si>
    <t>ID_1092</t>
  </si>
  <si>
    <t>13862097;a55265ec-01fe-4d72-8a0b-c38205248b8f;;111111118;Vodacom Life 20260324;;;;;NA;5;2026-05-25 1</t>
  </si>
  <si>
    <t>13862097;a55265ec-01fe-4d72-8a0b-c38205248b8f;;111111118;Vodacom Life 20260324;;;;;NA;5;2026-05-25 11:59:39+02;system;2026-03-24 09:54:08+02;2026-03-24 09:54:08+02;;;;;;;;;27711372273;;;;;;;;prepaid life;;;;;</t>
  </si>
  <si>
    <t>ID_1093</t>
  </si>
  <si>
    <t>13862185;de558ccf-d43b-4b8f-bfed-f3135510eff2;;111111118;Vodacom Life 20260324;;;;;DROP;5;2026-05-25</t>
  </si>
  <si>
    <t>13862185;de558ccf-d43b-4b8f-bfed-f3135510eff2;;111111118;Vodacom Life 20260324;;;;;DROP;5;2026-05-25 09:46:58+02;system;2026-03-24 09:54:08+02;2026-03-24 09:54:08+02;;;;;;;;;27794580321;;;;;;;;prepaid life;;;;;</t>
  </si>
  <si>
    <t>ID_1094</t>
  </si>
  <si>
    <t>13862249;4665b8a8-dba2-4dd4-953e-3bdabe13c5bb;;111111118;Vodacom Life 20260324;;;;;AA;5;2026-05-25 0</t>
  </si>
  <si>
    <t>13862249;4665b8a8-dba2-4dd4-953e-3bdabe13c5bb;;111111118;Vodacom Life 20260324;;;;;AA;5;2026-05-25 09:47:54+02;system;2026-03-24 09:54:08+02;2026-03-24 09:54:08+02;;;;;;;;;27663256314;;;;;;;;prepaid life;;;;;</t>
  </si>
  <si>
    <t>ID_1095</t>
  </si>
  <si>
    <t>13862186;6ea93f3b-4e89-4720-9d30-acc668c9c90f;;111111118;Vodacom Life 20260324;;;;;CBACK;5;2026-05-2</t>
  </si>
  <si>
    <t>13862186;6ea93f3b-4e89-4720-9d30-acc668c9c90f;;111111118;Vodacom Life 20260324;;;;;CBACK;5;2026-05-25 09:46:59+02;Maureen Ntsoko;2026-03-24 09:54:08+02;2026-03-24 09:54:08+02;;;;;;;;;27794677182;;;;;;;;prepaid life;;;;;</t>
  </si>
  <si>
    <t>ID_1096</t>
  </si>
  <si>
    <t>13862098;1f7d1bf1-ac7e-4c00-967b-f01f3db636a4;;111111118;Vodacom Life 20260324;;;27711899815;;CBACK;</t>
  </si>
  <si>
    <t>13862098;1f7d1bf1-ac7e-4c00-967b-f01f3db636a4;;111111118;Vodacom Life 20260324;;;27711899815;;CBACK;6;2026-05-25 12:54:32+02;bongiwe lushaba;2026-03-24 09:54:08+02;2026-03-24 09:54:08+02;;;;;;;;;27711899815;;;;;;;;prepaid life;;;;;</t>
  </si>
  <si>
    <t>ID_1097</t>
  </si>
  <si>
    <t xml:space="preserve">13862099;aad9c207-697f-4ecc-b02d-bfb11a6f2834;;111111118;Vodacom Life 20260324;;;;;ADC;5;2026-05-25 </t>
  </si>
  <si>
    <t>13862099;aad9c207-697f-4ecc-b02d-bfb11a6f2834;;111111118;Vodacom Life 20260324;;;;;ADC;5;2026-05-25 12:50:33+02;system;2026-03-24 09:54:08+02;2026-03-24 09:54:08+02;;;;;;;;;27711941368;;;;;;;;prepaid life;;;;;</t>
  </si>
  <si>
    <t>ID_1098</t>
  </si>
  <si>
    <t>13862250;01f2def8-7024-4565-a7d1-2ce5d1102c39;;111111118;Vodacom Life 20260324;;;;;NIUP;3;2026-04-15</t>
  </si>
  <si>
    <t>13862250;01f2def8-7024-4565-a7d1-2ce5d1102c39;;111111118;Vodacom Life 20260324;;;;;NIUP;3;2026-04-15 11:33:42+02;Millicent Motsuku;2026-03-24 09:54:08+02;2026-03-24 09:54:08+02;;;;;;;;;27663352975;;;;;;;;prepaid life;;;;;</t>
  </si>
  <si>
    <t>ID_1099</t>
  </si>
  <si>
    <t>13862100;8f008ab9-0382-41ff-92c2-4c4922e72100;;111111118;Vodacom Life 20260324;;;27712237114;;CU;5;2</t>
  </si>
  <si>
    <t>13862100;8f008ab9-0382-41ff-92c2-4c4922e72100;;111111118;Vodacom Life 20260324;;;27712237114;;CU;5;2026-05-19 11:20:38+02;bongiwe lushaba;2026-03-24 09:54:08+02;2026-03-24 09:54:08+02;;;;;;;;;27712237114;;;;;;;;prepaid life;;;;;</t>
  </si>
  <si>
    <t>ID_1100</t>
  </si>
  <si>
    <t>13862187;7aaf209d-8f51-4c0c-b65a-0d4a2504001d;;111111118;Vodacom Life 20260324;;;27795756316;;A;5;20</t>
  </si>
  <si>
    <t>13862187;7aaf209d-8f51-4c0c-b65a-0d4a2504001d;;111111118;Vodacom Life 20260324;;;27795756316;;A;5;2026-05-25 09:47:05+02;Khensane Mabasa;2026-03-24 09:54:08+02;2026-03-24 09:54:08+02;;;;;;;;;27795756316;;;;;;;;prepaid life;;;;;</t>
  </si>
  <si>
    <t>ID_1101</t>
  </si>
  <si>
    <t>13862188;36d095e9-4491-406a-a940-572d05bb9428;;111111118;Vodacom Life 20260324;;;;;DROP;5;2026-05-25</t>
  </si>
  <si>
    <t>13862188;36d095e9-4491-406a-a940-572d05bb9428;;111111118;Vodacom Life 20260324;;;;;DROP;5;2026-05-25 09:47:05+02;system;2026-03-24 09:54:08+02;2026-03-24 09:54:08+02;;;;;;;;;27796006492;;;;;;;;prepaid life;;;;;</t>
  </si>
  <si>
    <t>ID_1102</t>
  </si>
  <si>
    <t>13862251;450e3efd-9106-4a22-81a7-fe4a01c5428b;;111111118;Vodacom Life 20260324;;;;;N;5;2026-05-20 10</t>
  </si>
  <si>
    <t>13862251;450e3efd-9106-4a22-81a7-fe4a01c5428b;;111111118;Vodacom Life 20260324;;;;;N;5;2026-05-20 10:00:28+02;Maureen Ntsoko;2026-03-24 09:54:08+02;2026-03-24 09:54:08+02;;;;;;;;;27663624781;;;;;;;;prepaid life;;;;;</t>
  </si>
  <si>
    <t>ID_1103</t>
  </si>
  <si>
    <t>13862189;cf8c3420-eb94-418b-a357-d121d95d0f9a;;111111118;Vodacom Life 20260324;;;;;NI;2;2026-04-02 1</t>
  </si>
  <si>
    <t>13862189;cf8c3420-eb94-418b-a357-d121d95d0f9a;;111111118;Vodacom Life 20260324;;;;;NI;2;2026-04-02 15:16:18+02;Thandile Nokubeni;2026-03-24 09:54:08+02;2026-03-24 09:54:08+02;;;;;;;;;27796219189;;;;;;;;prepaid life;;;;;</t>
  </si>
  <si>
    <t>ID_1104</t>
  </si>
  <si>
    <t>13862101;4a45a752-2a1e-4834-aa3e-e170b36fed77;;111111118;Vodacom Life 20260324;;;;;U;1;2026-03-26 12</t>
  </si>
  <si>
    <t>13862101;4a45a752-2a1e-4834-aa3e-e170b36fed77;;111111118;Vodacom Life 20260324;;;;;U;1;2026-03-26 12:28:29+02;bongiwe lushaba;2026-03-24 09:54:08+02;2026-03-24 09:54:08+02;;;;;;;;;27712458245;;;;;;;;prepaid life;;;;;</t>
  </si>
  <si>
    <t>ID_1105</t>
  </si>
  <si>
    <t>13862252;4b67b008-ce11-4045-8d18-650f916056a4;;111111118;Vodacom Life 20260324;;;;;NA;5;2026-05-25 0</t>
  </si>
  <si>
    <t>13862252;4b67b008-ce11-4045-8d18-650f916056a4;;111111118;Vodacom Life 20260324;;;;;NA;5;2026-05-25 09:48:12+02;system;2026-03-24 09:54:08+02;2026-03-24 09:54:08+02;;;;;;;;;27664108616;;;;;;;;prepaid life;;;;;</t>
  </si>
  <si>
    <t>ID_1106</t>
  </si>
  <si>
    <t>13862102;42eeccbd-db07-4c0d-b885-41c9d33223e0;;111111118;Vodacom Life 20260324;;;;;AA;5;2026-05-25 1</t>
  </si>
  <si>
    <t>13862102;42eeccbd-db07-4c0d-b885-41c9d33223e0;;111111118;Vodacom Life 20260324;;;;;AA;5;2026-05-25 12:41:53+02;system;2026-03-24 09:54:08+02;2026-03-24 09:54:08+02;;;;;;;;;27712968198;;;;;;;;prepaid life;;;;;</t>
  </si>
  <si>
    <t>ID_1107</t>
  </si>
  <si>
    <t>13862190;10d76b23-18ed-42dd-8f3a-443242b64314;;111111118;Vodacom Life 20260324;;;27796316124;;AA;5;2</t>
  </si>
  <si>
    <t>13862190;10d76b23-18ed-42dd-8f3a-443242b64314;;111111118;Vodacom Life 20260324;;;27796316124;;AA;5;2026-05-25 09:47:12+02;system;2026-03-24 09:54:08+02;2026-03-24 09:54:08+02;;;;;;;;;27796316124;;;;;;;;prepaid life;;;;;</t>
  </si>
  <si>
    <t>ID_1108</t>
  </si>
  <si>
    <t>13862253;08ee9d57-d374-4630-a749-d0578f65686c;;111111118;Vodacom Life 20260324;;;;;A;5;2026-05-25 09</t>
  </si>
  <si>
    <t>13862253;08ee9d57-d374-4630-a749-d0578f65686c;;111111118;Vodacom Life 20260324;;;;;A;5;2026-05-25 09:48:26+02;bongiwe lushaba;2026-03-24 09:54:08+02;2026-03-24 09:54:08+02;;;;;;;;;27664402964;;;;;;;;prepaid life;;;;;</t>
  </si>
  <si>
    <t>ID_1109</t>
  </si>
  <si>
    <t>13862191;5032164c-bf36-45e0-842b-770a727a6299;;111111118;Vodacom Life 20260324;;;;;NA;5;2026-05-25 1</t>
  </si>
  <si>
    <t>13862191;5032164c-bf36-45e0-842b-770a727a6299;;111111118;Vodacom Life 20260324;;;;;NA;5;2026-05-25 11:17:23+02;system;2026-03-24 09:54:08+02;2026-03-24 09:54:08+02;;;;;;;;;27797578374;;;;;;;;prepaid life;;;;;</t>
  </si>
  <si>
    <t>ID_1110</t>
  </si>
  <si>
    <t>13862103;43a4ab52-2afc-423c-8418-3c6117090611;;111111118;Vodacom Life 20260324;;;;;NI;4;2026-05-19 1</t>
  </si>
  <si>
    <t>13862103;43a4ab52-2afc-423c-8418-3c6117090611;;111111118;Vodacom Life 20260324;;;;;NI;4;2026-05-19 12:03:09+02;Maureen Ntsoko;2026-03-24 09:54:08+02;2026-03-24 09:54:08+02;;;;;;;;;27713254224;;;;;;;;prepaid life;;;;;</t>
  </si>
  <si>
    <t>ID_1111</t>
  </si>
  <si>
    <t>13862254;08763a30-3001-42ac-b1be-7d32f60a7f34;;111111118;Vodacom Life 20260324;;;;;AA;5;2026-05-25 0</t>
  </si>
  <si>
    <t>13862254;08763a30-3001-42ac-b1be-7d32f60a7f34;;111111118;Vodacom Life 20260324;;;;;AA;5;2026-05-25 09:48:26+02;system;2026-03-24 09:54:08+02;2026-03-24 09:54:08+02;;;;;;;;;27673067643;;;;;;;;prepaid life;;;;;</t>
  </si>
  <si>
    <t>ID_1112</t>
  </si>
  <si>
    <t>13862105;efe43aae-1379-4942-9a1d-f6683d73887a;;111111118;Vodacom Life 20260324;;;;;NI;1;2026-03-30 1</t>
  </si>
  <si>
    <t>13862105;efe43aae-1379-4942-9a1d-f6683d73887a;;111111118;Vodacom Life 20260324;;;;;NI;1;2026-03-30 11:37:10+02;Musiiwa Mary Mabirimisa;2026-03-24 09:54:08+02;2026-03-24 09:54:08+02;;;;;;;;;27714242298;;;;;;;;prepaid life;;;;;</t>
  </si>
  <si>
    <t>ID_1113</t>
  </si>
  <si>
    <t>13862106;07e3b0c5-b95e-4b48-ae6c-9ba521a72c34;;111111118;Vodacom Life 20260324;;;27714717799;;N;5;20</t>
  </si>
  <si>
    <t>13862106;07e3b0c5-b95e-4b48-ae6c-9ba521a72c34;;111111118;Vodacom Life 20260324;;;27714717799;;N;5;2026-05-25 14:52:52+02;Khensane Mabasa;2026-03-24 09:54:08+02;2026-03-24 09:54:08+02;;;;;;;;;27714717799;;;;;;;;prepaid life;;;;;</t>
  </si>
  <si>
    <t>ID_1114</t>
  </si>
  <si>
    <t>13862192;cfc0c5a5-7e19-4d19-9b7d-b2a5f2ee502c;;111111118;Vodacom Life 20260324;;;;;DROP;5;2026-05-25</t>
  </si>
  <si>
    <t>13862192;cfc0c5a5-7e19-4d19-9b7d-b2a5f2ee502c;;111111118;Vodacom Life 20260324;;;;;DROP;5;2026-05-25 10:51:31+02;system;2026-03-24 09:54:08+02;2026-03-24 09:54:08+02;;;;;;;;;27797627006;;;;;;;;prepaid life;;;;;</t>
  </si>
  <si>
    <t>ID_1115</t>
  </si>
  <si>
    <t>13862193;00bd0a63-e9b8-4c15-bf06-b544b0d5a09c;;111111118;Vodacom Life 20260324;;;;;AA;5;2026-05-25 0</t>
  </si>
  <si>
    <t>13862193;00bd0a63-e9b8-4c15-bf06-b544b0d5a09c;;111111118;Vodacom Life 20260324;;;;;AA;5;2026-05-25 09:14:13+02;system;2026-03-24 09:54:08+02;2026-03-24 09:54:08+02;;;;;;;;;27797738319;;;;;;;;prepaid life;;;;;</t>
  </si>
  <si>
    <t>ID_1116</t>
  </si>
  <si>
    <t>13862256;6535cd13-0c3d-42a0-a141-86bff35a67c2;;111111118;Vodacom Life 20260324;;;;;NA;5;2026-05-25 0</t>
  </si>
  <si>
    <t>13862256;6535cd13-0c3d-42a0-a141-86bff35a67c2;;111111118;Vodacom Life 20260324;;;;;NA;5;2026-05-25 09:48:27+02;system;2026-03-24 09:54:08+02;2026-03-24 09:54:08+02;;;;;;;;;27711223158;;;;;;;;prepaid life;;;;;</t>
  </si>
  <si>
    <t>ID_1117</t>
  </si>
  <si>
    <t>13862194;85862c80-134b-4486-886b-68536fc6b5e2;;111111118;Vodacom Life 20260324;;;;;AA;5;2026-05-25 0</t>
  </si>
  <si>
    <t>13862194;85862c80-134b-4486-886b-68536fc6b5e2;;111111118;Vodacom Life 20260324;;;;;AA;5;2026-05-25 09:15:33+02;system;2026-03-24 09:54:08+02;2026-03-24 09:54:08+02;;;;;;;;;27797874546;;;;;;;;prepaid life;;;;;</t>
  </si>
  <si>
    <t>ID_1118</t>
  </si>
  <si>
    <t>13862107;22943cc8-4ef0-4ec3-bf65-825c6f3f8f21;;111111118;Vodacom Life 20260324;;;27714884756;;IABDN;</t>
  </si>
  <si>
    <t>13862107;22943cc8-4ef0-4ec3-bf65-825c6f3f8f21;;111111118;Vodacom Life 20260324;;;27714884756;;IABDN;5;2026-05-25 11:53:24+02;system;2026-03-24 09:54:08+02;2026-03-24 09:54:08+02;;;;;;;;;27714884756;;;;;;;;prepaid life;;;;;</t>
  </si>
  <si>
    <t>ID_1119</t>
  </si>
  <si>
    <t xml:space="preserve">13862257;5fe1088f-2d54-473a-9d72-3e2582611922;;111111118;Vodacom Life 20260324;;;;;OAL;5;2026-05-25 </t>
  </si>
  <si>
    <t>13862257;5fe1088f-2d54-473a-9d72-3e2582611922;;111111118;Vodacom Life 20260324;;;;;OAL;5;2026-05-25 08:43:09+02;Maureen Ntsoko;2026-03-24 09:54:08+02;2026-03-24 09:54:08+02;;;;;;;;;27712951103;;;;;;;;prepaid life;;;;;</t>
  </si>
  <si>
    <t>ID_1120</t>
  </si>
  <si>
    <t>13862108;4af5b0fe-2df6-4554-91a1-9914390b9060;;111111118;Vodacom Life 20260324;;;;;AA;5;2026-05-25 0</t>
  </si>
  <si>
    <t>13862108;4af5b0fe-2df6-4554-91a1-9914390b9060;;111111118;Vodacom Life 20260324;;;;;AA;5;2026-05-25 08:22:18+02;system;2026-03-24 09:54:08+02;2026-03-24 09:54:08+02;;;;;;;;;27715102628;;;;;;;;prepaid life;;;;;</t>
  </si>
  <si>
    <t>ID_1121</t>
  </si>
  <si>
    <t>13862195;32da8ca1-9ca0-485f-9526-75113f89759f;;111111118;Vodacom Life 20260324;;;;;CBACK;5;2026-05-2</t>
  </si>
  <si>
    <t>13862195;32da8ca1-9ca0-485f-9526-75113f89759f;;111111118;Vodacom Life 20260324;;;;;CBACK;5;2026-05-25 10:51:31+02;Maureen Ntsoko;2026-03-24 09:54:08+02;2026-03-24 09:54:08+02;;;;;;;;;27798119003;;;;;;;;prepaid life;;;;;</t>
  </si>
  <si>
    <t>ID_1122</t>
  </si>
  <si>
    <t>13862258;3d27a18e-8031-4684-973b-de5e5169c2e8;;111111118;Vodacom Life 20260324;;;;;DROP;5;2026-05-25</t>
  </si>
  <si>
    <t>13862258;3d27a18e-8031-4684-973b-de5e5169c2e8;;111111118;Vodacom Life 20260324;;;;;DROP;5;2026-05-25 08:43:09+02;system;2026-03-24 09:54:08+02;2026-03-24 09:54:08+02;;;;;;;;;27713042839;;;;;;;;prepaid life;;;;;</t>
  </si>
  <si>
    <t>ID_1123</t>
  </si>
  <si>
    <t>13862303;47f818ba-675d-4c47-839e-4594968cbb4b;;111111118;Vodacom Life 20260324;;;;;AA;5;2026-05-25 0</t>
  </si>
  <si>
    <t>13862303;47f818ba-675d-4c47-839e-4594968cbb4b;;111111118;Vodacom Life 20260324;;;;;AA;5;2026-05-25 08:47:22+02;system;2026-03-24 09:54:08+02;2026-03-24 09:54:08+02;;;;;;;;;27760685281;;;;;;;;prepaid life;;;;;</t>
  </si>
  <si>
    <t>ID_1124</t>
  </si>
  <si>
    <t>13862259;018adebf-3206-4b3c-9b7b-4a33e5b30c37;;111111118;Vodacom Life 20260324;;;;;AA;5;2026-05-25 0</t>
  </si>
  <si>
    <t>13862259;018adebf-3206-4b3c-9b7b-4a33e5b30c37;;111111118;Vodacom Life 20260324;;;;;AA;5;2026-05-25 08:43:24+02;system;2026-03-24 09:54:08+02;2026-03-24 09:54:08+02;;;;;;;;;27713281247;;;;;;;;prepaid life;;;;;</t>
  </si>
  <si>
    <t>ID_1125</t>
  </si>
  <si>
    <t>13862304;83786d27-d23b-4c9b-9594-b6dda96370b6;;111111118;Vodacom Life 20260324;;;;;CU;5;2026-05-25 0</t>
  </si>
  <si>
    <t>13862304;83786d27-d23b-4c9b-9594-b6dda96370b6;;111111118;Vodacom Life 20260324;;;;;CU;5;2026-05-25 08:49:25+02;bongiwe lushaba;2026-03-24 09:54:08+02;2026-03-24 09:54:08+02;;;;;;;;;27760788110;;;;;;;;prepaid life;;;;;</t>
  </si>
  <si>
    <t>ID_1126</t>
  </si>
  <si>
    <t xml:space="preserve">13862196;b8b2c53c-0d35-44c3-a068-e490e375acb6;;111111118;Vodacom Life 20260324;;;;;ADC;5;2026-05-25 </t>
  </si>
  <si>
    <t>13862196;b8b2c53c-0d35-44c3-a068-e490e375acb6;;111111118;Vodacom Life 20260324;;;;;ADC;5;2026-05-25 10:51:32+02;system;2026-03-24 09:54:08+02;2026-03-24 09:54:08+02;;;;;;;;;27798246368;;;;;;;;prepaid life;;;;;</t>
  </si>
  <si>
    <t>ID_1127</t>
  </si>
  <si>
    <t>13862260;4fb75681-85cf-47eb-aee4-ff85de59608c;;111111118;Vodacom Life 20260324;;;;;NI;3;2026-04-10 1</t>
  </si>
  <si>
    <t>13862260;4fb75681-85cf-47eb-aee4-ff85de59608c;;111111118;Vodacom Life 20260324;;;;;NI;3;2026-04-10 11:14:39+02;Thandile Nokubeni;2026-03-24 09:54:08+02;2026-03-24 09:54:08+02;;;;;;;;;27713460501;;;;;;;;prepaid life;;;;;</t>
  </si>
  <si>
    <t>ID_1128</t>
  </si>
  <si>
    <t>13862197;c33d5393-6adb-4ee6-92f5-d55bfd6f1ff2;;111111118;Vodacom Life 20260324;;;;;DROP;5;2026-05-25</t>
  </si>
  <si>
    <t>13862197;c33d5393-6adb-4ee6-92f5-d55bfd6f1ff2;;111111118;Vodacom Life 20260324;;;;;DROP;5;2026-05-25 11:17:25+02;system;2026-03-24 09:54:08+02;2026-03-24 09:54:08+02;;;;;;;;;27798256359;;;;;;;;prepaid life;;;;;</t>
  </si>
  <si>
    <t>ID_1129</t>
  </si>
  <si>
    <t>13862305;27b95e80-22d6-4942-aaf0-5d073b0aee66;;111111118;Vodacom Life 20260324;;;27761606859;;AE;5;2</t>
  </si>
  <si>
    <t>13862305;27b95e80-22d6-4942-aaf0-5d073b0aee66;;111111118;Vodacom Life 20260324;;;27761606859;;AE;5;2026-05-25 08:53:53+02;system;2026-03-24 09:54:08+02;2026-03-24 09:54:08+02;;;;;;;;;27761606859;;;;;;;;prepaid life;;;;;</t>
  </si>
  <si>
    <t>ID_1130</t>
  </si>
  <si>
    <t>13862306;12d910eb-0725-4a50-87b9-0a334308e5fb;;111111118;Vodacom Life 20260324;;;;;GTTB;2;2026-03-26</t>
  </si>
  <si>
    <t>13862306;12d910eb-0725-4a50-87b9-0a334308e5fb;;111111118;Vodacom Life 20260324;;;;;GTTB;2;2026-03-26 11:07:59+02;Mahlatse Manamela;2026-03-24 09:54:08+02;2026-03-24 09:54:08+02;;;;;;;;;27761687474;;;;;;;;prepaid life;;;;;</t>
  </si>
  <si>
    <t>ID_1131</t>
  </si>
  <si>
    <t>13862261;9eee9fd2-83a1-44d1-87a1-e00e3c4e6781;;111111118;Vodacom Life 20260324;;;;;A;5;2026-05-25 08</t>
  </si>
  <si>
    <t>13862261;9eee9fd2-83a1-44d1-87a1-e00e3c4e6781;;111111118;Vodacom Life 20260324;;;;;A;5;2026-05-25 08:43:26+02;bongiwe lushaba;2026-03-24 09:54:08+02;2026-03-24 09:54:08+02;;;;;;;;;27714846073;;;;;;;;prepaid life;;;;;</t>
  </si>
  <si>
    <t>ID_1132</t>
  </si>
  <si>
    <t>13862307;b6bb33da-49a8-453e-86b8-e1f3856ac251;;111111118;Vodacom Life 20260324;;;;;AA;5;2026-05-25 0</t>
  </si>
  <si>
    <t>13862307;b6bb33da-49a8-453e-86b8-e1f3856ac251;;111111118;Vodacom Life 20260324;;;;;AA;5;2026-05-25 08:56:23+02;system;2026-03-24 09:54:08+02;2026-03-24 09:54:08+02;;;;;;;;;27761958180;;;;;;;;prepaid life;;;;;</t>
  </si>
  <si>
    <t>ID_1133</t>
  </si>
  <si>
    <t>13862198;2c23d3f9-d63e-4f8e-bfe3-8c2f44991f3b;;111111118;Vodacom Life 20260324;;;;;AA;5;2026-05-25 1</t>
  </si>
  <si>
    <t>13862198;2c23d3f9-d63e-4f8e-bfe3-8c2f44991f3b;;111111118;Vodacom Life 20260324;;;;;AA;5;2026-05-25 11:17:46+02;system;2026-03-24 09:54:08+02;2026-03-24 09:54:08+02;;;;;;;;;27799329311;;;;;;;;prepaid life;;;;;</t>
  </si>
  <si>
    <t>ID_1134</t>
  </si>
  <si>
    <t>13862262;926b24a7-e9f8-470a-8681-9c99b8a8a1c5;;111111118;Vodacom Life 20260324;;;;;NIUP;3;2026-04-15</t>
  </si>
  <si>
    <t>13862262;926b24a7-e9f8-470a-8681-9c99b8a8a1c5;;111111118;Vodacom Life 20260324;;;;;NIUP;3;2026-04-15 12:15:41+02;bongiwe lushaba;2026-03-24 09:54:08+02;2026-03-24 09:54:08+02;;;;;;;;;27715813299;;;;;;;;prepaid life;;;;;</t>
  </si>
  <si>
    <t>ID_1135</t>
  </si>
  <si>
    <t>13862199;28df8803-5d8e-431f-a743-bb56a22d2a27;;111111118;Vodacom Life 20260324;;;27799526720;;NA;5;2</t>
  </si>
  <si>
    <t>13862199;28df8803-5d8e-431f-a743-bb56a22d2a27;;111111118;Vodacom Life 20260324;;;27799526720;;NA;5;2026-05-25 11:17:46+02;system;2026-03-24 09:54:08+02;2026-03-24 09:54:08+02;;;;;;;;;27799526720;;;;;;;;prepaid life;;;;;</t>
  </si>
  <si>
    <t>ID_1136</t>
  </si>
  <si>
    <t>13862308;9245a16e-de39-4688-9af0-ff9866814786;;111111118;Vodacom Life 20260324;;;;;CU;5;2026-05-25 0</t>
  </si>
  <si>
    <t>13862308;9245a16e-de39-4688-9af0-ff9866814786;;111111118;Vodacom Life 20260324;;;;;CU;5;2026-05-25 09:02:49+02;Khensane Mabasa;2026-03-24 09:54:08+02;2026-03-24 09:54:08+02;;;;;;;;;27761967766;;;;;;;;prepaid life;;;;;</t>
  </si>
  <si>
    <t>ID_1137</t>
  </si>
  <si>
    <t>13862263;ae4a26df-4de3-465f-8036-7bc1b8ad1696;;111111118;Vodacom Life 20260324;;;;;AA;5;2026-05-25 0</t>
  </si>
  <si>
    <t>13862263;ae4a26df-4de3-465f-8036-7bc1b8ad1696;;111111118;Vodacom Life 20260324;;;;;AA;5;2026-05-25 08:44:35+02;system;2026-03-24 09:54:08+02;2026-03-24 09:54:08+02;;;;;;;;;27716156902;;;;;;;;prepaid life;;;;;</t>
  </si>
  <si>
    <t>ID_1138</t>
  </si>
  <si>
    <t>13862309;5de4a2a1-14a0-4fa4-9347-0520b0945a1e;;111111118;Vodacom Life 20260324;;;;;NA;5;2026-05-25 0</t>
  </si>
  <si>
    <t>13862309;5de4a2a1-14a0-4fa4-9347-0520b0945a1e;;111111118;Vodacom Life 20260324;;;;;NA;5;2026-05-25 09:06:36+02;system;2026-03-24 09:54:08+02;2026-03-24 09:54:08+02;;;;;;;;;27762995869;;;;;;;;prepaid life;;;;;</t>
  </si>
  <si>
    <t>ID_1139</t>
  </si>
  <si>
    <t>13862200;0bbda769-bb53-49c8-9978-c72001388038;;111111118;Vodacom Life 20260324;;;;;AA;5;2026-05-25 1</t>
  </si>
  <si>
    <t>13862200;0bbda769-bb53-49c8-9978-c72001388038;;111111118;Vodacom Life 20260324;;;;;AA;5;2026-05-25 11:18:41+02;system;2026-03-24 09:54:08+02;2026-03-24 09:54:08+02;;;;;;;;;27799592815;;;;;;;;prepaid life;;;;;</t>
  </si>
  <si>
    <t>ID_1140</t>
  </si>
  <si>
    <t>13862264;f9d29fed-9ea0-4496-a189-7dfdea6ada7c;;111111118;Vodacom Life 20260324;;;;;CU;5;2026-05-25 0</t>
  </si>
  <si>
    <t>13862264;f9d29fed-9ea0-4496-a189-7dfdea6ada7c;;111111118;Vodacom Life 20260324;;;;;CU;5;2026-05-25 08:44:35+02;bongiwe lushaba;2026-03-24 09:54:08+02;2026-03-24 09:54:08+02;;;;;;;;;27716436038;;;;;;;;prepaid life;;;;;</t>
  </si>
  <si>
    <t>ID_1141</t>
  </si>
  <si>
    <t>13862201;91eb9bc3-3e88-4051-9b19-80c11a913c61;;111111118;Vodacom Life 20260324;;;;;DROP;5;2026-05-25</t>
  </si>
  <si>
    <t>13862201;91eb9bc3-3e88-4051-9b19-80c11a913c61;;111111118;Vodacom Life 20260324;;;;;DROP;5;2026-05-25 10:53:15+02;system;2026-03-24 09:54:08+02;2026-03-24 09:54:08+02;;;;;;;;;27817982095;;;;;;;;prepaid life;;;;;</t>
  </si>
  <si>
    <t>ID_1142</t>
  </si>
  <si>
    <t>13862310;f01d72d7-def5-405e-9dc8-c7a8625460dc;;111111118;Vodacom Life 20260324;;;;;CU;5;2026-05-25 0</t>
  </si>
  <si>
    <t>13862310;f01d72d7-def5-405e-9dc8-c7a8625460dc;;111111118;Vodacom Life 20260324;;;;;CU;5;2026-05-25 09:10:59+02;bongiwe lushaba;2026-03-24 09:54:08+02;2026-03-24 09:54:08+02;;;;;;;;;27763224790;;;;;;;;prepaid life;;;;;</t>
  </si>
  <si>
    <t>ID_1143</t>
  </si>
  <si>
    <t>13862265;b375cce5-eb08-47ae-a4c6-10d6e60b6952;;111111118;Vodacom Life 20260324;;;;;NIUP;3;2026-04-14</t>
  </si>
  <si>
    <t>13862265;b375cce5-eb08-47ae-a4c6-10d6e60b6952;;111111118;Vodacom Life 20260324;;;;;NIUP;3;2026-04-14 13:28:07+02;bongiwe lushaba;2026-03-24 09:54:08+02;2026-03-24 09:54:08+02;;;;;;;;;27716491267;;;;;;;;prepaid life;;;;;</t>
  </si>
  <si>
    <t>ID_1144</t>
  </si>
  <si>
    <t>13862266;0d53d3b7-3dc0-4fd8-b77d-fb5a5e2d016b;;111111118;Vodacom Life 20260324;;;;;AA;5;2026-05-25 0</t>
  </si>
  <si>
    <t>13862266;0d53d3b7-3dc0-4fd8-b77d-fb5a5e2d016b;;111111118;Vodacom Life 20260324;;;;;AA;5;2026-05-25 08:44:35+02;system;2026-03-24 09:54:08+02;2026-03-24 09:54:08+02;;;;;;;;;27719421873;;;;;;;;prepaid life;;;;;</t>
  </si>
  <si>
    <t>ID_1145</t>
  </si>
  <si>
    <t>13862311;7d80edfb-31f5-439d-98a8-145012b03869;;111111118;Vodacom Life 20260324;;;;;DROP;5;2026-05-25</t>
  </si>
  <si>
    <t>13862311;7d80edfb-31f5-439d-98a8-145012b03869;;111111118;Vodacom Life 20260324;;;;;DROP;5;2026-05-25 14:31:26+02;system;2026-03-24 09:54:08+02;2026-03-24 09:54:08+02;;;;;;;;;27763350156;;;;;;;;prepaid life;;;;;</t>
  </si>
  <si>
    <t>ID_1146</t>
  </si>
  <si>
    <t>13862202;8c59046f-c7c9-44b3-99f0-9f49fce1eaf1;;111111118;Vodacom Life 20260324;;;;;U;4;2026-04-01 15</t>
  </si>
  <si>
    <t>13862202;8c59046f-c7c9-44b3-99f0-9f49fce1eaf1;;111111118;Vodacom Life 20260324;;;;;U;4;2026-04-01 15:51:39+02;Seboifeng Mogola;2026-03-24 09:54:08+02;2026-03-24 09:54:08+02;;;;;;;;;27818501168;;;;;;;;prepaid life;;;;;</t>
  </si>
  <si>
    <t>ID_1147</t>
  </si>
  <si>
    <t>13862267;c991a612-1acd-4628-93ca-394b9816df51;;111111118;Vodacom Life 20260324;;;;;CU;5;2026-05-25 0</t>
  </si>
  <si>
    <t>13862267;c991a612-1acd-4628-93ca-394b9816df51;;111111118;Vodacom Life 20260324;;;;;CU;5;2026-05-25 08:54:04+02;Maureen Ntsoko;2026-03-24 09:54:08+02;2026-03-24 09:54:08+02;;;;;;;;;27720419286;;;;;;;;prepaid life;;;;;</t>
  </si>
  <si>
    <t>ID_1148</t>
  </si>
  <si>
    <t>13862203;361f75c3-4fbd-40e2-bc2e-790751631f9b;;111111118;Vodacom Life 20260324;;;27818602865;;IABDN;</t>
  </si>
  <si>
    <t>13862203;361f75c3-4fbd-40e2-bc2e-790751631f9b;;111111118;Vodacom Life 20260324;;;27818602865;;IABDN;5;2026-05-25 11:09:53+02;system;2026-03-24 09:54:08+02;2026-03-24 09:54:08+02;;;;;;;;;27818602865;;;;;;;;prepaid life;;;;;</t>
  </si>
  <si>
    <t>ID_1149</t>
  </si>
  <si>
    <t>13862312;b948fa0b-6c93-48f5-9f9f-a1fabba8914e;;111111118;Vodacom Life 20260324;;;;;AA;5;2026-05-25 1</t>
  </si>
  <si>
    <t>13862312;b948fa0b-6c93-48f5-9f9f-a1fabba8914e;;111111118;Vodacom Life 20260324;;;;;AA;5;2026-05-25 11:40:27+02;system;2026-03-24 09:54:08+02;2026-03-24 09:54:08+02;;;;;;;;;27764169892;;;;;;;;prepaid life;;;;;</t>
  </si>
  <si>
    <t>ID_1150</t>
  </si>
  <si>
    <t>13862313;a487e1af-2b1c-4383-a015-1e53e7086a0b;;111111118;Vodacom Life 20260324;;;;;NI;5;2026-05-25 1</t>
  </si>
  <si>
    <t>13862313;a487e1af-2b1c-4383-a015-1e53e7086a0b;;111111118;Vodacom Life 20260324;;;;;NI;5;2026-05-25 11:20:05+02;Khensane Mabasa;2026-03-24 09:54:08+02;2026-03-24 09:54:08+02;;;;;;;;;27764534449;;;;;;;;prepaid life;;;;;</t>
  </si>
  <si>
    <t>ID_1151</t>
  </si>
  <si>
    <t>13862268;ee2d4f5a-1e4f-43a2-870c-a09894d820ea;;111111118;Vodacom Life 20260324;;;;;AA;5;2026-05-25 0</t>
  </si>
  <si>
    <t>13862268;ee2d4f5a-1e4f-43a2-870c-a09894d820ea;;111111118;Vodacom Life 20260324;;;;;AA;5;2026-05-25 08:56:05+02;system;2026-03-24 09:54:08+02;2026-03-24 09:54:08+02;;;;;;;;;27720793349;;;;;;;;prepaid life;;;;;</t>
  </si>
  <si>
    <t>ID_1152</t>
  </si>
  <si>
    <t>13862314;e5a69546-70c7-4a3d-a2cb-c1ab2ef226c2;;111111118;Vodacom Life 20260324;;;;;CBACK;5;2026-04-2</t>
  </si>
  <si>
    <t>13862314;e5a69546-70c7-4a3d-a2cb-c1ab2ef226c2;;111111118;Vodacom Life 20260324;;;;;CBACK;5;2026-04-21 12:37:09+02;Thandile Nokubeni;2026-03-24 09:54:08+02;2026-03-24 09:54:08+02;;;;;;;;;27764599240;;;;;;;;prepaid life;;;;;</t>
  </si>
  <si>
    <t>ID_1153</t>
  </si>
  <si>
    <t>13862204;25dd1f1a-6bc1-4910-a700-6131d5ec5584;;111111118;Vodacom Life 20260324;;;;;AA;5;2026-05-25 1</t>
  </si>
  <si>
    <t>13862204;25dd1f1a-6bc1-4910-a700-6131d5ec5584;;111111118;Vodacom Life 20260324;;;;;AA;5;2026-05-25 10:53:15+02;system;2026-03-24 09:54:08+02;2026-03-24 09:54:08+02;;;;;;;;;27818611213;;;;;;;;prepaid life;;;;;</t>
  </si>
  <si>
    <t>ID_1154</t>
  </si>
  <si>
    <t>13862269;f1a00d12-9dd9-47d9-b1f9-2207c7e6023c;;111111118;Vodacom Life 20260324;;;;;NA;5;2026-05-25 0</t>
  </si>
  <si>
    <t>13862269;f1a00d12-9dd9-47d9-b1f9-2207c7e6023c;;111111118;Vodacom Life 20260324;;;;;NA;5;2026-05-25 08:56:19+02;system;2026-03-24 09:54:08+02;2026-03-24 09:54:08+02;;;;;;;;;27720919207;;;;;;;;prepaid life;;;;;</t>
  </si>
  <si>
    <t>ID_1155</t>
  </si>
  <si>
    <t>13862315;f825f6ac-7458-4006-b3a0-33653a4ccead;;111111118;Vodacom Life 20260324;;;;;CBACK;2;2026-03-2</t>
  </si>
  <si>
    <t>13862315;f825f6ac-7458-4006-b3a0-33653a4ccead;;111111118;Vodacom Life 20260324;;;;;CBACK;2;2026-03-26 11:14:04+02;Thandile Nokubeni;2026-03-24 09:54:08+02;2026-03-24 09:54:08+02;;;;;;;;;27764677516;;;;;;;;prepaid life;;;;;</t>
  </si>
  <si>
    <t>ID_1156</t>
  </si>
  <si>
    <t>13862270;453f9b24-6c4c-4436-bf48-426648065781;;111111118;Vodacom Life 20260324;;;;;U;1;2026-03-26 12</t>
  </si>
  <si>
    <t>13862270;453f9b24-6c4c-4436-bf48-426648065781;;111111118;Vodacom Life 20260324;;;;;U;1;2026-03-26 12:15:28+02;Thandile Nokubeni;2026-03-24 09:54:08+02;2026-03-24 09:54:08+02;;;;;;;;;27720959935;;;;;;;;prepaid life;;;;;</t>
  </si>
  <si>
    <t>ID_1157</t>
  </si>
  <si>
    <t>13862316;a3e435f5-7347-4af9-a566-cbe3ec3843cf;;111111118;Vodacom Life 20260324;;;;;AA;5;2026-05-25 1</t>
  </si>
  <si>
    <t>13862316;a3e435f5-7347-4af9-a566-cbe3ec3843cf;;111111118;Vodacom Life 20260324;;;;;AA;5;2026-05-25 11:20:05+02;system;2026-03-24 09:54:08+02;2026-03-24 09:54:08+02;;;;;;;;;27764764544;;;;;;;;prepaid life;;;;;</t>
  </si>
  <si>
    <t>ID_1158</t>
  </si>
  <si>
    <t>13862400;66198225-b931-41f1-90c1-e7b11818c6f5;;111111118;Vodacom Life 20260324;;;;;U;1;2026-03-30 12</t>
  </si>
  <si>
    <t>13862400;66198225-b931-41f1-90c1-e7b11818c6f5;;111111118;Vodacom Life 20260324;;;;;U;1;2026-03-30 12:08:55+02;Maureen Ntsoko;2026-03-24 09:54:08+02;2026-03-24 09:54:08+02;;;;;;;;;27663791067;;;;;;;;prepaid life;;;;;</t>
  </si>
  <si>
    <t>ID_1159</t>
  </si>
  <si>
    <t>13862271;9a6c9e59-a484-4cca-875a-9aa225fce00c;;111111118;Vodacom Life 20260324;;;27721155834;;CCB;10</t>
  </si>
  <si>
    <t>13862271;9a6c9e59-a484-4cca-875a-9aa225fce00c;;111111118;Vodacom Life 20260324;;;27721155834;;CCB;10;2026-05-28 16:04:05+02;Khensane Mabasa;2026-03-24 09:54:08+02;2026-03-24 09:54:08+02;;;;;;;;;27721155834;;;;;;;;prepaid life;;;;;</t>
  </si>
  <si>
    <t>ID_1160</t>
  </si>
  <si>
    <t>13862272;5175ae59-9298-48fd-9a25-205db3331ec7;;111111118;Vodacom Life 20260324;;;;;CU;5;2026-05-25 0</t>
  </si>
  <si>
    <t>13862272;5175ae59-9298-48fd-9a25-205db3331ec7;;111111118;Vodacom Life 20260324;;;;;CU;5;2026-05-25 09:02:25+02;Maureen Ntsoko;2026-03-24 09:54:08+02;2026-03-24 09:54:08+02;;;;;;;;;27721506066;;;;;;;;prepaid life;;;;;</t>
  </si>
  <si>
    <t>ID_1161</t>
  </si>
  <si>
    <t>13862401;d9ba26f2-5fb0-4c78-8915-7e929c7e0d0a;;111111118;Vodacom Life 20260324;;;;;AA;5;2026-05-25 1</t>
  </si>
  <si>
    <t>13862401;d9ba26f2-5fb0-4c78-8915-7e929c7e0d0a;;111111118;Vodacom Life 20260324;;;;;AA;5;2026-05-25 11:22:32+02;system;2026-03-24 09:54:08+02;2026-03-24 09:54:08+02;;;;;;;;;27663988043;;;;;;;;prepaid life;;;;;</t>
  </si>
  <si>
    <t>ID_1162</t>
  </si>
  <si>
    <t>13862317;de93724a-01e1-4e02-b028-8ecf294c8e39;;111111118;Vodacom Life 20260324;;;;;AA;5;2026-05-25 1</t>
  </si>
  <si>
    <t>13862317;de93724a-01e1-4e02-b028-8ecf294c8e39;;111111118;Vodacom Life 20260324;;;;;AA;5;2026-05-25 11:40:28+02;system;2026-03-24 09:54:08+02;2026-03-24 09:54:08+02;;;;;;;;;27765133090;;;;;;;;prepaid life;;;;;</t>
  </si>
  <si>
    <t>ID_1163</t>
  </si>
  <si>
    <t>13862273;b8e8e146-b698-4b9a-ac9f-34d25a61e690;;111111118;Vodacom Life 20260324;;;27721544944;;CU;5;2</t>
  </si>
  <si>
    <t>13862273;b8e8e146-b698-4b9a-ac9f-34d25a61e690;;111111118;Vodacom Life 20260324;;;27721544944;;CU;5;2026-05-25 09:06:30+02;Maureen Ntsoko;2026-03-24 09:54:08+02;2026-03-24 09:54:08+02;;;;;;;;;27721544944;;;;;;;;prepaid life;;;;;</t>
  </si>
  <si>
    <t>ID_1164</t>
  </si>
  <si>
    <t>13862318;0649a942-1bae-4c7f-9aa4-c6bce6da020f;;111111118;Vodacom Life 20260324;;;;;A;5;2026-05-25 14</t>
  </si>
  <si>
    <t>13862318;0649a942-1bae-4c7f-9aa4-c6bce6da020f;;111111118;Vodacom Life 20260324;;;;;A;5;2026-05-25 14:36:24+02;bongiwe lushaba;2026-03-24 09:54:08+02;2026-03-24 09:54:08+02;;;;;;;;;27765422926;;;;;;;;prepaid life;;;;;</t>
  </si>
  <si>
    <t>ID_1165</t>
  </si>
  <si>
    <t>13862402;60cfe35d-a76d-4d7b-8a49-f32aaf275ca9;;111111118;Vodacom Life 20260324;;;27664366952;;CCB;5;</t>
  </si>
  <si>
    <t>13862402;60cfe35d-a76d-4d7b-8a49-f32aaf275ca9;;111111118;Vodacom Life 20260324;;;27664366952;;CCB;5;2026-05-25 11:59:45+02;Maureen Ntsoko;2026-03-24 09:54:08+02;2026-03-24 09:54:08+02;;;;;;;;;27664366952;;;;;;;;prepaid life;;;;;</t>
  </si>
  <si>
    <t>ID_1166</t>
  </si>
  <si>
    <t>13862274;a141f064-e428-44e3-a23e-4298fa8072be;;111111118;Vodacom Life 20260324;;;;;NA;5;2026-05-25 0</t>
  </si>
  <si>
    <t>13862274;a141f064-e428-44e3-a23e-4298fa8072be;;111111118;Vodacom Life 20260324;;;;;NA;5;2026-05-25 09:48:29+02;system;2026-03-24 09:54:08+02;2026-03-24 09:54:08+02;;;;;;;;;27722435806;;;;;;;;prepaid life;;;;;</t>
  </si>
  <si>
    <t>ID_1167</t>
  </si>
  <si>
    <t>13862319;e2defb46-4a31-4617-b86c-74b743d8ba6e;;111111118;Vodacom Life 20260324;;;;;AA;5;2026-05-25 1</t>
  </si>
  <si>
    <t>13862319;e2defb46-4a31-4617-b86c-74b743d8ba6e;;111111118;Vodacom Life 20260324;;;;;AA;5;2026-05-25 14:35:51+02;system;2026-03-24 09:54:08+02;2026-03-24 09:54:08+02;;;;;;;;;27765768609;;;;;;;;prepaid life;;;;;</t>
  </si>
  <si>
    <t>ID_1168</t>
  </si>
  <si>
    <t>13862275;52196ce6-5353-4d15-8d94-056c4ca1879d;;111111118;Vodacom Life 20260324;;;;;DROP;5;2026-05-25</t>
  </si>
  <si>
    <t>13862275;52196ce6-5353-4d15-8d94-056c4ca1879d;;111111118;Vodacom Life 20260324;;;;;DROP;5;2026-05-25 10:54:09+02;system;2026-03-24 09:54:08+02;2026-03-24 09:54:08+02;;;;;;;;;27722505091;;;;;;;;prepaid life;;;;;</t>
  </si>
  <si>
    <t>ID_1169</t>
  </si>
  <si>
    <t>13862320;aca32c55-d07c-49ea-a61e-77a3cf199b55;;111111118;Vodacom Life 20260324;;;27765824706;;NA;5;2</t>
  </si>
  <si>
    <t>13862320;aca32c55-d07c-49ea-a61e-77a3cf199b55;;111111118;Vodacom Life 20260324;;;27765824706;;NA;5;2026-05-25 11:40:31+02;system;2026-03-24 09:54:08+02;2026-03-24 09:54:08+02;;;;;;;;;27765824706;;;;;;;;prepaid life;;;;;</t>
  </si>
  <si>
    <t>ID_1170</t>
  </si>
  <si>
    <t>13862403;19458681-96bc-44db-b0a2-e43488f49543;;111111118;Vodacom Life 20260324;;;;;DROP;5;2026-05-25</t>
  </si>
  <si>
    <t>13862403;19458681-96bc-44db-b0a2-e43488f49543;;111111118;Vodacom Life 20260324;;;;;DROP;5;2026-05-25 11:22:46+02;system;2026-03-24 09:54:08+02;2026-03-24 09:54:08+02;;;;;;;;;27664456927;;;;;;;;prepaid life;;;;;</t>
  </si>
  <si>
    <t>ID_1171</t>
  </si>
  <si>
    <t>13862276;f9796f5f-5b44-4560-82b5-bc1e2963cca4;;111111118;Vodacom Life 20260324;;;;;CU;5;2026-05-25 1</t>
  </si>
  <si>
    <t>13862276;f9796f5f-5b44-4560-82b5-bc1e2963cca4;;111111118;Vodacom Life 20260324;;;;;CU;5;2026-05-25 10:54:09+02;Maureen Ntsoko;2026-03-24 09:54:08+02;2026-03-24 09:54:08+02;;;;;;;;;27722888105;;;;;;;;prepaid life;;;;;</t>
  </si>
  <si>
    <t>ID_1172</t>
  </si>
  <si>
    <t>13862404;75d9e34a-a3d1-4352-ba52-bfc7c6e205d9;;111111118;Vodacom Life 20260324;;;;;AE;5;2026-05-25 1</t>
  </si>
  <si>
    <t>13862404;75d9e34a-a3d1-4352-ba52-bfc7c6e205d9;;111111118;Vodacom Life 20260324;;;;;AE;5;2026-05-25 12:56:14+02;system;2026-03-24 09:54:08+02;2026-03-24 09:54:08+02;;;;;;;;;27664696865;;;;;;;;prepaid life;;;;;</t>
  </si>
  <si>
    <t>ID_1173</t>
  </si>
  <si>
    <t>13862321;7cf200aa-01de-49a2-bce4-74fda2e13329;;111111118;Vodacom Life 20260324;;;;;DROP;5;2026-05-25</t>
  </si>
  <si>
    <t>13862321;7cf200aa-01de-49a2-bce4-74fda2e13329;;111111118;Vodacom Life 20260324;;;;;DROP;5;2026-05-25 14:10:18+02;system;2026-03-24 09:54:08+02;2026-03-24 09:54:08+02;;;;;;;;;27766172131;;;;;;;;prepaid life;;;;;</t>
  </si>
  <si>
    <t>ID_1174</t>
  </si>
  <si>
    <t>13862277;d67cea04-88ad-42ef-a743-7a0bd154e28d;;111111118;Vodacom Life 20260324;;;;;CU;5;2026-05-25 1</t>
  </si>
  <si>
    <t>13862277;d67cea04-88ad-42ef-a743-7a0bd154e28d;;111111118;Vodacom Life 20260324;;;;;CU;5;2026-05-25 10:55:43+02;Maureen Ntsoko;2026-03-24 09:54:08+02;2026-03-24 09:54:08+02;;;;;;;;;27722935523;;;;;;;;prepaid life;;;;;</t>
  </si>
  <si>
    <t>ID_1175</t>
  </si>
  <si>
    <t>13862322;e19ef355-01ab-46fb-888d-f71ebb0400a0;;111111118;Vodacom Life 20260324;;;;;NA;5;2026-05-25 1</t>
  </si>
  <si>
    <t>13862322;e19ef355-01ab-46fb-888d-f71ebb0400a0;;111111118;Vodacom Life 20260324;;;;;NA;5;2026-05-25 14:36:03+02;system;2026-03-24 09:54:08+02;2026-03-24 09:54:08+02;;;;;;;;;27767042512;;;;;;;;prepaid life;;;;;</t>
  </si>
  <si>
    <t>ID_1176</t>
  </si>
  <si>
    <t>13862405;0b51664b-0ae1-4ddb-9957-a97a82ad844b;;111111118;Vodacom Life 20260324;;;;;NI;4;2026-04-17 1</t>
  </si>
  <si>
    <t>13862405;0b51664b-0ae1-4ddb-9957-a97a82ad844b;;111111118;Vodacom Life 20260324;;;;;NI;4;2026-04-17 10:52:18+02;Musiiwa Mary Mabirimisa;2026-03-24 09:54:08+02;2026-03-24 09:54:08+02;;;;;;;;;27665677887;;;;;;;;prepaid life;;;;;</t>
  </si>
  <si>
    <t>ID_1177</t>
  </si>
  <si>
    <t>13862278;54985e85-962a-4c5d-a9c2-cbd215c9470b;;111111118;Vodacom Life 20260324;;;27723335069;;IABDN;</t>
  </si>
  <si>
    <t>13862278;54985e85-962a-4c5d-a9c2-cbd215c9470b;;111111118;Vodacom Life 20260324;;;27723335069;;IABDN;5;2026-05-25 11:10:50+02;system;2026-03-24 09:54:08+02;2026-03-24 09:54:08+02;;;;;;;;;27723335069;;;;;;;;prepaid life;;;;;</t>
  </si>
  <si>
    <t>ID_1178</t>
  </si>
  <si>
    <t>13862406;08ab92b5-ad98-458e-ac02-341825c0bd42;;111111118;Vodacom Life 20260324;;;;;CBACK;2;2026-04-0</t>
  </si>
  <si>
    <t>13862406;08ab92b5-ad98-458e-ac02-341825c0bd42;;111111118;Vodacom Life 20260324;;;;;CBACK;2;2026-04-09 16:13:35+02;Thandile Nokubeni;2026-03-24 09:54:08+02;2026-03-24 09:54:08+02;;;;;;;;;27665680446;;;;;;;;prepaid life;;;;;</t>
  </si>
  <si>
    <t>ID_1179</t>
  </si>
  <si>
    <t>13862279;015b5e39-540f-43e0-9ed4-e208c670376e;;111111118;Vodacom Life 20260324;;;;;AA;5;2026-05-25 1</t>
  </si>
  <si>
    <t>13862279;015b5e39-540f-43e0-9ed4-e208c670376e;;111111118;Vodacom Life 20260324;;;;;AA;5;2026-05-25 10:55:43+02;system;2026-03-24 09:54:08+02;2026-03-24 09:54:08+02;;;;;;;;;27723386024;;;;;;;;prepaid life;;;;;</t>
  </si>
  <si>
    <t>ID_1180</t>
  </si>
  <si>
    <t>13862407;af9fb802-5995-45eb-814a-82cb491caa52;;111111118;Vodacom Life 20260324;;;27665712805;;IABDN;</t>
  </si>
  <si>
    <t>13862407;af9fb802-5995-45eb-814a-82cb491caa52;;111111118;Vodacom Life 20260324;;;27665712805;;IABDN;5;2026-05-25 14:18:59+02;system;2026-03-24 09:54:08+02;2026-03-24 09:54:08+02;;;;;;;;;27665712805;;;;;;;;prepaid life;;;;;</t>
  </si>
  <si>
    <t>ID_1181</t>
  </si>
  <si>
    <t>13862323;16fe9a8d-9e74-42c3-862a-1b64c7d1c93e;;111111118;Vodacom Life 20260324;;;27767064429;;CU;5;2</t>
  </si>
  <si>
    <t>13862323;16fe9a8d-9e74-42c3-862a-1b64c7d1c93e;;111111118;Vodacom Life 20260324;;;27767064429;;CU;5;2026-05-25 14:48:38+02;Maureen Ntsoko;2026-03-24 09:54:08+02;2026-03-24 09:54:08+02;;;;;;;;;27767064429;;;;;;;;prepaid life;;;;;</t>
  </si>
  <si>
    <t>ID_1182</t>
  </si>
  <si>
    <t>13862280;944579cc-fd88-4061-9b20-b8702db1cc24;;111111118;Vodacom Life 20260324;;;;;A;5;2026-05-25 10</t>
  </si>
  <si>
    <t>13862280;944579cc-fd88-4061-9b20-b8702db1cc24;;111111118;Vodacom Life 20260324;;;;;A;5;2026-05-25 10:55:43+02;bongiwe lushaba;2026-03-24 09:54:08+02;2026-03-24 09:54:08+02;;;;;;;;;27723691192;;;;;;;;prepaid life;;;;;</t>
  </si>
  <si>
    <t>ID_1183</t>
  </si>
  <si>
    <t>13862324;a9e977f2-456e-4b19-a796-11e7a54a4ea5;;111111118;Vodacom Life 20260324;;;;;AE;5;2026-05-25 0</t>
  </si>
  <si>
    <t>13862324;a9e977f2-456e-4b19-a796-11e7a54a4ea5;;111111118;Vodacom Life 20260324;;;;;AE;5;2026-05-25 08:48:20+02;system;2026-03-24 09:54:08+02;2026-03-24 09:54:08+02;;;;;;;;;27767268498;;;;;;;;prepaid life;;;;;</t>
  </si>
  <si>
    <t>ID_1184</t>
  </si>
  <si>
    <t>13862408;2cf0a92f-31f2-442b-af8e-3a0acc97fdf6;;111111118;Vodacom Life 20260324;;;;;DROP;5;2026-05-25</t>
  </si>
  <si>
    <t>13862408;2cf0a92f-31f2-442b-af8e-3a0acc97fdf6;;111111118;Vodacom Life 20260324;;;;;DROP;5;2026-05-25 13:00:34+02;system;2026-03-24 09:54:08+02;2026-03-24 09:54:08+02;;;;;;;;;27665957080;;;;;;;;prepaid life;;;;;</t>
  </si>
  <si>
    <t>ID_1185</t>
  </si>
  <si>
    <t>13862281;35ae7bbf-2664-4f6f-ab8e-6ed134f1dd0a;;111111118;Vodacom Life 20260324;;;;;AE;5;2026-05-25 1</t>
  </si>
  <si>
    <t>13862281;35ae7bbf-2664-4f6f-ab8e-6ed134f1dd0a;;111111118;Vodacom Life 20260324;;;;;AE;5;2026-05-25 10:56:13+02;system;2026-03-24 09:54:08+02;2026-03-24 09:54:08+02;;;;;;;;;27724287705;;;;;;;;prepaid life;;;;;</t>
  </si>
  <si>
    <t>ID_1186</t>
  </si>
  <si>
    <t xml:space="preserve">13862325;8519195d-57f5-4ef6-9f10-f636f1d0c802;;111111118;Vodacom Life 20260324;;;;;ADC;5;2026-05-25 </t>
  </si>
  <si>
    <t>13862325;8519195d-57f5-4ef6-9f10-f636f1d0c802;;111111118;Vodacom Life 20260324;;;;;ADC;5;2026-05-25 08:48:21+02;system;2026-03-24 09:54:08+02;2026-03-24 09:54:08+02;;;;;;;;;27768403775;;;;;;;;prepaid life;;;;;</t>
  </si>
  <si>
    <t>ID_1187</t>
  </si>
  <si>
    <t>13862282;86c90f95-d90a-43e4-bcb4-a0f9d0ac7eb7;;111111118;Vodacom Life 20260324;;;;;AF;1;2026-03-26 1</t>
  </si>
  <si>
    <t>13862282;86c90f95-d90a-43e4-bcb4-a0f9d0ac7eb7;;111111118;Vodacom Life 20260324;;;;;AF;1;2026-03-26 11:04:27+02;Seboifeng Mogola;2026-03-24 09:54:08+02;2026-03-24 09:54:08+02;;;;;;;;;27724368483;;;;;;;;prepaid life;;;;;</t>
  </si>
  <si>
    <t>ID_1188</t>
  </si>
  <si>
    <t>13862326;b5151f7c-4c06-4ce3-9594-4a0d6eb51da3;;111111118;Vodacom Life 20260324;;;;;AA;5;2026-05-25 0</t>
  </si>
  <si>
    <t>13862326;b5151f7c-4c06-4ce3-9594-4a0d6eb51da3;;111111118;Vodacom Life 20260324;;;;;AA;5;2026-05-25 08:48:25+02;system;2026-03-24 09:54:08+02;2026-03-24 09:54:08+02;;;;;;;;;27768825442;;;;;;;;prepaid life;;;;;</t>
  </si>
  <si>
    <t>ID_1189</t>
  </si>
  <si>
    <t xml:space="preserve">13862410;7d690175-2705-43bd-a50d-15be8e3bebb1;;111111118;Vodacom Life 20260324;;;;;ADC;5;2026-05-25 </t>
  </si>
  <si>
    <t>13862410;7d690175-2705-43bd-a50d-15be8e3bebb1;;111111118;Vodacom Life 20260324;;;;;ADC;5;2026-05-25 14:20:40+02;system;2026-03-24 09:54:08+02;2026-03-24 09:54:08+02;;;;;;;;;27673162887;;;;;;;;prepaid life;;;;;</t>
  </si>
  <si>
    <t>ID_1190</t>
  </si>
  <si>
    <t>13862283;cfe1caae-0ba3-402a-91b4-bd3fe039b12b;;111111118;Vodacom Life 20260324;;;;;NI;2;2026-03-27 1</t>
  </si>
  <si>
    <t>13862283;cfe1caae-0ba3-402a-91b4-bd3fe039b12b;;111111118;Vodacom Life 20260324;;;;;NI;2;2026-03-27 14:33:15+02;Mahlatse Manamela;2026-03-24 09:54:08+02;2026-03-24 09:54:08+02;;;;;;;;;27724368651;;;;;;;;prepaid life;;;;;</t>
  </si>
  <si>
    <t>ID_1191</t>
  </si>
  <si>
    <t>13862284;30b01794-008a-4e7c-90ec-863a4d246e31;;111111118;Vodacom Life 20260324;;;;;CBACK;5;2026-05-2</t>
  </si>
  <si>
    <t>13862284;30b01794-008a-4e7c-90ec-863a4d246e31;;111111118;Vodacom Life 20260324;;;;;CBACK;5;2026-05-25 10:56:13+02;Maureen Ntsoko;2026-03-24 09:54:08+02;2026-03-24 09:54:08+02;;;;;;;;;27724376553;;;;;;;;prepaid life;;;;;</t>
  </si>
  <si>
    <t>ID_1192</t>
  </si>
  <si>
    <t>13862411;d31ff7c8-06e5-41e3-a896-2cf2f2f3981d;;111111118;Vodacom Life 20260324;;;;;NI;3;2026-04-15 0</t>
  </si>
  <si>
    <t>13862411;d31ff7c8-06e5-41e3-a896-2cf2f2f3981d;;111111118;Vodacom Life 20260324;;;;;NI;3;2026-04-15 08:23:51+02;Esther Ramalete;2026-03-24 09:54:08+02;2026-03-24 09:54:08+02;;;;;;;;;27673218647;;;;;;;;prepaid life;;;;;</t>
  </si>
  <si>
    <t>ID_1193</t>
  </si>
  <si>
    <t>13862327;c4f97b8f-3866-4615-8f11-182b289bf7e7;;111111118;Vodacom Life 20260324;;;;;CBACK;2;2026-04-0</t>
  </si>
  <si>
    <t>13862327;c4f97b8f-3866-4615-8f11-182b289bf7e7;;111111118;Vodacom Life 20260324;;;;;CBACK;2;2026-04-09 15:15:41+02;Mahlatse Manamela;2026-03-24 09:54:08+02;2026-03-24 09:54:08+02;;;;;;;;;27768839793;;;;;;;;prepaid life;;;;;</t>
  </si>
  <si>
    <t>ID_1194</t>
  </si>
  <si>
    <t>13862285;2efc2370-7e47-4122-b683-df7d2514c65b;;111111118;Vodacom Life 20260324;;;;;A;5;2026-05-25 10</t>
  </si>
  <si>
    <t>13862285;2efc2370-7e47-4122-b683-df7d2514c65b;;111111118;Vodacom Life 20260324;;;;;A;5;2026-05-25 10:56:15+02;bongiwe lushaba;2026-03-24 09:54:08+02;2026-03-24 09:54:08+02;;;;;;;;;27724923860;;;;;;;;prepaid life;;;;;</t>
  </si>
  <si>
    <t>ID_1195</t>
  </si>
  <si>
    <t>13862328;60e1bf17-8f8c-4a51-8aad-8f7d709d99e5;;111111118;Vodacom Life 20260324;;;27769262081;;IABDN;</t>
  </si>
  <si>
    <t>13862328;60e1bf17-8f8c-4a51-8aad-8f7d709d99e5;;111111118;Vodacom Life 20260324;;;27769262081;;IABDN;5;2026-05-25 09:04:51+02;system;2026-03-24 09:54:08+02;2026-03-24 09:54:08+02;;;;;;;;;27769262081;;;;;;;;prepaid life;;;;;</t>
  </si>
  <si>
    <t>ID_1196</t>
  </si>
  <si>
    <t>13862329;802103ba-a907-4115-beb9-cb07a9618d85;;111111118;Vodacom Life 20260324;;;;;AA;5;2026-05-25 0</t>
  </si>
  <si>
    <t>13862329;802103ba-a907-4115-beb9-cb07a9618d85;;111111118;Vodacom Life 20260324;;;;;AA;5;2026-05-25 08:48:26+02;system;2026-03-24 09:54:08+02;2026-03-24 09:54:08+02;;;;;;;;;27773656214;;;;;;;;prepaid life;;;;;</t>
  </si>
  <si>
    <t>ID_1197</t>
  </si>
  <si>
    <t>13862412;2ab27604-39ea-4c00-9fe0-6d1b7ac79e8d;;111111118;Vodacom Life 20260324;;;;;A;5;2026-05-25 10</t>
  </si>
  <si>
    <t>13862412;2ab27604-39ea-4c00-9fe0-6d1b7ac79e8d;;111111118;Vodacom Life 20260324;;;;;A;5;2026-05-25 10:56:40+02;bongiwe lushaba;2026-03-24 09:54:08+02;2026-03-24 09:54:08+02;;;;;;;;;27712042370;;;;;;;;prepaid life;;;;;</t>
  </si>
  <si>
    <t>ID_1198</t>
  </si>
  <si>
    <t>13862286;9bb32e9b-057f-4f9f-a518-a54303d08655;;111111118;Vodacom Life 20260324;;;27725470144;;AE;5;2</t>
  </si>
  <si>
    <t>13862286;9bb32e9b-057f-4f9f-a518-a54303d08655;;111111118;Vodacom Life 20260324;;;27725470144;;AE;5;2026-05-25 10:56:15+02;system;2026-03-24 09:54:08+02;2026-03-24 09:54:08+02;;;;;;;;;27725470144;;;;;;;;prepaid life;;;;;</t>
  </si>
  <si>
    <t>ID_1199</t>
  </si>
  <si>
    <t>13862414;6faa6859-e06f-492e-9b1e-ac658be813c3;;111111118;Vodacom Life 20260324;;;;;CBACK;2;2026-04-1</t>
  </si>
  <si>
    <t>13862414;6faa6859-e06f-492e-9b1e-ac658be813c3;;111111118;Vodacom Life 20260324;;;;;CBACK;2;2026-04-10 09:08:55+02;Maureen Ntsoko;2026-03-24 09:54:08+02;2026-03-24 09:54:08+02;;;;;;;;;27712948759;;;;;;;;prepaid life;;;;;</t>
  </si>
  <si>
    <t>ID_1200</t>
  </si>
  <si>
    <t>13862330;b9634f51-7045-4ac2-89ce-ced8836b4cb2;;111111118;Vodacom Life 20260324;;;;;AA;5;2026-05-25 0</t>
  </si>
  <si>
    <t>13862330;b9634f51-7045-4ac2-89ce-ced8836b4cb2;;111111118;Vodacom Life 20260324;;;;;AA;5;2026-05-25 08:48:26+02;system;2026-03-24 09:54:08+02;2026-03-24 09:54:08+02;;;;;;;;;27774246511;;;;;;;;prepaid life;;;;;</t>
  </si>
  <si>
    <t>ID_1201</t>
  </si>
  <si>
    <t>13862287;f8d6ec45-1aee-43be-ae75-c8a0fb455f27;;111111118;Vodacom Life 20260324;;;;;AA;5;2026-05-25 1</t>
  </si>
  <si>
    <t>13862287;f8d6ec45-1aee-43be-ae75-c8a0fb455f27;;111111118;Vodacom Life 20260324;;;;;AA;5;2026-05-25 10:56:16+02;system;2026-03-24 09:54:08+02;2026-03-24 09:54:08+02;;;;;;;;;27725698295;;;;;;;;prepaid life;;;;;</t>
  </si>
  <si>
    <t>ID_1202</t>
  </si>
  <si>
    <t>13862331;56313c9a-1bd7-4ea3-a780-10574036e938;;111111118;Vodacom Life 20260324;;;;;DROP;5;2026-05-25</t>
  </si>
  <si>
    <t>13862331;56313c9a-1bd7-4ea3-a780-10574036e938;;111111118;Vodacom Life 20260324;;;;;DROP;5;2026-05-25 08:48:26+02;system;2026-03-24 09:54:08+02;2026-03-24 09:54:08+02;;;;;;;;;27774879373;;;;;;;;prepaid life;;;;;</t>
  </si>
  <si>
    <t>ID_1203</t>
  </si>
  <si>
    <t>13862415;d09e1d68-fc88-4a72-91af-ff4df40284c2;;111111118;Vodacom Life 20260324;;;;;NA;5;2026-05-25 1</t>
  </si>
  <si>
    <t>13862415;d09e1d68-fc88-4a72-91af-ff4df40284c2;;111111118;Vodacom Life 20260324;;;;;NA;5;2026-05-25 10:23:04+02;system;2026-03-24 09:54:08+02;2026-03-24 09:54:08+02;;;;;;;;;27713052633;;;;;;;;prepaid life;;;;;</t>
  </si>
  <si>
    <t>ID_1204</t>
  </si>
  <si>
    <t>13862288;4380bada-8ba9-49f2-a97a-525150579b8a;;111111118;Vodacom Life 20260324;;;;;AE;5;2026-05-25 1</t>
  </si>
  <si>
    <t>13862288;4380bada-8ba9-49f2-a97a-525150579b8a;;111111118;Vodacom Life 20260324;;;;;AE;5;2026-05-25 10:56:16+02;system;2026-03-24 09:54:08+02;2026-03-24 09:54:08+02;;;;;;;;;27725782785;;;;;;;;prepaid life;;;;;</t>
  </si>
  <si>
    <t>ID_1205</t>
  </si>
  <si>
    <t>13862416;c3d9689b-0170-4f43-94da-ae82314ba887;;111111118;Vodacom Life 20260324;;;;;AA;5;2026-05-25 1</t>
  </si>
  <si>
    <t>13862416;c3d9689b-0170-4f43-94da-ae82314ba887;;111111118;Vodacom Life 20260324;;;;;AA;5;2026-05-25 10:23:04+02;system;2026-03-24 09:54:08+02;2026-03-24 09:54:08+02;;;;;;;;;27713234331;;;;;;;;prepaid life;;;;;</t>
  </si>
  <si>
    <t>ID_1206</t>
  </si>
  <si>
    <t>13862332;93be4da2-c43d-4b75-a6e8-949f1a19b303;;111111118;Vodacom Life 20260324;;;;;AA;5;2026-05-25 0</t>
  </si>
  <si>
    <t>13862332;93be4da2-c43d-4b75-a6e8-949f1a19b303;;111111118;Vodacom Life 20260324;;;;;AA;5;2026-05-25 08:49:20+02;system;2026-03-24 09:54:08+02;2026-03-24 09:54:08+02;;;;;;;;;27786324839;;;;;;;;prepaid life;;;;;</t>
  </si>
  <si>
    <t>ID_1207</t>
  </si>
  <si>
    <t>13862289;b8370ca3-17c3-45ca-aadc-6a4682a2ec10;;111111118;Vodacom Life 20260324;;;;;N;5;2026-05-20 08</t>
  </si>
  <si>
    <t>13862289;b8370ca3-17c3-45ca-aadc-6a4682a2ec10;;111111118;Vodacom Life 20260324;;;;;N;5;2026-05-20 08:17:07+02;Maureen Ntsoko;2026-03-24 09:54:08+02;2026-03-24 09:54:08+02;;;;;;;;;27726475028;;;;;;;;prepaid life;;;;;</t>
  </si>
  <si>
    <t>ID_1208</t>
  </si>
  <si>
    <t>13862334;99d4194a-553a-4a5d-8b63-b1eb3d145103;;111111118;Vodacom Life 20260324;;;;;AA;5;2026-05-25 0</t>
  </si>
  <si>
    <t>13862334;99d4194a-553a-4a5d-8b63-b1eb3d145103;;111111118;Vodacom Life 20260324;;;;;AA;5;2026-05-25 08:49:20+02;system;2026-03-24 09:54:08+02;2026-03-24 09:54:08+02;;;;;;;;;27791080704;;;;;;;;prepaid life;;;;;</t>
  </si>
  <si>
    <t>ID_1209</t>
  </si>
  <si>
    <t>13862417;9e0d7f19-4e09-434b-9e90-d8895bb4ccb2;;111111118;Vodacom Life 20260324;;;;;NA;5;2026-05-25 1</t>
  </si>
  <si>
    <t>13862417;9e0d7f19-4e09-434b-9e90-d8895bb4ccb2;;111111118;Vodacom Life 20260324;;;;;NA;5;2026-05-25 10:26:37+02;system;2026-03-24 09:54:08+02;2026-03-24 09:54:08+02;;;;;;;;;27714228031;;;;;;;;prepaid life;;;;;</t>
  </si>
  <si>
    <t>ID_1210</t>
  </si>
  <si>
    <t>13862290;4bbba356-2d78-40fb-b428-ab45cd6fdbe7;;111111118;Vodacom Life 20260324;;;;;DROP;5;2026-05-25</t>
  </si>
  <si>
    <t>13862290;4bbba356-2d78-40fb-b428-ab45cd6fdbe7;;111111118;Vodacom Life 20260324;;;;;DROP;5;2026-05-25 08:45:28+02;system;2026-03-24 09:54:08+02;2026-03-24 09:54:08+02;;;;;;;;;27726541402;;;;;;;;prepaid life;;;;;</t>
  </si>
  <si>
    <t>ID_1211</t>
  </si>
  <si>
    <t>13862418;9350dc64-d3d8-4ab5-a30c-e83b292ffd0e;;111111118;Vodacom Life 20260324;;;;;U;2;2026-04-02 11</t>
  </si>
  <si>
    <t>13862418;9350dc64-d3d8-4ab5-a30c-e83b292ffd0e;;111111118;Vodacom Life 20260324;;;;;U;2;2026-04-02 11:50:39+02;Maureen Ntsoko;2026-03-24 09:54:08+02;2026-03-24 09:54:08+02;;;;;;;;;27714552123;;;;;;;;prepaid life;;;;;</t>
  </si>
  <si>
    <t>ID_1212</t>
  </si>
  <si>
    <t>13862335;53ead756-920f-40da-ab92-9a6db5d5b777;;111111118;Vodacom Life 20260324;;;;;AE;5;2026-05-25 0</t>
  </si>
  <si>
    <t>13862335;53ead756-920f-40da-ab92-9a6db5d5b777;;111111118;Vodacom Life 20260324;;;;;AE;5;2026-05-25 08:49:20+02;system;2026-03-24 09:54:08+02;2026-03-24 09:54:08+02;;;;;;;;;27792187289;;;;;;;;prepaid life;;;;;</t>
  </si>
  <si>
    <t>ID_1213</t>
  </si>
  <si>
    <t>13862291;b0434772-e50b-4ca3-807d-bf50a1d02049;;111111118;Vodacom Life 20260324;;;;;AE;5;2026-05-25 1</t>
  </si>
  <si>
    <t>13862291;b0434772-e50b-4ca3-807d-bf50a1d02049;;111111118;Vodacom Life 20260324;;;;;AE;5;2026-05-25 10:56:17+02;system;2026-03-24 09:54:08+02;2026-03-24 09:54:08+02;;;;;;;;;27726917626;;;;;;;;prepaid life;;;;;</t>
  </si>
  <si>
    <t>ID_1214</t>
  </si>
  <si>
    <t xml:space="preserve">13862292;745c6bfe-adbf-4cab-87b2-8e71f75fc3d1;;111111118;Vodacom Life 20260324;;;;;ADC;5;2026-05-25 </t>
  </si>
  <si>
    <t>13862292;745c6bfe-adbf-4cab-87b2-8e71f75fc3d1;;111111118;Vodacom Life 20260324;;;;;ADC;5;2026-05-25 08:45:29+02;system;2026-03-24 09:54:08+02;2026-03-24 09:54:08+02;;;;;;;;;27728200296;;;;;;;;prepaid life;;;;;</t>
  </si>
  <si>
    <t>ID_1215</t>
  </si>
  <si>
    <t>13862336;70771919-aacb-4b4e-868b-e0a86219d699;;111111118;Vodacom Life 20260324;;;;;SELECTED;5;2026-0</t>
  </si>
  <si>
    <t>13862336;70771919-aacb-4b4e-868b-e0a86219d699;;111111118;Vodacom Life 20260324;;;;;SELECTED;5;2026-05-19 12:20:00+02;system;2026-03-24 09:54:08+02;2026-03-24 09:54:08+02;;;;;;;;;27792388019;;;;;;;;prepaid life;;;;;</t>
  </si>
  <si>
    <t>ID_1216</t>
  </si>
  <si>
    <t>13862419;17b8401a-c4a9-41d2-9c86-ddd215fd43c8;;111111118;Vodacom Life 20260324;;;;;U;1;2026-04-02 11</t>
  </si>
  <si>
    <t>13862419;17b8401a-c4a9-41d2-9c86-ddd215fd43c8;;111111118;Vodacom Life 20260324;;;;;U;1;2026-04-02 11:55:05+02;Thandile Nokubeni;2026-03-24 09:54:08+02;2026-03-24 09:54:08+02;;;;;;;;;27714948882;;;;;;;;prepaid life;;;;;</t>
  </si>
  <si>
    <t>ID_1217</t>
  </si>
  <si>
    <t>13862293;30728488-e5d9-4be6-af53-69e3a01a1ec0;;111111118;Vodacom Life 20260324;;;;;DROP;5;2026-05-25</t>
  </si>
  <si>
    <t>13862293;30728488-e5d9-4be6-af53-69e3a01a1ec0;;111111118;Vodacom Life 20260324;;;;;DROP;5;2026-05-25 08:45:29+02;system;2026-03-24 09:54:08+02;2026-03-24 09:54:08+02;;;;;;;;;27728245997;;;;;;;;prepaid life;;;;;</t>
  </si>
  <si>
    <t>ID_1218</t>
  </si>
  <si>
    <t>13862337;4afb800f-43d9-4ab1-bf88-af52c82dc833;;111111118;Vodacom Life 20260324;;;;;DROP;5;2026-05-25</t>
  </si>
  <si>
    <t>13862337;4afb800f-43d9-4ab1-bf88-af52c82dc833;;111111118;Vodacom Life 20260324;;;;;DROP;5;2026-05-25 08:54:12+02;system;2026-03-24 09:54:08+02;2026-03-24 09:54:08+02;;;;;;;;;27792944117;;;;;;;;prepaid life;;;;;</t>
  </si>
  <si>
    <t>ID_1219</t>
  </si>
  <si>
    <t>13862294;f28a0e54-dbb9-42cd-a9f1-d10db2f0df47;;111111118;Vodacom Life 20260324;;;;;DROP;5;2026-05-25</t>
  </si>
  <si>
    <t>13862294;f28a0e54-dbb9-42cd-a9f1-d10db2f0df47;;111111118;Vodacom Life 20260324;;;;;DROP;5;2026-05-25 08:45:29+02;system;2026-03-24 09:54:08+02;2026-03-24 09:54:08+02;;;;;;;;;27728521143;;;;;;;;prepaid life;;;;;</t>
  </si>
  <si>
    <t>ID_1220</t>
  </si>
  <si>
    <t>13862338;66cd41fd-29fc-4c6b-9bb9-9580044fb180;;111111118;Vodacom Life 20260324;;;;;N;5;2026-05-20 10</t>
  </si>
  <si>
    <t>13862338;66cd41fd-29fc-4c6b-9bb9-9580044fb180;;111111118;Vodacom Life 20260324;;;;;N;5;2026-05-20 10:59:21+02;Khensane Mabasa;2026-03-24 09:54:08+02;2026-03-24 09:54:08+02;;;;;;;;;27793099646;;;;;;;;prepaid life;;;;;</t>
  </si>
  <si>
    <t>ID_1221</t>
  </si>
  <si>
    <t>13862420;fb9971c6-2fc0-4c23-bd73-23c6b4885bce;;111111118;Vodacom Life 20260324;;;27715218007;;IABDN;</t>
  </si>
  <si>
    <t>13862420;fb9971c6-2fc0-4c23-bd73-23c6b4885bce;;111111118;Vodacom Life 20260324;;;27715218007;;IABDN;5;2026-05-25 11:25:17+02;system;2026-03-24 09:54:08+02;2026-03-24 09:54:08+02;;;;;;;;;27715218007;;;;;;;;prepaid life;;;;;</t>
  </si>
  <si>
    <t>ID_1222</t>
  </si>
  <si>
    <t>13862421;daabfc04-ac21-449b-8717-ded7d1b5c3b5;;111111118;Vodacom Life 20260324;;;;;AE;5;2026-05-25 1</t>
  </si>
  <si>
    <t>13862421;daabfc04-ac21-449b-8717-ded7d1b5c3b5;;111111118;Vodacom Life 20260324;;;;;AE;5;2026-05-25 10:27:40+02;system;2026-03-24 09:54:08+02;2026-03-24 09:54:08+02;;;;;;;;;27715434812;;;;;;;;prepaid life;;;;;</t>
  </si>
  <si>
    <t>ID_1223</t>
  </si>
  <si>
    <t>13862295;865e36b0-8294-45fe-abcb-02214cbcbd29;;111111118;Vodacom Life 20260324;;;;;AE;5;2026-05-25 0</t>
  </si>
  <si>
    <t>13862295;865e36b0-8294-45fe-abcb-02214cbcbd29;;111111118;Vodacom Life 20260324;;;;;AE;5;2026-05-25 08:46:51+02;system;2026-03-24 09:54:08+02;2026-03-24 09:54:08+02;;;;;;;;;27728837703;;;;;;;;prepaid life;;;;;</t>
  </si>
  <si>
    <t>ID_1224</t>
  </si>
  <si>
    <t>13862339;b1f2dd4f-d23c-4773-9461-2924bdd4c243;;111111118;Vodacom Life 20260324;;;;;NI;2;2026-03-26 1</t>
  </si>
  <si>
    <t>13862339;b1f2dd4f-d23c-4773-9461-2924bdd4c243;;111111118;Vodacom Life 20260324;;;;;NI;2;2026-03-26 12:19:59+02;Thandile Nokubeni;2026-03-24 09:54:08+02;2026-03-24 09:54:08+02;;;;;;;;;27793158625;;;;;;;;prepaid life;;;;;</t>
  </si>
  <si>
    <t>ID_1225</t>
  </si>
  <si>
    <t>13862296;7deac0b4-1418-4010-941d-f10ee1565fdb;;111111118;Vodacom Life 20260324;;;;;NIUP;3;2026-04-14</t>
  </si>
  <si>
    <t>13862296;7deac0b4-1418-4010-941d-f10ee1565fdb;;111111118;Vodacom Life 20260324;;;;;NIUP;3;2026-04-14 15:23:25+02;Esther Ramalete;2026-03-24 09:54:08+02;2026-03-24 09:54:08+02;;;;;;;;;27729242379;;;;;;;;prepaid life;;;;;</t>
  </si>
  <si>
    <t>ID_1226</t>
  </si>
  <si>
    <t>13862340;2dcb4b42-5c18-426c-9f5c-d8bb3592fea5;;111111118;Vodacom Life 20260324;;;;;AA;5;2026-05-25 0</t>
  </si>
  <si>
    <t>13862340;2dcb4b42-5c18-426c-9f5c-d8bb3592fea5;;111111118;Vodacom Life 20260324;;;;;AA;5;2026-05-25 09:02:26+02;system;2026-03-24 09:54:08+02;2026-03-24 09:54:08+02;;;;;;;;;27794059265;;;;;;;;prepaid life;;;;;</t>
  </si>
  <si>
    <t>ID_1227</t>
  </si>
  <si>
    <t>13862422;27da53db-805e-47ca-b8e7-b5cb6b1e5149;;111111118;Vodacom Life 20260324;;;;;AA;5;2026-05-25 1</t>
  </si>
  <si>
    <t>13862422;27da53db-805e-47ca-b8e7-b5cb6b1e5149;;111111118;Vodacom Life 20260324;;;;;AA;5;2026-05-25 10:27:43+02;system;2026-03-24 09:54:08+02;2026-03-24 09:54:08+02;;;;;;;;;27715861218;;;;;;;;prepaid life;;;;;</t>
  </si>
  <si>
    <t>ID_1228</t>
  </si>
  <si>
    <t>13862423;2d6f9e96-68c5-4bea-b931-629a4d8ab635;;111111118;Vodacom Life 20260324;;;;;AA;5;2026-05-25 1</t>
  </si>
  <si>
    <t>13862423;2d6f9e96-68c5-4bea-b931-629a4d8ab635;;111111118;Vodacom Life 20260324;;;;;AA;5;2026-05-25 10:28:09+02;system;2026-03-24 09:54:08+02;2026-03-24 09:54:08+02;;;;;;;;;27716205891;;;;;;;;prepaid life;;;;;</t>
  </si>
  <si>
    <t>ID_1229</t>
  </si>
  <si>
    <t>13862297;9625fe6c-5fea-4624-8b18-553a36263c1d;;111111118;Vodacom Life 20260324;;;;;NA;5;2026-05-25 0</t>
  </si>
  <si>
    <t>13862297;9625fe6c-5fea-4624-8b18-553a36263c1d;;111111118;Vodacom Life 20260324;;;;;NA;5;2026-05-25 08:46:51+02;system;2026-03-24 09:54:08+02;2026-03-24 09:54:08+02;;;;;;;;;27729585952;;;;;;;;prepaid life;;;;;</t>
  </si>
  <si>
    <t>ID_1230</t>
  </si>
  <si>
    <t>13862424;5973331c-b485-41d3-b30d-c29816430876;;111111118;Vodacom Life 20260324;;;;;AA;5;2026-05-25 1</t>
  </si>
  <si>
    <t>13862424;5973331c-b485-41d3-b30d-c29816430876;;111111118;Vodacom Life 20260324;;;;;AA;5;2026-05-25 10:28:09+02;system;2026-03-24 09:54:08+02;2026-03-24 09:54:08+02;;;;;;;;;27720278594;;;;;;;;prepaid life;;;;;</t>
  </si>
  <si>
    <t>ID_1231</t>
  </si>
  <si>
    <t>13862298;2d5cbbcb-4089-4649-8543-dadff67ac8fb;;111111118;Vodacom Life 20260324;;;;;AA;5;2026-05-25 0</t>
  </si>
  <si>
    <t>13862298;2d5cbbcb-4089-4649-8543-dadff67ac8fb;;111111118;Vodacom Life 20260324;;;;;AA;5;2026-05-25 08:46:51+02;system;2026-03-24 09:54:08+02;2026-03-24 09:54:08+02;;;;;;;;;27729888456;;;;;;;;prepaid life;;;;;</t>
  </si>
  <si>
    <t>ID_1232</t>
  </si>
  <si>
    <t>13862425;681f4363-861f-43e1-88bf-d3e6c22279b1;;111111118;Vodacom Life 20260324;;;;;U;3;2026-04-15 10</t>
  </si>
  <si>
    <t>13862425;681f4363-861f-43e1-88bf-d3e6c22279b1;;111111118;Vodacom Life 20260324;;;;;U;3;2026-04-15 10:00:50+02;Millicent Motsuku;2026-03-24 09:54:08+02;2026-03-24 09:54:08+02;;;;;;;;;27720517366;;;;;;;;prepaid life;;;;;</t>
  </si>
  <si>
    <t>ID_1233</t>
  </si>
  <si>
    <t>13862341;1709cf88-ac90-45cd-a969-b6f04447989c;;111111118;Vodacom Life 20260324;;;;;AA;5;2026-05-25 0</t>
  </si>
  <si>
    <t>13862341;1709cf88-ac90-45cd-a969-b6f04447989c;;111111118;Vodacom Life 20260324;;;;;AA;5;2026-05-25 09:06:25+02;system;2026-03-24 09:54:08+02;2026-03-24 09:54:08+02;;;;;;;;;27794680245;;;;;;;;prepaid life;;;;;</t>
  </si>
  <si>
    <t>ID_1234</t>
  </si>
  <si>
    <t>13862342;2fc5b3db-5c7d-470e-89da-a4a2f3bced57;;111111118;Vodacom Life 20260324;;;;;CBACK;5;2026-05-2</t>
  </si>
  <si>
    <t>13862342;2fc5b3db-5c7d-470e-89da-a4a2f3bced57;;111111118;Vodacom Life 20260324;;;;;CBACK;5;2026-05-25 14:31:55+02;Maureen Ntsoko;2026-03-24 09:54:08+02;2026-03-24 09:54:08+02;;;;;;;;;27794694577;;;;;;;;prepaid life;;;;;</t>
  </si>
  <si>
    <t>ID_1235</t>
  </si>
  <si>
    <t>13862299;40ea1cf8-a818-47d0-9bbb-1bd2caea52fa;;111111118;Vodacom Life 20260324;;;;;NA;5;2026-05-25 0</t>
  </si>
  <si>
    <t>13862299;40ea1cf8-a818-47d0-9bbb-1bd2caea52fa;;111111118;Vodacom Life 20260324;;;;;NA;5;2026-05-25 08:46:52+02;system;2026-03-24 09:54:08+02;2026-03-24 09:54:08+02;;;;;;;;;27738768434;;;;;;;;prepaid life;;;;;</t>
  </si>
  <si>
    <t>ID_1236</t>
  </si>
  <si>
    <t xml:space="preserve">13862343;01840b5f-1b25-4919-8afc-cb1f5f1d1775;;111111118;Vodacom Life 20260324;;;;;ADC;5;2026-05-25 </t>
  </si>
  <si>
    <t>13862343;01840b5f-1b25-4919-8afc-cb1f5f1d1775;;111111118;Vodacom Life 20260324;;;;;ADC;5;2026-05-25 09:11:35+02;system;2026-03-24 09:54:08+02;2026-03-24 09:54:08+02;;;;;;;;;27795528563;;;;;;;;prepaid life;;;;;</t>
  </si>
  <si>
    <t>ID_1237</t>
  </si>
  <si>
    <t>13862426;a4f1d5ac-fc52-4229-b6ea-0a205a6332d8;;111111118;Vodacom Life 20260324;;;27720745254;;IABDN;</t>
  </si>
  <si>
    <t>13862426;a4f1d5ac-fc52-4229-b6ea-0a205a6332d8;;111111118;Vodacom Life 20260324;;;27720745254;;IABDN;5;2026-05-25 11:14:27+02;system;2026-03-24 09:54:08+02;2026-03-24 09:54:08+02;;;;;;;;;27720745254;;;;;;;;prepaid life;;;;;</t>
  </si>
  <si>
    <t>ID_1238</t>
  </si>
  <si>
    <t>13862300;9b88d4b7-1b00-4343-908f-89da30d0c741;;111111118;Vodacom Life 20260324;;;;;NA;5;2026-05-25 0</t>
  </si>
  <si>
    <t>13862300;9b88d4b7-1b00-4343-908f-89da30d0c741;;111111118;Vodacom Life 20260324;;;;;NA;5;2026-05-25 08:46:56+02;system;2026-03-24 09:54:08+02;2026-03-24 09:54:08+02;;;;;;;;;27739162154;;;;;;;;prepaid life;;;;;</t>
  </si>
  <si>
    <t>ID_1239</t>
  </si>
  <si>
    <t>13862427;1b5d1929-744c-446b-bf56-42058fa32aaf;;111111118;Vodacom Life 20260324;;;;;QAVET;2;2026-04-1</t>
  </si>
  <si>
    <t>13862427;1b5d1929-744c-446b-bf56-42058fa32aaf;;111111118;Vodacom Life 20260324;;;;;QAVET;2;2026-04-10 08:10:19+02;Maureen Ntsoko;2026-03-24 09:54:08+02;2026-03-24 09:54:08+02;;;;;;;;;27720819790;;;;;;;;prepaid life;;;;;</t>
  </si>
  <si>
    <t>ID_1240</t>
  </si>
  <si>
    <t>13862344;b9a727d6-0223-40e0-bb6a-309536300e93;;111111118;Vodacom Life 20260324;;;;;NA;5;2026-05-25 1</t>
  </si>
  <si>
    <t>13862344;b9a727d6-0223-40e0-bb6a-309536300e93;;111111118;Vodacom Life 20260324;;;;;NA;5;2026-05-25 14:08:56+02;system;2026-03-24 09:54:08+02;2026-03-24 09:54:08+02;;;;;;;;;27795718153;;;;;;;;prepaid life;;;;;</t>
  </si>
  <si>
    <t>ID_1241</t>
  </si>
  <si>
    <t>13862301;83360bd7-072e-4741-9bad-dc306a697ef9;;111111118;Vodacom Life 20260324;;;;;AC;1;2026-03-26 1</t>
  </si>
  <si>
    <t>13862301;83360bd7-072e-4741-9bad-dc306a697ef9;;111111118;Vodacom Life 20260324;;;;;AC;1;2026-03-26 11:06:25+02;Esther Ramalete;2026-03-24 09:54:08+02;2026-03-24 09:54:08+02;;;;;;;;;27760167751;;;;;;;;prepaid life;;;;;</t>
  </si>
  <si>
    <t>ID_1242</t>
  </si>
  <si>
    <t>13862345;4aaa836e-a195-487a-b7cf-7fb7dc2a5646;;111111118;Vodacom Life 20260324;;;;;U;1;2026-03-26 11</t>
  </si>
  <si>
    <t>13862345;4aaa836e-a195-487a-b7cf-7fb7dc2a5646;;111111118;Vodacom Life 20260324;;;;;U;1;2026-03-26 11:21:29+02;bongiwe lushaba;2026-03-24 09:54:08+02;2026-03-24 09:54:08+02;;;;;;;;;27795734701;;;;;;;;prepaid life;;;;;</t>
  </si>
  <si>
    <t>ID_1243</t>
  </si>
  <si>
    <t>13862428;648b85e8-e236-48e9-ac81-d1933de9c458;;111111118;Vodacom Life 20260324;;;;;NI;1;2026-03-26 1</t>
  </si>
  <si>
    <t>13862428;648b85e8-e236-48e9-ac81-d1933de9c458;;111111118;Vodacom Life 20260324;;;;;NI;1;2026-03-26 13:22:28+02;Thandile Nokubeni;2026-03-24 09:54:08+02;2026-03-24 09:54:08+02;;;;;;;;;27720872752;;;;;;;;prepaid life;;;;;</t>
  </si>
  <si>
    <t>ID_1244</t>
  </si>
  <si>
    <t>13862302;f2a8651d-e3b0-4ffc-95e9-21fe594ec9aa;;111111118;Vodacom Life 20260324;;;27760534599;;CU;5;2</t>
  </si>
  <si>
    <t>13862302;f2a8651d-e3b0-4ffc-95e9-21fe594ec9aa;;111111118;Vodacom Life 20260324;;;27760534599;;CU;5;2026-05-25 09:00:55+02;Maureen Ntsoko;2026-03-24 09:54:08+02;2026-03-24 09:54:08+02;;;;;;;;;27760534599;;;;;;;;prepaid life;;;;;</t>
  </si>
  <si>
    <t>ID_1245</t>
  </si>
  <si>
    <t>13862429;c71cc622-fa7d-4343-9c04-6945565fd25e;;111111118;Vodacom Life 20260324;;;;;A;5;2026-05-25 10</t>
  </si>
  <si>
    <t>13862429;c71cc622-fa7d-4343-9c04-6945565fd25e;;111111118;Vodacom Life 20260324;;;;;A;5;2026-05-25 10:56:57+02;Maureen Ntsoko;2026-03-24 09:54:08+02;2026-03-24 09:54:08+02;;;;;;;;;27721188335;;;;;;;;prepaid life;;;;;</t>
  </si>
  <si>
    <t>ID_1246</t>
  </si>
  <si>
    <t>13862346;bf28c59a-d225-4d63-b508-457e523fcc62;;111111118;Vodacom Life 20260324;;;;;AA;5;2026-05-25 1</t>
  </si>
  <si>
    <t>13862346;bf28c59a-d225-4d63-b508-457e523fcc62;;111111118;Vodacom Life 20260324;;;;;AA;5;2026-05-25 14:05:18+02;system;2026-03-24 09:54:08+02;2026-03-24 09:54:08+02;;;;;;;;;27796056976;;;;;;;;prepaid life;;;;;</t>
  </si>
  <si>
    <t>ID_1247</t>
  </si>
  <si>
    <t>13862497;19c9a1e0-c49a-4a1a-b238-073fbfb7cb3f;;111111118;Vodacom Life 20260324;;;;;NI;2;2026-04-09 1</t>
  </si>
  <si>
    <t>13862497;19c9a1e0-c49a-4a1a-b238-073fbfb7cb3f;;111111118;Vodacom Life 20260324;;;;;NI;2;2026-04-09 15:27:49+02;Mahlatse Manamela;2026-03-24 09:54:08+02;2026-03-24 09:54:08+02;;;;;;;;;27795487915;;;;;;;;prepaid life;;;;;</t>
  </si>
  <si>
    <t>ID_1248</t>
  </si>
  <si>
    <t>13862430;c69ba654-4d1d-4ff9-a314-6453323bd61c;;111111118;Vodacom Life 20260324;;;;;NA;5;2026-05-25 1</t>
  </si>
  <si>
    <t>13862430;c69ba654-4d1d-4ff9-a314-6453323bd61c;;111111118;Vodacom Life 20260324;;;;;NA;5;2026-05-25 10:56:57+02;system;2026-03-24 09:54:08+02;2026-03-24 09:54:08+02;;;;;;;;;27721693611;;;;;;;;prepaid life;;;;;</t>
  </si>
  <si>
    <t>ID_1249</t>
  </si>
  <si>
    <t>13862498;b7f153ad-b880-4cce-b3c7-264a1ef73579;;111111118;Vodacom Life 20260324;;;;;CU;6;2026-05-25 1</t>
  </si>
  <si>
    <t>13862498;b7f153ad-b880-4cce-b3c7-264a1ef73579;;111111118;Vodacom Life 20260324;;;;;CU;6;2026-05-25 12:04:49+02;bongiwe lushaba;2026-03-24 09:54:08+02;2026-03-24 09:54:08+02;;;;;;;;;27795517746;;;;;;;;prepaid life;;;;;</t>
  </si>
  <si>
    <t>ID_1250</t>
  </si>
  <si>
    <t>13862431;7edb02a8-dfe5-42e9-accb-64a283bd19e7;;111111118;Vodacom Life 20260324;;;27721876837;;IABDN;</t>
  </si>
  <si>
    <t>13862431;7edb02a8-dfe5-42e9-accb-64a283bd19e7;;111111118;Vodacom Life 20260324;;;27721876837;;IABDN;5;2026-05-25 10:57:52+02;system;2026-03-24 09:54:08+02;2026-03-24 09:54:08+02;;;;;;;;;27721876837;;;;;;;;prepaid life;;;;;</t>
  </si>
  <si>
    <t>ID_1251</t>
  </si>
  <si>
    <t>13862347;c8e553fa-57bb-4f09-a769-1083480b7a35;;111111118;Vodacom Life 20260324;;;;;NA;5;2026-05-25 1</t>
  </si>
  <si>
    <t>13862347;c8e553fa-57bb-4f09-a769-1083480b7a35;;111111118;Vodacom Life 20260324;;;;;NA;5;2026-05-25 14:35:40+02;system;2026-03-24 09:54:08+02;2026-03-24 09:54:08+02;;;;;;;;;27796151308;;;;;;;;prepaid life;;;;;</t>
  </si>
  <si>
    <t>ID_1252</t>
  </si>
  <si>
    <t>13862499;41181fa0-3f33-42df-8ec9-1a0ec21c4e35;;111111118;Vodacom Life 20260324;;;;;AE;5;2026-05-25 1</t>
  </si>
  <si>
    <t>13862499;41181fa0-3f33-42df-8ec9-1a0ec21c4e35;;111111118;Vodacom Life 20260324;;;;;AE;5;2026-05-25 11:24:00+02;system;2026-03-24 09:54:08+02;2026-03-24 09:54:08+02;;;;;;;;;27795663795;;;;;;;;prepaid life;;;;;</t>
  </si>
  <si>
    <t>ID_1253</t>
  </si>
  <si>
    <t>13862348;c765f746-c23f-4ead-b4dc-6082c18c2207;;111111118;Vodacom Life 20260324;;;;;A;5;2026-05-25 14</t>
  </si>
  <si>
    <t>13862348;c765f746-c23f-4ead-b4dc-6082c18c2207;;111111118;Vodacom Life 20260324;;;;;A;5;2026-05-25 14:13:05+02;bongiwe lushaba;2026-03-24 09:54:08+02;2026-03-24 09:54:08+02;;;;;;;;;27796303222;;;;;;;;prepaid life;;;;;</t>
  </si>
  <si>
    <t>ID_1254</t>
  </si>
  <si>
    <t>13862432;14fd0032-871f-4589-a8db-0ef8c679858b;;111111118;Vodacom Life 20260324;;;;;U;2;2026-04-10 08</t>
  </si>
  <si>
    <t>13862432;14fd0032-871f-4589-a8db-0ef8c679858b;;111111118;Vodacom Life 20260324;;;;;U;2;2026-04-10 08:25:11+02;Seboifeng Mogola;2026-03-24 09:54:08+02;2026-03-24 09:54:08+02;;;;;;;;;27722414854;;;;;;;;prepaid life;;;;;</t>
  </si>
  <si>
    <t>ID_1255</t>
  </si>
  <si>
    <t>13862500;466ea911-5982-49e8-9cfd-3046c8b4d563;;111111118;Vodacom Life 20260324;;;;;CU;5;2026-05-25 0</t>
  </si>
  <si>
    <t>13862500;466ea911-5982-49e8-9cfd-3046c8b4d563;;111111118;Vodacom Life 20260324;;;;;CU;5;2026-05-25 08:56:32+02;bongiwe lushaba;2026-03-24 09:54:08+02;2026-03-24 09:54:08+02;;;;;;;;;27795978105;;;;;;;;prepaid life;;;;;</t>
  </si>
  <si>
    <t>ID_1256</t>
  </si>
  <si>
    <t>13862433;11d151b9-0dca-4915-ac0b-8bba7709c233;;111111118;Vodacom Life 20260324;;;;;DROP;5;2026-05-25</t>
  </si>
  <si>
    <t>13862433;11d151b9-0dca-4915-ac0b-8bba7709c233;;111111118;Vodacom Life 20260324;;;;;DROP;5;2026-05-25 10:26:26+02;system;2026-03-24 09:54:08+02;2026-03-24 09:54:08+02;;;;;;;;;27722724931;;;;;;;;prepaid life;;;;;</t>
  </si>
  <si>
    <t>ID_1257</t>
  </si>
  <si>
    <t>13862349;35201bf8-7bb2-4c92-9925-c55224fa64fc;;111111118;Vodacom Life 20260324;;;;;U;5;2026-05-25 09</t>
  </si>
  <si>
    <t>13862349;35201bf8-7bb2-4c92-9925-c55224fa64fc;;111111118;Vodacom Life 20260324;;;;;U;5;2026-05-25 09:29:49+02;Maureen Ntsoko;2026-03-24 09:54:08+02;2026-03-24 09:54:08+02;;;;;;;;;27796889675;;;;;;;;prepaid life;;;;;</t>
  </si>
  <si>
    <t>ID_1258</t>
  </si>
  <si>
    <t>13862501;32f27807-0c58-4a2e-a408-673b94fec156;;111111118;Vodacom Life 20260324;;;;;AA;5;2026-05-25 0</t>
  </si>
  <si>
    <t>13862501;32f27807-0c58-4a2e-a408-673b94fec156;;111111118;Vodacom Life 20260324;;;;;AA;5;2026-05-25 08:57:05+02;system;2026-03-24 09:54:08+02;2026-03-24 09:54:08+02;;;;;;;;;27796382342;;;;;;;;prepaid life;;;;;</t>
  </si>
  <si>
    <t>ID_1259</t>
  </si>
  <si>
    <t>13862350;2649176b-cf2e-472e-9d48-0777f256d563;;111111118;Vodacom Life 20260324;;;;;NA;5;2026-05-25 1</t>
  </si>
  <si>
    <t>13862350;2649176b-cf2e-472e-9d48-0777f256d563;;111111118;Vodacom Life 20260324;;;;;NA;5;2026-05-25 12:34:01+02;system;2026-03-24 09:54:08+02;2026-03-24 09:54:08+02;;;;;;;;;27797316964;;;;;;;;prepaid life;;;;;</t>
  </si>
  <si>
    <t>ID_1260</t>
  </si>
  <si>
    <t>13862434;d31e560f-9980-4f7a-8160-2a5a231cc034;;111111118;Vodacom Life 20260324;;;;;AA;5;2026-05-25 1</t>
  </si>
  <si>
    <t>13862434;d31e560f-9980-4f7a-8160-2a5a231cc034;;111111118;Vodacom Life 20260324;;;;;AA;5;2026-05-25 10:26:26+02;system;2026-03-24 09:54:08+02;2026-03-24 09:54:08+02;;;;;;;;;27722791795;;;;;;;;prepaid life;;;;;</t>
  </si>
  <si>
    <t>ID_1261</t>
  </si>
  <si>
    <t>13862502;c72df574-6faf-4632-a6a4-d660afea019d;;111111118;Vodacom Life 20260324;;;;;SELECTED;4;2026-0</t>
  </si>
  <si>
    <t>13862502;c72df574-6faf-4632-a6a4-d660afea019d;;111111118;Vodacom Life 20260324;;;;;SELECTED;4;2026-04-15 08:06:15+02;system;2026-03-24 09:54:08+02;2026-03-24 09:54:08+02;;;;;;;;;27796965554;;;;;;;;prepaid life;;;;;</t>
  </si>
  <si>
    <t>ID_1262</t>
  </si>
  <si>
    <t>13862351;6f97ec5a-62f1-415c-9442-dae50a0a02c1;;111111118;Vodacom Life 20260324;;;;;NI;2;2026-04-09 1</t>
  </si>
  <si>
    <t>13862351;6f97ec5a-62f1-415c-9442-dae50a0a02c1;;111111118;Vodacom Life 20260324;;;;;NI;2;2026-04-09 16:11:40+02;Thandile Nokubeni;2026-03-24 09:54:08+02;2026-03-24 09:54:08+02;;;;;;;;;27797454358;;;;;;;;prepaid life;;;;;</t>
  </si>
  <si>
    <t>ID_1263</t>
  </si>
  <si>
    <t>13862503;4079298c-379c-48cb-a4cd-26e31c1b52ec;;111111118;Vodacom Life 20260324;;;;;U;4;2026-04-15 08</t>
  </si>
  <si>
    <t>13862503;4079298c-379c-48cb-a4cd-26e31c1b52ec;;111111118;Vodacom Life 20260324;;;;;U;4;2026-04-15 08:09:19+02;Thandile Nokubeni;2026-03-24 09:54:08+02;2026-03-24 09:54:08+02;;;;;;;;;27797876172;;;;;;;;prepaid life;;;;;</t>
  </si>
  <si>
    <t>ID_1264</t>
  </si>
  <si>
    <t>13862352;e87a4fcd-620e-4abd-89d1-c93498534a72;;111111118;Vodacom Life 20260324;;;;;AA;5;2026-05-25 1</t>
  </si>
  <si>
    <t>13862352;e87a4fcd-620e-4abd-89d1-c93498534a72;;111111118;Vodacom Life 20260324;;;;;AA;5;2026-05-25 12:34:07+02;system;2026-03-24 09:54:08+02;2026-03-24 09:54:08+02;;;;;;;;;27797907268;;;;;;;;prepaid life;;;;;</t>
  </si>
  <si>
    <t>ID_1265</t>
  </si>
  <si>
    <t>13862504;1658288f-068c-4038-b4b8-6f9c656154b0;;111111118;Vodacom Life 20260324;;;;;NI;1;2026-04-01 1</t>
  </si>
  <si>
    <t>13862504;1658288f-068c-4038-b4b8-6f9c656154b0;;111111118;Vodacom Life 20260324;;;;;NI;1;2026-04-01 13:02:29+02;Maureen Ntsoko;2026-03-24 09:54:08+02;2026-03-24 09:54:08+02;;;;;;;;;27798076379;;;;;;;;prepaid life;;;;;</t>
  </si>
  <si>
    <t>ID_1266</t>
  </si>
  <si>
    <t>13862436;c13edfcd-b8db-4100-b6bc-d34c36a89441;;111111118;Vodacom Life 20260324;;;27723106643;;IABDN;</t>
  </si>
  <si>
    <t>13862436;c13edfcd-b8db-4100-b6bc-d34c36a89441;;111111118;Vodacom Life 20260324;;;27723106643;;IABDN;5;2026-05-25 10:29:31+02;system;2026-03-24 09:54:08+02;2026-03-24 09:54:08+02;;;;;;;;;27723106643;;;;;;;;prepaid life;;;;;</t>
  </si>
  <si>
    <t>ID_1267</t>
  </si>
  <si>
    <t>13862353;c1973c28-6d63-4963-a6e2-f60b7eb0a815;;111111118;Vodacom Life 20260324;;;27798651592;;CU;5;2</t>
  </si>
  <si>
    <t>13862353;c1973c28-6d63-4963-a6e2-f60b7eb0a815;;111111118;Vodacom Life 20260324;;;27798651592;;CU;5;2026-05-25 14:06:37+02;Maureen Ntsoko;2026-03-24 09:54:08+02;2026-03-24 09:54:08+02;;;;;;;;;27798651592;;;;;;;;prepaid life;;;;;</t>
  </si>
  <si>
    <t>ID_1268</t>
  </si>
  <si>
    <t>13862505;e6abe75c-7acb-4d5c-99c1-c6032928f00c;;111111118;Vodacom Life 20260324;;;27798220164;;AFTHRS</t>
  </si>
  <si>
    <t>13862505;e6abe75c-7acb-4d5c-99c1-c6032928f00c;;111111118;Vodacom Life 20260324;;;27798220164;;AFTHRS;5;2026-05-26 05:50:09+02;system;2026-03-24 09:54:08+02;2026-03-24 09:54:08+02;;;;;;;;;27798220164;;;;;;;;prepaid life;;;;;</t>
  </si>
  <si>
    <t>ID_1269</t>
  </si>
  <si>
    <t>13862354;5032cfa8-9dc6-4cb9-8501-3daf95016567;;111111118;Vodacom Life 20260324;;;;;AE;5;2026-05-25 1</t>
  </si>
  <si>
    <t>13862354;5032cfa8-9dc6-4cb9-8501-3daf95016567;;111111118;Vodacom Life 20260324;;;;;AE;5;2026-05-25 14:06:25+02;system;2026-03-24 09:54:08+02;2026-03-24 09:54:08+02;;;;;;;;;27799436416;;;;;;;;prepaid life;;;;;</t>
  </si>
  <si>
    <t>ID_1270</t>
  </si>
  <si>
    <t>13862355;2e6a755e-27ba-4277-90ce-3195f3825918;;111111118;Vodacom Life 20260324;;;;;DROP;5;2026-05-25</t>
  </si>
  <si>
    <t>13862355;2e6a755e-27ba-4277-90ce-3195f3825918;;111111118;Vodacom Life 20260324;;;;;DROP;5;2026-05-25 14:13:16+02;system;2026-03-24 09:54:08+02;2026-03-24 09:54:08+02;;;;;;;;;27799587995;;;;;;;;prepaid life;;;;;</t>
  </si>
  <si>
    <t>ID_1271</t>
  </si>
  <si>
    <t>13862356;cc313d26-9f09-49db-98ba-89fce0f02a03;;111111118;Vodacom Life 20260324;;;;;DROP;5;2026-05-25</t>
  </si>
  <si>
    <t>13862356;cc313d26-9f09-49db-98ba-89fce0f02a03;;111111118;Vodacom Life 20260324;;;;;DROP;5;2026-05-25 12:38:11+02;system;2026-03-24 09:54:08+02;2026-03-24 09:54:08+02;;;;;;;;;27818142475;;;;;;;;prepaid life;;;;;</t>
  </si>
  <si>
    <t>ID_1272</t>
  </si>
  <si>
    <t>13862437;979724d1-3f20-4899-9322-123274df2b78;;111111118;Vodacom Life 20260324;;;;;U;3;2026-04-14 10</t>
  </si>
  <si>
    <t>13862437;979724d1-3f20-4899-9322-123274df2b78;;111111118;Vodacom Life 20260324;;;;;U;3;2026-04-14 10:11:33+02;Esther Ramalete;2026-03-24 09:54:08+02;2026-03-24 09:54:08+02;;;;;;;;;27723112543;;;;;;;;prepaid life;;;;;</t>
  </si>
  <si>
    <t>ID_1273</t>
  </si>
  <si>
    <t>13862438;917b7ad0-c2c6-40b4-b39e-174797061a78;;111111118;Vodacom Life 20260324;;;;;CU;5;2026-05-25 1</t>
  </si>
  <si>
    <t>13862438;917b7ad0-c2c6-40b4-b39e-174797061a78;;111111118;Vodacom Life 20260324;;;;;CU;5;2026-05-25 10:27:01+02;Maureen Ntsoko;2026-03-24 09:54:08+02;2026-03-24 09:54:08+02;;;;;;;;;27723177652;;;;;;;;prepaid life;;;;;</t>
  </si>
  <si>
    <t>ID_1274</t>
  </si>
  <si>
    <t>13862506;6c2b5a19-025d-4013-8701-fd9249a5a51f;;111111118;Vodacom Life 20260324;;;;;AF;1;2026-04-01 0</t>
  </si>
  <si>
    <t>13862506;6c2b5a19-025d-4013-8701-fd9249a5a51f;;111111118;Vodacom Life 20260324;;;;;AF;1;2026-04-01 09:52:30+02;Seboifeng Mogola;2026-03-24 09:54:08+02;2026-03-24 09:54:08+02;;;;;;;;;27799133843;;;;;;;;prepaid life;;;;;</t>
  </si>
  <si>
    <t>ID_1275</t>
  </si>
  <si>
    <t>13862439;cb7e76ee-6ac0-4013-bafa-c1c491fede79;;111111118;Vodacom Life 20260324;;;;;NI;3;2026-04-10 0</t>
  </si>
  <si>
    <t>13862439;cb7e76ee-6ac0-4013-bafa-c1c491fede79;;111111118;Vodacom Life 20260324;;;;;NI;3;2026-04-10 09:37:50+02;Seboifeng Mogola;2026-03-24 09:54:08+02;2026-03-24 09:54:08+02;;;;;;;;;27723261806;;;;;;;;prepaid life;;;;;</t>
  </si>
  <si>
    <t>ID_1276</t>
  </si>
  <si>
    <t>13862357;cf8bc495-a55f-4752-8ee7-e748b95fa20e;;111111118;Vodacom Life 20260324;;;;;AE;5;2026-05-25 1</t>
  </si>
  <si>
    <t>13862357;cf8bc495-a55f-4752-8ee7-e748b95fa20e;;111111118;Vodacom Life 20260324;;;;;AE;5;2026-05-25 14:33:01+02;system;2026-03-24 09:54:08+02;2026-03-24 09:54:08+02;;;;;;;;;27822362898;;;;;;;;prepaid life;;;;;</t>
  </si>
  <si>
    <t>ID_1277</t>
  </si>
  <si>
    <t>13862507;bcba9bf4-53c5-4214-a309-a74db8e34394;;111111118;Vodacom Life 20260324;;;;;U;4;2026-05-19 12</t>
  </si>
  <si>
    <t>13862507;bcba9bf4-53c5-4214-a309-a74db8e34394;;111111118;Vodacom Life 20260324;;;;;U;4;2026-05-19 12:33:34+02;Khensane Mabasa;2026-03-24 09:54:08+02;2026-03-24 09:54:08+02;;;;;;;;;27799437875;;;;;;;;prepaid life;;;;;</t>
  </si>
  <si>
    <t>ID_1278</t>
  </si>
  <si>
    <t>13862358;983d537e-2d52-4d94-8762-a715ce1e1973;;111111118;Vodacom Life 20260324;;;;;NI;5;2026-05-25 1</t>
  </si>
  <si>
    <t>13862358;983d537e-2d52-4d94-8762-a715ce1e1973;;111111118;Vodacom Life 20260324;;;;;NI;5;2026-05-25 14:21:33+02;Khensane Mabasa;2026-03-24 09:54:08+02;2026-03-24 09:54:08+02;;;;;;;;;27822671626;;;;;;;;prepaid life;;;;;</t>
  </si>
  <si>
    <t>ID_1279</t>
  </si>
  <si>
    <t>13862359;712db50e-0e67-4c9e-b4c0-7d7643c37084;;111111118;Vodacom Life 20260324;;;;;DROP;5;2026-05-25</t>
  </si>
  <si>
    <t>13862359;712db50e-0e67-4c9e-b4c0-7d7643c37084;;111111118;Vodacom Life 20260324;;;;;DROP;5;2026-05-25 12:45:35+02;system;2026-03-24 09:54:08+02;2026-03-24 09:54:08+02;;;;;;;;;27822944962;;;;;;;;prepaid life;;;;;</t>
  </si>
  <si>
    <t>ID_1280</t>
  </si>
  <si>
    <t>13862440;e194a342-8a5f-433b-9110-6345b1bfd690;;111111118;Vodacom Life 20260324;;;;;NA;5;2026-05-25 0</t>
  </si>
  <si>
    <t>13862440;e194a342-8a5f-433b-9110-6345b1bfd690;;111111118;Vodacom Life 20260324;;;;;NA;5;2026-05-25 08:54:36+02;system;2026-03-24 09:54:08+02;2026-03-24 09:54:08+02;;;;;;;;;27723331054;;;;;;;;prepaid life;;;;;</t>
  </si>
  <si>
    <t>ID_1281</t>
  </si>
  <si>
    <t>13862441;7fbabe34-f746-4d28-b8d1-dd2755a0f862;;111111118;Vodacom Life 20260324;;;;;AA;5;2026-05-25 0</t>
  </si>
  <si>
    <t>13862441;7fbabe34-f746-4d28-b8d1-dd2755a0f862;;111111118;Vodacom Life 20260324;;;;;AA;5;2026-05-25 08:54:36+02;system;2026-03-24 09:54:08+02;2026-03-24 09:54:08+02;;;;;;;;;27723960422;;;;;;;;prepaid life;;;;;</t>
  </si>
  <si>
    <t>ID_1282</t>
  </si>
  <si>
    <t>13862442;c6208164-c3f0-42ed-8703-f49c7e4d3427;;111111118;Vodacom Life 20260324;;;;;AA;5;2026-05-25 0</t>
  </si>
  <si>
    <t>13862442;c6208164-c3f0-42ed-8703-f49c7e4d3427;;111111118;Vodacom Life 20260324;;;;;AA;5;2026-05-25 08:54:44+02;system;2026-03-24 09:54:08+02;2026-03-24 09:54:08+02;;;;;;;;;27723980618;;;;;;;;prepaid life;;;;;</t>
  </si>
  <si>
    <t>ID_1283</t>
  </si>
  <si>
    <t>13862360;ad4e50ac-9426-48df-8627-118c33d2c10b;;111111118;Vodacom Life 20260324;;;;;NI;5;2026-05-25 1</t>
  </si>
  <si>
    <t>13862360;ad4e50ac-9426-48df-8627-118c33d2c10b;;111111118;Vodacom Life 20260324;;;;;NI;5;2026-05-25 12:45:35+02;Maureen Ntsoko;2026-03-24 09:54:08+02;2026-03-24 09:54:08+02;;;;;;;;;27823000783;;;;;;;;prepaid life;;;;;</t>
  </si>
  <si>
    <t>ID_1284</t>
  </si>
  <si>
    <t>13862361;b0b471bf-5af5-4434-9430-bb615ea7dfd9;;111111118;Vodacom Life 20260324;;;;;AA;5;2026-05-25 1</t>
  </si>
  <si>
    <t>13862361;b0b471bf-5af5-4434-9430-bb615ea7dfd9;;111111118;Vodacom Life 20260324;;;;;AA;5;2026-05-25 10:04:57+02;system;2026-03-24 09:54:08+02;2026-03-24 09:54:08+02;;;;;;;;;27823475443;;;;;;;;prepaid life;;;;;</t>
  </si>
  <si>
    <t>ID_1285</t>
  </si>
  <si>
    <t>13862510;6eda91de-07a7-4b71-b81f-aeb6d04750fa;;111111118;Vodacom Life 20260324;;;;;NIUP;1;2026-03-26</t>
  </si>
  <si>
    <t>13862510;6eda91de-07a7-4b71-b81f-aeb6d04750fa;;111111118;Vodacom Life 20260324;;;;;NIUP;1;2026-03-26 13:59:14+02;Seboifeng Mogola;2026-03-24 09:54:08+02;2026-03-24 09:54:08+02;;;;;;;;;27818389103;;;;;;;;prepaid life;;;;;</t>
  </si>
  <si>
    <t>ID_1286</t>
  </si>
  <si>
    <t>13862511;d5ad5cb0-cf26-4fbd-a281-2f0543c3a3c0;;111111118;Vodacom Life 20260324;;;;;NA;5;2026-05-25 0</t>
  </si>
  <si>
    <t>13862511;d5ad5cb0-cf26-4fbd-a281-2f0543c3a3c0;;111111118;Vodacom Life 20260324;;;;;NA;5;2026-05-25 08:57:26+02;system;2026-03-24 09:54:08+02;2026-03-24 09:54:08+02;;;;;;;;;27818594793;;;;;;;;prepaid life;;;;;</t>
  </si>
  <si>
    <t>ID_1287</t>
  </si>
  <si>
    <t>13862362;ac48576e-799a-4bad-8582-3d509e32eb46;;111111118;Vodacom Life 20260324;;;;;NA;5;2026-05-25 0</t>
  </si>
  <si>
    <t>13862362;ac48576e-799a-4bad-8582-3d509e32eb46;;111111118;Vodacom Life 20260324;;;;;NA;5;2026-05-25 08:49:43+02;system;2026-03-24 09:54:08+02;2026-03-24 09:54:08+02;;;;;;;;;27823586769;;;;;;;;prepaid life;;;;;</t>
  </si>
  <si>
    <t>ID_1288</t>
  </si>
  <si>
    <t>13862443;f279753c-d028-4b06-b723-0fbfbebf0817;;111111118;Vodacom Life 20260324;;;27724487824;;IABDN;</t>
  </si>
  <si>
    <t>13862443;f279753c-d028-4b06-b723-0fbfbebf0817;;111111118;Vodacom Life 20260324;;;27724487824;;IABDN;5;2026-05-25 09:10:19+02;system;2026-03-24 09:54:08+02;2026-03-24 09:54:08+02;;;;;;;;;27724487824;;;;;;;;prepaid life;;;;;</t>
  </si>
  <si>
    <t>ID_1289</t>
  </si>
  <si>
    <t>13862512;88091cc2-193d-4f4a-978b-5006fa527383;;111111118;Vodacom Life 20260324;;;;;NA;5;2026-05-25 0</t>
  </si>
  <si>
    <t>13862512;88091cc2-193d-4f4a-978b-5006fa527383;;111111118;Vodacom Life 20260324;;;;;NA;5;2026-05-25 08:57:26+02;system;2026-03-24 09:54:08+02;2026-03-24 09:54:08+02;;;;;;;;;27818717756;;;;;;;;prepaid life;;;;;</t>
  </si>
  <si>
    <t>ID_1290</t>
  </si>
  <si>
    <t>13862444;d487d221-6c63-401d-8127-8d65ff371486;;111111118;Vodacom Life 20260324;;;;;NI;2;2026-04-09 1</t>
  </si>
  <si>
    <t>13862444;d487d221-6c63-401d-8127-8d65ff371486;;111111118;Vodacom Life 20260324;;;;;NI;2;2026-04-09 15:24:57+02;Maureen Ntsoko;2026-03-24 09:54:08+02;2026-03-24 09:54:08+02;;;;;;;;;27724601105;;;;;;;;prepaid life;;;;;</t>
  </si>
  <si>
    <t>ID_1291</t>
  </si>
  <si>
    <t>13862363;41c66e52-7592-494f-8604-3b6d8f0c9471;;111111118;Vodacom Life 20260324;;;;;AA;5;2026-05-25 1</t>
  </si>
  <si>
    <t>13862363;41c66e52-7592-494f-8604-3b6d8f0c9471;;111111118;Vodacom Life 20260324;;;;;AA;5;2026-05-25 10:04:58+02;system;2026-03-24 09:54:08+02;2026-03-24 09:54:08+02;;;;;;;;;27823975519;;;;;;;;prepaid life;;;;;</t>
  </si>
  <si>
    <t>ID_1292</t>
  </si>
  <si>
    <t>13862513;7c53aae5-bcf0-4935-937d-dd6c32e491d1;;111111118;Vodacom Life 20260324;;;;;CBACK;4;2026-05-2</t>
  </si>
  <si>
    <t>13862513;7c53aae5-bcf0-4935-937d-dd6c32e491d1;;111111118;Vodacom Life 20260324;;;;;CBACK;4;2026-05-20 09:50:58+02;Maureen Ntsoko;2026-03-24 09:54:08+02;2026-03-24 09:54:08+02;;;;;;;;;27818886604;;;;;;;;prepaid life;;;;;</t>
  </si>
  <si>
    <t>ID_1293</t>
  </si>
  <si>
    <t>13862365;9df1ef5d-bf82-47f3-9852-dd5f12b69e75;;111111118;Vodacom Life 20260324;;;;;AA;5;2026-05-25 0</t>
  </si>
  <si>
    <t>13862365;9df1ef5d-bf82-47f3-9852-dd5f12b69e75;;111111118;Vodacom Life 20260324;;;;;AA;5;2026-05-25 08:51:40+02;system;2026-03-24 09:54:08+02;2026-03-24 09:54:08+02;;;;;;;;;27825211441;;;;;;;;prepaid life;;;;;</t>
  </si>
  <si>
    <t>ID_1294</t>
  </si>
  <si>
    <t>13862445;85048041-f46b-4594-a995-7c62bfab46c2;;111111118;Vodacom Life 20260324;;;;;AA;5;2026-05-25 0</t>
  </si>
  <si>
    <t>13862445;85048041-f46b-4594-a995-7c62bfab46c2;;111111118;Vodacom Life 20260324;;;;;AA;5;2026-05-25 08:55:50+02;system;2026-03-24 09:54:08+02;2026-03-24 09:54:08+02;;;;;;;;;27724761848;;;;;;;;prepaid life;;;;;</t>
  </si>
  <si>
    <t>ID_1295</t>
  </si>
  <si>
    <t>13862514;313d320c-d524-41c3-b892-20e08981b2ff;;111111118;Vodacom Life 20260324;;;27818911104;;AA;5;2</t>
  </si>
  <si>
    <t>13862514;313d320c-d524-41c3-b892-20e08981b2ff;;111111118;Vodacom Life 20260324;;;27818911104;;AA;5;2026-05-25 08:57:26+02;system;2026-03-24 09:54:08+02;2026-03-24 09:54:08+02;;;;;;;;;27818911104;;;;;;;;prepaid life;;;;;</t>
  </si>
  <si>
    <t>ID_1296</t>
  </si>
  <si>
    <t>13862446;582cdeff-8ddf-4232-b8dc-4a4eb1aee091;;111111118;Vodacom Life 20260324;;;;;NA;5;2026-05-25 0</t>
  </si>
  <si>
    <t>13862446;582cdeff-8ddf-4232-b8dc-4a4eb1aee091;;111111118;Vodacom Life 20260324;;;;;NA;5;2026-05-25 08:56:00+02;system;2026-03-24 09:54:08+02;2026-03-24 09:54:08+02;;;;;;;;;27724947101;;;;;;;;prepaid life;;;;;</t>
  </si>
  <si>
    <t>ID_1297</t>
  </si>
  <si>
    <t>13862366;3db6c759-701f-4cdf-9551-bd654fa9fe2b;;111111118;Vodacom Life 20260324;;;;;U;2;2026-04-09 16</t>
  </si>
  <si>
    <t>13862366;3db6c759-701f-4cdf-9551-bd654fa9fe2b;;111111118;Vodacom Life 20260324;;;;;U;2;2026-04-09 16:20:52+02;Seboifeng Mogola;2026-03-24 09:54:08+02;2026-03-24 09:54:08+02;;;;;;;;;27825307901;;;;;;;;prepaid life;;;;;</t>
  </si>
  <si>
    <t>ID_1298</t>
  </si>
  <si>
    <t>13862515;743c46d4-81ab-444c-8f9a-6da77826a696;;111111118;Vodacom Life 20260324;;;;;CU;5;2026-05-25 0</t>
  </si>
  <si>
    <t>13862515;743c46d4-81ab-444c-8f9a-6da77826a696;;111111118;Vodacom Life 20260324;;;;;CU;5;2026-05-25 08:57:26+02;Maureen Ntsoko;2026-03-24 09:54:08+02;2026-03-24 09:54:08+02;;;;;;;;;27818925075;;;;;;;;prepaid life;;;;;</t>
  </si>
  <si>
    <t>ID_1299</t>
  </si>
  <si>
    <t>13862367;3e72d4e8-d47e-4cdf-8641-9399d63c51c8;;111111118;Vodacom Life 20260324;;;27826840375;;IABDN;</t>
  </si>
  <si>
    <t>13862367;3e72d4e8-d47e-4cdf-8641-9399d63c51c8;;111111118;Vodacom Life 20260324;;;27826840375;;IABDN;5;2026-05-25 12:42:16+02;system;2026-03-24 09:54:08+02;2026-03-24 09:54:08+02;;;;;;;;;27826840375;;;;;;;;prepaid life;;;;;</t>
  </si>
  <si>
    <t>ID_1300</t>
  </si>
  <si>
    <t>13862447;1e38edb9-d170-451f-98cc-b268ea26e1ad;;111111118;Vodacom Life 20260324;;;;;CBACK;2;2026-04-0</t>
  </si>
  <si>
    <t>13862447;1e38edb9-d170-451f-98cc-b268ea26e1ad;;111111118;Vodacom Life 20260324;;;;;CBACK;2;2026-04-02 11:14:13+02;Millicent Motsuku;2026-03-24 09:54:08+02;2026-03-24 09:54:08+02;;;;;;;;;27726025543;;;;;;;;prepaid life;;;;;</t>
  </si>
  <si>
    <t>ID_1301</t>
  </si>
  <si>
    <t>13862448;4a00d164-cea3-4d98-8482-8ca8c8e9c710;;111111118;Vodacom Life 20260324;;;;;AA;5;2026-05-25 0</t>
  </si>
  <si>
    <t>13862448;4a00d164-cea3-4d98-8482-8ca8c8e9c710;;111111118;Vodacom Life 20260324;;;;;AA;5;2026-05-25 08:56:23+02;system;2026-03-24 09:54:08+02;2026-03-24 09:54:08+02;;;;;;;;;27726218735;;;;;;;;prepaid life;;;;;</t>
  </si>
  <si>
    <t>ID_1302</t>
  </si>
  <si>
    <t>13862516;01101f93-6a65-4f0e-b4fc-9418fb1f1ac3;;111111118;Vodacom Life 20260324;;;;;AC;1;2026-03-26 1</t>
  </si>
  <si>
    <t>13862516;01101f93-6a65-4f0e-b4fc-9418fb1f1ac3;;111111118;Vodacom Life 20260324;;;;;AC;1;2026-03-26 10:50:05+02;Esther Ramalete;2026-03-24 09:54:08+02;2026-03-24 09:54:08+02;;;;;;;;;27820476444;;;;;;;;prepaid life;;;;;</t>
  </si>
  <si>
    <t>ID_1303</t>
  </si>
  <si>
    <t>13862449;5029f68a-4be9-4a30-983a-3ca4f758dd27;;111111118;Vodacom Life 20260324;;;;;CU;5;2026-04-15 1</t>
  </si>
  <si>
    <t>13862449;5029f68a-4be9-4a30-983a-3ca4f758dd27;;111111118;Vodacom Life 20260324;;;;;CU;5;2026-04-15 10:32:30+02;Seboifeng Mogola;2026-03-24 09:54:08+02;2026-03-24 09:54:08+02;;;;;;;;;27726336456;;;;;;;;prepaid life;;;;;</t>
  </si>
  <si>
    <t>ID_1304</t>
  </si>
  <si>
    <t>13862368;2e1b3b71-6518-4917-8d24-5f917c0793e2;;111111118;Vodacom Life 20260324;;;;;CBACK;2;2026-04-0</t>
  </si>
  <si>
    <t>13862368;2e1b3b71-6518-4917-8d24-5f917c0793e2;;111111118;Vodacom Life 20260324;;;;;CBACK;2;2026-04-07 09:31:15+02;Thandile Nokubeni;2026-03-24 09:54:08+02;2026-03-24 09:54:08+02;;;;;;;;;27827133759;;;;;;;;prepaid life;;;;;</t>
  </si>
  <si>
    <t>ID_1305</t>
  </si>
  <si>
    <t>13862517;0a6e5049-cf73-498a-b9ab-8de91e48d397;;111111118;Vodacom Life 20260324;;;;;CBACK;2;2026-04-0</t>
  </si>
  <si>
    <t>13862517;0a6e5049-cf73-498a-b9ab-8de91e48d397;;111111118;Vodacom Life 20260324;;;;;CBACK;2;2026-04-09 16:43:45+02;Thandile Nokubeni;2026-03-24 09:54:08+02;2026-03-24 09:54:08+02;;;;;;;;;27820599042;;;;;;;;prepaid life;;;;;</t>
  </si>
  <si>
    <t>ID_1306</t>
  </si>
  <si>
    <t>13862450;61314c3b-d1ca-4e58-a719-190b0e165b00;;111111118;Vodacom Life 20260324;;;;;CBACK;1;2026-04-0</t>
  </si>
  <si>
    <t>13862450;61314c3b-d1ca-4e58-a719-190b0e165b00;;111111118;Vodacom Life 20260324;;;;;CBACK;1;2026-04-02 09:10:07+02;Thandile Nokubeni;2026-03-24 09:54:08+02;2026-03-24 09:54:08+02;;;;;;;;;27726821345;;;;;;;;prepaid life;;;;;</t>
  </si>
  <si>
    <t>ID_1307</t>
  </si>
  <si>
    <t>13862518;02baf5f4-4696-4b5b-a4e0-321dcd5daef5;;111111118;Vodacom Life 20260324;;;;;AE;5;2026-05-25 0</t>
  </si>
  <si>
    <t>13862518;02baf5f4-4696-4b5b-a4e0-321dcd5daef5;;111111118;Vodacom Life 20260324;;;;;AE;5;2026-05-25 08:57:53+02;system;2026-03-24 09:54:08+02;2026-03-24 09:54:08+02;;;;;;;;;27822564214;;;;;;;;prepaid life;;;;;</t>
  </si>
  <si>
    <t>ID_1308</t>
  </si>
  <si>
    <t>13862451;e2a26ab1-6e13-477e-aa72-ee3710c7fe62;;111111118;Vodacom Life 20260324;;;;;AE;5;2026-05-25 0</t>
  </si>
  <si>
    <t>13862451;e2a26ab1-6e13-477e-aa72-ee3710c7fe62;;111111118;Vodacom Life 20260324;;;;;AE;5;2026-05-25 09:10:11+02;system;2026-03-24 09:54:08+02;2026-03-24 09:54:08+02;;;;;;;;;27727102008;;;;;;;;prepaid life;;;;;</t>
  </si>
  <si>
    <t>ID_1309</t>
  </si>
  <si>
    <t>13862369;d4ac2330-b489-4291-8706-3848e3824dfb;;111111118;Vodacom Life 20260324;;;;;U;3;2026-04-15 11</t>
  </si>
  <si>
    <t>13862369;d4ac2330-b489-4291-8706-3848e3824dfb;;111111118;Vodacom Life 20260324;;;;;U;3;2026-04-15 11:07:17+02;Seboifeng Mogola;2026-03-24 09:54:08+02;2026-03-24 09:54:08+02;;;;;;;;;27827488236;;;;;;;;prepaid life;;;;;</t>
  </si>
  <si>
    <t>ID_1310</t>
  </si>
  <si>
    <t>13862519;38a63d15-b959-4e1f-9c27-460e31b995ca;;111111118;Vodacom Life 20260324;;;;;AA;5;2026-05-25 0</t>
  </si>
  <si>
    <t>13862519;38a63d15-b959-4e1f-9c27-460e31b995ca;;111111118;Vodacom Life 20260324;;;;;AA;5;2026-05-25 08:58:20+02;system;2026-03-24 09:54:08+02;2026-03-24 09:54:08+02;;;;;;;;;27823442900;;;;;;;;prepaid life;;;;;</t>
  </si>
  <si>
    <t>ID_1311</t>
  </si>
  <si>
    <t>13862520;aa2d9e32-cf80-409e-bbdc-06ec57fab062;;111111118;Vodacom Life 20260324;;;;;DROP;5;2026-05-25</t>
  </si>
  <si>
    <t>13862520;aa2d9e32-cf80-409e-bbdc-06ec57fab062;;111111118;Vodacom Life 20260324;;;;;DROP;5;2026-05-25 08:58:20+02;system;2026-03-24 09:54:08+02;2026-03-24 09:54:08+02;;;;;;;;;27823456391;;;;;;;;prepaid life;;;;;</t>
  </si>
  <si>
    <t>ID_1312</t>
  </si>
  <si>
    <t>13862371;4c32b8fa-67a0-423c-addd-31cd0e333a1c;;111111118;Vodacom Life 20260324;;;;;DROP;5;2026-05-25</t>
  </si>
  <si>
    <t>13862371;4c32b8fa-67a0-423c-addd-31cd0e333a1c;;111111118;Vodacom Life 20260324;;;;;DROP;5;2026-05-25 08:51:40+02;system;2026-03-24 09:54:08+02;2026-03-24 09:54:08+02;;;;;;;;;27828641772;;;;;;;;prepaid life;;;;;</t>
  </si>
  <si>
    <t>ID_1313</t>
  </si>
  <si>
    <t xml:space="preserve">13862452;1381b6db-a007-49a1-a98d-86b73ceb1a45;;111111118;Vodacom Life 20260324;;;;;ADC;5;2026-05-25 </t>
  </si>
  <si>
    <t>13862452;1381b6db-a007-49a1-a98d-86b73ceb1a45;;111111118;Vodacom Life 20260324;;;;;ADC;5;2026-05-25 10:28:09+02;system;2026-03-24 09:54:08+02;2026-03-24 09:54:08+02;;;;;;;;;27727246692;;;;;;;;prepaid life;;;;;</t>
  </si>
  <si>
    <t>ID_1314</t>
  </si>
  <si>
    <t>13862521;59c71175-4d7b-4aba-b8bf-20480d62311f;;111111118;Vodacom Life 20260324;;;;;DNQS;4;2026-04-15</t>
  </si>
  <si>
    <t>13862521;59c71175-4d7b-4aba-b8bf-20480d62311f;;111111118;Vodacom Life 20260324;;;;;DNQS;4;2026-04-15 11:02:53+02;Thandile Nokubeni;2026-03-24 09:54:08+02;2026-03-24 09:54:08+02;;;;;;;;;27823483948;;;;;;;;prepaid life;;;;;</t>
  </si>
  <si>
    <t>ID_1315</t>
  </si>
  <si>
    <t>13862453;604cd0c0-a205-4a56-bc0b-a4cb882176dc;;111111118;Vodacom Life 20260324;;;;;U;2;2026-04-09 15</t>
  </si>
  <si>
    <t>13862453;604cd0c0-a205-4a56-bc0b-a4cb882176dc;;111111118;Vodacom Life 20260324;;;;;U;2;2026-04-09 15:25:55+02;Musiiwa Mary Mabirimisa;2026-03-24 09:54:08+02;2026-03-24 09:54:08+02;;;;;;;;;27727887887;;;;;;;;prepaid life;;;;;</t>
  </si>
  <si>
    <t>ID_1316</t>
  </si>
  <si>
    <t>13862454;69983afc-19aa-41ed-bcda-75d893a26593;;111111118;Vodacom Life 20260324;;;;;AE;5;2026-05-25 1</t>
  </si>
  <si>
    <t>13862454;69983afc-19aa-41ed-bcda-75d893a26593;;111111118;Vodacom Life 20260324;;;;;AE;5;2026-05-25 10:57:27+02;system;2026-03-24 09:54:08+02;2026-03-24 09:54:08+02;;;;;;;;;27728677359;;;;;;;;prepaid life;;;;;</t>
  </si>
  <si>
    <t>ID_1317</t>
  </si>
  <si>
    <t>13862372;fa9673a6-3c72-48a1-b709-7b925cfa805d;;111111118;Vodacom Life 20260324;;;;;AA;5;2026-05-25 0</t>
  </si>
  <si>
    <t>13862372;fa9673a6-3c72-48a1-b709-7b925cfa805d;;111111118;Vodacom Life 20260324;;;;;AA;5;2026-05-25 08:51:40+02;system;2026-03-24 09:54:08+02;2026-03-24 09:54:08+02;;;;;;;;;27829434870;;;;;;;;prepaid life;;;;;</t>
  </si>
  <si>
    <t>ID_1318</t>
  </si>
  <si>
    <t xml:space="preserve">13862522;6910490f-87fd-492a-b969-fb3a04e186bf;;111111118;Vodacom Life 20260324;;;;;OAL;2;2026-04-10 </t>
  </si>
  <si>
    <t>13862522;6910490f-87fd-492a-b969-fb3a04e186bf;;111111118;Vodacom Life 20260324;;;;;OAL;2;2026-04-10 08:34:27+02;bongiwe lushaba;2026-03-24 09:54:08+02;2026-03-24 09:54:08+02;;;;;;;;;27823598427;;;;;;;;prepaid life;;;;;</t>
  </si>
  <si>
    <t>ID_1319</t>
  </si>
  <si>
    <t>13862373;e0ca7f40-ce6b-43bf-9133-bcdc5f2e7d47;;111111118;Vodacom Life 20260324;;;;;AE;5;2026-05-25 0</t>
  </si>
  <si>
    <t>13862373;e0ca7f40-ce6b-43bf-9133-bcdc5f2e7d47;;111111118;Vodacom Life 20260324;;;;;AE;5;2026-05-25 08:52:45+02;system;2026-03-24 09:54:08+02;2026-03-24 09:54:08+02;;;;;;;;;27832226141;;;;;;;;prepaid life;;;;;</t>
  </si>
  <si>
    <t>ID_1320</t>
  </si>
  <si>
    <t>13862523;59d5811a-52cb-4c01-82c2-14c958f42601;;111111118;Vodacom Life 20260324;;;;;AE;5;2026-05-25 0</t>
  </si>
  <si>
    <t>13862523;59d5811a-52cb-4c01-82c2-14c958f42601;;111111118;Vodacom Life 20260324;;;;;AE;5;2026-05-25 08:58:23+02;system;2026-03-24 09:54:08+02;2026-03-24 09:54:08+02;;;;;;;;;27824276280;;;;;;;;prepaid life;;;;;</t>
  </si>
  <si>
    <t>ID_1321</t>
  </si>
  <si>
    <t>13862374;6950424c-a96d-43a5-a22e-9577ac15abef;;111111118;Vodacom Life 20260324;;;;;DROP;5;2026-05-25</t>
  </si>
  <si>
    <t>13862374;6950424c-a96d-43a5-a22e-9577ac15abef;;111111118;Vodacom Life 20260324;;;;;DROP;5;2026-05-25 08:52:45+02;system;2026-03-24 09:54:08+02;2026-03-24 09:54:08+02;;;;;;;;;27835896004;;;;;;;;prepaid life;;;;;</t>
  </si>
  <si>
    <t>ID_1322</t>
  </si>
  <si>
    <t xml:space="preserve">13862455;1498c1da-7244-44d1-8c28-eb72819c7c73;;111111118;Vodacom Life 20260324;;;;;OAL;2;2026-04-10 </t>
  </si>
  <si>
    <t>13862455;1498c1da-7244-44d1-8c28-eb72819c7c73;;111111118;Vodacom Life 20260324;;;;;OAL;2;2026-04-10 08:30:38+02;Thandile Nokubeni;2026-03-24 09:54:08+02;2026-03-24 09:54:08+02;;;;;;;;;27728777390;;;;;;;;prepaid life;;;;;</t>
  </si>
  <si>
    <t>ID_1323</t>
  </si>
  <si>
    <t>13862456;78b86a99-dfe1-4f15-afd9-99d6a20edd40;;111111118;Vodacom Life 20260324;;;;;CBACK;3;2026-04-1</t>
  </si>
  <si>
    <t>13862456;78b86a99-dfe1-4f15-afd9-99d6a20edd40;;111111118;Vodacom Life 20260324;;;;;CBACK;3;2026-04-14 11:32:17+02;bongiwe lushaba;2026-03-24 09:54:08+02;2026-03-24 09:54:08+02;;;;;;;;;27729224896;;;;;;;;prepaid life;;;;;</t>
  </si>
  <si>
    <t>ID_1324</t>
  </si>
  <si>
    <t>13862524;1d074680-193d-435d-bbdf-19ba792d3b30;;111111118;Vodacom Life 20260324;;;;;NI;1;2026-03-26 0</t>
  </si>
  <si>
    <t>13862524;1d074680-193d-435d-bbdf-19ba792d3b30;;111111118;Vodacom Life 20260324;;;;;NI;1;2026-03-26 09:52:19+02;Maureen Ntsoko;2026-03-24 09:54:08+02;2026-03-24 09:54:08+02;;;;;;;;;27824334471;;;;;;;;prepaid life;;;;;</t>
  </si>
  <si>
    <t>ID_1325</t>
  </si>
  <si>
    <t>13862457;f7d4ed7f-1130-487e-b73d-2de7c54bdfde;;111111118;Vodacom Life 20260324;;;;;CBACK;2;2026-04-0</t>
  </si>
  <si>
    <t>13862457;f7d4ed7f-1130-487e-b73d-2de7c54bdfde;;111111118;Vodacom Life 20260324;;;;;CBACK;2;2026-04-09 15:21:05+02;Maureen Ntsoko;2026-03-24 09:54:08+02;2026-03-24 09:54:08+02;;;;;;;;;27729441643;;;;;;;;prepaid life;;;;;</t>
  </si>
  <si>
    <t>ID_1326</t>
  </si>
  <si>
    <t xml:space="preserve">13862375;5b439b52-0afe-4e64-989c-da1b5618ead1;;111111118;Vodacom Life 20260324;;;;;OAL;3;2026-04-15 </t>
  </si>
  <si>
    <t>13862375;5b439b52-0afe-4e64-989c-da1b5618ead1;;111111118;Vodacom Life 20260324;;;;;OAL;3;2026-04-15 10:37:21+02;Esther Ramalete;2026-03-24 09:54:08+02;2026-03-24 09:54:08+02;;;;;;;;;27835942953;;;;;;;;prepaid life;;;;;</t>
  </si>
  <si>
    <t>ID_1327</t>
  </si>
  <si>
    <t>13862525;e5b3bae2-c8d1-45ea-a34f-bb669e0d4d93;;111111118;Vodacom Life 20260324;;;;;AE;5;2026-05-25 1</t>
  </si>
  <si>
    <t>13862525;e5b3bae2-c8d1-45ea-a34f-bb669e0d4d93;;111111118;Vodacom Life 20260324;;;;;AE;5;2026-05-25 11:57:57+02;system;2026-03-24 09:54:08+02;2026-03-24 09:54:08+02;;;;;;;;;27824770740;;;;;;;;prepaid life;;;;;</t>
  </si>
  <si>
    <t>ID_1328</t>
  </si>
  <si>
    <t>13862376;c7ec7999-dbdb-4ba5-9628-b4b8ff1bb337;;111111118;Vodacom Life 20260324;;;;;DROP;5;2026-05-25</t>
  </si>
  <si>
    <t>13862376;c7ec7999-dbdb-4ba5-9628-b4b8ff1bb337;;111111118;Vodacom Life 20260324;;;;;DROP;5;2026-05-25 08:52:45+02;system;2026-03-24 09:54:08+02;2026-03-24 09:54:08+02;;;;;;;;;27842526406;;;;;;;;prepaid life;;;;;</t>
  </si>
  <si>
    <t>ID_1329</t>
  </si>
  <si>
    <t>13862458;8a4a3b24-7b15-44a4-94b3-e936d9cbd98c;;111111118;Vodacom Life 20260324;;;;;CU;5;2026-05-25 1</t>
  </si>
  <si>
    <t>13862458;8a4a3b24-7b15-44a4-94b3-e936d9cbd98c;;111111118;Vodacom Life 20260324;;;;;CU;5;2026-05-25 10:57:28+02;bongiwe lushaba;2026-03-24 09:54:08+02;2026-03-24 09:54:08+02;;;;;;;;;27732538122;;;;;;;;prepaid life;;;;;</t>
  </si>
  <si>
    <t>ID_1330</t>
  </si>
  <si>
    <t>13862526;a86c05ca-a520-4005-b8d6-4aa8a949e9fc;;111111118;Vodacom Life 20260324;;;27825341336;;CU;5;2</t>
  </si>
  <si>
    <t>13862526;a86c05ca-a520-4005-b8d6-4aa8a949e9fc;;111111118;Vodacom Life 20260324;;;27825341336;;CU;5;2026-05-25 11:24:22+02;Khensane Mabasa;2026-03-24 09:54:08+02;2026-03-24 09:54:08+02;;;;;;;;;27825341336;;;;;;;;prepaid life;;;;;</t>
  </si>
  <si>
    <t>ID_1331</t>
  </si>
  <si>
    <t>13862459;1c5f20ac-fbf7-4c28-8ee6-719c6e01e439;;111111118;Vodacom Life 20260324;;;;;NA;5;2026-05-25 1</t>
  </si>
  <si>
    <t>13862459;1c5f20ac-fbf7-4c28-8ee6-719c6e01e439;;111111118;Vodacom Life 20260324;;;;;NA;5;2026-05-25 10:57:28+02;system;2026-03-24 09:54:08+02;2026-03-24 09:54:08+02;;;;;;;;;27736189958;;;;;;;;prepaid life;;;;;</t>
  </si>
  <si>
    <t>ID_1332</t>
  </si>
  <si>
    <t>13862377;42127f72-ef51-432c-b0ff-6df086c6c12b;;111111118;Vodacom Life 20260324;;;;;CU;5;2026-05-25 0</t>
  </si>
  <si>
    <t>13862377;42127f72-ef51-432c-b0ff-6df086c6c12b;;111111118;Vodacom Life 20260324;;;;;CU;5;2026-05-25 08:52:46+02;bongiwe lushaba;2026-03-24 09:54:08+02;2026-03-24 09:54:08+02;;;;;;;;;27847479600;;;;;;;;prepaid life;;;;;</t>
  </si>
  <si>
    <t>ID_1333</t>
  </si>
  <si>
    <t>13862527;839a0ea9-3e1b-43f2-ba14-823acdbd7805;;111111118;Vodacom Life 20260324;;;;;AA;5;2026-05-25 1</t>
  </si>
  <si>
    <t>13862527;839a0ea9-3e1b-43f2-ba14-823acdbd7805;;111111118;Vodacom Life 20260324;;;;;AA;5;2026-05-25 11:24:05+02;system;2026-03-24 09:54:08+02;2026-03-24 09:54:08+02;;;;;;;;;27825355096;;;;;;;;prepaid life;;;;;</t>
  </si>
  <si>
    <t>ID_1334</t>
  </si>
  <si>
    <t>13862378;a42757bc-26cb-4301-849e-8669d13f028f;;111111118;Vodacom Life 20260324;;;;;AE;5;2026-05-25 0</t>
  </si>
  <si>
    <t>13862378;a42757bc-26cb-4301-849e-8669d13f028f;;111111118;Vodacom Life 20260324;;;;;AE;5;2026-05-25 08:52:53+02;system;2026-03-24 09:54:08+02;2026-03-24 09:54:08+02;;;;;;;;;27606288065;;;;;;;;prepaid life;;;;;</t>
  </si>
  <si>
    <t>ID_1335</t>
  </si>
  <si>
    <t>13862460;361ee523-a27c-4d6c-9eab-fa1a2e0e3b0c;;111111118;Vodacom Life 20260324;;;;;NA;5;2026-05-25 1</t>
  </si>
  <si>
    <t>13862460;361ee523-a27c-4d6c-9eab-fa1a2e0e3b0c;;111111118;Vodacom Life 20260324;;;;;NA;5;2026-05-25 11:40:51+02;system;2026-03-24 09:54:08+02;2026-03-24 09:54:08+02;;;;;;;;;27741424696;;;;;;;;prepaid life;;;;;</t>
  </si>
  <si>
    <t>ID_1336</t>
  </si>
  <si>
    <t>13862528;2c5d2aab-589a-4c54-8328-b1fbe85f9208;;111111118;Vodacom Life 20260324;;;;;CBACK;2;2026-04-1</t>
  </si>
  <si>
    <t>13862528;2c5d2aab-589a-4c54-8328-b1fbe85f9208;;111111118;Vodacom Life 20260324;;;;;CBACK;2;2026-04-10 09:11:57+02;bongiwe lushaba;2026-03-24 09:54:08+02;2026-03-24 09:54:08+02;;;;;;;;;27826195098;;;;;;;;prepaid life;;;;;</t>
  </si>
  <si>
    <t>ID_1337</t>
  </si>
  <si>
    <t>13862461;c9af4cc3-9820-4cb1-bc4f-6a25170acba2;;111111118;Vodacom Life 20260324;;;27760299460;;CU;5;2</t>
  </si>
  <si>
    <t>13862461;c9af4cc3-9820-4cb1-bc4f-6a25170acba2;;111111118;Vodacom Life 20260324;;;27760299460;;CU;5;2026-05-25 11:41:15+02;Maureen Ntsoko;2026-03-24 09:54:08+02;2026-03-24 09:54:08+02;;;;;;;;;27760299460;;;;;;;;prepaid life;;;;;</t>
  </si>
  <si>
    <t>ID_1338</t>
  </si>
  <si>
    <t>13862379;d51f494d-10d5-4bfd-9181-b929e3b40b15;;111111118;Vodacom Life 20260324;;;;;NIUP;1;2026-03-30</t>
  </si>
  <si>
    <t>13862379;d51f494d-10d5-4bfd-9181-b929e3b40b15;;111111118;Vodacom Life 20260324;;;;;NIUP;1;2026-03-30 11:36:09+02;Millicent Motsuku;2026-03-24 09:54:08+02;2026-03-24 09:54:08+02;;;;;;;;;27607355511;;;;;;;;prepaid life;;;;;</t>
  </si>
  <si>
    <t>ID_1339</t>
  </si>
  <si>
    <t>13862529;78343767-98b1-4b4f-a4e0-6b80b63084c5;;111111118;Vodacom Life 20260324;;;;;EC;2;2026-03-26 1</t>
  </si>
  <si>
    <t>13862529;78343767-98b1-4b4f-a4e0-6b80b63084c5;;111111118;Vodacom Life 20260324;;;;;EC;2;2026-03-26 10:53:54+02;Millicent Motsuku;2026-03-24 09:54:08+02;2026-03-24 09:54:08+02;;;;;;;;;27826406414;;;;;;;;prepaid life;;;;;</t>
  </si>
  <si>
    <t>ID_1340</t>
  </si>
  <si>
    <t>13862380;f46a5cb8-0910-4059-afd3-2041b3645ceb;;111111118;Vodacom Life 20260324;;;;;DROP;5;2026-05-25</t>
  </si>
  <si>
    <t>13862380;f46a5cb8-0910-4059-afd3-2041b3645ceb;;111111118;Vodacom Life 20260324;;;;;DROP;5;2026-05-25 08:52:58+02;system;2026-03-24 09:54:08+02;2026-03-24 09:54:08+02;;;;;;;;;27608584306;;;;;;;;prepaid life;;;;;</t>
  </si>
  <si>
    <t>ID_1341</t>
  </si>
  <si>
    <t>13862462;e4f5c027-d2f8-452e-9961-cd9d8336bca9;;111111118;Vodacom Life 20260324;;;27760643509;;AA;5;2</t>
  </si>
  <si>
    <t>13862462;e4f5c027-d2f8-452e-9961-cd9d8336bca9;;111111118;Vodacom Life 20260324;;;27760643509;;AA;5;2026-05-25 14:37:59+02;system;2026-03-24 09:54:08+02;2026-03-24 09:54:08+02;;;;;;;;;27760643509;;;;;;;;prepaid life;;;;;</t>
  </si>
  <si>
    <t>ID_1342</t>
  </si>
  <si>
    <t>13862530;95bf778b-a7b5-45e1-ad11-3c3c7b8cd0cb;;111111118;Vodacom Life 20260324;;;;;AE;5;2026-05-25 1</t>
  </si>
  <si>
    <t>13862530;95bf778b-a7b5-45e1-ad11-3c3c7b8cd0cb;;111111118;Vodacom Life 20260324;;;;;AE;5;2026-05-25 11:24:10+02;system;2026-03-24 09:54:08+02;2026-03-24 09:54:08+02;;;;;;;;;27826466383;;;;;;;;prepaid life;;;;;</t>
  </si>
  <si>
    <t>ID_1343</t>
  </si>
  <si>
    <t>13862463;9bbf95de-1a99-45e2-b469-53785b642ea2;;111111118;Vodacom Life 20260324;;;;;AE;5;2026-05-25 1</t>
  </si>
  <si>
    <t>13862463;9bbf95de-1a99-45e2-b469-53785b642ea2;;111111118;Vodacom Life 20260324;;;;;AE;5;2026-05-25 12:39:26+02;system;2026-03-24 09:54:08+02;2026-03-24 09:54:08+02;;;;;;;;;27760797382;;;;;;;;prepaid life;;;;;</t>
  </si>
  <si>
    <t>ID_1344</t>
  </si>
  <si>
    <t>13862381;d6542511-e1a4-411d-bd28-010a79218fac;;111111118;Vodacom Life 20260324;;;;;NA;5;2026-05-25 0</t>
  </si>
  <si>
    <t>13862381;d6542511-e1a4-411d-bd28-010a79218fac;;111111118;Vodacom Life 20260324;;;;;NA;5;2026-05-25 08:53:15+02;system;2026-03-24 09:54:08+02;2026-03-24 09:54:08+02;;;;;;;;;27609236697;;;;;;;;prepaid life;;;;;</t>
  </si>
  <si>
    <t>ID_1345</t>
  </si>
  <si>
    <t>13862531;68127668-6b4e-432d-a810-ee454e947251;;111111118;Vodacom Life 20260324;;;;;CBACK;5;2026-03-3</t>
  </si>
  <si>
    <t>13862531;68127668-6b4e-432d-a810-ee454e947251;;111111118;Vodacom Life 20260324;;;;;CBACK;5;2026-03-30 08:50:17+02;Seboifeng Mogola;2026-03-24 09:54:08+02;2026-03-24 09:54:08+02;;;;;;;;;27826865328;;;;;;;;prepaid life;;;;;</t>
  </si>
  <si>
    <t>ID_1346</t>
  </si>
  <si>
    <t>13862382;b371435e-30c6-4493-9e5d-a01a73354695;;111111118;Vodacom Life 20260324;;;;;DROP;5;2026-05-25</t>
  </si>
  <si>
    <t>13862382;b371435e-30c6-4493-9e5d-a01a73354695;;111111118;Vodacom Life 20260324;;;;;DROP;5;2026-05-25 08:53:16+02;system;2026-03-24 09:54:08+02;2026-03-24 09:54:08+02;;;;;;;;;27632488581;;;;;;;;prepaid life;;;;;</t>
  </si>
  <si>
    <t>ID_1347</t>
  </si>
  <si>
    <t>13862464;822972d5-c766-4f8e-bcf9-9967e3498c96;;111111118;Vodacom Life 20260324;;;;;A;5;2026-05-25 14</t>
  </si>
  <si>
    <t>13862464;822972d5-c766-4f8e-bcf9-9967e3498c96;;111111118;Vodacom Life 20260324;;;;;A;5;2026-05-25 14:14:52+02;bongiwe lushaba;2026-03-24 09:54:08+02;2026-03-24 09:54:08+02;;;;;;;;;27760871962;;;;;;;;prepaid life;;;;;</t>
  </si>
  <si>
    <t>ID_1348</t>
  </si>
  <si>
    <t>13862532;371ebe50-cd6e-4834-91f4-f6e6f5d309d8;;111111118;Vodacom Life 20260324;;;;;NA;5;2026-05-25 1</t>
  </si>
  <si>
    <t>13862532;371ebe50-cd6e-4834-91f4-f6e6f5d309d8;;111111118;Vodacom Life 20260324;;;;;NA;5;2026-05-25 11:24:11+02;system;2026-03-24 09:54:08+02;2026-03-24 09:54:08+02;;;;;;;;;27826909545;;;;;;;;prepaid life;;;;;</t>
  </si>
  <si>
    <t>ID_1349</t>
  </si>
  <si>
    <t>13862465;01e22ad2-6240-472e-a32c-6bf945991e4a;;111111118;Vodacom Life 20260324;;;;;CU;5;2026-05-25 1</t>
  </si>
  <si>
    <t>13862465;01e22ad2-6240-472e-a32c-6bf945991e4a;;111111118;Vodacom Life 20260324;;;;;CU;5;2026-05-25 11:56:41+02;Maureen Ntsoko;2026-03-24 09:54:08+02;2026-03-24 09:54:08+02;;;;;;;;;27761059140;;;;;;;;prepaid life;;;;;</t>
  </si>
  <si>
    <t>ID_1350</t>
  </si>
  <si>
    <t>13862466;f9d69fb8-5aa7-4a72-a7bd-022c307faf83;;111111118;Vodacom Life 20260324;;;;;NI;1;2026-04-01 1</t>
  </si>
  <si>
    <t>13862466;f9d69fb8-5aa7-4a72-a7bd-022c307faf83;;111111118;Vodacom Life 20260324;;;;;NI;1;2026-04-01 11:45:20+02;Thandile Nokubeni;2026-03-24 09:54:08+02;2026-03-24 09:54:08+02;;;;;;;;;27761467015;;;;;;;;prepaid life;;;;;</t>
  </si>
  <si>
    <t>ID_1351</t>
  </si>
  <si>
    <t>13862383;9ccd9a68-1f90-4cfc-9965-b0d6187847c1;;111111118;Vodacom Life 20260324;;;;;AE;5;2026-05-25 0</t>
  </si>
  <si>
    <t>13862383;9ccd9a68-1f90-4cfc-9965-b0d6187847c1;;111111118;Vodacom Life 20260324;;;;;AE;5;2026-05-25 08:56:05+02;system;2026-03-24 09:54:08+02;2026-03-24 09:54:08+02;;;;;;;;;27636228393;;;;;;;;prepaid life;;;;;</t>
  </si>
  <si>
    <t>ID_1352</t>
  </si>
  <si>
    <t>13862534;c442e232-0023-40a4-8ccf-26e987093927;;111111118;Vodacom Life 20260324;;;;;AA;5;2026-05-25 1</t>
  </si>
  <si>
    <t>13862534;c442e232-0023-40a4-8ccf-26e987093927;;111111118;Vodacom Life 20260324;;;;;AA;5;2026-05-25 11:24:18+02;system;2026-03-24 09:54:08+02;2026-03-24 09:54:08+02;;;;;;;;;27828114374;;;;;;;;prepaid life;;;;;</t>
  </si>
  <si>
    <t>ID_1353</t>
  </si>
  <si>
    <t xml:space="preserve">13862384;6940da5e-1956-43b1-9267-9e96e610aa77;;111111118;Vodacom Life 20260324;;;;;ADC;5;2026-05-25 </t>
  </si>
  <si>
    <t>13862384;6940da5e-1956-43b1-9267-9e96e610aa77;;111111118;Vodacom Life 20260324;;;;;ADC;5;2026-05-25 08:56:18+02;system;2026-03-24 09:54:08+02;2026-03-24 09:54:08+02;;;;;;;;;27637040747;;;;;;;;prepaid life;;;;;</t>
  </si>
  <si>
    <t>ID_1354</t>
  </si>
  <si>
    <t>13862385;fc2bc121-d9e7-407c-80bb-6cc5c3137cee;;111111118;Vodacom Life 20260324;;;;;NI;5;2026-04-15 1</t>
  </si>
  <si>
    <t>13862385;fc2bc121-d9e7-407c-80bb-6cc5c3137cee;;111111118;Vodacom Life 20260324;;;;;NI;5;2026-04-15 11:25:42+02;Maureen Ntsoko;2026-03-24 09:54:08+02;2026-03-24 09:54:08+02;;;;;;;;;27637385827;;;;;;;;prepaid life;;;;;</t>
  </si>
  <si>
    <t>ID_1355</t>
  </si>
  <si>
    <t>13862467;fbe05c19-300a-4daf-a26a-2bf66f3e0a55;;111111118;Vodacom Life 20260324;;;;;U;2;2026-04-09 16</t>
  </si>
  <si>
    <t>13862467;fbe05c19-300a-4daf-a26a-2bf66f3e0a55;;111111118;Vodacom Life 20260324;;;;;U;2;2026-04-09 16:15:01+02;Mahlatse Manamela;2026-03-24 09:54:08+02;2026-03-24 09:54:08+02;;;;;;;;;27761852249;;;;;;;;prepaid life;;;;;</t>
  </si>
  <si>
    <t>ID_1356</t>
  </si>
  <si>
    <t>13862535;3a96597d-e62c-47f6-98b1-f869942adc3e;;111111118;Vodacom Life 20260324;;;;;AA;5;2026-05-25 1</t>
  </si>
  <si>
    <t>13862535;3a96597d-e62c-47f6-98b1-f869942adc3e;;111111118;Vodacom Life 20260324;;;;;AA;5;2026-05-25 10:28:11+02;system;2026-03-24 09:54:08+02;2026-03-24 09:54:08+02;;;;;;;;;27829290139;;;;;;;;prepaid life;;;;;</t>
  </si>
  <si>
    <t>ID_1357</t>
  </si>
  <si>
    <t>13862468;7447039e-34d8-4678-952c-a52dbd737d55;;111111118;Vodacom Life 20260324;;;;;AA;5;2026-05-25 1</t>
  </si>
  <si>
    <t>13862468;7447039e-34d8-4678-952c-a52dbd737d55;;111111118;Vodacom Life 20260324;;;;;AA;5;2026-05-25 11:45:49+02;system;2026-03-24 09:54:08+02;2026-03-24 09:54:08+02;;;;;;;;;27763931931;;;;;;;;prepaid life;;;;;</t>
  </si>
  <si>
    <t>ID_1358</t>
  </si>
  <si>
    <t>13862386;113cb820-df02-4626-a0d1-08c544e6cb3b;;111111118;Vodacom Life 20260324;;;;;NI;1;2026-03-30 1</t>
  </si>
  <si>
    <t>13862386;113cb820-df02-4626-a0d1-08c544e6cb3b;;111111118;Vodacom Life 20260324;;;;;NI;1;2026-03-30 11:36:07+02;Musiiwa Mary Mabirimisa;2026-03-24 09:54:08+02;2026-03-24 09:54:08+02;;;;;;;;;27637667773;;;;;;;;prepaid life;;;;;</t>
  </si>
  <si>
    <t>ID_1359</t>
  </si>
  <si>
    <t>13862536;b7e30201-fe17-4075-9e1d-6d21aa855305;;111111118;Vodacom Life 20260324;;;;;NA;5;2026-05-25 1</t>
  </si>
  <si>
    <t>13862536;b7e30201-fe17-4075-9e1d-6d21aa855305;;111111118;Vodacom Life 20260324;;;;;NA;5;2026-05-25 11:24:20+02;system;2026-03-24 09:54:08+02;2026-03-24 09:54:08+02;;;;;;;;;27829683473;;;;;;;;prepaid life;;;;;</t>
  </si>
  <si>
    <t>ID_1360</t>
  </si>
  <si>
    <t>13862387;f331a4b9-6d58-4260-a593-a42fc45beade;;111111118;Vodacom Life 20260324;;;;;NA;5;2026-05-25 0</t>
  </si>
  <si>
    <t>13862387;f331a4b9-6d58-4260-a593-a42fc45beade;;111111118;Vodacom Life 20260324;;;;;NA;5;2026-05-25 09:02:21+02;system;2026-03-24 09:54:08+02;2026-03-24 09:54:08+02;;;;;;;;;27637682516;;;;;;;;prepaid life;;;;;</t>
  </si>
  <si>
    <t>ID_1361</t>
  </si>
  <si>
    <t>13862388;56465b92-ef70-4026-b524-33c195c0856c;;111111118;Vodacom Life 20260324;;;;;AE;5;2026-05-25 0</t>
  </si>
  <si>
    <t>13862388;56465b92-ef70-4026-b524-33c195c0856c;;111111118;Vodacom Life 20260324;;;;;AE;5;2026-05-25 09:06:36+02;system;2026-03-24 09:54:08+02;2026-03-24 09:54:08+02;;;;;;;;;27646113292;;;;;;;;prepaid life;;;;;</t>
  </si>
  <si>
    <t>ID_1362</t>
  </si>
  <si>
    <t>13862469;6f67f58b-7809-40e3-a761-5dfc28b6ec3f;;111111118;Vodacom Life 20260324;;;27763958960;;IABDN;</t>
  </si>
  <si>
    <t>13862469;6f67f58b-7809-40e3-a761-5dfc28b6ec3f;;111111118;Vodacom Life 20260324;;;27763958960;;IABDN;5;2026-05-25 13:29:10+02;system;2026-03-24 09:54:08+02;2026-03-24 09:54:08+02;;;;;;;;;27763958960;;;;;;;;prepaid life;;;;;</t>
  </si>
  <si>
    <t>ID_1363</t>
  </si>
  <si>
    <t>13862537;16edc7b3-05bf-4a96-81ed-5d8e44819356;;111111118;Vodacom Life 20260324;;;;;DROP;5;2026-05-25</t>
  </si>
  <si>
    <t>13862537;16edc7b3-05bf-4a96-81ed-5d8e44819356;;111111118;Vodacom Life 20260324;;;;;DROP;5;2026-05-25 10:28:38+02;system;2026-03-24 09:54:08+02;2026-03-24 09:54:08+02;;;;;;;;;27833387382;;;;;;;;prepaid life;;;;;</t>
  </si>
  <si>
    <t>ID_1364</t>
  </si>
  <si>
    <t>13862470;92d7fe13-7285-4ab5-96b6-9a432e53b337;;111111118;Vodacom Life 20260324;;;;;NA;5;2026-05-25 1</t>
  </si>
  <si>
    <t>13862470;92d7fe13-7285-4ab5-96b6-9a432e53b337;;111111118;Vodacom Life 20260324;;;;;NA;5;2026-05-25 11:56:41+02;system;2026-03-24 09:54:08+02;2026-03-24 09:54:08+02;;;;;;;;;27764308140;;;;;;;;prepaid life;;;;;</t>
  </si>
  <si>
    <t>ID_1365</t>
  </si>
  <si>
    <t>13862389;16270336-2644-4d05-b7f4-87a07e0d774c;;111111118;Vodacom Life 20260324;;;;;AA;5;2026-05-25 1</t>
  </si>
  <si>
    <t>13862389;16270336-2644-4d05-b7f4-87a07e0d774c;;111111118;Vodacom Life 20260324;;;;;AA;5;2026-05-25 11:21:21+02;system;2026-03-24 09:54:08+02;2026-03-24 09:54:08+02;;;;;;;;;27648103556;;;;;;;;prepaid life;;;;;</t>
  </si>
  <si>
    <t>ID_1366</t>
  </si>
  <si>
    <t>13862538;76ce3a56-294d-40ab-a41d-a7766dfa9db5;;111111118;Vodacom Life 20260324;;;;;AA;5;2026-05-25 1</t>
  </si>
  <si>
    <t>13862538;76ce3a56-294d-40ab-a41d-a7766dfa9db5;;111111118;Vodacom Life 20260324;;;;;AA;5;2026-05-25 11:57:57+02;system;2026-03-24 09:54:08+02;2026-03-24 09:54:08+02;;;;;;;;;27606038723;;;;;;;;prepaid life;;;;;</t>
  </si>
  <si>
    <t>ID_1367</t>
  </si>
  <si>
    <t>13862390;1b6f1363-a881-431e-a938-7c77b29051b6;;111111118;Vodacom Life 20260324;;;27649785049;;CU;5;2</t>
  </si>
  <si>
    <t>13862390;1b6f1363-a881-431e-a938-7c77b29051b6;;111111118;Vodacom Life 20260324;;;27649785049;;CU;5;2026-05-25 14:31:26+02;Maureen Ntsoko;2026-03-24 09:54:08+02;2026-03-24 09:54:08+02;;;;;;;;;27649785049;;;;;;;;prepaid life;;;;;</t>
  </si>
  <si>
    <t>ID_1368</t>
  </si>
  <si>
    <t>13862471;cf79de0b-d3c5-47a2-b9c1-48376cdc3eed;;111111118;Vodacom Life 20260324;;;;;NA;5;2026-05-25 1</t>
  </si>
  <si>
    <t>13862471;cf79de0b-d3c5-47a2-b9c1-48376cdc3eed;;111111118;Vodacom Life 20260324;;;;;NA;5;2026-05-25 14:14:53+02;system;2026-03-24 09:54:08+02;2026-03-24 09:54:08+02;;;;;;;;;27764476900;;;;;;;;prepaid life;;;;;</t>
  </si>
  <si>
    <t>ID_1369</t>
  </si>
  <si>
    <t>13862539;3bba97e0-ae60-4786-b2fb-7946eaf10565;;111111118;Vodacom Life 20260324;;;;;AE;5;2026-05-25 1</t>
  </si>
  <si>
    <t>13862539;3bba97e0-ae60-4786-b2fb-7946eaf10565;;111111118;Vodacom Life 20260324;;;;;AE;5;2026-05-25 14:34:47+02;system;2026-03-24 09:54:08+02;2026-03-24 09:54:08+02;;;;;;;;;27606125674;;;;;;;;prepaid life;;;;;</t>
  </si>
  <si>
    <t>ID_1370</t>
  </si>
  <si>
    <t>13862472;5cc7d8b5-8e2b-44a7-8698-d87873c1e15f;;111111118;Vodacom Life 20260324;;;27765267944;;CU;5;2</t>
  </si>
  <si>
    <t>13862472;5cc7d8b5-8e2b-44a7-8698-d87873c1e15f;;111111118;Vodacom Life 20260324;;;27765267944;;CU;5;2026-05-25 10:47:12+02;bongiwe lushaba;2026-03-24 09:54:08+02;2026-03-24 09:54:08+02;;;;;;;;;27765267944;;;;;;;;prepaid life;;;;;</t>
  </si>
  <si>
    <t>ID_1371</t>
  </si>
  <si>
    <t>13862391;828854ca-7316-4a2a-844d-bac83e85272a;;111111118;Vodacom Life 20260324;;;;;U;2;2026-04-09 16</t>
  </si>
  <si>
    <t>13862391;828854ca-7316-4a2a-844d-bac83e85272a;;111111118;Vodacom Life 20260324;;;;;U;2;2026-04-09 16:16:31+02;Musiiwa Mary Mabirimisa;2026-03-24 09:54:08+02;2026-03-24 09:54:08+02;;;;;;;;;27649806310;;;;;;;;prepaid life;;;;;</t>
  </si>
  <si>
    <t>ID_1372</t>
  </si>
  <si>
    <t>13862540;fc55c47d-ce07-441f-83fb-a98b1243409c;;111111118;Vodacom Life 20260324;;;;;AE;5;2026-05-25 1</t>
  </si>
  <si>
    <t>13862540;fc55c47d-ce07-441f-83fb-a98b1243409c;;111111118;Vodacom Life 20260324;;;;;AE;5;2026-05-25 12:04:39+02;system;2026-03-24 09:54:08+02;2026-03-24 09:54:08+02;;;;;;;;;27606245071;;;;;;;;prepaid life;;;;;</t>
  </si>
  <si>
    <t>ID_1373</t>
  </si>
  <si>
    <t>13862392;ce3b1336-d613-4183-b67a-d8a4a986a985;;111111118;Vodacom Life 20260324;;;;;AA;5;2026-05-25 1</t>
  </si>
  <si>
    <t>13862392;ce3b1336-d613-4183-b67a-d8a4a986a985;;111111118;Vodacom Life 20260324;;;;;AA;5;2026-05-25 10:15:34+02;system;2026-03-24 09:54:08+02;2026-03-24 09:54:08+02;;;;;;;;;27660017381;;;;;;;;prepaid life;;;;;</t>
  </si>
  <si>
    <t>ID_1374</t>
  </si>
  <si>
    <t>13862473;a0aa9e40-4101-42a6-9049-0cee9b1a196a;;111111118;Vodacom Life 20260324;;;;;CU;5;2026-05-25 1</t>
  </si>
  <si>
    <t>13862473;a0aa9e40-4101-42a6-9049-0cee9b1a196a;;111111118;Vodacom Life 20260324;;;;;CU;5;2026-05-25 14:14:17+02;Maureen Ntsoko;2026-03-24 09:54:08+02;2026-03-24 09:54:08+02;;;;;;;;;27765326319;;;;;;;;prepaid life;;;;;</t>
  </si>
  <si>
    <t>ID_1375</t>
  </si>
  <si>
    <t>13862474;ee6ee48a-786c-412f-8f2c-4e23f0d455c7;;111111118;Vodacom Life 20260324;;;;;NI;2;2026-04-09 1</t>
  </si>
  <si>
    <t>13862474;ee6ee48a-786c-412f-8f2c-4e23f0d455c7;;111111118;Vodacom Life 20260324;;;;;NI;2;2026-04-09 16:15:02+02;Esther Ramalete;2026-03-24 09:54:08+02;2026-03-24 09:54:08+02;;;;;;;;;27765693689;;;;;;;;prepaid life;;;;;</t>
  </si>
  <si>
    <t>ID_1376</t>
  </si>
  <si>
    <t>13862393;4b0146d2-0be1-4735-9af2-3e769e0bb65f;;111111118;Vodacom Life 20260324;;;;;DNQF;5;2026-05-25</t>
  </si>
  <si>
    <t>13862393;4b0146d2-0be1-4735-9af2-3e769e0bb65f;;111111118;Vodacom Life 20260324;;;;;DNQF;5;2026-05-25 11:21:31+02;Maureen Ntsoko;2026-03-24 09:54:08+02;2026-03-24 09:54:08+02;;;;;;;;;27660355213;;;;;;;;prepaid life;;;;;</t>
  </si>
  <si>
    <t>ID_1377</t>
  </si>
  <si>
    <t>13862542;ad2c91e9-e85e-43b3-aa38-6c8768203165;;111111118;Vodacom Life 20260324;;;;;AE;5;2026-05-25 1</t>
  </si>
  <si>
    <t>13862542;ad2c91e9-e85e-43b3-aa38-6c8768203165;;111111118;Vodacom Life 20260324;;;;;AE;5;2026-05-25 10:58:31+02;system;2026-03-24 09:54:08+02;2026-03-24 09:54:08+02;;;;;;;;;27606856422;;;;;;;;prepaid life;;;;;</t>
  </si>
  <si>
    <t>ID_1378</t>
  </si>
  <si>
    <t>13862543;d43b8dbc-82d5-4218-b823-d33025d69d63;;111111118;Vodacom Life 20260324;;;;;CU;5;2026-05-25 1</t>
  </si>
  <si>
    <t>13862543;d43b8dbc-82d5-4218-b823-d33025d69d63;;111111118;Vodacom Life 20260324;;;;;CU;5;2026-05-25 10:58:31+02;bongiwe lushaba;2026-03-24 09:54:08+02;2026-03-24 09:54:08+02;;;;;;;;;27607267728;;;;;;;;prepaid life;;;;;</t>
  </si>
  <si>
    <t>ID_1379</t>
  </si>
  <si>
    <t>13862394;6c81a269-0e2e-43fb-99d2-16a27b1629b4;;111111118;Vodacom Life 20260324;;;;;DROP;5;2026-05-25</t>
  </si>
  <si>
    <t>13862394;6c81a269-0e2e-43fb-99d2-16a27b1629b4;;111111118;Vodacom Life 20260324;;;;;DROP;5;2026-05-25 10:15:34+02;system;2026-03-24 09:54:08+02;2026-03-24 09:54:08+02;;;;;;;;;27661222041;;;;;;;;prepaid life;;;;;</t>
  </si>
  <si>
    <t>ID_1380</t>
  </si>
  <si>
    <t>13862475;21840654-a2a6-4568-9f50-d9525d284a4f;;111111118;Vodacom Life 20260324;;;;;GTTB;4;2026-05-19</t>
  </si>
  <si>
    <t>13862475;21840654-a2a6-4568-9f50-d9525d284a4f;;111111118;Vodacom Life 20260324;;;;;GTTB;4;2026-05-19 16:47:44+02;Khensane Mabasa;2026-03-24 09:54:08+02;2026-03-24 09:54:08+02;;;;;;;;;27765859685;;;;;;;;prepaid life;;;;;</t>
  </si>
  <si>
    <t>ID_1381</t>
  </si>
  <si>
    <t>13862544;d0d6db6b-6dc1-4531-8462-1d6a328df067;;111111118;Vodacom Life 20260324;;;;;CBACK;2;2026-03-2</t>
  </si>
  <si>
    <t>13862544;d0d6db6b-6dc1-4531-8462-1d6a328df067;;111111118;Vodacom Life 20260324;;;;;CBACK;2;2026-03-26 11:00:23+02;Thandile Nokubeni;2026-03-24 09:54:08+02;2026-03-24 09:54:08+02;;;;;;;;;27607295625;;;;;;;;prepaid life;;;;;</t>
  </si>
  <si>
    <t>ID_1382</t>
  </si>
  <si>
    <t>13862476;cc2295cf-262b-4c90-8709-35e532733f56;;111111118;Vodacom Life 20260324;;;;;GTTB;1;2026-04-01</t>
  </si>
  <si>
    <t>13862476;cc2295cf-262b-4c90-8709-35e532733f56;;111111118;Vodacom Life 20260324;;;;;GTTB;1;2026-04-01 13:17:41+02;Esther Ramalete;2026-03-24 09:54:08+02;2026-03-24 09:54:08+02;;;;;;;;;27766310240;;;;;;;;prepaid life;;;;;</t>
  </si>
  <si>
    <t>ID_1383</t>
  </si>
  <si>
    <t>13862395;43ed3551-6d8d-4c57-8afd-c98c232588ab;;111111118;Vodacom Life 20260324;;;;;AA;5;2026-05-25 1</t>
  </si>
  <si>
    <t>13862395;43ed3551-6d8d-4c57-8afd-c98c232588ab;;111111118;Vodacom Life 20260324;;;;;AA;5;2026-05-25 10:15:34+02;system;2026-03-24 09:54:08+02;2026-03-24 09:54:08+02;;;;;;;;;27661766269;;;;;;;;prepaid life;;;;;</t>
  </si>
  <si>
    <t>ID_1384</t>
  </si>
  <si>
    <t>13862396;6c6d8fb8-77d1-4553-9701-403ef6d46fa9;;111111118;Vodacom Life 20260324;;;;;NA;5;2026-05-25 1</t>
  </si>
  <si>
    <t>13862396;6c6d8fb8-77d1-4553-9701-403ef6d46fa9;;111111118;Vodacom Life 20260324;;;;;NA;5;2026-05-25 10:15:35+02;system;2026-03-24 09:54:08+02;2026-03-24 09:54:08+02;;;;;;;;;27661950861;;;;;;;;prepaid life;;;;;</t>
  </si>
  <si>
    <t>ID_1385</t>
  </si>
  <si>
    <t>13862545;9a6b811d-0832-4dd2-a1f4-9b0ea5aaa094;;111111118;Vodacom Life 20260324;;;27607401843;;DROP;5</t>
  </si>
  <si>
    <t>13862545;9a6b811d-0832-4dd2-a1f4-9b0ea5aaa094;;111111118;Vodacom Life 20260324;;;27607401843;;DROP;5;2026-05-25 10:58:35+02;system;2026-03-24 09:54:08+02;2026-03-24 09:54:08+02;;;;;;;;;27607401843;;;;;;;;prepaid life;;;;;</t>
  </si>
  <si>
    <t>ID_1386</t>
  </si>
  <si>
    <t>13862477;d088b0af-1768-46ba-86d4-0d4695fb0756;;111111118;Vodacom Life 20260324;;;;;DROP;5;2026-05-25</t>
  </si>
  <si>
    <t>13862477;d088b0af-1768-46ba-86d4-0d4695fb0756;;111111118;Vodacom Life 20260324;;;;;DROP;5;2026-05-25 14:14:53+02;system;2026-03-24 09:54:08+02;2026-03-24 09:54:08+02;;;;;;;;;27766494907;;;;;;;;prepaid life;;;;;</t>
  </si>
  <si>
    <t>ID_1387</t>
  </si>
  <si>
    <t>13862546;884bf73f-123e-4875-b42e-873a84ed4747;;111111118;Vodacom Life 20260324;;;;;NA;5;2026-05-25 1</t>
  </si>
  <si>
    <t>13862546;884bf73f-123e-4875-b42e-873a84ed4747;;111111118;Vodacom Life 20260324;;;;;NA;5;2026-05-25 12:04:39+02;system;2026-03-24 09:54:08+02;2026-03-24 09:54:08+02;;;;;;;;;27607723477;;;;;;;;prepaid life;;;;;</t>
  </si>
  <si>
    <t>ID_1388</t>
  </si>
  <si>
    <t>13862478;b21ab442-77ba-413a-878f-b5d515683681;;111111118;Vodacom Life 20260324;;;;;AF;1;2026-04-01 1</t>
  </si>
  <si>
    <t>13862478;b21ab442-77ba-413a-878f-b5d515683681;;111111118;Vodacom Life 20260324;;;;;AF;1;2026-04-01 12:48:43+02;Seboifeng Mogola;2026-03-24 09:54:08+02;2026-03-24 09:54:08+02;;;;;;;;;27766568908;;;;;;;;prepaid life;;;;;</t>
  </si>
  <si>
    <t>ID_1389</t>
  </si>
  <si>
    <t>13862397;61de69f1-28fc-4183-a3a5-c8646722d54d;;111111118;Vodacom Life 20260324;;;;;AE;5;2026-05-25 1</t>
  </si>
  <si>
    <t>13862397;61de69f1-28fc-4183-a3a5-c8646722d54d;;111111118;Vodacom Life 20260324;;;;;AE;5;2026-05-25 11:22:13+02;system;2026-03-24 09:54:08+02;2026-03-24 09:54:08+02;;;;;;;;;27662760486;;;;;;;;prepaid life;;;;;</t>
  </si>
  <si>
    <t>ID_1390</t>
  </si>
  <si>
    <t>13862547;10512c9f-0202-4a60-99da-967a9f5cdc7d;;111111118;Vodacom Life 20260324;;;;;AA;5;2026-05-25 1</t>
  </si>
  <si>
    <t>13862547;10512c9f-0202-4a60-99da-967a9f5cdc7d;;111111118;Vodacom Life 20260324;;;;;AA;5;2026-05-25 12:04:39+02;system;2026-03-24 09:54:08+02;2026-03-24 09:54:08+02;;;;;;;;;27608699356;;;;;;;;prepaid life;;;;;</t>
  </si>
  <si>
    <t>ID_1391</t>
  </si>
  <si>
    <t>13862398;aff14eab-c04e-4890-8d5b-ab6a9a60c4b8;;111111118;Vodacom Life 20260324;;;;;U;2;2026-04-09 16</t>
  </si>
  <si>
    <t>13862398;aff14eab-c04e-4890-8d5b-ab6a9a60c4b8;;111111118;Vodacom Life 20260324;;;;;U;2;2026-04-09 16:12:48+02;Musiiwa Mary Mabirimisa;2026-03-24 09:54:08+02;2026-03-24 09:54:08+02;;;;;;;;;27663294539;;;;;;;;prepaid life;;;;;</t>
  </si>
  <si>
    <t>ID_1392</t>
  </si>
  <si>
    <t>13862479;a0265962-4f07-48bc-b099-ad9a2ee1356e;;111111118;Vodacom Life 20260324;;;;;NI;2;2026-03-25 1</t>
  </si>
  <si>
    <t>13862479;a0265962-4f07-48bc-b099-ad9a2ee1356e;;111111118;Vodacom Life 20260324;;;;;NI;2;2026-03-25 11:25:28+02;Esther Ramalete;2026-03-24 09:54:08+02;2026-03-24 09:54:08+02;;;;;;;;;27766613920;;;;;;;;prepaid life;;;;;</t>
  </si>
  <si>
    <t>ID_1393</t>
  </si>
  <si>
    <t>13862548;0a02b0d6-073c-4594-b815-68421e43bc75;;111111118;Vodacom Life 20260324;;;;;NI;2;2026-04-09 1</t>
  </si>
  <si>
    <t>13862548;0a02b0d6-073c-4594-b815-68421e43bc75;;111111118;Vodacom Life 20260324;;;;;NI;2;2026-04-09 15:24:16+02;Mahlatse Manamela;2026-03-24 09:54:08+02;2026-03-24 09:54:08+02;;;;;;;;;27608861969;;;;;;;;prepaid life;;;;;</t>
  </si>
  <si>
    <t>ID_1394</t>
  </si>
  <si>
    <t>13862480;bf6fd877-99c2-47ce-8caf-027fd77733b7;;111111118;Vodacom Life 20260324;;;27767505930;;U;6;20</t>
  </si>
  <si>
    <t>13862480;bf6fd877-99c2-47ce-8caf-027fd77733b7;;111111118;Vodacom Life 20260324;;;27767505930;;U;6;2026-05-25 11:13:39+02;Khensane Mabasa;2026-03-24 09:54:08+02;2026-03-24 09:54:08+02;;;;;;;;;27767505930;;;;;;;;prepaid life;;;;;</t>
  </si>
  <si>
    <t>ID_1395</t>
  </si>
  <si>
    <t>13862399;84ac8c13-2cf5-493a-9429-a2b740732ccc;;111111118;Vodacom Life 20260324;;;;;NA;5;2026-05-25 1</t>
  </si>
  <si>
    <t>13862399;84ac8c13-2cf5-493a-9429-a2b740732ccc;;111111118;Vodacom Life 20260324;;;;;NA;5;2026-05-25 11:22:15+02;system;2026-03-24 09:54:08+02;2026-03-24 09:54:08+02;;;;;;;;;27663428209;;;;;;;;prepaid life;;;;;</t>
  </si>
  <si>
    <t>ID_1396</t>
  </si>
  <si>
    <t>13862549;0de0b3d6-6578-497c-85de-546f2b602edc;;111111118;Vodacom Life 20260324;;;;;AA;5;2026-05-25 1</t>
  </si>
  <si>
    <t>13862549;0de0b3d6-6578-497c-85de-546f2b602edc;;111111118;Vodacom Life 20260324;;;;;AA;5;2026-05-25 12:04:46+02;system;2026-03-24 09:54:08+02;2026-03-24 09:54:08+02;;;;;;;;;27614032604;;;;;;;;prepaid life;;;;;</t>
  </si>
  <si>
    <t>ID_1397</t>
  </si>
  <si>
    <t>13862594;40db4d74-608c-432c-9b75-d4fd269785bf;;111111118;Vodacom Life 20260324;;;;;NI;3;2026-04-14 1</t>
  </si>
  <si>
    <t>13862594;40db4d74-608c-432c-9b75-d4fd269785bf;;111111118;Vodacom Life 20260324;;;;;NI;3;2026-04-14 11:32:18+02;Esther Ramalete;2026-03-24 09:54:08+02;2026-03-24 09:54:08+02;;;;;;;;;27720219112;;;;;;;;prepaid life;;;;;</t>
  </si>
  <si>
    <t>ID_1398</t>
  </si>
  <si>
    <t>13862481;f5444262-1658-4bdd-8608-f3a2eb6f657e;;111111118;Vodacom Life 20260324;;;;;AA;5;2026-05-25 1</t>
  </si>
  <si>
    <t>13862481;f5444262-1658-4bdd-8608-f3a2eb6f657e;;111111118;Vodacom Life 20260324;;;;;AA;5;2026-05-25 14:14:17+02;system;2026-03-24 09:54:08+02;2026-03-24 09:54:08+02;;;;;;;;;27767858022;;;;;;;;prepaid life;;;;;</t>
  </si>
  <si>
    <t>ID_1399</t>
  </si>
  <si>
    <t>13862550;02d9f7f7-d7ab-417e-80b8-5cf70e850b70;;111111118;Vodacom Life 20260324;;;;;NA;5;2026-05-25 1</t>
  </si>
  <si>
    <t>13862550;02d9f7f7-d7ab-417e-80b8-5cf70e850b70;;111111118;Vodacom Life 20260324;;;;;NA;5;2026-05-25 12:50:32+02;system;2026-03-24 09:54:08+02;2026-03-24 09:54:08+02;;;;;;;;;27636369360;;;;;;;;prepaid life;;;;;</t>
  </si>
  <si>
    <t>ID_1400</t>
  </si>
  <si>
    <t>13862482;d64733cc-c337-4dde-8b29-d3322efbc7f9;;111111118;Vodacom Life 20260324;;;;;CU;5;2026-04-14 1</t>
  </si>
  <si>
    <t>13862482;d64733cc-c337-4dde-8b29-d3322efbc7f9;;111111118;Vodacom Life 20260324;;;;;CU;5;2026-04-14 15:47:43+02;Thandile Nokubeni;2026-03-24 09:54:08+02;2026-03-24 09:54:08+02;;;;;;;;;27768183810;;;;;;;;prepaid life;;;;;</t>
  </si>
  <si>
    <t>ID_1401</t>
  </si>
  <si>
    <t>13862483;6b275171-9b6d-4ef0-af81-a4f1a7e118e5;;111111118;Vodacom Life 20260324;;;;;CBACK;1;2026-03-2</t>
  </si>
  <si>
    <t>13862483;6b275171-9b6d-4ef0-af81-a4f1a7e118e5;;111111118;Vodacom Life 20260324;;;;;CBACK;1;2026-03-25 11:15:33+02;Maureen Ntsoko;2026-03-24 09:54:08+02;2026-03-24 09:54:08+02;;;;;;;;;27768363008;;;;;;;;prepaid life;;;;;</t>
  </si>
  <si>
    <t>ID_1402</t>
  </si>
  <si>
    <t>13862595;943c35ec-db50-4c04-bbf3-aa4f61876baf;;111111118;Vodacom Life 20260324;;;;;AA;5;2026-05-22 1</t>
  </si>
  <si>
    <t>13862595;943c35ec-db50-4c04-bbf3-aa4f61876baf;;111111118;Vodacom Life 20260324;;;;;AA;5;2026-05-22 11:53:02+02;system;2026-03-24 09:54:08+02;2026-03-24 09:54:08+02;;;;;;;;;27720349887;;;;;;;;prepaid life;;;;;</t>
  </si>
  <si>
    <t>ID_1403</t>
  </si>
  <si>
    <t>13862551;65ced208-dd36-428c-83e8-6be078f36e51;;111111118;Vodacom Life 20260324;;;;;CBACK;5;2026-05-2</t>
  </si>
  <si>
    <t>13862551;65ced208-dd36-428c-83e8-6be078f36e51;;111111118;Vodacom Life 20260324;;;;;CBACK;5;2026-05-25 10:30:04+02;Maureen Ntsoko;2026-03-24 09:54:08+02;2026-03-24 09:54:08+02;;;;;;;;;27636393257;;;;;;;;prepaid life;;;;;</t>
  </si>
  <si>
    <t>ID_1404</t>
  </si>
  <si>
    <t>13862596;938126b0-003b-4c5b-ba9c-c18177c5c430;;111111118;Vodacom Life 20260324;;;;;CBACK;5;2026-05-2</t>
  </si>
  <si>
    <t>13862596;938126b0-003b-4c5b-ba9c-c18177c5c430;;111111118;Vodacom Life 20260324;;;;;CBACK;5;2026-05-21 10:45:12+02;Maureen Ntsoko;2026-03-24 09:54:08+02;2026-03-24 09:54:08+02;;;;;;;;;27720611509;;;;;;;;prepaid life;;;;;</t>
  </si>
  <si>
    <t>ID_1405</t>
  </si>
  <si>
    <t>13862597;a3a62c61-555d-4609-9dd3-c90cdc67bcc9;;111111118;Vodacom Life 20260324;;;;;AA;5;2026-05-22 1</t>
  </si>
  <si>
    <t>13862597;a3a62c61-555d-4609-9dd3-c90cdc67bcc9;;111111118;Vodacom Life 20260324;;;;;AA;5;2026-05-22 11:53:02+02;system;2026-03-24 09:54:08+02;2026-03-24 09:54:08+02;;;;;;;;;27721072030;;;;;;;;prepaid life;;;;;</t>
  </si>
  <si>
    <t>ID_1406</t>
  </si>
  <si>
    <t>13862484;c7a069da-c043-4708-8f4f-670f2ccf4e2a;;111111118;Vodacom Life 20260324;;;;;AA;5;2026-05-25 1</t>
  </si>
  <si>
    <t>13862484;c7a069da-c043-4708-8f4f-670f2ccf4e2a;;111111118;Vodacom Life 20260324;;;;;AA;5;2026-05-25 12:02:38+02;system;2026-03-24 09:54:08+02;2026-03-24 09:54:08+02;;;;;;;;;27768411390;;;;;;;;prepaid life;;;;;</t>
  </si>
  <si>
    <t>ID_1407</t>
  </si>
  <si>
    <t>13862552;93b4ea6b-f88c-4781-acfa-31e3a071520d;;111111118;Vodacom Life 20260324;;;;;CU;5;2026-05-25 1</t>
  </si>
  <si>
    <t>13862552;93b4ea6b-f88c-4781-acfa-31e3a071520d;;111111118;Vodacom Life 20260324;;;;;CU;5;2026-05-25 14:24:56+02;bongiwe lushaba;2026-03-24 09:54:08+02;2026-03-24 09:54:08+02;;;;;;;;;27636597604;;;;;;;;prepaid life;;;;;</t>
  </si>
  <si>
    <t>ID_1408</t>
  </si>
  <si>
    <t>13862485;146d995c-39c7-4220-8fbf-fe6f581a7289;;111111118;Vodacom Life 20260324;;;;;AA;5;2026-05-25 1</t>
  </si>
  <si>
    <t>13862485;146d995c-39c7-4220-8fbf-fe6f581a7289;;111111118;Vodacom Life 20260324;;;;;AA;5;2026-05-25 12:02:43+02;system;2026-03-24 09:54:08+02;2026-03-24 09:54:08+02;;;;;;;;;27768450002;;;;;;;;prepaid life;;;;;</t>
  </si>
  <si>
    <t>ID_1409</t>
  </si>
  <si>
    <t>13862598;86c5e90e-235d-44f7-8d91-9cc59b7bdede;;111111118;Vodacom Life 20260324;;;;;AA;5;2026-05-22 1</t>
  </si>
  <si>
    <t>13862598;86c5e90e-235d-44f7-8d91-9cc59b7bdede;;111111118;Vodacom Life 20260324;;;;;AA;5;2026-05-22 11:53:03+02;system;2026-03-24 09:54:08+02;2026-03-24 09:54:08+02;;;;;;;;;27721109101;;;;;;;;prepaid life;;;;;</t>
  </si>
  <si>
    <t>ID_1410</t>
  </si>
  <si>
    <t>13862553;decbd20f-33d8-4be8-85fc-0f937773d4e2;;111111118;Vodacom Life 20260324;;;;;NA;5;2026-05-25 1</t>
  </si>
  <si>
    <t>13862553;decbd20f-33d8-4be8-85fc-0f937773d4e2;;111111118;Vodacom Life 20260324;;;;;NA;5;2026-05-25 10:30:04+02;system;2026-03-24 09:54:08+02;2026-03-24 09:54:08+02;;;;;;;;;27637354420;;;;;;;;prepaid life;;;;;</t>
  </si>
  <si>
    <t>ID_1411</t>
  </si>
  <si>
    <t>13862599;d4bfde82-1e2b-42ab-9719-7cc2f14f2035;;111111118;Vodacom Life 20260324;;;;;AC;1;2026-03-26 1</t>
  </si>
  <si>
    <t>13862599;d4bfde82-1e2b-42ab-9719-7cc2f14f2035;;111111118;Vodacom Life 20260324;;;;;AC;1;2026-03-26 11:53:04+02;Esther Ramalete;2026-03-24 09:54:08+02;2026-03-24 09:54:08+02;;;;;;;;;27721809398;;;;;;;;prepaid life;;;;;</t>
  </si>
  <si>
    <t>ID_1412</t>
  </si>
  <si>
    <t>13862486;a2be80d7-ba64-4552-8bef-62daf402c908;;111111118;Vodacom Life 20260324;;;;;AE;5;2026-05-25 1</t>
  </si>
  <si>
    <t>13862486;a2be80d7-ba64-4552-8bef-62daf402c908;;111111118;Vodacom Life 20260324;;;;;AE;5;2026-05-25 14:29:33+02;system;2026-03-24 09:54:08+02;2026-03-24 09:54:08+02;;;;;;;;;27773708716;;;;;;;;prepaid life;;;;;</t>
  </si>
  <si>
    <t>ID_1413</t>
  </si>
  <si>
    <t>13862554;f908f747-acba-4e0b-bb23-914c08f840cd;;111111118;Vodacom Life 20260324;;;;;AA;5;2026-05-25 1</t>
  </si>
  <si>
    <t>13862554;f908f747-acba-4e0b-bb23-914c08f840cd;;111111118;Vodacom Life 20260324;;;;;AA;5;2026-05-25 10:30:05+02;system;2026-03-24 09:54:08+02;2026-03-24 09:54:08+02;;;;;;;;;27646377620;;;;;;;;prepaid life;;;;;</t>
  </si>
  <si>
    <t>ID_1414</t>
  </si>
  <si>
    <t>13862487;e7eb4cec-fac9-459d-a716-031619778c67;;111111118;Vodacom Life 20260324;;;;;CBACK;5;2026-05-2</t>
  </si>
  <si>
    <t>13862487;e7eb4cec-fac9-459d-a716-031619778c67;;111111118;Vodacom Life 20260324;;;;;CBACK;5;2026-05-25 14:28:18+02;Maureen Ntsoko;2026-03-24 09:54:08+02;2026-03-24 09:54:08+02;;;;;;;;;27774108892;;;;;;;;prepaid life;;;;;</t>
  </si>
  <si>
    <t>ID_1415</t>
  </si>
  <si>
    <t>13862600;7825e4f3-ecad-4d8c-a1e2-71aba23eb0b6;;111111118;Vodacom Life 20260324;;;;;AA;5;2026-05-25 0</t>
  </si>
  <si>
    <t>13862600;7825e4f3-ecad-4d8c-a1e2-71aba23eb0b6;;111111118;Vodacom Life 20260324;;;;;AA;5;2026-05-25 09:06:44+02;system;2026-03-24 09:54:08+02;2026-03-24 09:54:08+02;;;;;;;;;27721843566;;;;;;;;prepaid life;;;;;</t>
  </si>
  <si>
    <t>ID_1416</t>
  </si>
  <si>
    <t>13862601;a63e8605-dd7f-401a-b452-53e7640e3bfd;;111111118;Vodacom Life 20260324;;;27721906927;;A;5;20</t>
  </si>
  <si>
    <t>13862601;a63e8605-dd7f-401a-b452-53e7640e3bfd;;111111118;Vodacom Life 20260324;;;27721906927;;A;5;2026-05-25 11:03:48+02;bongiwe lushaba;2026-03-24 09:54:08+02;2026-03-24 09:54:08+02;;;;;;;;;27721906927;;;;;;;;prepaid life;;;;;</t>
  </si>
  <si>
    <t>ID_1417</t>
  </si>
  <si>
    <t>13862555;ddff2ae8-13ed-45d3-a647-bfdadb7dcac2;;111111118;Vodacom Life 20260324;;;;;NA;5;2026-05-25 1</t>
  </si>
  <si>
    <t>13862555;ddff2ae8-13ed-45d3-a647-bfdadb7dcac2;;111111118;Vodacom Life 20260324;;;;;NA;5;2026-05-25 10:30:59+02;system;2026-03-24 09:54:08+02;2026-03-24 09:54:08+02;;;;;;;;;27647074115;;;;;;;;prepaid life;;;;;</t>
  </si>
  <si>
    <t>ID_1418</t>
  </si>
  <si>
    <t>13862602;65c3a515-7425-4c76-bebd-2bd8e9c05ec9;;111111118;Vodacom Life 20260324;;;;;NI;3;2026-04-10 1</t>
  </si>
  <si>
    <t>13862602;65c3a515-7425-4c76-bebd-2bd8e9c05ec9;;111111118;Vodacom Life 20260324;;;;;NI;3;2026-04-10 11:46:51+02;Musiiwa Mary Mabirimisa;2026-03-24 09:54:08+02;2026-03-24 09:54:08+02;;;;;;;;;27722135109;;;;;;;;prepaid life;;;;;</t>
  </si>
  <si>
    <t>ID_1419</t>
  </si>
  <si>
    <t>13862556;3f74ea73-a29b-4d8c-8f6b-84c949183420;;111111118;Vodacom Life 20260324;;;;;NA;5;2026-05-25 0</t>
  </si>
  <si>
    <t>13862556;3f74ea73-a29b-4d8c-8f6b-84c949183420;;111111118;Vodacom Life 20260324;;;;;NA;5;2026-05-25 08:59:13+02;system;2026-03-24 09:54:08+02;2026-03-24 09:54:08+02;;;;;;;;;27647358749;;;;;;;;prepaid life;;;;;</t>
  </si>
  <si>
    <t>ID_1420</t>
  </si>
  <si>
    <t>13862489;5348d007-3247-412c-9536-95a1d8659013;;111111118;Vodacom Life 20260324;;;;;AA;5;2026-05-25 1</t>
  </si>
  <si>
    <t>13862489;5348d007-3247-412c-9536-95a1d8659013;;111111118;Vodacom Life 20260324;;;;;AA;5;2026-05-25 14:36:15+02;system;2026-03-24 09:54:08+02;2026-03-24 09:54:08+02;;;;;;;;;27790902768;;;;;;;;prepaid life;;;;;</t>
  </si>
  <si>
    <t>ID_1421</t>
  </si>
  <si>
    <t>13862557;25a305d2-ff0e-4b2d-9999-54442029179b;;111111118;Vodacom Life 20260324;;;;;DROP;5;2026-05-25</t>
  </si>
  <si>
    <t>13862557;25a305d2-ff0e-4b2d-9999-54442029179b;;111111118;Vodacom Life 20260324;;;;;DROP;5;2026-05-25 08:59:13+02;system;2026-03-24 09:54:08+02;2026-03-24 09:54:08+02;;;;;;;;;27647873363;;;;;;;;prepaid life;;;;;</t>
  </si>
  <si>
    <t>ID_1422</t>
  </si>
  <si>
    <t>13862604;6fd0d01d-f32d-4b6b-a380-74d2d92a3be4;;111111118;Vodacom Life 20260324;;;;;AE;5;2026-05-25 1</t>
  </si>
  <si>
    <t>13862604;6fd0d01d-f32d-4b6b-a380-74d2d92a3be4;;111111118;Vodacom Life 20260324;;;;;AE;5;2026-05-25 11:02:59+02;system;2026-03-24 09:54:08+02;2026-03-24 09:54:08+02;;;;;;;;;27722743925;;;;;;;;prepaid life;;;;;</t>
  </si>
  <si>
    <t>ID_1423</t>
  </si>
  <si>
    <t>13862490;7764ce36-c633-4408-9061-05a0eb42329b;;111111118;Vodacom Life 20260324;;;;;AA;5;2026-05-25 1</t>
  </si>
  <si>
    <t>13862490;7764ce36-c633-4408-9061-05a0eb42329b;;111111118;Vodacom Life 20260324;;;;;AA;5;2026-05-25 14:16:13+02;system;2026-03-24 09:54:08+02;2026-03-24 09:54:08+02;;;;;;;;;27791776476;;;;;;;;prepaid life;;;;;</t>
  </si>
  <si>
    <t>ID_1424</t>
  </si>
  <si>
    <t>13862558;acfc1e48-d665-4049-aa02-14806e8c80a3;;111111118;Vodacom Life 20260324;;;;;AE;5;2026-05-25 0</t>
  </si>
  <si>
    <t>13862558;acfc1e48-d665-4049-aa02-14806e8c80a3;;111111118;Vodacom Life 20260324;;;;;AE;5;2026-05-25 08:59:14+02;system;2026-03-24 09:54:08+02;2026-03-24 09:54:08+02;;;;;;;;;27647876859;;;;;;;;prepaid life;;;;;</t>
  </si>
  <si>
    <t>ID_1425</t>
  </si>
  <si>
    <t>13862491;79018ffa-09f1-45ed-b56e-1d9d82b322a6;;111111118;Vodacom Life 20260324;;;;;AA;5;2026-05-25 1</t>
  </si>
  <si>
    <t>13862491;79018ffa-09f1-45ed-b56e-1d9d82b322a6;;111111118;Vodacom Life 20260324;;;;;AA;5;2026-05-25 11:57:54+02;system;2026-03-24 09:54:08+02;2026-03-24 09:54:08+02;;;;;;;;;27792415712;;;;;;;;prepaid life;;;;;</t>
  </si>
  <si>
    <t>ID_1426</t>
  </si>
  <si>
    <t>13862605;f705c00c-ef55-4bc5-bab8-907dd9eb52c5;;111111118;Vodacom Life 20260324;;;;;AA;5;2026-05-25 1</t>
  </si>
  <si>
    <t>13862605;f705c00c-ef55-4bc5-bab8-907dd9eb52c5;;111111118;Vodacom Life 20260324;;;;;AA;5;2026-05-25 11:03:48+02;system;2026-03-24 09:54:08+02;2026-03-24 09:54:08+02;;;;;;;;;27723042761;;;;;;;;prepaid life;;;;;</t>
  </si>
  <si>
    <t>ID_1427</t>
  </si>
  <si>
    <t xml:space="preserve">13862559;eb8c87a3-4a36-4a24-a98d-22cf44b10cf7;;111111118;Vodacom Life 20260324;;;;;CCB;5;2026-05-25 </t>
  </si>
  <si>
    <t>13862559;eb8c87a3-4a36-4a24-a98d-22cf44b10cf7;;111111118;Vodacom Life 20260324;;;;;CCB;5;2026-05-25 08:59:14+02;Maureen Ntsoko;2026-03-24 09:54:08+02;2026-03-24 09:54:08+02;;;;;;;;;27648463994;;;;;;;;prepaid life;;;;;</t>
  </si>
  <si>
    <t>ID_1428</t>
  </si>
  <si>
    <t>13862606;4baf448e-2ff4-4c2e-80e9-cd173a76d415;;111111118;Vodacom Life 20260324;;;;;AA;5;2026-05-25 1</t>
  </si>
  <si>
    <t>13862606;4baf448e-2ff4-4c2e-80e9-cd173a76d415;;111111118;Vodacom Life 20260324;;;;;AA;5;2026-05-25 11:03:49+02;system;2026-03-24 09:54:08+02;2026-03-24 09:54:08+02;;;;;;;;;27723047009;;;;;;;;prepaid life;;;;;</t>
  </si>
  <si>
    <t>ID_1429</t>
  </si>
  <si>
    <t>13862560;b234d475-1db4-40fa-bf5c-1db7ae98b5b0;;111111118;Vodacom Life 20260324;;;;;AA;5;2026-05-25 0</t>
  </si>
  <si>
    <t>13862560;b234d475-1db4-40fa-bf5c-1db7ae98b5b0;;111111118;Vodacom Life 20260324;;;;;AA;5;2026-05-25 08:59:15+02;system;2026-03-24 09:54:08+02;2026-03-24 09:54:08+02;;;;;;;;;27649078929;;;;;;;;prepaid life;;;;;</t>
  </si>
  <si>
    <t>ID_1430</t>
  </si>
  <si>
    <t>13862492;a70b96ea-bab3-4904-8cf8-cc7be33fcca7;;111111118;Vodacom Life 20260324;;;27792925083;;IABDN;</t>
  </si>
  <si>
    <t>13862492;a70b96ea-bab3-4904-8cf8-cc7be33fcca7;;111111118;Vodacom Life 20260324;;;27792925083;;IABDN;5;2026-05-25 13:34:36+02;system;2026-03-24 09:54:08+02;2026-03-24 09:54:08+02;;;;;;;;;27792925083;;;;;;;;prepaid life;;;;;</t>
  </si>
  <si>
    <t>ID_1431</t>
  </si>
  <si>
    <t>13862561;9b1efe25-07d8-431b-a887-3708cc19bc32;;111111118;Vodacom Life 20260324;;;;;CBACK;3;2026-04-1</t>
  </si>
  <si>
    <t>13862561;9b1efe25-07d8-431b-a887-3708cc19bc32;;111111118;Vodacom Life 20260324;;;;;CBACK;3;2026-04-13 16:27:44+02;Millicent Motsuku;2026-03-24 09:54:08+02;2026-03-24 09:54:08+02;;;;;;;;;27649850025;;;;;;;;prepaid life;;;;;</t>
  </si>
  <si>
    <t>ID_1432</t>
  </si>
  <si>
    <t>13862607;664944fb-8dca-468e-b636-b18262c4eb11;;111111118;Vodacom Life 20260324;;;;;NI;4;2026-05-19 1</t>
  </si>
  <si>
    <t>13862607;664944fb-8dca-468e-b636-b18262c4eb11;;111111118;Vodacom Life 20260324;;;;;NI;4;2026-05-19 14:29:35+02;Maureen Ntsoko;2026-03-24 09:54:08+02;2026-03-24 09:54:08+02;;;;;;;;;27723323878;;;;;;;;prepaid life;;;;;</t>
  </si>
  <si>
    <t>ID_1433</t>
  </si>
  <si>
    <t>13862562;36a83f3e-53b2-4d13-8c16-d8d5cdc96571;;111111118;Vodacom Life 20260324;;;27660572149;;CU;5;2</t>
  </si>
  <si>
    <t>13862562;36a83f3e-53b2-4d13-8c16-d8d5cdc96571;;111111118;Vodacom Life 20260324;;;27660572149;;CU;5;2026-05-25 08:59:43+02;Maureen Ntsoko;2026-03-24 09:54:08+02;2026-03-24 09:54:08+02;;;;;;;;;27660572149;;;;;;;;prepaid life;;;;;</t>
  </si>
  <si>
    <t>ID_1434</t>
  </si>
  <si>
    <t>13862608;d04f7919-37ca-4f67-8beb-50a3bed26f49;;111111118;Vodacom Life 20260324;;;;;CU;5;2026-05-25 1</t>
  </si>
  <si>
    <t>13862608;d04f7919-37ca-4f67-8beb-50a3bed26f49;;111111118;Vodacom Life 20260324;;;;;CU;5;2026-05-25 14:28:17+02;bongiwe lushaba;2026-03-24 09:54:08+02;2026-03-24 09:54:08+02;;;;;;;;;27723586203;;;;;;;;prepaid life;;;;;</t>
  </si>
  <si>
    <t>ID_1435</t>
  </si>
  <si>
    <t>13862493;c58e9dae-3b7f-48f2-a1fa-2e9c926f25f2;;111111118;Vodacom Life 20260324;;;;;AA;5;2026-05-25 1</t>
  </si>
  <si>
    <t>13862493;c58e9dae-3b7f-48f2-a1fa-2e9c926f25f2;;111111118;Vodacom Life 20260324;;;;;AA;5;2026-05-25 11:41:04+02;system;2026-03-24 09:54:08+02;2026-03-24 09:54:08+02;;;;;;;;;27793086749;;;;;;;;prepaid life;;;;;</t>
  </si>
  <si>
    <t>ID_1436</t>
  </si>
  <si>
    <t>13862494;71da8898-4e53-4306-9830-4a2916b31ec5;;111111118;Vodacom Life 20260324;;;;;CU;5;2026-05-25 1</t>
  </si>
  <si>
    <t>13862494;71da8898-4e53-4306-9830-4a2916b31ec5;;111111118;Vodacom Life 20260324;;;;;CU;5;2026-05-25 11:41:36+02;Khensane Mabasa;2026-03-24 09:54:08+02;2026-03-24 09:54:08+02;;;;;;;;;27794465938;;;;;;;;prepaid life;;;;;</t>
  </si>
  <si>
    <t>ID_1437</t>
  </si>
  <si>
    <t>13862563;35189524-c082-4808-a976-c9643739fc99;;111111118;Vodacom Life 20260324;;;;;CBACK;2;2026-03-3</t>
  </si>
  <si>
    <t>13862563;35189524-c082-4808-a976-c9643739fc99;;111111118;Vodacom Life 20260324;;;;;CBACK;2;2026-03-30 12:53:09+02;Millicent Motsuku;2026-03-24 09:54:08+02;2026-03-24 09:54:08+02;;;;;;;;;27661669667;;;;;;;;prepaid life;;;;;</t>
  </si>
  <si>
    <t>ID_1438</t>
  </si>
  <si>
    <t>13862495;c8810496-013a-4daf-8c49-4f3c850c0020;;111111118;Vodacom Life 20260324;;;;;AA;5;2026-05-25 1</t>
  </si>
  <si>
    <t>13862495;c8810496-013a-4daf-8c49-4f3c850c0020;;111111118;Vodacom Life 20260324;;;;;AA;5;2026-05-25 11:41:46+02;system;2026-03-24 09:54:08+02;2026-03-24 09:54:08+02;;;;;;;;;27794598974;;;;;;;;prepaid life;;;;;</t>
  </si>
  <si>
    <t>ID_1439</t>
  </si>
  <si>
    <t>13862609;2be35db5-3f60-40bd-b9b4-8bdfece79a8f;;111111118;Vodacom Life 20260324;;;27724122099;;AA;5;2</t>
  </si>
  <si>
    <t>13862609;2be35db5-3f60-40bd-b9b4-8bdfece79a8f;;111111118;Vodacom Life 20260324;;;27724122099;;AA;5;2026-05-25 10:32:40+02;system;2026-03-24 09:54:08+02;2026-03-24 09:54:08+02;;;;;;;;;27724122099;;;;;;;;prepaid life;;;;;</t>
  </si>
  <si>
    <t>ID_1440</t>
  </si>
  <si>
    <t>13862564;1074524d-1d89-487f-bc8a-9db05b5e06ba;;111111118;Vodacom Life 20260324;;;;;AA;5;2026-05-25 0</t>
  </si>
  <si>
    <t>13862564;1074524d-1d89-487f-bc8a-9db05b5e06ba;;111111118;Vodacom Life 20260324;;;;;AA;5;2026-05-25 08:59:15+02;system;2026-03-24 09:54:08+02;2026-03-24 09:54:08+02;;;;;;;;;27661702591;;;;;;;;prepaid life;;;;;</t>
  </si>
  <si>
    <t>ID_1441</t>
  </si>
  <si>
    <t>13862610;638decaf-d073-4465-b49f-4550ecad051a;;111111118;Vodacom Life 20260324;;;27724191878;;IABDN;</t>
  </si>
  <si>
    <t>13862610;638decaf-d073-4465-b49f-4550ecad051a;;111111118;Vodacom Life 20260324;;;27724191878;;IABDN;6;2026-05-26 12:13:03+02;system;2026-03-24 09:54:08+02;2026-03-24 09:54:08+02;;;;;;;;;27724191878;;;;;;;;prepaid life;;;;;</t>
  </si>
  <si>
    <t>ID_1442</t>
  </si>
  <si>
    <t>13862565;70bf7e0a-2e9a-4d35-a5fd-f9b21ebf5344;;111111118;Vodacom Life 20260324;;;;;AE;5;2026-05-25 0</t>
  </si>
  <si>
    <t>13862565;70bf7e0a-2e9a-4d35-a5fd-f9b21ebf5344;;111111118;Vodacom Life 20260324;;;;;AE;5;2026-05-25 08:59:41+02;system;2026-03-24 09:54:08+02;2026-03-24 09:54:08+02;;;;;;;;;27663399591;;;;;;;;prepaid life;;;;;</t>
  </si>
  <si>
    <t>ID_1443</t>
  </si>
  <si>
    <t>13862611;80b9a5da-939e-4191-b086-5fd1e2fb03b8;;111111118;Vodacom Life 20260324;;;;;AA;5;2026-05-25 1</t>
  </si>
  <si>
    <t>13862611;80b9a5da-939e-4191-b086-5fd1e2fb03b8;;111111118;Vodacom Life 20260324;;;;;AA;5;2026-05-25 10:32:56+02;system;2026-03-24 09:54:08+02;2026-03-24 09:54:08+02;;;;;;;;;27724390531;;;;;;;;prepaid life;;;;;</t>
  </si>
  <si>
    <t>ID_1444</t>
  </si>
  <si>
    <t>13862496;9a49fe78-631b-493d-a89b-1ae84d477820;;111111118;Vodacom Life 20260324;;;;;AA;5;2026-05-25 1</t>
  </si>
  <si>
    <t>13862496;9a49fe78-631b-493d-a89b-1ae84d477820;;111111118;Vodacom Life 20260324;;;;;AA;5;2026-05-25 11:57:54+02;system;2026-03-24 09:54:08+02;2026-03-24 09:54:08+02;;;;;;;;;27795256610;;;;;;;;prepaid life;;;;;</t>
  </si>
  <si>
    <t>ID_1445</t>
  </si>
  <si>
    <t>13862691;0aeab52d-24c2-4f85-aa4f-cafd9b4e12d0;;111111118;Vodacom Life 20260324;;;;;NI;1;2026-03-26 1</t>
  </si>
  <si>
    <t>13862691;0aeab52d-24c2-4f85-aa4f-cafd9b4e12d0;;111111118;Vodacom Life 20260324;;;;;NI;1;2026-03-26 11:01:04+02;Maureen Ntsoko;2026-03-24 09:54:08+02;2026-03-24 09:54:08+02;;;;;;;;;27825148053;;;;;;;;prepaid life;;;;;</t>
  </si>
  <si>
    <t>ID_1446</t>
  </si>
  <si>
    <t>13862566;f825e378-deb4-43f5-9b6a-bcef268dce54;;111111118;Vodacom Life 20260324;;;;;AE;5;2026-05-25 0</t>
  </si>
  <si>
    <t>13862566;f825e378-deb4-43f5-9b6a-bcef268dce54;;111111118;Vodacom Life 20260324;;;;;AE;5;2026-05-25 08:59:56+02;system;2026-03-24 09:54:08+02;2026-03-24 09:54:08+02;;;;;;;;;27663921766;;;;;;;;prepaid life;;;;;</t>
  </si>
  <si>
    <t>ID_1447</t>
  </si>
  <si>
    <t>13862692;c1e83f78-e1f9-45ab-9eb2-fe05e80e46a5;;111111118;Vodacom Life 20260324;;;;;NI;1;2026-03-26 1</t>
  </si>
  <si>
    <t>13862692;c1e83f78-e1f9-45ab-9eb2-fe05e80e46a5;;111111118;Vodacom Life 20260324;;;;;NI;1;2026-03-26 11:01:24+02;Millicent Motsuku;2026-03-24 09:54:08+02;2026-03-24 09:54:08+02;;;;;;;;;27825331871;;;;;;;;prepaid life;;;;;</t>
  </si>
  <si>
    <t>ID_1448</t>
  </si>
  <si>
    <t>13862567;0c97f0db-78bb-4d10-a27e-1a88fc4fa8b8;;111111118;Vodacom Life 20260324;;;;;NI;1;2026-04-01 1</t>
  </si>
  <si>
    <t>13862567;0c97f0db-78bb-4d10-a27e-1a88fc4fa8b8;;111111118;Vodacom Life 20260324;;;;;NI;1;2026-04-01 13:56:43+02;Maureen Ntsoko;2026-03-24 09:54:08+02;2026-03-24 09:54:08+02;;;;;;;;;27664053652;;;;;;;;prepaid life;;;;;</t>
  </si>
  <si>
    <t>ID_1449</t>
  </si>
  <si>
    <t>13862568;86e1ddfe-68da-4997-a5aa-fd85893bbcc0;;111111118;Vodacom Life 20260324;;;;;CU;5;2026-05-25 0</t>
  </si>
  <si>
    <t>13862568;86e1ddfe-68da-4997-a5aa-fd85893bbcc0;;111111118;Vodacom Life 20260324;;;;;CU;5;2026-05-25 09:02:49+02;bongiwe lushaba;2026-03-24 09:54:08+02;2026-03-24 09:54:08+02;;;;;;;;;27664359179;;;;;;;;prepaid life;;;;;</t>
  </si>
  <si>
    <t>ID_1450</t>
  </si>
  <si>
    <t>13862693;f8c9e938-2dfd-40a2-90b8-16240099a8b6;;111111118;Vodacom Life 20260324;;;;;AE;5;2026-05-25 1</t>
  </si>
  <si>
    <t>13862693;f8c9e938-2dfd-40a2-90b8-16240099a8b6;;111111118;Vodacom Life 20260324;;;;;AE;5;2026-05-25 10:35:30+02;system;2026-03-24 09:54:08+02;2026-03-24 09:54:08+02;;;;;;;;;27826349191;;;;;;;;prepaid life;;;;;</t>
  </si>
  <si>
    <t>ID_1451</t>
  </si>
  <si>
    <t>13862612;749a58d2-17d0-4bea-a969-f0a911028473;;111111118;Vodacom Life 20260324;;;;;DROP;5;2026-05-25</t>
  </si>
  <si>
    <t>13862612;749a58d2-17d0-4bea-a969-f0a911028473;;111111118;Vodacom Life 20260324;;;;;DROP;5;2026-05-25 10:32:57+02;system;2026-03-24 09:54:08+02;2026-03-24 09:54:08+02;;;;;;;;;27724543686;;;;;;;;prepaid life;;;;;</t>
  </si>
  <si>
    <t>ID_1452</t>
  </si>
  <si>
    <t xml:space="preserve">13862613;7a713056-4bc1-454b-b4f6-2ce22e212bc4;;111111118;Vodacom Life 20260324;;;;;ADC;5;2026-05-25 </t>
  </si>
  <si>
    <t>13862613;7a713056-4bc1-454b-b4f6-2ce22e212bc4;;111111118;Vodacom Life 20260324;;;;;ADC;5;2026-05-25 10:33:04+02;system;2026-03-24 09:54:08+02;2026-03-24 09:54:08+02;;;;;;;;;27724752437;;;;;;;;prepaid life;;;;;</t>
  </si>
  <si>
    <t>ID_1453</t>
  </si>
  <si>
    <t>13862569;d9e8022c-0fb4-485e-be3b-ca456aea0bdc;;111111118;Vodacom Life 20260324;;;;;CU;5;2026-05-25 0</t>
  </si>
  <si>
    <t>13862569;d9e8022c-0fb4-485e-be3b-ca456aea0bdc;;111111118;Vodacom Life 20260324;;;;;CU;5;2026-05-25 09:06:38+02;bongiwe lushaba;2026-03-24 09:54:08+02;2026-03-24 09:54:08+02;;;;;;;;;27665087345;;;;;;;;prepaid life;;;;;</t>
  </si>
  <si>
    <t>ID_1454</t>
  </si>
  <si>
    <t>13862694;0c3afea7-d219-4bee-96e5-04c937e98a54;;111111118;Vodacom Life 20260324;;;;;AA;5;2026-05-25 1</t>
  </si>
  <si>
    <t>13862694;0c3afea7-d219-4bee-96e5-04c937e98a54;;111111118;Vodacom Life 20260324;;;;;AA;5;2026-05-25 10:36:21+02;system;2026-03-24 09:54:08+02;2026-03-24 09:54:08+02;;;;;;;;;27827520042;;;;;;;;prepaid life;;;;;</t>
  </si>
  <si>
    <t>ID_1455</t>
  </si>
  <si>
    <t>13862570;69045498-8443-4a00-8276-fb9b3d77781f;;111111118;Vodacom Life 20260324;;;;;AE;5;2026-05-25 1</t>
  </si>
  <si>
    <t>13862570;69045498-8443-4a00-8276-fb9b3d77781f;;111111118;Vodacom Life 20260324;;;;;AE;5;2026-05-25 10:30:59+02;system;2026-03-24 09:54:08+02;2026-03-24 09:54:08+02;;;;;;;;;27665308882;;;;;;;;prepaid life;;;;;</t>
  </si>
  <si>
    <t>ID_1456</t>
  </si>
  <si>
    <t xml:space="preserve">13862695;0d05c812-7dfc-409e-9584-49940e46be2b;;111111118;Vodacom Life 20260324;;;;;CCB;5;2026-05-25 </t>
  </si>
  <si>
    <t>13862695;0d05c812-7dfc-409e-9584-49940e46be2b;;111111118;Vodacom Life 20260324;;;;;CCB;5;2026-05-25 10:36:21+02;Khensane Mabasa;2026-03-24 09:54:08+02;2026-03-24 09:54:08+02;;;;;;;;;27827585044;;;;;;;;prepaid life;;;;;</t>
  </si>
  <si>
    <t>ID_1457</t>
  </si>
  <si>
    <t>13862614;194d4ab0-f5d2-4d1d-bd8b-52a6b4c2c90b;;111111118;Vodacom Life 20260324;;;;;U;3;2026-04-14 14</t>
  </si>
  <si>
    <t>13862614;194d4ab0-f5d2-4d1d-bd8b-52a6b4c2c90b;;111111118;Vodacom Life 20260324;;;;;U;3;2026-04-14 14:21:13+02;Thandile Nokubeni;2026-03-24 09:54:08+02;2026-03-24 09:54:08+02;;;;;;;;;27725328216;;;;;;;;prepaid life;;;;;</t>
  </si>
  <si>
    <t>ID_1458</t>
  </si>
  <si>
    <t>13862571;5c9f05e6-ddbf-47c6-9a3b-369a7f25beaf;;111111118;Vodacom Life 20260324;;;;;GTTB;2;2026-04-02</t>
  </si>
  <si>
    <t>13862571;5c9f05e6-ddbf-47c6-9a3b-369a7f25beaf;;111111118;Vodacom Life 20260324;;;;;GTTB;2;2026-04-02 12:06:26+02;Thandile Nokubeni;2026-03-24 09:54:08+02;2026-03-24 09:54:08+02;;;;;;;;;27665577499;;;;;;;;prepaid life;;;;;</t>
  </si>
  <si>
    <t>ID_1459</t>
  </si>
  <si>
    <t>13862615;814921b8-8d03-4461-90f1-08c6d8b28044;;111111118;Vodacom Life 20260324;;;;;AA;5;2026-05-25 1</t>
  </si>
  <si>
    <t>13862615;814921b8-8d03-4461-90f1-08c6d8b28044;;111111118;Vodacom Life 20260324;;;;;AA;5;2026-05-25 11:25:55+02;system;2026-03-24 09:54:08+02;2026-03-24 09:54:08+02;;;;;;;;;27725406118;;;;;;;;prepaid life;;;;;</t>
  </si>
  <si>
    <t>ID_1460</t>
  </si>
  <si>
    <t>13862696;f1e815e4-3a8b-4ab8-86d3-5bdfd264178b;;111111118;Vodacom Life 20260324;;;;;AA;5;2026-05-25 1</t>
  </si>
  <si>
    <t>13862696;f1e815e4-3a8b-4ab8-86d3-5bdfd264178b;;111111118;Vodacom Life 20260324;;;;;AA;5;2026-05-25 10:36:21+02;system;2026-03-24 09:54:08+02;2026-03-24 09:54:08+02;;;;;;;;;27828271973;;;;;;;;prepaid life;;;;;</t>
  </si>
  <si>
    <t>ID_1461</t>
  </si>
  <si>
    <t>13862572;b95aefd8-2990-44ae-8639-5cd9c115d90e;;111111118;Vodacom Life 20260324;;;;;CU;5;2026-05-25 1</t>
  </si>
  <si>
    <t>13862572;b95aefd8-2990-44ae-8639-5cd9c115d90e;;111111118;Vodacom Life 20260324;;;;;CU;5;2026-05-25 10:31:02+02;bongiwe lushaba;2026-03-24 09:54:08+02;2026-03-24 09:54:08+02;;;;;;;;;27665816740;;;;;;;;prepaid life;;;;;</t>
  </si>
  <si>
    <t>ID_1462</t>
  </si>
  <si>
    <t>13862697;db92f0c2-5eac-4d4a-9b73-bb2a6dff5b9d;;111111118;Vodacom Life 20260324;;;;;AA;5;2026-05-25 1</t>
  </si>
  <si>
    <t>13862697;db92f0c2-5eac-4d4a-9b73-bb2a6dff5b9d;;111111118;Vodacom Life 20260324;;;;;AA;5;2026-05-25 10:36:21+02;system;2026-03-24 09:54:08+02;2026-03-24 09:54:08+02;;;;;;;;;27828523878;;;;;;;;prepaid life;;;;;</t>
  </si>
  <si>
    <t>ID_1463</t>
  </si>
  <si>
    <t>13862616;590a6ffe-e1cb-457d-823f-8481dbe273e3;;111111118;Vodacom Life 20260324;;;;;U;2;2026-04-09 16</t>
  </si>
  <si>
    <t>13862616;590a6ffe-e1cb-457d-823f-8481dbe273e3;;111111118;Vodacom Life 20260324;;;;;U;2;2026-04-09 16:18:29+02;bongiwe lushaba;2026-03-24 09:54:08+02;2026-03-24 09:54:08+02;;;;;;;;;27725888026;;;;;;;;prepaid life;;;;;</t>
  </si>
  <si>
    <t>ID_1464</t>
  </si>
  <si>
    <t>13862573;63b23731-0e74-4ab5-a39f-7663c0a16c52;;111111118;Vodacom Life 20260324;;;;;AA;5;2026-05-25 1</t>
  </si>
  <si>
    <t>13862573;63b23731-0e74-4ab5-a39f-7663c0a16c52;;111111118;Vodacom Life 20260324;;;;;AA;5;2026-05-25 10:31:11+02;system;2026-03-24 09:54:08+02;2026-03-24 09:54:08+02;;;;;;;;;27665896203;;;;;;;;prepaid life;;;;;</t>
  </si>
  <si>
    <t>ID_1465</t>
  </si>
  <si>
    <t xml:space="preserve">13862617;4d3225ef-ddab-4186-ba2a-04f8d475fc92;;111111118;Vodacom Life 20260324;;;;;ADC;5;2026-05-25 </t>
  </si>
  <si>
    <t>13862617;4d3225ef-ddab-4186-ba2a-04f8d475fc92;;111111118;Vodacom Life 20260324;;;;;ADC;5;2026-05-25 14:35:33+02;system;2026-03-24 09:54:08+02;2026-03-24 09:54:08+02;;;;;;;;;27727726975;;;;;;;;prepaid life;;;;;</t>
  </si>
  <si>
    <t>ID_1466</t>
  </si>
  <si>
    <t>13862698;792f9d7b-cc6a-4f32-897a-7d8eb4806b5f;;111111118;Vodacom Life 20260324;;;;;DROP;5;2026-05-25</t>
  </si>
  <si>
    <t>13862698;792f9d7b-cc6a-4f32-897a-7d8eb4806b5f;;111111118;Vodacom Life 20260324;;;;;DROP;5;2026-05-25 09:44:21+02;system;2026-03-24 09:54:08+02;2026-03-24 09:54:08+02;;;;;;;;;27828629581;;;;;;;;prepaid life;;;;;</t>
  </si>
  <si>
    <t>ID_1467</t>
  </si>
  <si>
    <t xml:space="preserve">13862574;791d49aa-2b82-4f9c-aa27-da3287730e92;;111111118;Vodacom Life 20260324;;;;;ADC;5;2026-05-25 </t>
  </si>
  <si>
    <t>13862574;791d49aa-2b82-4f9c-aa27-da3287730e92;;111111118;Vodacom Life 20260324;;;;;ADC;5;2026-05-25 14:24:32+02;system;2026-03-24 09:54:08+02;2026-03-24 09:54:08+02;;;;;;;;;27673822962;;;;;;;;prepaid life;;;;;</t>
  </si>
  <si>
    <t>ID_1468</t>
  </si>
  <si>
    <t>13862699;f7fc43e3-494b-46b9-b4e1-05bfd8c07703;;111111118;Vodacom Life 20260324;;;;;NI;1;2026-03-26 1</t>
  </si>
  <si>
    <t>13862699;f7fc43e3-494b-46b9-b4e1-05bfd8c07703;;111111118;Vodacom Life 20260324;;;;;NI;1;2026-03-26 11:03:56+02;Mahlatse Manamela;2026-03-24 09:54:08+02;2026-03-24 09:54:08+02;;;;;;;;;27828855950;;;;;;;;prepaid life;;;;;</t>
  </si>
  <si>
    <t>ID_1469</t>
  </si>
  <si>
    <t>13862575;c0b57528-a309-43ce-a51e-bc59e86cdfc7;;111111118;Vodacom Life 20260324;;;;;AA;5;2026-05-25 1</t>
  </si>
  <si>
    <t>13862575;c0b57528-a309-43ce-a51e-bc59e86cdfc7;;111111118;Vodacom Life 20260324;;;;;AA;5;2026-05-25 14:24:33+02;system;2026-03-24 09:54:08+02;2026-03-24 09:54:08+02;;;;;;;;;27673999300;;;;;;;;prepaid life;;;;;</t>
  </si>
  <si>
    <t>ID_1470</t>
  </si>
  <si>
    <t>13862700;86d12b0a-5b77-402f-827d-da5e9188e299;;111111118;Vodacom Life 20260324;;;;;AA;5;2026-05-25 0</t>
  </si>
  <si>
    <t>13862700;86d12b0a-5b77-402f-827d-da5e9188e299;;111111118;Vodacom Life 20260324;;;;;AA;5;2026-05-25 09:44:30+02;system;2026-03-24 09:54:08+02;2026-03-24 09:54:08+02;;;;;;;;;27829390073;;;;;;;;prepaid life;;;;;</t>
  </si>
  <si>
    <t>ID_1471</t>
  </si>
  <si>
    <t>13862618;416a34c7-c955-4830-b74a-8f16734194c0;;111111118;Vodacom Life 20260324;;;;;DROP;5;2026-05-25</t>
  </si>
  <si>
    <t>13862618;416a34c7-c955-4830-b74a-8f16734194c0;;111111118;Vodacom Life 20260324;;;;;DROP;5;2026-05-25 11:25:55+02;system;2026-03-24 09:54:08+02;2026-03-24 09:54:08+02;;;;;;;;;27727836832;;;;;;;;prepaid life;;;;;</t>
  </si>
  <si>
    <t>ID_1472</t>
  </si>
  <si>
    <t>13862619;ff70476d-6ff6-4387-85f6-82cd3597243f;;111111118;Vodacom Life 20260324;;;;;AA;5;2026-05-25 1</t>
  </si>
  <si>
    <t>13862619;ff70476d-6ff6-4387-85f6-82cd3597243f;;111111118;Vodacom Life 20260324;;;;;AA;5;2026-05-25 11:11:37+02;system;2026-03-24 09:54:08+02;2026-03-24 09:54:08+02;;;;;;;;;27729070343;;;;;;;;prepaid life;;;;;</t>
  </si>
  <si>
    <t>ID_1473</t>
  </si>
  <si>
    <t>13862576;fbb03686-8327-4816-b3ef-13ffb27e2f7a;;111111118;Vodacom Life 20260324;;;;;NI;2;2026-04-09 1</t>
  </si>
  <si>
    <t>13862576;fbb03686-8327-4816-b3ef-13ffb27e2f7a;;111111118;Vodacom Life 20260324;;;;;NI;2;2026-04-09 15:26:02+02;Maureen Ntsoko;2026-03-24 09:54:08+02;2026-03-24 09:54:08+02;;;;;;;;;27675777528;;;;;;;;prepaid life;;;;;</t>
  </si>
  <si>
    <t>ID_1474</t>
  </si>
  <si>
    <t>13862701;84befb1f-77e7-4b26-bdd1-bd661ef1ab6b;;111111118;Vodacom Life 20260324;;;;;NI;3;2026-04-14 1</t>
  </si>
  <si>
    <t>13862701;84befb1f-77e7-4b26-bdd1-bd661ef1ab6b;;111111118;Vodacom Life 20260324;;;;;NI;3;2026-04-14 16:47:27+02;Thandile Nokubeni;2026-03-24 09:54:08+02;2026-03-24 09:54:08+02;;;;;;;;;27836445017;;;;;;;;prepaid life;;;;;</t>
  </si>
  <si>
    <t>ID_1475</t>
  </si>
  <si>
    <t>13862577;8a450aa4-01ca-41cf-ae81-cc5c92264d99;;111111118;Vodacom Life 20260324;;;;;AA;5;2026-05-25 1</t>
  </si>
  <si>
    <t>13862577;8a450aa4-01ca-41cf-ae81-cc5c92264d99;;111111118;Vodacom Life 20260324;;;;;AA;5;2026-05-25 14:17:45+02;system;2026-03-24 09:54:08+02;2026-03-24 09:54:08+02;;;;;;;;;27677935939;;;;;;;;prepaid life;;;;;</t>
  </si>
  <si>
    <t>ID_1476</t>
  </si>
  <si>
    <t>13862620;d0cbe2d0-8043-4f83-a74a-28c77bb2b053;;111111118;Vodacom Life 20260324;;;;;NA;5;2026-05-25 1</t>
  </si>
  <si>
    <t>13862620;d0cbe2d0-8043-4f83-a74a-28c77bb2b053;;111111118;Vodacom Life 20260324;;;;;NA;5;2026-05-25 14:29:32+02;system;2026-03-24 09:54:08+02;2026-03-24 09:54:08+02;;;;;;;;;27729142802;;;;;;;;prepaid life;;;;;</t>
  </si>
  <si>
    <t>ID_1477</t>
  </si>
  <si>
    <t>13862621;c5b8f038-7257-4062-9218-9d1a21c16243;;111111118;Vodacom Life 20260324;;;27729218248;;CBACK;</t>
  </si>
  <si>
    <t>13862621;c5b8f038-7257-4062-9218-9d1a21c16243;;111111118;Vodacom Life 20260324;;;27729218248;;CBACK;5;2026-05-25 12:01:21+02;Maureen Ntsoko;2026-03-24 09:54:08+02;2026-03-24 09:54:08+02;;;;;;;;;27729218248;;;;;;;;prepaid life;;;;;</t>
  </si>
  <si>
    <t>ID_1478</t>
  </si>
  <si>
    <t>13862578;fac994b5-d7ea-4898-9d2c-de11d65f2c0f;;111111118;Vodacom Life 20260324;;;;;CU;5;2026-05-25 1</t>
  </si>
  <si>
    <t>13862578;fac994b5-d7ea-4898-9d2c-de11d65f2c0f;;111111118;Vodacom Life 20260324;;;;;CU;5;2026-05-25 14:24:48+02;bongiwe lushaba;2026-03-24 09:54:08+02;2026-03-24 09:54:08+02;;;;;;;;;27681013878;;;;;;;;prepaid life;;;;;</t>
  </si>
  <si>
    <t>ID_1479</t>
  </si>
  <si>
    <t xml:space="preserve">13862622;346bec63-18ff-4063-a2f8-61aaf270057a;;111111118;Vodacom Life 20260324;;;;;OAL;5;2026-04-21 </t>
  </si>
  <si>
    <t>13862622;346bec63-18ff-4063-a2f8-61aaf270057a;;111111118;Vodacom Life 20260324;;;;;OAL;5;2026-04-21 08:40:01+02;Maureen Ntsoko;2026-03-24 09:54:08+02;2026-03-24 09:54:08+02;;;;;;;;;27729222982;;;;;;;;prepaid life;;;;;</t>
  </si>
  <si>
    <t>ID_1480</t>
  </si>
  <si>
    <t>13862702;8503737c-c4f2-4ce6-9054-2880aefe11f2;;111111118;Vodacom Life 20260324;;;;;AA;5;2026-05-25 1</t>
  </si>
  <si>
    <t>13862702;8503737c-c4f2-4ce6-9054-2880aefe11f2;;111111118;Vodacom Life 20260324;;;;;AA;5;2026-05-25 10:36:27+02;system;2026-03-24 09:54:08+02;2026-03-24 09:54:08+02;;;;;;;;;27843008247;;;;;;;;prepaid life;;;;;</t>
  </si>
  <si>
    <t>ID_1481</t>
  </si>
  <si>
    <t>13862579;bb83b999-51d0-42c0-b0ab-931dbeae62a4;;111111118;Vodacom Life 20260324;;;;;CBACK;3;2026-04-1</t>
  </si>
  <si>
    <t>13862579;bb83b999-51d0-42c0-b0ab-931dbeae62a4;;111111118;Vodacom Life 20260324;;;;;CBACK;3;2026-04-14 11:26:36+02;Thandile Nokubeni;2026-03-24 09:54:08+02;2026-03-24 09:54:08+02;;;;;;;;;27711138126;;;;;;;;prepaid life;;;;;</t>
  </si>
  <si>
    <t>ID_1482</t>
  </si>
  <si>
    <t>13862703;7af53f39-e94f-4fda-9ea2-6b40fef98b54;;111111118;Vodacom Life 20260324;;;;;NA;5;2026-05-25 0</t>
  </si>
  <si>
    <t>13862703;7af53f39-e94f-4fda-9ea2-6b40fef98b54;;111111118;Vodacom Life 20260324;;;;;NA;5;2026-05-25 09:07:47+02;system;2026-03-24 09:54:08+02;2026-03-24 09:54:08+02;;;;;;;;;27847321073;;;;;;;;prepaid life;;;;;</t>
  </si>
  <si>
    <t>ID_1483</t>
  </si>
  <si>
    <t>13862704;283712f5-7cd1-4f1b-a55c-9ab76d239429;;111111118;Vodacom Life 20260324;;;;;AE;5;2026-05-25 0</t>
  </si>
  <si>
    <t>13862704;283712f5-7cd1-4f1b-a55c-9ab76d239429;;111111118;Vodacom Life 20260324;;;;;AE;5;2026-05-25 09:07:51+02;system;2026-03-24 09:54:08+02;2026-03-24 09:54:08+02;;;;;;;;;27606373603;;;;;;;;prepaid life;;;;;</t>
  </si>
  <si>
    <t>ID_1484</t>
  </si>
  <si>
    <t>13862580;451fe783-6c1d-4e7a-b8db-608d8e7c44c8;;111111118;Vodacom Life 20260324;;;27711255159;;AA;5;2</t>
  </si>
  <si>
    <t>13862580;451fe783-6c1d-4e7a-b8db-608d8e7c44c8;;111111118;Vodacom Life 20260324;;;27711255159;;AA;5;2026-05-25 14:17:45+02;system;2026-03-24 09:54:08+02;2026-03-24 09:54:08+02;;;;;;;;;27711255159;;;;;;;;prepaid life;;;;;</t>
  </si>
  <si>
    <t>ID_1485</t>
  </si>
  <si>
    <t>13862705;d0c4b2d8-950c-4c58-9b3e-a18aa324a8ba;;111111118;Vodacom Life 20260324;;;;;NI;2;2026-04-01 1</t>
  </si>
  <si>
    <t>13862705;d0c4b2d8-950c-4c58-9b3e-a18aa324a8ba;;111111118;Vodacom Life 20260324;;;;;NI;2;2026-04-01 14:41:49+02;Musiiwa Mary Mabirimisa;2026-03-24 09:54:08+02;2026-03-24 09:54:08+02;;;;;;;;;27607702558;;;;;;;;prepaid life;;;;;</t>
  </si>
  <si>
    <t>ID_1486</t>
  </si>
  <si>
    <t>13862623;4394b061-d209-4a78-af3d-ec23e01d11c9;;111111118;Vodacom Life 20260324;;;;;AE;5;2026-05-25 1</t>
  </si>
  <si>
    <t>13862623;4394b061-d209-4a78-af3d-ec23e01d11c9;;111111118;Vodacom Life 20260324;;;;;AE;5;2026-05-25 11:58:45+02;system;2026-03-24 09:54:08+02;2026-03-24 09:54:08+02;;;;;;;;;27729767986;;;;;;;;prepaid life;;;;;</t>
  </si>
  <si>
    <t>ID_1487</t>
  </si>
  <si>
    <t>13862624;b8b21ce5-dbeb-4467-b579-21247775076b;;111111118;Vodacom Life 20260324;;;27734645580;;AE;5;2</t>
  </si>
  <si>
    <t>13862624;b8b21ce5-dbeb-4467-b579-21247775076b;;111111118;Vodacom Life 20260324;;;27734645580;;AE;5;2026-05-25 11:58:45+02;system;2026-03-24 09:54:08+02;2026-03-24 09:54:08+02;;;;;;;;;27734645580;;;;;;;;prepaid life;;;;;</t>
  </si>
  <si>
    <t>ID_1488</t>
  </si>
  <si>
    <t>13862581;934e14e5-5e59-436a-bab2-a7384923af4d;;111111118;Vodacom Life 20260324;;;;;CBACK;4;2026-05-2</t>
  </si>
  <si>
    <t>13862581;934e14e5-5e59-436a-bab2-a7384923af4d;;111111118;Vodacom Life 20260324;;;;;CBACK;4;2026-05-20 08:12:31+02;Khensane Mabasa;2026-03-24 09:54:08+02;2026-03-24 09:54:08+02;;;;;;;;;27711263707;;;;;;;;prepaid life;;;;;</t>
  </si>
  <si>
    <t>ID_1489</t>
  </si>
  <si>
    <t>13862706;8f5ab9be-97e2-4779-8840-3078cbceecf0;;111111118;Vodacom Life 20260324;;;;;AA;5;2026-05-25 0</t>
  </si>
  <si>
    <t>13862706;8f5ab9be-97e2-4779-8840-3078cbceecf0;;111111118;Vodacom Life 20260324;;;;;AA;5;2026-05-25 09:08:00+02;system;2026-03-24 09:54:08+02;2026-03-24 09:54:08+02;;;;;;;;;27608173391;;;;;;;;prepaid life;;;;;</t>
  </si>
  <si>
    <t>ID_1490</t>
  </si>
  <si>
    <t>13862582;e9fb78f2-fea6-4813-9926-f80d7addff3a;;111111118;Vodacom Life 20260324;;;;;AE;5;2026-05-25 1</t>
  </si>
  <si>
    <t>13862582;e9fb78f2-fea6-4813-9926-f80d7addff3a;;111111118;Vodacom Life 20260324;;;;;AE;5;2026-05-25 14:17:45+02;system;2026-03-24 09:54:08+02;2026-03-24 09:54:08+02;;;;;;;;;27712550288;;;;;;;;prepaid life;;;;;</t>
  </si>
  <si>
    <t>ID_1491</t>
  </si>
  <si>
    <t>13862707;f7d14d74-fb12-45d9-8691-3ba7189af1b6;;111111118;Vodacom Life 20260324;;;;;AA;5;2026-05-25 0</t>
  </si>
  <si>
    <t>13862707;f7d14d74-fb12-45d9-8691-3ba7189af1b6;;111111118;Vodacom Life 20260324;;;;;AA;5;2026-05-25 09:08:45+02;system;2026-03-24 09:54:08+02;2026-03-24 09:54:08+02;;;;;;;;;27608488411;;;;;;;;prepaid life;;;;;</t>
  </si>
  <si>
    <t>ID_1492</t>
  </si>
  <si>
    <t>13862625;36accbc5-6d64-423e-844e-40ccd65c48e9;;111111118;Vodacom Life 20260324;;;;;CU;5;2026-05-25 1</t>
  </si>
  <si>
    <t>13862625;36accbc5-6d64-423e-844e-40ccd65c48e9;;111111118;Vodacom Life 20260324;;;;;CU;5;2026-05-25 11:58:45+02;Khensane Mabasa;2026-03-24 09:54:08+02;2026-03-24 09:54:08+02;;;;;;;;;27734977385;;;;;;;;prepaid life;;;;;</t>
  </si>
  <si>
    <t>ID_1493</t>
  </si>
  <si>
    <t>13862626;a87f72fe-7580-4b72-89e1-49a3b0f2a239;;111111118;Vodacom Life 20260324;;;27760300667;;A;5;20</t>
  </si>
  <si>
    <t>13862626;a87f72fe-7580-4b72-89e1-49a3b0f2a239;;111111118;Vodacom Life 20260324;;;27760300667;;A;5;2026-05-25 11:44:53+02;bongiwe lushaba;2026-03-24 09:54:08+02;2026-03-24 09:54:08+02;;;;;;;;;27760300667;;;;;;;;prepaid life;;;;;</t>
  </si>
  <si>
    <t>ID_1494</t>
  </si>
  <si>
    <t>13862583;76937141-672d-4d00-872b-e330c31f8008;;111111118;Vodacom Life 20260324;;;;;NA;5;2026-05-25 1</t>
  </si>
  <si>
    <t>13862583;76937141-672d-4d00-872b-e330c31f8008;;111111118;Vodacom Life 20260324;;;;;NA;5;2026-05-25 12:38:11+02;system;2026-03-24 09:54:08+02;2026-03-24 09:54:08+02;;;;;;;;;27712573292;;;;;;;;prepaid life;;;;;</t>
  </si>
  <si>
    <t>ID_1495</t>
  </si>
  <si>
    <t>13862708;d0f5e060-f345-40f0-878a-3b6fbb88dc95;;111111118;Vodacom Life 20260324;;;;;DNCLIFE;2;2026-04</t>
  </si>
  <si>
    <t>13862708;d0f5e060-f345-40f0-878a-3b6fbb88dc95;;111111118;Vodacom Life 20260324;;;;;DNCLIFE;2;2026-04-09 16:19:52+02;Millicent Motsuku;2026-03-24 09:54:08+02;2026-03-24 09:54:08+02;;;;;;;;;27608763843;;;;;;;;prepaid life;;;;;</t>
  </si>
  <si>
    <t>ID_1496</t>
  </si>
  <si>
    <t>13862709;41a23cc1-5ac1-4812-bbd8-6f2b50acf374;;111111118;Vodacom Life 20260324;;;;;AA;5;2026-05-25 0</t>
  </si>
  <si>
    <t>13862709;41a23cc1-5ac1-4812-bbd8-6f2b50acf374;;111111118;Vodacom Life 20260324;;;;;AA;5;2026-05-25 09:08:45+02;system;2026-03-24 09:54:08+02;2026-03-24 09:54:08+02;;;;;;;;;27609348706;;;;;;;;prepaid life;;;;;</t>
  </si>
  <si>
    <t>ID_1497</t>
  </si>
  <si>
    <t>13862584;cd5f4315-4288-421f-8994-52c9a33be556;;111111118;Vodacom Life 20260324;;;;;AE;5;2026-05-25 1</t>
  </si>
  <si>
    <t>13862584;cd5f4315-4288-421f-8994-52c9a33be556;;111111118;Vodacom Life 20260324;;;;;AE;5;2026-05-25 14:17:45+02;system;2026-03-24 09:54:08+02;2026-03-24 09:54:08+02;;;;;;;;;27712739759;;;;;;;;prepaid life;;;;;</t>
  </si>
  <si>
    <t>ID_1498</t>
  </si>
  <si>
    <t>13862628;a0266779-fcab-47ef-be2f-dab787a9fd76;;111111118;Vodacom Life 20260324;;;;;AF;3;2026-04-14 1</t>
  </si>
  <si>
    <t>13862628;a0266779-fcab-47ef-be2f-dab787a9fd76;;111111118;Vodacom Life 20260324;;;;;AF;3;2026-04-14 12:12:50+02;Millicent Motsuku;2026-03-24 09:54:08+02;2026-03-24 09:54:08+02;;;;;;;;;27760492848;;;;;;;;prepaid life;;;;;</t>
  </si>
  <si>
    <t>ID_1499</t>
  </si>
  <si>
    <t>13862585;286205dc-0f42-43c5-9fdc-5528c7ea02e8;;111111118;Vodacom Life 20260324;;;;;SELECTED;1;;;2026</t>
  </si>
  <si>
    <t>13862585;286205dc-0f42-43c5-9fdc-5528c7ea02e8;;111111118;Vodacom Life 20260324;;;;;SELECTED;1;;;2026-03-24 09:54:08+02;2026-03-24 09:54:08+02;;;;;;;;;27712766282;;;;;;;;prepaid life;;;;;</t>
  </si>
  <si>
    <t>ID_1500</t>
  </si>
  <si>
    <t>13862629;1dd41d63-f58e-4c27-ada8-f7fd34f176c6;;111111118;Vodacom Life 20260324;;;;;CBACK;4;2026-05-2</t>
  </si>
  <si>
    <t>13862629;1dd41d63-f58e-4c27-ada8-f7fd34f176c6;;111111118;Vodacom Life 20260324;;;;;CBACK;4;2026-05-20 09:31:12+02;Maureen Ntsoko;2026-03-24 09:54:08+02;2026-03-24 09:54:08+02;;;;;;;;;27760976861;;;;;;;;prepaid life;;;;;</t>
  </si>
  <si>
    <t>ID_1501</t>
  </si>
  <si>
    <t>13862710;163c9645-e096-4eb6-9709-21edc86e69f1;;111111118;Vodacom Life 20260324;;;;;AA;5;2026-05-25 0</t>
  </si>
  <si>
    <t>13862710;163c9645-e096-4eb6-9709-21edc86e69f1;;111111118;Vodacom Life 20260324;;;;;AA;5;2026-05-25 09:09:02+02;system;2026-03-24 09:54:08+02;2026-03-24 09:54:08+02;;;;;;;;;27623437301;;;;;;;;prepaid life;;;;;</t>
  </si>
  <si>
    <t>ID_1502</t>
  </si>
  <si>
    <t>13862711;9b145d45-c4db-44f4-8ffa-d5022576e8e8;;111111118;Vodacom Life 20260324;;;;;AE;5;2026-05-25 0</t>
  </si>
  <si>
    <t>13862711;9b145d45-c4db-44f4-8ffa-d5022576e8e8;;111111118;Vodacom Life 20260324;;;;;AE;5;2026-05-25 09:09:16+02;system;2026-03-24 09:54:08+02;2026-03-24 09:54:08+02;;;;;;;;;27631605239;;;;;;;;prepaid life;;;;;</t>
  </si>
  <si>
    <t>ID_1503</t>
  </si>
  <si>
    <t>13862586;eb8d8628-6259-466f-ae28-3b1beb1fb5c5;;111111118;Vodacom Life 20260324;;;;;NA;5;2026-05-25 0</t>
  </si>
  <si>
    <t>13862586;eb8d8628-6259-466f-ae28-3b1beb1fb5c5;;111111118;Vodacom Life 20260324;;;;;NA;5;2026-05-25 09:00:47+02;system;2026-03-24 09:54:08+02;2026-03-24 09:54:08+02;;;;;;;;;27712873066;;;;;;;;prepaid life;;;;;</t>
  </si>
  <si>
    <t>ID_1504</t>
  </si>
  <si>
    <t>13862712;278cab7b-43b0-417b-bd2f-8cf0a775e919;;111111118;Vodacom Life 20260324;;;;;NA;5;2026-05-25 1</t>
  </si>
  <si>
    <t>13862712;278cab7b-43b0-417b-bd2f-8cf0a775e919;;111111118;Vodacom Life 20260324;;;;;NA;5;2026-05-25 11:06:02+02;system;2026-03-24 09:54:08+02;2026-03-24 09:54:08+02;;;;;;;;;27636509991;;;;;;;;prepaid life;;;;;</t>
  </si>
  <si>
    <t>ID_1505</t>
  </si>
  <si>
    <t>13862630;736359f4-9023-4c78-a470-f466b85f038f;;111111118;Vodacom Life 20260324;;;;;DROP;5;2026-05-25</t>
  </si>
  <si>
    <t>13862630;736359f4-9023-4c78-a470-f466b85f038f;;111111118;Vodacom Life 20260324;;;;;DROP;5;2026-05-25 11:44:01+02;system;2026-03-24 09:54:08+02;2026-03-24 09:54:08+02;;;;;;;;;27761569694;;;;;;;;prepaid life;;;;;</t>
  </si>
  <si>
    <t>ID_1506</t>
  </si>
  <si>
    <t>13862587;db67d0a8-cad9-4ba2-a980-894e2e8677db;;111111118;Vodacom Life 20260324;;;27712988610;;CU;5;2</t>
  </si>
  <si>
    <t>13862587;db67d0a8-cad9-4ba2-a980-894e2e8677db;;111111118;Vodacom Life 20260324;;;27712988610;;CU;5;2026-05-25 09:00:47+02;Maureen Ntsoko;2026-03-24 09:54:08+02;2026-03-24 09:54:08+02;;;;;;;;;27712988610;;;;;;;;prepaid life;;;;;</t>
  </si>
  <si>
    <t>ID_1507</t>
  </si>
  <si>
    <t>13862631;cb9a0f13-dc5c-4a4a-b592-38b15736fef0;;111111118;Vodacom Life 20260324;;;;;DROP;5;2026-05-25</t>
  </si>
  <si>
    <t>13862631;cb9a0f13-dc5c-4a4a-b592-38b15736fef0;;111111118;Vodacom Life 20260324;;;;;DROP;5;2026-05-25 11:58:47+02;system;2026-03-24 09:54:08+02;2026-03-24 09:54:08+02;;;;;;;;;27762362670;;;;;;;;prepaid life;;;;;</t>
  </si>
  <si>
    <t>ID_1508</t>
  </si>
  <si>
    <t>13862632;674b04f4-0fa9-47cc-b686-1d63fe0cd1b7;;111111118;Vodacom Life 20260324;;;;;DROP;5;2026-05-25</t>
  </si>
  <si>
    <t>13862632;674b04f4-0fa9-47cc-b686-1d63fe0cd1b7;;111111118;Vodacom Life 20260324;;;;;DROP;5;2026-05-25 11:58:49+02;system;2026-03-24 09:54:08+02;2026-03-24 09:54:08+02;;;;;;;;;27762483592;;;;;;;;prepaid life;;;;;</t>
  </si>
  <si>
    <t>ID_1509</t>
  </si>
  <si>
    <t>13862713;456a1cd4-89b7-48c7-a975-b86d13b7ce7b;;111111118;Vodacom Life 20260324;;;;;NA;5;2026-05-25 1</t>
  </si>
  <si>
    <t>13862713;456a1cd4-89b7-48c7-a975-b86d13b7ce7b;;111111118;Vodacom Life 20260324;;;;;NA;5;2026-05-25 11:45:49+02;system;2026-03-24 09:54:08+02;2026-03-24 09:54:08+02;;;;;;;;;27636515913;;;;;;;;prepaid life;;;;;</t>
  </si>
  <si>
    <t>ID_1510</t>
  </si>
  <si>
    <t>13862588;03db51bc-0e22-487f-a778-be4fecfcfe31;;111111118;Vodacom Life 20260324;;;;;AA;5;2026-05-22 1</t>
  </si>
  <si>
    <t>13862588;03db51bc-0e22-487f-a778-be4fecfcfe31;;111111118;Vodacom Life 20260324;;;;;AA;5;2026-05-22 11:53:01+02;system;2026-03-24 09:54:08+02;2026-03-24 09:54:08+02;;;;;;;;;27713272500;;;;;;;;prepaid life;;;;;</t>
  </si>
  <si>
    <t>ID_1511</t>
  </si>
  <si>
    <t>13862714;30572257-aae6-4db8-8640-a41448dd2a10;;111111118;Vodacom Life 20260324;;;;;DNCLIFE;2;2026-04</t>
  </si>
  <si>
    <t>13862714;30572257-aae6-4db8-8640-a41448dd2a10;;111111118;Vodacom Life 20260324;;;;;DNCLIFE;2;2026-04-09 16:20:36+02;Esther Ramalete;2026-03-24 09:54:08+02;2026-03-24 09:54:08+02;;;;;;;;;27637345090;;;;;;;;prepaid life;;;;;</t>
  </si>
  <si>
    <t>ID_1512</t>
  </si>
  <si>
    <t>13862633;77536432-b76c-4477-b1c1-c1c1dd417932;;111111118;Vodacom Life 20260324;;;;;DNQS;2;2026-04-10</t>
  </si>
  <si>
    <t>13862633;77536432-b76c-4477-b1c1-c1c1dd417932;;111111118;Vodacom Life 20260324;;;;;DNQS;2;2026-04-10 08:02:46+02;Maureen Ntsoko;2026-03-24 09:54:08+02;2026-03-24 09:54:08+02;;;;;;;;;27762539706;;;;;;;;prepaid life;;;;;</t>
  </si>
  <si>
    <t>ID_1513</t>
  </si>
  <si>
    <t>13862589;f0788acd-fb12-460a-ae0f-21a21c664e7e;;111111118;Vodacom Life 20260324;;;;;CU;5;2026-05-25 0</t>
  </si>
  <si>
    <t>13862589;f0788acd-fb12-460a-ae0f-21a21c664e7e;;111111118;Vodacom Life 20260324;;;;;CU;5;2026-05-25 09:00:55+02;Khensane Mabasa;2026-03-24 09:54:08+02;2026-03-24 09:54:08+02;;;;;;;;;27714447417;;;;;;;;prepaid life;;;;;</t>
  </si>
  <si>
    <t>ID_1514</t>
  </si>
  <si>
    <t>13862715;da5e6779-ee45-4d6e-bf44-9c0f0e917ca0;;111111118;Vodacom Life 20260324;;;;;NA;5;2026-05-25 1</t>
  </si>
  <si>
    <t>13862715;da5e6779-ee45-4d6e-bf44-9c0f0e917ca0;;111111118;Vodacom Life 20260324;;;;;NA;5;2026-05-25 11:45:49+02;system;2026-03-24 09:54:08+02;2026-03-24 09:54:08+02;;;;;;;;;27639336120;;;;;;;;prepaid life;;;;;</t>
  </si>
  <si>
    <t>ID_1515</t>
  </si>
  <si>
    <t>13862590;917a064b-dcad-4a08-a7c3-62aa670b3ed0;;111111118;Vodacom Life 20260324;;;;;CBACK;5;2026-05-2</t>
  </si>
  <si>
    <t>13862590;917a064b-dcad-4a08-a7c3-62aa670b3ed0;;111111118;Vodacom Life 20260324;;;;;CBACK;5;2026-05-22 11:53:01+02;Maureen Ntsoko;2026-03-24 09:54:08+02;2026-03-24 09:54:08+02;;;;;;;;;27715225638;;;;;;;;prepaid life;;;;;</t>
  </si>
  <si>
    <t>ID_1516</t>
  </si>
  <si>
    <t xml:space="preserve">13862716;d217782d-e3b7-4e0e-881c-b63bedb9ce02;;111111118;Vodacom Life 20260324;;;;;ADC;5;2026-05-25 </t>
  </si>
  <si>
    <t>13862716;d217782d-e3b7-4e0e-881c-b63bedb9ce02;;111111118;Vodacom Life 20260324;;;;;ADC;5;2026-05-25 11:45:49+02;system;2026-03-24 09:54:08+02;2026-03-24 09:54:08+02;;;;;;;;;27646062678;;;;;;;;prepaid life;;;;;</t>
  </si>
  <si>
    <t>ID_1517</t>
  </si>
  <si>
    <t>13862634;e23bdcf1-5c76-49ed-b733-00796217a4e3;;111111118;Vodacom Life 20260324;;;;;N;5;2026-05-19 14</t>
  </si>
  <si>
    <t>13862634;e23bdcf1-5c76-49ed-b733-00796217a4e3;;111111118;Vodacom Life 20260324;;;;;N;5;2026-05-19 14:03:56+02;Maureen Ntsoko;2026-03-24 09:54:08+02;2026-03-24 09:54:08+02;;;;;;;;;27762569525;;;;;;;;prepaid life;;;;;</t>
  </si>
  <si>
    <t>ID_1518</t>
  </si>
  <si>
    <t>13862635;6f219048-4325-4e34-bb5f-a3575fe77c99;;111111118;Vodacom Life 20260324;;;;;CU;5;2026-05-25 1</t>
  </si>
  <si>
    <t>13862635;6f219048-4325-4e34-bb5f-a3575fe77c99;;111111118;Vodacom Life 20260324;;;;;CU;5;2026-05-25 14:30:49+02;Maureen Ntsoko;2026-03-24 09:54:08+02;2026-03-24 09:54:08+02;;;;;;;;;27762805471;;;;;;;;prepaid life;;;;;</t>
  </si>
  <si>
    <t>ID_1519</t>
  </si>
  <si>
    <t>13862591;402dc78c-6a36-446a-b0ee-077a197bbf92;;111111118;Vodacom Life 20260324;;;;;NI;4;2026-04-13 1</t>
  </si>
  <si>
    <t>13862591;402dc78c-6a36-446a-b0ee-077a197bbf92;;111111118;Vodacom Life 20260324;;;;;NI;4;2026-04-13 10:54:37+02;Thandile Nokubeni;2026-03-24 09:54:08+02;2026-03-24 09:54:08+02;;;;;;;;;27715876440;;;;;;;;prepaid life;;;;;</t>
  </si>
  <si>
    <t>ID_1520</t>
  </si>
  <si>
    <t>13862636;3571e99c-068e-42f9-8cdb-7953abd52a14;;111111118;Vodacom Life 20260324;;;;;A;5;2026-05-25 14</t>
  </si>
  <si>
    <t>13862636;3571e99c-068e-42f9-8cdb-7953abd52a14;;111111118;Vodacom Life 20260324;;;;;A;5;2026-05-25 14:37:36+02;Khensane Mabasa;2026-03-24 09:54:08+02;2026-03-24 09:54:08+02;;;;;;;;;27763878331;;;;;;;;prepaid life;;;;;</t>
  </si>
  <si>
    <t>ID_1521</t>
  </si>
  <si>
    <t>13862717;c3ffff53-ff97-42db-bc4a-8747d75465ed;;111111118;Vodacom Life 20260324;;;;;DROP;5;2026-05-25</t>
  </si>
  <si>
    <t>13862717;c3ffff53-ff97-42db-bc4a-8747d75465ed;;111111118;Vodacom Life 20260324;;;;;DROP;5;2026-05-25 11:46:06+02;system;2026-03-24 09:54:08+02;2026-03-24 09:54:08+02;;;;;;;;;27646203044;;;;;;;;prepaid life;;;;;</t>
  </si>
  <si>
    <t>ID_1522</t>
  </si>
  <si>
    <t>13862592;ce3740ea-d23c-4c42-9d12-951cc2602314;;111111118;Vodacom Life 20260324;;;;;AA;5;2026-05-22 1</t>
  </si>
  <si>
    <t>13862592;ce3740ea-d23c-4c42-9d12-951cc2602314;;111111118;Vodacom Life 20260324;;;;;AA;5;2026-05-22 11:53:02+02;system;2026-03-24 09:54:08+02;2026-03-24 09:54:08+02;;;;;;;;;27715888638;;;;;;;;prepaid life;;;;;</t>
  </si>
  <si>
    <t>ID_1523</t>
  </si>
  <si>
    <t>13862718;38ebecb7-ad54-46a4-83a0-800c386af05c;;111111118;Vodacom Life 20260324;;;;;AA;5;2026-05-25 1</t>
  </si>
  <si>
    <t>13862718;38ebecb7-ad54-46a4-83a0-800c386af05c;;111111118;Vodacom Life 20260324;;;;;AA;5;2026-05-25 11:46:46+02;system;2026-03-24 09:54:08+02;2026-03-24 09:54:08+02;;;;;;;;;27646204998;;;;;;;;prepaid life;;;;;</t>
  </si>
  <si>
    <t>ID_1524</t>
  </si>
  <si>
    <t>13862637;da4fa841-c072-4677-be8d-4e90b71aa108;;111111118;Vodacom Life 20260324;;;;;NA;5;2026-05-25 1</t>
  </si>
  <si>
    <t>13862637;da4fa841-c072-4677-be8d-4e90b71aa108;;111111118;Vodacom Life 20260324;;;;;NA;5;2026-05-25 14:35:51+02;system;2026-03-24 09:54:08+02;2026-03-24 09:54:08+02;;;;;;;;;27763979642;;;;;;;;prepaid life;;;;;</t>
  </si>
  <si>
    <t>ID_1525</t>
  </si>
  <si>
    <t>13862593;4f090d32-d9c1-4f3b-804c-c2e3bda5d6bc;;111111118;Vodacom Life 20260324;;;;;AE;5;2026-05-22 1</t>
  </si>
  <si>
    <t>13862593;4f090d32-d9c1-4f3b-804c-c2e3bda5d6bc;;111111118;Vodacom Life 20260324;;;;;AE;5;2026-05-22 11:53:02+02;system;2026-03-24 09:54:08+02;2026-03-24 09:54:08+02;;;;;;;;;27720219012;;;;;;;;prepaid life;;;;;</t>
  </si>
  <si>
    <t>ID_1526</t>
  </si>
  <si>
    <t>13862638;06ca8e98-852b-454d-9a47-f8d3b4a29ee9;;111111118;Vodacom Life 20260324;;;;;AA;5;2026-05-25 1</t>
  </si>
  <si>
    <t>13862638;06ca8e98-852b-454d-9a47-f8d3b4a29ee9;;111111118;Vodacom Life 20260324;;;;;AA;5;2026-05-25 14:36:08+02;system;2026-03-24 09:54:08+02;2026-03-24 09:54:08+02;;;;;;;;;27764117632;;;;;;;;prepaid life;;;;;</t>
  </si>
  <si>
    <t>ID_1527</t>
  </si>
  <si>
    <t>13862719;cbf187ec-1e4b-4151-a566-d0263ffda18a;;111111118;Vodacom Life 20260324;;;;;AC;3;2026-04-15 1</t>
  </si>
  <si>
    <t>13862719;cbf187ec-1e4b-4151-a566-d0263ffda18a;;111111118;Vodacom Life 20260324;;;;;AC;3;2026-04-15 11:55:55+02;Thandile Nokubeni;2026-03-24 09:54:08+02;2026-03-24 09:54:08+02;;;;;;;;;27646261803;;;;;;;;prepaid life;;;;;</t>
  </si>
  <si>
    <t>ID_1528</t>
  </si>
  <si>
    <t>13862788;6189a10c-844f-4fab-909b-4839c83137a3;;111111118;Vodacom Life 20260324;;;;;AA;5;2026-05-25 0</t>
  </si>
  <si>
    <t>13862788;6189a10c-844f-4fab-909b-4839c83137a3;;111111118;Vodacom Life 20260324;;;;;AA;5;2026-05-25 09:11:56+02;system;2026-03-24 09:54:08+02;2026-03-24 09:54:08+02;;;;;;;;;27742743056;;;;;;;;prepaid life;;;;;</t>
  </si>
  <si>
    <t>ID_1529</t>
  </si>
  <si>
    <t>13862639;93f6912e-0004-4580-9f63-e2c14844693b;;111111118;Vodacom Life 20260324;;;;;NI;5;2026-05-25 1</t>
  </si>
  <si>
    <t>13862639;93f6912e-0004-4580-9f63-e2c14844693b;;111111118;Vodacom Life 20260324;;;;;NI;5;2026-05-25 11:27:30+02;Maureen Ntsoko;2026-03-24 09:54:08+02;2026-03-24 09:54:08+02;;;;;;;;;27764328609;;;;;;;;prepaid life;;;;;</t>
  </si>
  <si>
    <t>ID_1530</t>
  </si>
  <si>
    <t>13862789;9d03640d-11e2-450b-a561-2e82d3612339;;111111118;Vodacom Life 20260324;;;;;CU;5;2026-05-25 0</t>
  </si>
  <si>
    <t>13862789;9d03640d-11e2-450b-a561-2e82d3612339;;111111118;Vodacom Life 20260324;;;;;CU;5;2026-05-25 09:11:56+02;Khensane Mabasa;2026-03-24 09:54:08+02;2026-03-24 09:54:08+02;;;;;;;;;27746565635;;;;;;;;prepaid life;;;;;</t>
  </si>
  <si>
    <t>ID_1531</t>
  </si>
  <si>
    <t>13862640;bd75300d-2cad-420d-bb9b-1d999234f737;;111111118;Vodacom Life 20260324;;;;;AA;5;2026-05-25 1</t>
  </si>
  <si>
    <t>13862640;bd75300d-2cad-420d-bb9b-1d999234f737;;111111118;Vodacom Life 20260324;;;;;AA;5;2026-05-25 12:47:29+02;system;2026-03-24 09:54:08+02;2026-03-24 09:54:08+02;;;;;;;;;27764688516;;;;;;;;prepaid life;;;;;</t>
  </si>
  <si>
    <t>ID_1532</t>
  </si>
  <si>
    <t>13862720;3daef93f-d455-487a-9253-8d75b2902898;;111111118;Vodacom Life 20260324;;;;;AA;5;2026-05-25 1</t>
  </si>
  <si>
    <t>13862720;3daef93f-d455-487a-9253-8d75b2902898;;111111118;Vodacom Life 20260324;;;;;AA;5;2026-05-25 11:46:46+02;system;2026-03-24 09:54:08+02;2026-03-24 09:54:08+02;;;;;;;;;27647419615;;;;;;;;prepaid life;;;;;</t>
  </si>
  <si>
    <t>ID_1533</t>
  </si>
  <si>
    <t>13862721;49a75ee9-be12-4c15-a0fc-1dc131529104;;111111118;Vodacom Life 20260324;;;;;DROP;5;2026-05-25</t>
  </si>
  <si>
    <t>13862721;49a75ee9-be12-4c15-a0fc-1dc131529104;;111111118;Vodacom Life 20260324;;;;;DROP;5;2026-05-25 12:05:17+02;system;2026-03-24 09:54:08+02;2026-03-24 09:54:08+02;;;;;;;;;27647922976;;;;;;;;prepaid life;;;;;</t>
  </si>
  <si>
    <t>ID_1534</t>
  </si>
  <si>
    <t>13862641;b883d795-36bd-4062-af06-7b5af41ff04b;;111111118;Vodacom Life 20260324;;;;;AA;5;2026-05-25 1</t>
  </si>
  <si>
    <t>13862641;b883d795-36bd-4062-af06-7b5af41ff04b;;111111118;Vodacom Life 20260324;;;;;AA;5;2026-05-25 12:48:50+02;system;2026-03-24 09:54:08+02;2026-03-24 09:54:08+02;;;;;;;;;27764725345;;;;;;;;prepaid life;;;;;</t>
  </si>
  <si>
    <t>ID_1535</t>
  </si>
  <si>
    <t>13862791;075643f6-5490-4302-a58d-f9dcee903f27;;111111118;Vodacom Life 20260324;;;;;NIUP;1;2026-03-30</t>
  </si>
  <si>
    <t>13862791;075643f6-5490-4302-a58d-f9dcee903f27;;111111118;Vodacom Life 20260324;;;;;NIUP;1;2026-03-30 12:04:36+02;Seboifeng Mogola;2026-03-24 09:54:08+02;2026-03-24 09:54:08+02;;;;;;;;;27760276317;;;;;;;;prepaid life;;;;;</t>
  </si>
  <si>
    <t>ID_1536</t>
  </si>
  <si>
    <t>13862642;d1b25fbd-4631-4123-904f-3b282cb34925;;111111118;Vodacom Life 20260324;;;;;NA;5;2026-05-25 1</t>
  </si>
  <si>
    <t>13862642;d1b25fbd-4631-4123-904f-3b282cb34925;;111111118;Vodacom Life 20260324;;;;;NA;5;2026-05-25 11:04:31+02;system;2026-03-24 09:54:08+02;2026-03-24 09:54:08+02;;;;;;;;;27764870951;;;;;;;;prepaid life;;;;;</t>
  </si>
  <si>
    <t>ID_1537</t>
  </si>
  <si>
    <t>13862722;ed014e2b-3002-4c87-b70d-282b9d93a07f;;111111118;Vodacom Life 20260324;;;;;DROP;5;2026-05-25</t>
  </si>
  <si>
    <t>13862722;ed014e2b-3002-4c87-b70d-282b9d93a07f;;111111118;Vodacom Life 20260324;;;;;DROP;5;2026-05-25 12:05:17+02;system;2026-03-24 09:54:08+02;2026-03-24 09:54:08+02;;;;;;;;;27649342565;;;;;;;;prepaid life;;;;;</t>
  </si>
  <si>
    <t>ID_1538</t>
  </si>
  <si>
    <t>13862723;9070c077-007e-44b5-aeec-6767597dd61a;;111111118;Vodacom Life 20260324;;;;;CBACK;3;2026-04-1</t>
  </si>
  <si>
    <t>13862723;9070c077-007e-44b5-aeec-6767597dd61a;;111111118;Vodacom Life 20260324;;;;;CBACK;3;2026-04-15 11:37:27+02;bongiwe lushaba;2026-03-24 09:54:08+02;2026-03-24 09:54:08+02;;;;;;;;;27649479068;;;;;;;;prepaid life;;;;;</t>
  </si>
  <si>
    <t>ID_1539</t>
  </si>
  <si>
    <t>13862792;3dd591b4-257c-4f82-b31d-8d221b5864ff;;111111118;Vodacom Life 20260324;;;27760615836;;CU;5;2</t>
  </si>
  <si>
    <t>13862792;3dd591b4-257c-4f82-b31d-8d221b5864ff;;111111118;Vodacom Life 20260324;;;27760615836;;CU;5;2026-05-25 09:12:34+02;Maureen Ntsoko;2026-03-24 09:54:08+02;2026-03-24 09:54:08+02;;;;;;;;;27760615836;;;;;;;;prepaid life;;;;;</t>
  </si>
  <si>
    <t>ID_1540</t>
  </si>
  <si>
    <t>13862724;292e0231-c0e4-4e26-b79b-fffb98779f52;;111111118;Vodacom Life 20260324;;;;;AA;5;2026-05-25 1</t>
  </si>
  <si>
    <t>13862724;292e0231-c0e4-4e26-b79b-fffb98779f52;;111111118;Vodacom Life 20260324;;;;;AA;5;2026-05-25 12:47:56+02;system;2026-03-24 09:54:08+02;2026-03-24 09:54:08+02;;;;;;;;;27649515385;;;;;;;;prepaid life;;;;;</t>
  </si>
  <si>
    <t>ID_1541</t>
  </si>
  <si>
    <t>13862643;f4286db5-3c89-46fd-94ac-80abd4671aab;;111111118;Vodacom Life 20260324;;;;;NI;2;2026-04-09 1</t>
  </si>
  <si>
    <t>13862643;f4286db5-3c89-46fd-94ac-80abd4671aab;;111111118;Vodacom Life 20260324;;;;;NI;2;2026-04-09 15:29:52+02;Esther Ramalete;2026-03-24 09:54:08+02;2026-03-24 09:54:08+02;;;;;;;;;27765650984;;;;;;;;prepaid life;;;;;</t>
  </si>
  <si>
    <t>ID_1542</t>
  </si>
  <si>
    <t>13862793;dce47cbe-ddc9-4edd-a85f-21b3feecfb26;;111111118;Vodacom Life 20260324;;;27760802791;;DROP;5</t>
  </si>
  <si>
    <t>13862793;dce47cbe-ddc9-4edd-a85f-21b3feecfb26;;111111118;Vodacom Life 20260324;;;27760802791;;DROP;5;2026-05-25 09:12:34+02;system;2026-03-24 09:54:08+02;2026-03-24 09:54:08+02;;;;;;;;;27760802791;;;;;;;;prepaid life;;;;;</t>
  </si>
  <si>
    <t>ID_1543</t>
  </si>
  <si>
    <t>13862644;0a28e2ab-c9ea-43d5-8727-5f8b062615a9;;111111118;Vodacom Life 20260324;;;;;A;5;2026-05-25 11</t>
  </si>
  <si>
    <t>13862644;0a28e2ab-c9ea-43d5-8727-5f8b062615a9;;111111118;Vodacom Life 20260324;;;;;A;5;2026-05-25 11:04:51+02;bongiwe lushaba;2026-03-24 09:54:08+02;2026-03-24 09:54:08+02;;;;;;;;;27765746976;;;;;;;;prepaid life;;;;;</t>
  </si>
  <si>
    <t>ID_1544</t>
  </si>
  <si>
    <t>13862645;7928c74a-b6cf-4fc4-9272-6a7bb7bb61b6;;111111118;Vodacom Life 20260324;;;;;NA;5;2026-05-25 0</t>
  </si>
  <si>
    <t>13862645;7928c74a-b6cf-4fc4-9272-6a7bb7bb61b6;;111111118;Vodacom Life 20260324;;;;;NA;5;2026-05-25 09:03:52+02;system;2026-03-24 09:54:08+02;2026-03-24 09:54:08+02;;;;;;;;;27765843477;;;;;;;;prepaid life;;;;;</t>
  </si>
  <si>
    <t>ID_1545</t>
  </si>
  <si>
    <t xml:space="preserve">13862646;2a9e79cb-caef-4edb-becb-a052bb84eba0;;111111118;Vodacom Life 20260324;;;;;ADC;5;2026-05-25 </t>
  </si>
  <si>
    <t>13862646;2a9e79cb-caef-4edb-becb-a052bb84eba0;;111111118;Vodacom Life 20260324;;;;;ADC;5;2026-05-25 09:03:53+02;system;2026-03-24 09:54:08+02;2026-03-24 09:54:08+02;;;;;;;;;27766288206;;;;;;;;prepaid life;;;;;</t>
  </si>
  <si>
    <t>ID_1546</t>
  </si>
  <si>
    <t>13862725;7d565f72-3e15-4c9d-93b1-8daa0b10c5d3;;111111118;Vodacom Life 20260324;;;;;AA;5;2026-05-25 1</t>
  </si>
  <si>
    <t>13862725;7d565f72-3e15-4c9d-93b1-8daa0b10c5d3;;111111118;Vodacom Life 20260324;;;;;AA;5;2026-05-25 12:47:56+02;system;2026-03-24 09:54:08+02;2026-03-24 09:54:08+02;;;;;;;;;27649698834;;;;;;;;prepaid life;;;;;</t>
  </si>
  <si>
    <t>ID_1547</t>
  </si>
  <si>
    <t>13862726;fb039be1-5298-4f01-8374-f442a21fe06c;;111111118;Vodacom Life 20260324;;;;;NA;5;2026-05-25 1</t>
  </si>
  <si>
    <t>13862726;fb039be1-5298-4f01-8374-f442a21fe06c;;111111118;Vodacom Life 20260324;;;;;NA;5;2026-05-25 11:15:11+02;system;2026-03-24 09:54:08+02;2026-03-24 09:54:08+02;;;;;;;;;27660716057;;;;;;;;prepaid life;;;;;</t>
  </si>
  <si>
    <t>ID_1548</t>
  </si>
  <si>
    <t>13862794;f8c1aa27-6df3-4b16-83ea-68a2587c6b70;;111111118;Vodacom Life 20260324;;;;;DROP;5;2026-05-25</t>
  </si>
  <si>
    <t>13862794;f8c1aa27-6df3-4b16-83ea-68a2587c6b70;;111111118;Vodacom Life 20260324;;;;;DROP;5;2026-05-25 09:12:34+02;system;2026-03-24 09:54:08+02;2026-03-24 09:54:08+02;;;;;;;;;27761135714;;;;;;;;prepaid life;;;;;</t>
  </si>
  <si>
    <t>ID_1549</t>
  </si>
  <si>
    <t>13862727;deda395f-ad7c-4644-a67d-80b0887be98b;;111111118;Vodacom Life 20260324;;;27660953791;;IABDN;</t>
  </si>
  <si>
    <t>13862727;deda395f-ad7c-4644-a67d-80b0887be98b;;111111118;Vodacom Life 20260324;;;27660953791;;IABDN;5;2026-05-25 12:19:23+02;system;2026-03-24 09:54:08+02;2026-03-24 09:54:08+02;;;;;;;;;27660953791;;;;;;;;prepaid life;;;;;</t>
  </si>
  <si>
    <t>ID_1550</t>
  </si>
  <si>
    <t>13862647;3f16299f-a926-4cc5-82dd-96c26812d500;;111111118;Vodacom Life 20260324;;;;;NI;3;2026-04-09 1</t>
  </si>
  <si>
    <t>13862647;3f16299f-a926-4cc5-82dd-96c26812d500;;111111118;Vodacom Life 20260324;;;;;NI;3;2026-04-09 15:32:19+02;Mahlatse Manamela;2026-03-24 09:54:08+02;2026-03-24 09:54:08+02;;;;;;;;;27766289428;;;;;;;;prepaid life;;;;;</t>
  </si>
  <si>
    <t>ID_1551</t>
  </si>
  <si>
    <t>13862795;0c134e70-7d03-430a-aeb5-ef9306dd8e96;;111111118;Vodacom Life 20260324;;;27761516317;;CU;5;2</t>
  </si>
  <si>
    <t>13862795;0c134e70-7d03-430a-aeb5-ef9306dd8e96;;111111118;Vodacom Life 20260324;;;27761516317;;CU;5;2026-05-20 08:54:44+02;bongiwe lushaba;2026-03-24 09:54:08+02;2026-03-24 09:54:08+02;;;;;;;;;27761516317;;;;;;;;prepaid life;;;;;</t>
  </si>
  <si>
    <t>ID_1552</t>
  </si>
  <si>
    <t>13862648;3ed16da1-e714-44f1-86a8-7ffab466d19d;;111111118;Vodacom Life 20260324;;;;;CU;5;2026-05-25 0</t>
  </si>
  <si>
    <t>13862648;3ed16da1-e714-44f1-86a8-7ffab466d19d;;111111118;Vodacom Life 20260324;;;;;CU;5;2026-05-25 09:03:53+02;Khensane Mabasa;2026-03-24 09:54:08+02;2026-03-24 09:54:08+02;;;;;;;;;27766443409;;;;;;;;prepaid life;;;;;</t>
  </si>
  <si>
    <t>ID_1553</t>
  </si>
  <si>
    <t>13862728;d2dfc098-9d9f-475d-b98e-e9b40bfc5471;;111111118;Vodacom Life 20260324;;;;;NIUP;2;2026-04-10</t>
  </si>
  <si>
    <t>13862728;d2dfc098-9d9f-475d-b98e-e9b40bfc5471;;111111118;Vodacom Life 20260324;;;;;NIUP;2;2026-04-10 08:36:31+02;Seboifeng Mogola;2026-03-24 09:54:08+02;2026-03-24 09:54:08+02;;;;;;;;;27661105477;;;;;;;;prepaid life;;;;;</t>
  </si>
  <si>
    <t>ID_1554</t>
  </si>
  <si>
    <t>13862729;83879657-234a-495d-b246-a0d553f58521;;111111118;Vodacom Life 20260324;;;;;NA;5;2026-05-25 1</t>
  </si>
  <si>
    <t>13862729;83879657-234a-495d-b246-a0d553f58521;;111111118;Vodacom Life 20260324;;;;;NA;5;2026-05-25 12:48:48+02;system;2026-03-24 09:54:08+02;2026-03-24 09:54:08+02;;;;;;;;;27661171394;;;;;;;;prepaid life;;;;;</t>
  </si>
  <si>
    <t>ID_1555</t>
  </si>
  <si>
    <t>13862796;1548cd45-1d2f-48e4-a5a3-01eecc5d548b;;111111118;Vodacom Life 20260324;;;;;A;5;2026-05-25 09</t>
  </si>
  <si>
    <t>13862796;1548cd45-1d2f-48e4-a5a3-01eecc5d548b;;111111118;Vodacom Life 20260324;;;;;A;5;2026-05-25 09:14:34+02;bongiwe lushaba;2026-03-24 09:54:08+02;2026-03-24 09:54:08+02;;;;;;;;;27761709967;;;;;;;;prepaid life;;;;;</t>
  </si>
  <si>
    <t>ID_1556</t>
  </si>
  <si>
    <t>13862730;9c2676e0-30cf-41f0-b5eb-824670c4cd44;;111111118;Vodacom Life 20260324;;;27661733005;;AA;5;2</t>
  </si>
  <si>
    <t>13862730;9c2676e0-30cf-41f0-b5eb-824670c4cd44;;111111118;Vodacom Life 20260324;;;27661733005;;AA;5;2026-05-25 11:29:01+02;system;2026-03-24 09:54:08+02;2026-03-24 09:54:08+02;;;;;;;;;27661733005;;;;;;;;prepaid life;;;;;</t>
  </si>
  <si>
    <t>ID_1557</t>
  </si>
  <si>
    <t>13862649;1f8b0e7e-ce19-4518-869c-313cd62af1cb;;111111118;Vodacom Life 20260324;;;;;NA;5;2026-05-25 0</t>
  </si>
  <si>
    <t>13862649;1f8b0e7e-ce19-4518-869c-313cd62af1cb;;111111118;Vodacom Life 20260324;;;;;NA;5;2026-05-25 09:03:53+02;system;2026-03-24 09:54:08+02;2026-03-24 09:54:08+02;;;;;;;;;27766481454;;;;;;;;prepaid life;;;;;</t>
  </si>
  <si>
    <t>ID_1558</t>
  </si>
  <si>
    <t>13862797;479e8afc-7e18-471c-a0c4-09ef97326e21;;111111118;Vodacom Life 20260324;;;;;AA;5;2026-05-25 0</t>
  </si>
  <si>
    <t>13862797;479e8afc-7e18-471c-a0c4-09ef97326e21;;111111118;Vodacom Life 20260324;;;;;AA;5;2026-05-25 09:14:48+02;system;2026-03-24 09:54:08+02;2026-03-24 09:54:08+02;;;;;;;;;27761926669;;;;;;;;prepaid life;;;;;</t>
  </si>
  <si>
    <t>ID_1559</t>
  </si>
  <si>
    <t>13862650;0f53a228-a1cf-45ad-b363-70d2493e3aa0;;111111118;Vodacom Life 20260324;;;;;NI;3;2026-04-15 1</t>
  </si>
  <si>
    <t>13862650;0f53a228-a1cf-45ad-b363-70d2493e3aa0;;111111118;Vodacom Life 20260324;;;;;NI;3;2026-04-15 11:54:26+02;Musiiwa Mary Mabirimisa;2026-03-24 09:54:08+02;2026-03-24 09:54:08+02;;;;;;;;;27766525393;;;;;;;;prepaid life;;;;;</t>
  </si>
  <si>
    <t>ID_1560</t>
  </si>
  <si>
    <t>13862798;aeef730b-9ec8-47df-8bce-f956eca87fdf;;111111118;Vodacom Life 20260324;;;;;NA;5;2026-05-25 0</t>
  </si>
  <si>
    <t>13862798;aeef730b-9ec8-47df-8bce-f956eca87fdf;;111111118;Vodacom Life 20260324;;;;;NA;5;2026-05-25 09:14:49+02;system;2026-03-24 09:54:08+02;2026-03-24 09:54:08+02;;;;;;;;;27762020585;;;;;;;;prepaid life;;;;;</t>
  </si>
  <si>
    <t>ID_1561</t>
  </si>
  <si>
    <t>13862651;2fbdbc8f-6d13-471d-98e2-dfbe647d3641;;111111118;Vodacom Life 20260324;;;27766855862;;CU;5;2</t>
  </si>
  <si>
    <t>13862651;2fbdbc8f-6d13-471d-98e2-dfbe647d3641;;111111118;Vodacom Life 20260324;;;27766855862;;CU;5;2026-05-25 11:06:19+02;Maureen Ntsoko;2026-03-24 09:54:08+02;2026-03-24 09:54:08+02;;;;;;;;;27766855862;;;;;;;;prepaid life;;;;;</t>
  </si>
  <si>
    <t>ID_1562</t>
  </si>
  <si>
    <t>13862731;6d2c0282-c86c-4e72-81e2-74f289e63ab3;;111111118;Vodacom Life 20260324;;;;;AA;5;2026-05-25 1</t>
  </si>
  <si>
    <t>13862731;6d2c0282-c86c-4e72-81e2-74f289e63ab3;;111111118;Vodacom Life 20260324;;;;;AA;5;2026-05-25 11:29:02+02;system;2026-03-24 09:54:08+02;2026-03-24 09:54:08+02;;;;;;;;;27661749626;;;;;;;;prepaid life;;;;;</t>
  </si>
  <si>
    <t>ID_1563</t>
  </si>
  <si>
    <t>13862799;02633a54-7aaa-4d42-86c2-5342775ef684;;111111118;Vodacom Life 20260324;;;;;AA;5;2026-05-25 0</t>
  </si>
  <si>
    <t>13862799;02633a54-7aaa-4d42-86c2-5342775ef684;;111111118;Vodacom Life 20260324;;;;;AA;5;2026-05-25 09:14:49+02;system;2026-03-24 09:54:08+02;2026-03-24 09:54:08+02;;;;;;;;;27762388916;;;;;;;;prepaid life;;;;;</t>
  </si>
  <si>
    <t>ID_1564</t>
  </si>
  <si>
    <t>13862732;1953b5a6-ebb6-4f97-932a-b8b715d9d1b2;;111111118;Vodacom Life 20260324;;;;;CBACK;4;2026-05-1</t>
  </si>
  <si>
    <t>13862732;1953b5a6-ebb6-4f97-932a-b8b715d9d1b2;;111111118;Vodacom Life 20260324;;;;;CBACK;4;2026-05-19 14:12:37+02;Maureen Ntsoko;2026-03-24 09:54:08+02;2026-03-24 09:54:08+02;;;;;;;;;27663641299;;;;;;;;prepaid life;;;;;</t>
  </si>
  <si>
    <t>ID_1565</t>
  </si>
  <si>
    <t>13862652;bf301969-282c-41b1-8274-4789a241e714;;111111118;Vodacom Life 20260324;;;;;AE;5;2026-05-25 1</t>
  </si>
  <si>
    <t>13862652;bf301969-282c-41b1-8274-4789a241e714;;111111118;Vodacom Life 20260324;;;;;AE;5;2026-05-25 11:05:36+02;system;2026-03-24 09:54:08+02;2026-03-24 09:54:08+02;;;;;;;;;27766867339;;;;;;;;prepaid life;;;;;</t>
  </si>
  <si>
    <t>ID_1566</t>
  </si>
  <si>
    <t>13862800;4c4f1b8e-3c53-4c0d-9df3-e6785b37eac6;;111111118;Vodacom Life 20260324;;;;;AA;5;2026-05-25 0</t>
  </si>
  <si>
    <t>13862800;4c4f1b8e-3c53-4c0d-9df3-e6785b37eac6;;111111118;Vodacom Life 20260324;;;;;AA;5;2026-05-25 09:15:20+02;system;2026-03-24 09:54:08+02;2026-03-24 09:54:08+02;;;;;;;;;27762542313;;;;;;;;prepaid life;;;;;</t>
  </si>
  <si>
    <t>ID_1567</t>
  </si>
  <si>
    <t>13862733;b51bc1a1-53fe-4040-8fc4-ec02b4d568ec;;111111118;Vodacom Life 20260324;;;27663861170;;CU;5;2</t>
  </si>
  <si>
    <t>13862733;b51bc1a1-53fe-4040-8fc4-ec02b4d568ec;;111111118;Vodacom Life 20260324;;;27663861170;;CU;5;2026-05-25 11:29:02+02;Khensane Mabasa;2026-03-24 09:54:08+02;2026-03-24 09:54:08+02;;;;;;;;;27663861170;;;;;;;;prepaid life;;;;;</t>
  </si>
  <si>
    <t>ID_1568</t>
  </si>
  <si>
    <t>13862801;7e3c15c7-3c3d-4e7e-b7f7-ebda177345df;;111111118;Vodacom Life 20260324;;;;;AA;5;2026-05-25 0</t>
  </si>
  <si>
    <t>13862801;7e3c15c7-3c3d-4e7e-b7f7-ebda177345df;;111111118;Vodacom Life 20260324;;;;;AA;5;2026-05-25 09:15:33+02;system;2026-03-24 09:54:08+02;2026-03-24 09:54:08+02;;;;;;;;;27762581809;;;;;;;;prepaid life;;;;;</t>
  </si>
  <si>
    <t>ID_1569</t>
  </si>
  <si>
    <t>13862734;ad0d100b-513d-41ee-be52-79389fa0bdba;;111111118;Vodacom Life 20260324;;;;;AF;2;2026-04-09 1</t>
  </si>
  <si>
    <t>13862734;ad0d100b-513d-41ee-be52-79389fa0bdba;;111111118;Vodacom Life 20260324;;;;;AF;2;2026-04-09 16:48:47+02;Seboifeng Mogola;2026-03-24 09:54:08+02;2026-03-24 09:54:08+02;;;;;;;;;27664075655;;;;;;;;prepaid life;;;;;</t>
  </si>
  <si>
    <t>ID_1570</t>
  </si>
  <si>
    <t>13862653;d5a1b7c9-be8f-4ad5-89cb-6766b46bc97c;;111111118;Vodacom Life 20260324;;;;;NI;1;2026-04-01 1</t>
  </si>
  <si>
    <t>13862653;d5a1b7c9-be8f-4ad5-89cb-6766b46bc97c;;111111118;Vodacom Life 20260324;;;;;NI;1;2026-04-01 10:57:17+02;Esther Ramalete;2026-03-24 09:54:08+02;2026-03-24 09:54:08+02;;;;;;;;;27766984305;;;;;;;;prepaid life;;;;;</t>
  </si>
  <si>
    <t>ID_1571</t>
  </si>
  <si>
    <t>13862802;7b9e1345-cd10-447b-86be-dbad1c48c549;;111111118;Vodacom Life 20260324;;;;;NI;3;2026-04-14 1</t>
  </si>
  <si>
    <t>13862802;7b9e1345-cd10-447b-86be-dbad1c48c549;;111111118;Vodacom Life 20260324;;;;;NI;3;2026-04-14 16:11:22+02;Musiiwa Mary Mabirimisa;2026-03-24 09:54:08+02;2026-03-24 09:54:08+02;;;;;;;;;27762669117;;;;;;;;prepaid life;;;;;</t>
  </si>
  <si>
    <t>ID_1572</t>
  </si>
  <si>
    <t>13862803;d553e302-c48d-46e3-bd36-615afca74d27;;111111118;Vodacom Life 20260324;;;;;U;1;2026-03-30 11</t>
  </si>
  <si>
    <t>13862803;d553e302-c48d-46e3-bd36-615afca74d27;;111111118;Vodacom Life 20260324;;;;;U;1;2026-03-30 11:32:51+02;Esther Ramalete;2026-03-24 09:54:08+02;2026-03-24 09:54:08+02;;;;;;;;;27763173306;;;;;;;;prepaid life;;;;;</t>
  </si>
  <si>
    <t>ID_1573</t>
  </si>
  <si>
    <t>13862654;4345d6e2-a5cf-49a3-ac2c-890172397966;;111111118;Vodacom Life 20260324;;;27766995993;;CCB;5;</t>
  </si>
  <si>
    <t>13862654;4345d6e2-a5cf-49a3-ac2c-890172397966;;111111118;Vodacom Life 20260324;;;27766995993;;CCB;5;2026-05-25 11:05:51+02;Maureen Ntsoko;2026-03-24 09:54:08+02;2026-03-24 09:54:08+02;;;;;;;;;27766995993;;;;;;;;prepaid life;;;;;</t>
  </si>
  <si>
    <t>ID_1574</t>
  </si>
  <si>
    <t>13862735;5bcafe09-1f3a-4c0b-9b20-39391ef03cf2;;111111118;Vodacom Life 20260324;;;27664083136;;IABDN;</t>
  </si>
  <si>
    <t>13862735;5bcafe09-1f3a-4c0b-9b20-39391ef03cf2;;111111118;Vodacom Life 20260324;;;27664083136;;IABDN;5;2026-05-26 18:26:55+02;system;2026-03-24 09:54:08+02;2026-03-24 09:54:08+02;;;;;;;;;27664083136;;;;;;;;prepaid life;;;;;</t>
  </si>
  <si>
    <t>ID_1575</t>
  </si>
  <si>
    <t>13862804;f52ef424-c395-49c8-a78d-72fa20426e4b;;111111118;Vodacom Life 20260324;;;;;NA;5;2026-05-25 0</t>
  </si>
  <si>
    <t>13862804;f52ef424-c395-49c8-a78d-72fa20426e4b;;111111118;Vodacom Life 20260324;;;;;NA;5;2026-05-25 09:15:35+02;system;2026-03-24 09:54:08+02;2026-03-24 09:54:08+02;;;;;;;;;27763211665;;;;;;;;prepaid life;;;;;</t>
  </si>
  <si>
    <t>ID_1576</t>
  </si>
  <si>
    <t>13862736;450d03a4-2738-4edf-9d97-095263a75287;;111111118;Vodacom Life 20260324;;;;;CU;5;2026-05-25 1</t>
  </si>
  <si>
    <t>13862736;450d03a4-2738-4edf-9d97-095263a75287;;111111118;Vodacom Life 20260324;;;;;CU;5;2026-05-25 12:48:48+02;bongiwe lushaba;2026-03-24 09:54:08+02;2026-03-24 09:54:08+02;;;;;;;;;27664984786;;;;;;;;prepaid life;;;;;</t>
  </si>
  <si>
    <t>ID_1577</t>
  </si>
  <si>
    <t>13862655;794d6262-6194-41a2-9e97-717bf93baf50;;111111118;Vodacom Life 20260324;;;27767411818;;DROP;5</t>
  </si>
  <si>
    <t>13862655;794d6262-6194-41a2-9e97-717bf93baf50;;111111118;Vodacom Life 20260324;;;27767411818;;DROP;5;2026-05-25 11:05:39+02;system;2026-03-24 09:54:08+02;2026-03-24 09:54:08+02;;;;;;;;;27767411818;;;;;;;;prepaid life;;;;;</t>
  </si>
  <si>
    <t>ID_1578</t>
  </si>
  <si>
    <t>13862805;626474d0-337a-401a-ad57-23fbe34340ac;;111111118;Vodacom Life 20260324;;;;;AE;5;2026-05-25 1</t>
  </si>
  <si>
    <t>13862805;626474d0-337a-401a-ad57-23fbe34340ac;;111111118;Vodacom Life 20260324;;;;;AE;5;2026-05-25 11:07:37+02;system;2026-03-24 09:54:08+02;2026-03-24 09:54:08+02;;;;;;;;;27763461625;;;;;;;;prepaid life;;;;;</t>
  </si>
  <si>
    <t>ID_1579</t>
  </si>
  <si>
    <t>13862656;df040804-6aa4-499b-b964-31b9e0843f06;;111111118;Vodacom Life 20260324;;;;;AA;5;2026-05-25 0</t>
  </si>
  <si>
    <t>13862656;df040804-6aa4-499b-b964-31b9e0843f06;;111111118;Vodacom Life 20260324;;;;;AA;5;2026-05-25 09:40:21+02;system;2026-03-24 09:54:08+02;2026-03-24 09:54:08+02;;;;;;;;;27767828336;;;;;;;;prepaid life;;;;;</t>
  </si>
  <si>
    <t>ID_1580</t>
  </si>
  <si>
    <t>13862657;39157298-ed4f-4451-b0a5-57d0fea1bca6;;111111118;Vodacom Life 20260324;;;;;DROP;5;2026-05-25</t>
  </si>
  <si>
    <t>13862657;39157298-ed4f-4451-b0a5-57d0fea1bca6;;111111118;Vodacom Life 20260324;;;;;DROP;5;2026-05-25 11:05:40+02;system;2026-03-24 09:54:08+02;2026-03-24 09:54:08+02;;;;;;;;;27768789111;;;;;;;;prepaid life;;;;;</t>
  </si>
  <si>
    <t>ID_1581</t>
  </si>
  <si>
    <t>13862737;0d5ae7b4-7a7f-4026-abfc-902fa247fab0;;111111118;Vodacom Life 20260324;;;27665160722;;IABDN;</t>
  </si>
  <si>
    <t>13862737;0d5ae7b4-7a7f-4026-abfc-902fa247fab0;;111111118;Vodacom Life 20260324;;;27665160722;;IABDN;5;2026-05-25 15:51:05+02;system;2026-03-24 09:54:08+02;2026-03-24 09:54:08+02;;;;;;;;;27665160722;;;;;;;;prepaid life;;;;;</t>
  </si>
  <si>
    <t>ID_1582</t>
  </si>
  <si>
    <t>13862806;21d93067-92af-44b7-ae19-4bf904843190;;111111118;Vodacom Life 20260324;;;;;NIUP;2;2026-04-09</t>
  </si>
  <si>
    <t>13862806;21d93067-92af-44b7-ae19-4bf904843190;;111111118;Vodacom Life 20260324;;;;;NIUP;2;2026-04-09 15:35:04+02;bongiwe lushaba;2026-03-24 09:54:08+02;2026-03-24 09:54:08+02;;;;;;;;;27763700236;;;;;;;;prepaid life;;;;;</t>
  </si>
  <si>
    <t>ID_1583</t>
  </si>
  <si>
    <t>13862738;3b4469ed-f6b7-488c-be33-bbc6e253558b;;111111118;Vodacom Life 20260324;;;27673706321;;IABDN;</t>
  </si>
  <si>
    <t>13862738;3b4469ed-f6b7-488c-be33-bbc6e253558b;;111111118;Vodacom Life 20260324;;;27673706321;;IABDN;5;2026-05-25 14:27:54+02;system;2026-03-24 09:54:08+02;2026-03-24 09:54:08+02;;;;;;;;;27673706321;;;;;;;;prepaid life;;;;;</t>
  </si>
  <si>
    <t>ID_1584</t>
  </si>
  <si>
    <t>13862658;a578c693-94dc-4fa3-a7d4-3edf83146745;;111111118;Vodacom Life 20260324;;;;;AE;5;2026-05-25 1</t>
  </si>
  <si>
    <t>13862658;a578c693-94dc-4fa3-a7d4-3edf83146745;;111111118;Vodacom Life 20260324;;;;;AE;5;2026-05-25 10:33:52+02;system;2026-03-24 09:54:08+02;2026-03-24 09:54:08+02;;;;;;;;;27768832581;;;;;;;;prepaid life;;;;;</t>
  </si>
  <si>
    <t>ID_1585</t>
  </si>
  <si>
    <t>13862807;9d02ccfe-069a-4e6b-8e36-3befd444b4cd;;111111118;Vodacom Life 20260324;;;;;CU;5;2026-05-25 1</t>
  </si>
  <si>
    <t>13862807;9d02ccfe-069a-4e6b-8e36-3befd444b4cd;;111111118;Vodacom Life 20260324;;;;;CU;5;2026-05-25 11:07:42+02;Khensane Mabasa;2026-03-24 09:54:08+02;2026-03-24 09:54:08+02;;;;;;;;;27763753168;;;;;;;;prepaid life;;;;;</t>
  </si>
  <si>
    <t>ID_1586</t>
  </si>
  <si>
    <t>13862659;d845ef55-1562-4859-b511-d20923112b3b;;111111118;Vodacom Life 20260324;;;;;QAVET;6;2026-04-0</t>
  </si>
  <si>
    <t>13862659;d845ef55-1562-4859-b511-d20923112b3b;;111111118;Vodacom Life 20260324;;;;;QAVET;6;2026-04-08 16:13:46+02;Thandile Nokubeni;2026-03-24 09:54:08+02;2026-03-24 09:54:08+02;;;;;;;;;27772986239;;;;;;;;prepaid life;;;;;</t>
  </si>
  <si>
    <t>ID_1587</t>
  </si>
  <si>
    <t>13862739;9a63bf43-99e4-4ef4-b425-c2ca0de3050b;;111111118;Vodacom Life 20260324;;;;;NI;1;2026-04-01 1</t>
  </si>
  <si>
    <t>13862739;9a63bf43-99e4-4ef4-b425-c2ca0de3050b;;111111118;Vodacom Life 20260324;;;;;NI;1;2026-04-01 11:27:07+02;Millicent Motsuku;2026-03-24 09:54:08+02;2026-03-24 09:54:08+02;;;;;;;;;27675517128;;;;;;;;prepaid life;;;;;</t>
  </si>
  <si>
    <t>ID_1588</t>
  </si>
  <si>
    <t>13862808;1e39ff90-d619-4001-a0ab-6063eabdf4b1;;111111118;Vodacom Life 20260324;;;;;AE;5;2026-05-25 1</t>
  </si>
  <si>
    <t>13862808;1e39ff90-d619-4001-a0ab-6063eabdf4b1;;111111118;Vodacom Life 20260324;;;;;AE;5;2026-05-25 11:07:42+02;system;2026-03-24 09:54:08+02;2026-03-24 09:54:08+02;;;;;;;;;27763895590;;;;;;;;prepaid life;;;;;</t>
  </si>
  <si>
    <t>ID_1589</t>
  </si>
  <si>
    <t>13862660;3feaf10a-0e60-4282-ad9a-3bd739eacd52;;111111118;Vodacom Life 20260324;;;;;CBACK;1;2026-04-0</t>
  </si>
  <si>
    <t>13862660;3feaf10a-0e60-4282-ad9a-3bd739eacd52;;111111118;Vodacom Life 20260324;;;;;CBACK;1;2026-04-01 12:38:37+02;Millicent Motsuku;2026-03-24 09:54:08+02;2026-03-24 09:54:08+02;;;;;;;;;27773958011;;;;;;;;prepaid life;;;;;</t>
  </si>
  <si>
    <t>ID_1590</t>
  </si>
  <si>
    <t>13862809;5f6ac530-4772-42a8-b946-b936c2679c43;;111111118;Vodacom Life 20260324;;;;;DROP;5;2026-05-25</t>
  </si>
  <si>
    <t>13862809;5f6ac530-4772-42a8-b946-b936c2679c43;;111111118;Vodacom Life 20260324;;;;;DROP;5;2026-05-25 11:07:42+02;system;2026-03-24 09:54:08+02;2026-03-24 09:54:08+02;;;;;;;;;27765455139;;;;;;;;prepaid life;;;;;</t>
  </si>
  <si>
    <t>ID_1591</t>
  </si>
  <si>
    <t>13862661;57abda40-2a4e-4c8c-9ce3-d2e022eada89;;111111118;Vodacom Life 20260324;;;27774517590;;CU;5;2</t>
  </si>
  <si>
    <t>13862661;57abda40-2a4e-4c8c-9ce3-d2e022eada89;;111111118;Vodacom Life 20260324;;;27774517590;;CU;5;2026-05-25 11:06:50+02;Khensane Mabasa;2026-03-24 09:54:08+02;2026-03-24 09:54:08+02;;;;;;;;;27774517590;;;;;;;;prepaid life;;;;;</t>
  </si>
  <si>
    <t>ID_1592</t>
  </si>
  <si>
    <t>13862740;2a151be5-c41b-4f6c-bad0-8812681ed4c4;;111111118;Vodacom Life 20260324;;;;;N;5;2026-05-25 14</t>
  </si>
  <si>
    <t>13862740;2a151be5-c41b-4f6c-bad0-8812681ed4c4;;111111118;Vodacom Life 20260324;;;;;N;5;2026-05-25 14:27:41+02;Maureen Ntsoko;2026-03-24 09:54:08+02;2026-03-24 09:54:08+02;;;;;;;;;27678644407;;;;;;;;prepaid life;;;;;</t>
  </si>
  <si>
    <t>ID_1593</t>
  </si>
  <si>
    <t>13862810;c3d8c78f-c634-4e93-82ed-f29722da80b0;;111111118;Vodacom Life 20260324;;;;;CBACK;2;2026-04-0</t>
  </si>
  <si>
    <t>13862810;c3d8c78f-c634-4e93-82ed-f29722da80b0;;111111118;Vodacom Life 20260324;;;;;CBACK;2;2026-04-09 15:35:33+02;Mahlatse Manamela;2026-03-24 09:54:08+02;2026-03-24 09:54:08+02;;;;;;;;;27765494019;;;;;;;;prepaid life;;;;;</t>
  </si>
  <si>
    <t>ID_1594</t>
  </si>
  <si>
    <t>13862741;1bf8a39e-3432-433c-b9d6-6416cb5bca3f;;111111118;Vodacom Life 20260324;;;;;A;5;2026-05-25 14</t>
  </si>
  <si>
    <t>13862741;1bf8a39e-3432-433c-b9d6-6416cb5bca3f;;111111118;Vodacom Life 20260324;;;;;A;5;2026-05-25 14:27:41+02;Maureen Ntsoko;2026-03-24 09:54:08+02;2026-03-24 09:54:08+02;;;;;;;;;27711013597;;;;;;;;prepaid life;;;;;</t>
  </si>
  <si>
    <t>ID_1595</t>
  </si>
  <si>
    <t>13862662;d30d8ce1-c133-49eb-bfd5-4540bc5f475e;;111111118;Vodacom Life 20260324;;;;;NI;1;2026-04-01 1</t>
  </si>
  <si>
    <t>13862662;d30d8ce1-c133-49eb-bfd5-4540bc5f475e;;111111118;Vodacom Life 20260324;;;;;NI;1;2026-04-01 11:06:34+02;Musiiwa Mary Mabirimisa;2026-03-24 09:54:08+02;2026-03-24 09:54:08+02;;;;;;;;;27774955416;;;;;;;;prepaid life;;;;;</t>
  </si>
  <si>
    <t>ID_1596</t>
  </si>
  <si>
    <t>13862811;7697cfeb-3471-4fa9-a884-231bed71602f;;111111118;Vodacom Life 20260324;;;;;SELECTED;1;;;2026</t>
  </si>
  <si>
    <t>13862811;7697cfeb-3471-4fa9-a884-231bed71602f;;111111118;Vodacom Life 20260324;;;;;SELECTED;1;;;2026-03-24 09:54:08+02;2026-03-24 09:54:08+02;;;;;;;;;27765538950;;;;;;;;prepaid life;;;;;</t>
  </si>
  <si>
    <t>ID_1597</t>
  </si>
  <si>
    <t>13862663;68771c25-3e72-4c5b-a310-86904d746fc2;;111111118;Vodacom Life 20260324;;;27790277818;;CBACK;</t>
  </si>
  <si>
    <t>13862663;68771c25-3e72-4c5b-a310-86904d746fc2;;111111118;Vodacom Life 20260324;;;27790277818;;CBACK;5;2026-05-25 09:12:00+02;Maureen Ntsoko;2026-03-24 09:54:08+02;2026-03-24 09:54:08+02;;;;;;;;;27790277818;;;;;;;;prepaid life;;;;;</t>
  </si>
  <si>
    <t>ID_1598</t>
  </si>
  <si>
    <t>13862812;d529b833-ed6c-498c-b1e7-3685c3f67c34;;111111118;Vodacom Life 20260324;;;;;DROP;5;2026-05-25</t>
  </si>
  <si>
    <t>13862812;d529b833-ed6c-498c-b1e7-3685c3f67c34;;111111118;Vodacom Life 20260324;;;;;DROP;5;2026-05-25 11:07:43+02;system;2026-03-24 09:54:08+02;2026-03-24 09:54:08+02;;;;;;;;;27765544709;;;;;;;;prepaid life;;;;;</t>
  </si>
  <si>
    <t>ID_1599</t>
  </si>
  <si>
    <t>13862664;41d663b0-8a3b-44a3-a583-0f141b7838d2;;111111118;Vodacom Life 20260324;;;;;CU;5;2026-05-25 0</t>
  </si>
  <si>
    <t>13862664;41d663b0-8a3b-44a3-a583-0f141b7838d2;;111111118;Vodacom Life 20260324;;;;;CU;5;2026-05-25 09:05:21+02;Khensane Mabasa;2026-03-24 09:54:08+02;2026-03-24 09:54:08+02;;;;;;;;;27791774951;;;;;;;;prepaid life;;;;;</t>
  </si>
  <si>
    <t>ID_1600</t>
  </si>
  <si>
    <t xml:space="preserve">13862742;c9725a54-c472-432e-9d0f-6a7f073d6253;;111111118;Vodacom Life 20260324;;;;;ADC;5;2026-05-25 </t>
  </si>
  <si>
    <t>13862742;c9725a54-c472-432e-9d0f-6a7f073d6253;;111111118;Vodacom Life 20260324;;;;;ADC;5;2026-05-25 14:27:43+02;system;2026-03-24 09:54:08+02;2026-03-24 09:54:08+02;;;;;;;;;27711132517;;;;;;;;prepaid life;;;;;</t>
  </si>
  <si>
    <t>ID_1601</t>
  </si>
  <si>
    <t>13862813;a6d3e556-c231-47ed-84ad-75e62d6f5592;;111111118;Vodacom Life 20260324;;;;;CBACK;5;2026-05-2</t>
  </si>
  <si>
    <t>13862813;a6d3e556-c231-47ed-84ad-75e62d6f5592;;111111118;Vodacom Life 20260324;;;;;CBACK;5;2026-05-25 12:40:02+02;Maureen Ntsoko;2026-03-24 09:54:08+02;2026-03-24 09:54:08+02;;;;;;;;;27765783408;;;;;;;;prepaid life;;;;;</t>
  </si>
  <si>
    <t>ID_1602</t>
  </si>
  <si>
    <t>13862743;b52fd911-a7d2-4ab5-914e-383e2920bbd9;;111111118;Vodacom Life 20260324;;;;;AA;5;2026-05-25 1</t>
  </si>
  <si>
    <t>13862743;b52fd911-a7d2-4ab5-914e-383e2920bbd9;;111111118;Vodacom Life 20260324;;;;;AA;5;2026-05-25 14:33:15+02;system;2026-03-24 09:54:08+02;2026-03-24 09:54:08+02;;;;;;;;;27712390388;;;;;;;;prepaid life;;;;;</t>
  </si>
  <si>
    <t>ID_1603</t>
  </si>
  <si>
    <t>13862745;383e79c0-dcfc-4877-aeb5-a934eee1084a;;111111118;Vodacom Life 20260324;;;;;AA;5;2026-05-25 1</t>
  </si>
  <si>
    <t>13862745;383e79c0-dcfc-4877-aeb5-a934eee1084a;;111111118;Vodacom Life 20260324;;;;;AA;5;2026-05-25 14:29:17+02;system;2026-03-24 09:54:08+02;2026-03-24 09:54:08+02;;;;;;;;;27712938013;;;;;;;;prepaid life;;;;;</t>
  </si>
  <si>
    <t>ID_1604</t>
  </si>
  <si>
    <t>13862665;12a1affa-7f4d-4512-9131-a4c2613f3490;;111111118;Vodacom Life 20260324;;;;;AA;5;2026-05-25 0</t>
  </si>
  <si>
    <t>13862665;12a1affa-7f4d-4512-9131-a4c2613f3490;;111111118;Vodacom Life 20260324;;;;;AA;5;2026-05-25 09:05:22+02;system;2026-03-24 09:54:08+02;2026-03-24 09:54:08+02;;;;;;;;;27792352454;;;;;;;;prepaid life;;;;;</t>
  </si>
  <si>
    <t>ID_1605</t>
  </si>
  <si>
    <t>13862814;cb9ec828-7c06-4f9e-a6c4-f60ce5876000;;111111118;Vodacom Life 20260324;;;;;CU;5;2026-05-25 1</t>
  </si>
  <si>
    <t>13862814;cb9ec828-7c06-4f9e-a6c4-f60ce5876000;;111111118;Vodacom Life 20260324;;;;;CU;5;2026-05-25 14:22:11+02;bongiwe lushaba;2026-03-24 09:54:08+02;2026-03-24 09:54:08+02;;;;;;;;;27766063168;;;;;;;;prepaid life;;;;;</t>
  </si>
  <si>
    <t>ID_1606</t>
  </si>
  <si>
    <t>13862815;8511977b-e229-4877-ba38-047f2872b104;;111111118;Vodacom Life 20260324;;;;;NA;5;2026-05-25 1</t>
  </si>
  <si>
    <t>13862815;8511977b-e229-4877-ba38-047f2872b104;;111111118;Vodacom Life 20260324;;;;;NA;5;2026-05-25 14:22:11+02;system;2026-03-24 09:54:08+02;2026-03-24 09:54:08+02;;;;;;;;;27766080891;;;;;;;;prepaid life;;;;;</t>
  </si>
  <si>
    <t>ID_1607</t>
  </si>
  <si>
    <t>13862666;388ff3d7-a647-4710-8fe6-139ec02b43d4;;111111118;Vodacom Life 20260324;;;;;NI;3;2026-04-15 1</t>
  </si>
  <si>
    <t>13862666;388ff3d7-a647-4710-8fe6-139ec02b43d4;;111111118;Vodacom Life 20260324;;;;;NI;3;2026-04-15 12:22:28+02;Musiiwa Mary Mabirimisa;2026-03-24 09:54:08+02;2026-03-24 09:54:08+02;;;;;;;;;27792409795;;;;;;;;prepaid life;;;;;</t>
  </si>
  <si>
    <t>ID_1608</t>
  </si>
  <si>
    <t>13862746;c636f20b-b203-42ca-82f7-659448b36d7a;;111111118;Vodacom Life 20260324;;;;;AA;5;2026-05-25 1</t>
  </si>
  <si>
    <t>13862746;c636f20b-b203-42ca-82f7-659448b36d7a;;111111118;Vodacom Life 20260324;;;;;AA;5;2026-05-25 14:29:17+02;system;2026-03-24 09:54:08+02;2026-03-24 09:54:08+02;;;;;;;;;27713150730;;;;;;;;prepaid life;;;;;</t>
  </si>
  <si>
    <t>ID_1609</t>
  </si>
  <si>
    <t>13862816;d04974ab-7521-4c58-bc12-1c75a57d32a3;;111111118;Vodacom Life 20260324;;;;;CU;5;2026-05-25 1</t>
  </si>
  <si>
    <t>13862816;d04974ab-7521-4c58-bc12-1c75a57d32a3;;111111118;Vodacom Life 20260324;;;;;CU;5;2026-05-25 14:22:54+02;bongiwe lushaba;2026-03-24 09:54:08+02;2026-03-24 09:54:08+02;;;;;;;;;27766130110;;;;;;;;prepaid life;;;;;</t>
  </si>
  <si>
    <t>ID_1610</t>
  </si>
  <si>
    <t>13862747;5743f848-a4f8-45ab-b2c3-7a0134829b0a;;111111118;Vodacom Life 20260324;;;;;AE;5;2026-05-25 1</t>
  </si>
  <si>
    <t>13862747;5743f848-a4f8-45ab-b2c3-7a0134829b0a;;111111118;Vodacom Life 20260324;;;;;AE;5;2026-05-25 14:29:17+02;system;2026-03-24 09:54:08+02;2026-03-24 09:54:08+02;;;;;;;;;27713554922;;;;;;;;prepaid life;;;;;</t>
  </si>
  <si>
    <t>ID_1611</t>
  </si>
  <si>
    <t xml:space="preserve">13862748;c28c16fb-0499-4dff-ac42-57070eb169ec;;111111118;Vodacom Life 20260324;;;;;ADC;5;2026-05-25 </t>
  </si>
  <si>
    <t>13862748;c28c16fb-0499-4dff-ac42-57070eb169ec;;111111118;Vodacom Life 20260324;;;;;ADC;5;2026-05-25 14:29:29+02;system;2026-03-24 09:54:08+02;2026-03-24 09:54:08+02;;;;;;;;;27713686881;;;;;;;;prepaid life;;;;;</t>
  </si>
  <si>
    <t>ID_1612</t>
  </si>
  <si>
    <t>13862667;8274341d-1a52-44fa-bcb6-092f892bb80d;;111111118;Vodacom Life 20260324;;;;;AA;5;2026-05-25 0</t>
  </si>
  <si>
    <t>13862667;8274341d-1a52-44fa-bcb6-092f892bb80d;;111111118;Vodacom Life 20260324;;;;;AA;5;2026-05-25 09:06:00+02;system;2026-03-24 09:54:08+02;2026-03-24 09:54:08+02;;;;;;;;;27792738614;;;;;;;;prepaid life;;;;;</t>
  </si>
  <si>
    <t>ID_1613</t>
  </si>
  <si>
    <t>13862817;61c3c736-9613-4cf5-ba92-279487c501fa;;111111118;Vodacom Life 20260324;;;;;AE;5;2026-05-25 0</t>
  </si>
  <si>
    <t>13862817;61c3c736-9613-4cf5-ba92-279487c501fa;;111111118;Vodacom Life 20260324;;;;;AE;5;2026-05-25 09:14:12+02;system;2026-03-24 09:54:08+02;2026-03-24 09:54:08+02;;;;;;;;;27766192354;;;;;;;;prepaid life;;;;;</t>
  </si>
  <si>
    <t>ID_1614</t>
  </si>
  <si>
    <t>13862668;3260085f-59ba-423b-ac55-427bc8772fa8;;111111118;Vodacom Life 20260324;;;;;AA;5;2026-05-25 0</t>
  </si>
  <si>
    <t>13862668;3260085f-59ba-423b-ac55-427bc8772fa8;;111111118;Vodacom Life 20260324;;;;;AA;5;2026-05-25 09:06:14+02;system;2026-03-24 09:54:08+02;2026-03-24 09:54:08+02;;;;;;;;;27792929450;;;;;;;;prepaid life;;;;;</t>
  </si>
  <si>
    <t>ID_1615</t>
  </si>
  <si>
    <t>13862669;55955cc0-5868-40b4-b1b6-b8b369d8f861;;111111118;Vodacom Life 20260324;;;;;U;2;2026-04-09 15</t>
  </si>
  <si>
    <t>13862669;55955cc0-5868-40b4-b1b6-b8b369d8f861;;111111118;Vodacom Life 20260324;;;;;U;2;2026-04-09 15:30:43+02;Musiiwa Mary Mabirimisa;2026-03-24 09:54:08+02;2026-03-24 09:54:08+02;;;;;;;;;27793266859;;;;;;;;prepaid life;;;;;</t>
  </si>
  <si>
    <t>ID_1616</t>
  </si>
  <si>
    <t>13862749;3ddfd1b6-e962-4a68-84a6-ce3cb0346d86;;111111118;Vodacom Life 20260324;;;;;AA;5;2026-05-25 1</t>
  </si>
  <si>
    <t>13862749;3ddfd1b6-e962-4a68-84a6-ce3cb0346d86;;111111118;Vodacom Life 20260324;;;;;AA;5;2026-05-25 14:12:19+02;system;2026-03-24 09:54:08+02;2026-03-24 09:54:08+02;;;;;;;;;27714426945;;;;;;;;prepaid life;;;;;</t>
  </si>
  <si>
    <t>ID_1617</t>
  </si>
  <si>
    <t>13862818;77b1d69d-ef92-446d-8d04-c7f24f2a3a9e;;111111118;Vodacom Life 20260324;;;;;NA;5;2026-05-25 1</t>
  </si>
  <si>
    <t>13862818;77b1d69d-ef92-446d-8d04-c7f24f2a3a9e;;111111118;Vodacom Life 20260324;;;;;NA;5;2026-05-25 14:03:24+02;system;2026-03-24 09:54:08+02;2026-03-24 09:54:08+02;;;;;;;;;27766334001;;;;;;;;prepaid life;;;;;</t>
  </si>
  <si>
    <t>ID_1618</t>
  </si>
  <si>
    <t>13862750;ab00b89b-e507-4bd6-8fb3-ae61428cb27f;;111111118;Vodacom Life 20260324;;;;;AA;5;2026-05-25 1</t>
  </si>
  <si>
    <t>13862750;ab00b89b-e507-4bd6-8fb3-ae61428cb27f;;111111118;Vodacom Life 20260324;;;;;AA;5;2026-05-25 14:12:36+02;system;2026-03-24 09:54:08+02;2026-03-24 09:54:08+02;;;;;;;;;27714454486;;;;;;;;prepaid life;;;;;</t>
  </si>
  <si>
    <t>ID_1619</t>
  </si>
  <si>
    <t>13862670;a8f38bb2-7f79-4c1f-9a23-11f21c2feb9d;;111111118;Vodacom Life 20260324;;;;;NA;5;2026-05-25 0</t>
  </si>
  <si>
    <t>13862670;a8f38bb2-7f79-4c1f-9a23-11f21c2feb9d;;111111118;Vodacom Life 20260324;;;;;NA;5;2026-05-25 09:06:14+02;system;2026-03-24 09:54:08+02;2026-03-24 09:54:08+02;;;;;;;;;27793519287;;;;;;;;prepaid life;;;;;</t>
  </si>
  <si>
    <t>ID_1620</t>
  </si>
  <si>
    <t>13862819;61999496-da4d-4c64-9862-a638ddbfbd9c;;111111118;Vodacom Life 20260324;;;;;N;6;2026-05-20 09</t>
  </si>
  <si>
    <t>13862819;61999496-da4d-4c64-9862-a638ddbfbd9c;;111111118;Vodacom Life 20260324;;;;;N;6;2026-05-20 09:28:56+02;Maureen Ntsoko;2026-03-24 09:54:08+02;2026-03-24 09:54:08+02;;;;;;;;;27766683278;;;;;;;;prepaid life;;;;;</t>
  </si>
  <si>
    <t>ID_1621</t>
  </si>
  <si>
    <t xml:space="preserve">13862671;af9b3e14-0ee1-429f-8c40-0bd643093d1b;;111111118;Vodacom Life 20260324;;;;;ADC;5;2026-05-25 </t>
  </si>
  <si>
    <t>13862671;af9b3e14-0ee1-429f-8c40-0bd643093d1b;;111111118;Vodacom Life 20260324;;;;;ADC;5;2026-05-25 09:06:20+02;system;2026-03-24 09:54:08+02;2026-03-24 09:54:08+02;;;;;;;;;27794141525;;;;;;;;prepaid life;;;;;</t>
  </si>
  <si>
    <t>ID_1622</t>
  </si>
  <si>
    <t>13862820;ddd61da1-bcc1-46b9-bdf6-b49c634dfc2a;;111111118;Vodacom Life 20260324;;;;;AA;5;2026-05-25 0</t>
  </si>
  <si>
    <t>13862820;ddd61da1-bcc1-46b9-bdf6-b49c634dfc2a;;111111118;Vodacom Life 20260324;;;;;AA;5;2026-05-25 09:14:13+02;system;2026-03-24 09:54:08+02;2026-03-24 09:54:08+02;;;;;;;;;27766965439;;;;;;;;prepaid life;;;;;</t>
  </si>
  <si>
    <t>ID_1623</t>
  </si>
  <si>
    <t>13862672;992e31ed-7304-47a8-b0b6-3944e1fd4e3b;;111111118;Vodacom Life 20260324;;;;;SELECTED;2;2026-0</t>
  </si>
  <si>
    <t>13862672;992e31ed-7304-47a8-b0b6-3944e1fd4e3b;;111111118;Vodacom Life 20260324;;;;;SELECTED;2;2026-03-26 12:37:05+02;system;2026-03-24 09:54:08+02;2026-03-24 09:54:08+02;;;;;;;;;27795170157;;;;;;;;prepaid life;;;;;</t>
  </si>
  <si>
    <t>ID_1624</t>
  </si>
  <si>
    <t>13862751;f0c6ae35-c032-4b1e-a410-bd191cef7464;;111111118;Vodacom Life 20260324;;;;;AA;5;2026-05-25 1</t>
  </si>
  <si>
    <t>13862751;f0c6ae35-c032-4b1e-a410-bd191cef7464;;111111118;Vodacom Life 20260324;;;;;AA;5;2026-05-25 11:31:18+02;system;2026-03-24 09:54:08+02;2026-03-24 09:54:08+02;;;;;;;;;27714512028;;;;;;;;prepaid life;;;;;</t>
  </si>
  <si>
    <t>ID_1625</t>
  </si>
  <si>
    <t>13862821;7ea6696c-9230-42ca-8592-d064766d9002;;111111118;Vodacom Life 20260324;;;;;AA;5;2026-05-25 0</t>
  </si>
  <si>
    <t>13862821;7ea6696c-9230-42ca-8592-d064766d9002;;111111118;Vodacom Life 20260324;;;;;AA;5;2026-05-25 09:14:13+02;system;2026-03-24 09:54:08+02;2026-03-24 09:54:08+02;;;;;;;;;27767021506;;;;;;;;prepaid life;;;;;</t>
  </si>
  <si>
    <t>ID_1626</t>
  </si>
  <si>
    <t>13862752;51a5bb3e-3042-448e-9562-45bf5273aa3e;;111111118;Vodacom Life 20260324;;;;;AA;5;2026-05-25 1</t>
  </si>
  <si>
    <t>13862752;51a5bb3e-3042-448e-9562-45bf5273aa3e;;111111118;Vodacom Life 20260324;;;;;AA;5;2026-05-25 14:12:36+02;system;2026-03-24 09:54:08+02;2026-03-24 09:54:08+02;;;;;;;;;27714716641;;;;;;;;prepaid life;;;;;</t>
  </si>
  <si>
    <t>ID_1627</t>
  </si>
  <si>
    <t xml:space="preserve">13862753;9799b7fb-172d-4141-88a5-20d63e9a8d09;;111111118;Vodacom Life 20260324;;;;;CCB;5;2026-05-25 </t>
  </si>
  <si>
    <t>13862753;9799b7fb-172d-4141-88a5-20d63e9a8d09;;111111118;Vodacom Life 20260324;;;;;CCB;5;2026-05-25 11:31:18+02;Maureen Ntsoko;2026-03-24 09:54:08+02;2026-03-24 09:54:08+02;;;;;;;;;27715444631;;;;;;;;prepaid life;;;;;</t>
  </si>
  <si>
    <t>ID_1628</t>
  </si>
  <si>
    <t>13862673;06ca63fb-66f2-4c20-88e1-b5948550f13e;;111111118;Vodacom Life 20260324;;;;;NI;3;2026-04-15 1</t>
  </si>
  <si>
    <t>13862673;06ca63fb-66f2-4c20-88e1-b5948550f13e;;111111118;Vodacom Life 20260324;;;;;NI;3;2026-04-15 10:58:02+02;Musiiwa Mary Mabirimisa;2026-03-24 09:54:08+02;2026-03-24 09:54:08+02;;;;;;;;;27796028454;;;;;;;;prepaid life;;;;;</t>
  </si>
  <si>
    <t>ID_1629</t>
  </si>
  <si>
    <t>13862822;c22412b3-e7ae-47ea-83fc-8ad054630b86;;111111118;Vodacom Life 20260324;;;;;NA;5;2026-05-25 0</t>
  </si>
  <si>
    <t>13862822;c22412b3-e7ae-47ea-83fc-8ad054630b86;;111111118;Vodacom Life 20260324;;;;;NA;5;2026-05-25 09:14:18+02;system;2026-03-24 09:54:08+02;2026-03-24 09:54:08+02;;;;;;;;;27767226446;;;;;;;;prepaid life;;;;;</t>
  </si>
  <si>
    <t>ID_1630</t>
  </si>
  <si>
    <t>13862674;519765fc-f8b3-438b-bcd0-384c357a6e6d;;111111118;Vodacom Life 20260324;;;27797288173;;AE;5;2</t>
  </si>
  <si>
    <t>13862674;519765fc-f8b3-438b-bcd0-384c357a6e6d;;111111118;Vodacom Life 20260324;;;27797288173;;AE;5;2026-05-25 10:33:58+02;system;2026-03-24 09:54:08+02;2026-03-24 09:54:08+02;;;;;;;;;27797288173;;;;;;;;prepaid life;;;;;</t>
  </si>
  <si>
    <t>ID_1631</t>
  </si>
  <si>
    <t>13862754;d508fcc0-2900-464a-8c53-2ebbaee4e646;;111111118;Vodacom Life 20260324;;;;;NI;1;2026-03-24 1</t>
  </si>
  <si>
    <t>13862754;d508fcc0-2900-464a-8c53-2ebbaee4e646;;111111118;Vodacom Life 20260324;;;;;NI;1;2026-03-24 10:45:48+02;Thandile Nokubeni;2026-03-24 09:54:08+02;2026-03-24 09:54:08+02;;;;;;;;;27715589104;;;;;;;;prepaid life;;;;;</t>
  </si>
  <si>
    <t>ID_1632</t>
  </si>
  <si>
    <t>13862823;d78e02d2-a1f7-44e5-9987-30f538a68146;;111111118;Vodacom Life 20260324;;;;;SELECTED;5;2026-0</t>
  </si>
  <si>
    <t>13862823;d78e02d2-a1f7-44e5-9987-30f538a68146;;111111118;Vodacom Life 20260324;;;;;SELECTED;5;2026-05-19 14:20:09+02;system;2026-03-24 09:54:08+02;2026-03-24 09:54:08+02;;;;;;;;;27767270027;;;;;;;;prepaid life;;;;;</t>
  </si>
  <si>
    <t>ID_1633</t>
  </si>
  <si>
    <t>13862755;621bfe13-f924-495e-96c3-aecd917da27a;;111111118;Vodacom Life 20260324;;;;;NI;1;2026-04-01 1</t>
  </si>
  <si>
    <t>13862755;621bfe13-f924-495e-96c3-aecd917da27a;;111111118;Vodacom Life 20260324;;;;;NI;1;2026-04-01 13:59:47+02;Thandile Nokubeni;2026-03-24 09:54:08+02;2026-03-24 09:54:08+02;;;;;;;;;27716046900;;;;;;;;prepaid life;;;;;</t>
  </si>
  <si>
    <t>ID_1634</t>
  </si>
  <si>
    <t>13862675;34ad57e8-9f0e-4fd7-9662-a1b0a2b83e04;;111111118;Vodacom Life 20260324;;;;;DROP;5;2026-05-25</t>
  </si>
  <si>
    <t>13862675;34ad57e8-9f0e-4fd7-9662-a1b0a2b83e04;;111111118;Vodacom Life 20260324;;;;;DROP;5;2026-05-25 10:34:09+02;system;2026-03-24 09:54:08+02;2026-03-24 09:54:08+02;;;;;;;;;27797815103;;;;;;;;prepaid life;;;;;</t>
  </si>
  <si>
    <t>ID_1635</t>
  </si>
  <si>
    <t>13862676;66006d25-97e4-4020-9325-bddb6f1e637d;;111111118;Vodacom Life 20260324;;;;;CU;5;2026-05-25 1</t>
  </si>
  <si>
    <t>13862676;66006d25-97e4-4020-9325-bddb6f1e637d;;111111118;Vodacom Life 20260324;;;;;CU;5;2026-05-25 10:34:10+02;Maureen Ntsoko;2026-03-24 09:54:08+02;2026-03-24 09:54:08+02;;;;;;;;;27798755195;;;;;;;;prepaid life;;;;;</t>
  </si>
  <si>
    <t>ID_1636</t>
  </si>
  <si>
    <t>13862824;2a06c525-238d-488a-854d-99fa6b06d11d;;111111118;Vodacom Life 20260324;;;;;CU;5;2026-05-25 0</t>
  </si>
  <si>
    <t>13862824;2a06c525-238d-488a-854d-99fa6b06d11d;;111111118;Vodacom Life 20260324;;;;;CU;5;2026-05-25 09:14:26+02;Khensane Mabasa;2026-03-24 09:54:08+02;2026-03-24 09:54:08+02;;;;;;;;;27767375522;;;;;;;;prepaid life;;;;;</t>
  </si>
  <si>
    <t>ID_1637</t>
  </si>
  <si>
    <t>13862825;07ed6d00-1c25-44d2-9861-3f817efb41f7;;111111118;Vodacom Life 20260324;;;;;NIUP;3;2026-04-15</t>
  </si>
  <si>
    <t>13862825;07ed6d00-1c25-44d2-9861-3f817efb41f7;;111111118;Vodacom Life 20260324;;;;;NIUP;3;2026-04-15 11:04:07+02;Seboifeng Mogola;2026-03-24 09:54:08+02;2026-03-24 09:54:08+02;;;;;;;;;27767520036;;;;;;;;prepaid life;;;;;</t>
  </si>
  <si>
    <t>ID_1638</t>
  </si>
  <si>
    <t>13862677;a0fbb852-631b-40ec-b4f7-2bff5d02e527;;111111118;Vodacom Life 20260324;;;;;NA;5;2026-05-25 1</t>
  </si>
  <si>
    <t>13862677;a0fbb852-631b-40ec-b4f7-2bff5d02e527;;111111118;Vodacom Life 20260324;;;;;NA;5;2026-05-25 10:34:39+02;system;2026-03-24 09:54:08+02;2026-03-24 09:54:08+02;;;;;;;;;27799513332;;;;;;;;prepaid life;;;;;</t>
  </si>
  <si>
    <t>ID_1639</t>
  </si>
  <si>
    <t>13862756;bfabacf4-0ed3-414b-829d-3f4ece9ff4dc;;111111118;Vodacom Life 20260324;;;;;AA;5;2026-05-25 1</t>
  </si>
  <si>
    <t>13862756;bfabacf4-0ed3-414b-829d-3f4ece9ff4dc;;111111118;Vodacom Life 20260324;;;;;AA;5;2026-05-25 11:31:18+02;system;2026-03-24 09:54:08+02;2026-03-24 09:54:08+02;;;;;;;;;27716121154;;;;;;;;prepaid life;;;;;</t>
  </si>
  <si>
    <t>ID_1640</t>
  </si>
  <si>
    <t>13862826;7420f861-0568-42b7-8490-1fb5589a3700;;111111118;Vodacom Life 20260324;;;;;NI;1;2026-04-01 1</t>
  </si>
  <si>
    <t>13862826;7420f861-0568-42b7-8490-1fb5589a3700;;111111118;Vodacom Life 20260324;;;;;NI;1;2026-04-01 10:13:32+02;Musiiwa Mary Mabirimisa;2026-03-24 09:54:08+02;2026-03-24 09:54:08+02;;;;;;;;;27768038165;;;;;;;;prepaid life;;;;;</t>
  </si>
  <si>
    <t>ID_1641</t>
  </si>
  <si>
    <t>13862757;9bde3561-a9db-489e-b88e-716074d5362e;;111111118;Vodacom Life 20260324;;;;;CBACK;5;2026-05-2</t>
  </si>
  <si>
    <t>13862757;9bde3561-a9db-489e-b88e-716074d5362e;;111111118;Vodacom Life 20260324;;;;;CBACK;5;2026-05-25 11:31:20+02;Maureen Ntsoko;2026-03-24 09:54:08+02;2026-03-24 09:54:08+02;;;;;;;;;27716224382;;;;;;;;prepaid life;;;;;</t>
  </si>
  <si>
    <t>ID_1642</t>
  </si>
  <si>
    <t>13862678;9106e221-7087-4468-a1d9-e78459a14524;;111111118;Vodacom Life 20260324;;;;;AA;5;2026-05-25 1</t>
  </si>
  <si>
    <t>13862678;9106e221-7087-4468-a1d9-e78459a14524;;111111118;Vodacom Life 20260324;;;;;AA;5;2026-05-25 10:34:39+02;system;2026-03-24 09:54:08+02;2026-03-24 09:54:08+02;;;;;;;;;27799832055;;;;;;;;prepaid life;;;;;</t>
  </si>
  <si>
    <t>ID_1643</t>
  </si>
  <si>
    <t>13862827;6ee3a340-d0d4-4140-be9e-b2570cafaf03;;111111118;Vodacom Life 20260324;;;;;U;2;2026-04-10 08</t>
  </si>
  <si>
    <t>13862827;6ee3a340-d0d4-4140-be9e-b2570cafaf03;;111111118;Vodacom Life 20260324;;;;;U;2;2026-04-10 08:21:14+02;bongiwe lushaba;2026-03-24 09:54:08+02;2026-03-24 09:54:08+02;;;;;;;;;27768191931;;;;;;;;prepaid life;;;;;</t>
  </si>
  <si>
    <t>ID_1644</t>
  </si>
  <si>
    <t>13862828;5892634f-0208-4376-a585-8d189eec71be;;111111118;Vodacom Life 20260324;;;;;AA;5;2026-05-25 0</t>
  </si>
  <si>
    <t>13862828;5892634f-0208-4376-a585-8d189eec71be;;111111118;Vodacom Life 20260324;;;;;AA;5;2026-05-25 09:14:33+02;system;2026-03-24 09:54:08+02;2026-03-24 09:54:08+02;;;;;;;;;27768384013;;;;;;;;prepaid life;;;;;</t>
  </si>
  <si>
    <t>ID_1645</t>
  </si>
  <si>
    <t>13862679;a4ab0ab1-06ca-4d5b-a0e2-ebdb5aa80a8a;;111111118;Vodacom Life 20260324;;;;;AA;5;2026-05-25 1</t>
  </si>
  <si>
    <t>13862679;a4ab0ab1-06ca-4d5b-a0e2-ebdb5aa80a8a;;111111118;Vodacom Life 20260324;;;;;AA;5;2026-05-25 10:34:46+02;system;2026-03-24 09:54:08+02;2026-03-24 09:54:08+02;;;;;;;;;27799860938;;;;;;;;prepaid life;;;;;</t>
  </si>
  <si>
    <t>ID_1646</t>
  </si>
  <si>
    <t>13862758;3b76116b-07c9-4eb0-b10c-35414093cd5d;;111111118;Vodacom Life 20260324;;;;;AA;5;2026-05-25 0</t>
  </si>
  <si>
    <t>13862758;3b76116b-07c9-4eb0-b10c-35414093cd5d;;111111118;Vodacom Life 20260324;;;;;AA;5;2026-05-25 09:45:30+02;system;2026-03-24 09:54:08+02;2026-03-24 09:54:08+02;;;;;;;;;27716282089;;;;;;;;prepaid life;;;;;</t>
  </si>
  <si>
    <t>ID_1647</t>
  </si>
  <si>
    <t xml:space="preserve">13862829;5759ac9f-7306-4f68-8514-809f8dfe9367;;111111118;Vodacom Life 20260324;;;;;ADC;5;2026-05-25 </t>
  </si>
  <si>
    <t>13862829;5759ac9f-7306-4f68-8514-809f8dfe9367;;111111118;Vodacom Life 20260324;;;;;ADC;5;2026-05-25 09:14:34+02;system;2026-03-24 09:54:08+02;2026-03-24 09:54:08+02;;;;;;;;;27768471982;;;;;;;;prepaid life;;;;;</t>
  </si>
  <si>
    <t>ID_1648</t>
  </si>
  <si>
    <t>13862680;8dcd483c-c984-433d-b508-c87bf169cdf6;;111111118;Vodacom Life 20260324;;;;;CU;5;2026-05-25 1</t>
  </si>
  <si>
    <t>13862680;8dcd483c-c984-433d-b508-c87bf169cdf6;;111111118;Vodacom Life 20260324;;;;;CU;5;2026-05-25 10:34:50+02;Khensane Mabasa;2026-03-24 09:54:08+02;2026-03-24 09:54:08+02;;;;;;;;;27799992918;;;;;;;;prepaid life;;;;;</t>
  </si>
  <si>
    <t>ID_1649</t>
  </si>
  <si>
    <t>13862830;1c95a241-e497-4643-90e9-c96d7d2d8fd1;;111111118;Vodacom Life 20260324;;;;;AA;5;2026-05-25 0</t>
  </si>
  <si>
    <t>13862830;1c95a241-e497-4643-90e9-c96d7d2d8fd1;;111111118;Vodacom Life 20260324;;;;;AA;5;2026-05-25 09:14:34+02;system;2026-03-24 09:54:08+02;2026-03-24 09:54:08+02;;;;;;;;;27768519469;;;;;;;;prepaid life;;;;;</t>
  </si>
  <si>
    <t>ID_1650</t>
  </si>
  <si>
    <t>13862681;e19c1e86-4917-41d1-aefc-297026f3f657;;111111118;Vodacom Life 20260324;;;;;NI;2;2026-04-10 0</t>
  </si>
  <si>
    <t>13862681;e19c1e86-4917-41d1-aefc-297026f3f657;;111111118;Vodacom Life 20260324;;;;;NI;2;2026-04-10 09:04:28+02;Thandile Nokubeni;2026-03-24 09:54:08+02;2026-03-24 09:54:08+02;;;;;;;;;27817443889;;;;;;;;prepaid life;;;;;</t>
  </si>
  <si>
    <t>ID_1651</t>
  </si>
  <si>
    <t>13862759;127427ef-f249-4624-b0cb-3abc8229a257;;111111118;Vodacom Life 20260324;;;;;CBACK;4;2026-05-1</t>
  </si>
  <si>
    <t>13862759;127427ef-f249-4624-b0cb-3abc8229a257;;111111118;Vodacom Life 20260324;;;;;CBACK;4;2026-05-19 13:52:36+02;Maureen Ntsoko;2026-03-24 09:54:08+02;2026-03-24 09:54:08+02;;;;;;;;;27720296480;;;;;;;;prepaid life;;;;;</t>
  </si>
  <si>
    <t>ID_1652</t>
  </si>
  <si>
    <t>13862831;ef5fa306-17ce-4760-9ded-3a480a08f35b;;111111118;Vodacom Life 20260324;;;27768576873;;AA;5;2</t>
  </si>
  <si>
    <t>13862831;ef5fa306-17ce-4760-9ded-3a480a08f35b;;111111118;Vodacom Life 20260324;;;27768576873;;AA;5;2026-05-25 09:14:39+02;system;2026-03-24 09:54:08+02;2026-03-24 09:54:08+02;;;;;;;;;27768576873;;;;;;;;prepaid life;;;;;</t>
  </si>
  <si>
    <t>ID_1653</t>
  </si>
  <si>
    <t>13862760;115195dc-d994-4b84-ac0a-ebc41fa47801;;111111118;Vodacom Life 20260324;;;;;AA;5;2026-05-25 0</t>
  </si>
  <si>
    <t>13862760;115195dc-d994-4b84-ac0a-ebc41fa47801;;111111118;Vodacom Life 20260324;;;;;AA;5;2026-05-25 09:46:59+02;system;2026-03-24 09:54:08+02;2026-03-24 09:54:08+02;;;;;;;;;27720315130;;;;;;;;prepaid life;;;;;</t>
  </si>
  <si>
    <t>ID_1654</t>
  </si>
  <si>
    <t>13862682;b68921d7-ec87-4c8d-9ea9-0a026e19e4ae;;111111118;Vodacom Life 20260324;;;;;AA;5;2026-05-25 1</t>
  </si>
  <si>
    <t>13862682;b68921d7-ec87-4c8d-9ea9-0a026e19e4ae;;111111118;Vodacom Life 20260324;;;;;AA;5;2026-05-25 10:34:51+02;system;2026-03-24 09:54:08+02;2026-03-24 09:54:08+02;;;;;;;;;27818671610;;;;;;;;prepaid life;;;;;</t>
  </si>
  <si>
    <t>ID_1655</t>
  </si>
  <si>
    <t>13862832;af8bd732-a18f-447b-bfcc-06215639d0fc;;111111118;Vodacom Life 20260324;;;;;AA;5;2026-05-25 0</t>
  </si>
  <si>
    <t>13862832;af8bd732-a18f-447b-bfcc-06215639d0fc;;111111118;Vodacom Life 20260324;;;;;AA;5;2026-05-25 09:14:49+02;system;2026-03-24 09:54:08+02;2026-03-24 09:54:08+02;;;;;;;;;27769028484;;;;;;;;prepaid life;;;;;</t>
  </si>
  <si>
    <t>ID_1656</t>
  </si>
  <si>
    <t>13862683;e69d0353-f300-457a-b6f0-5d63e9d57583;;111111118;Vodacom Life 20260324;;;;;AA;5;2026-05-25 1</t>
  </si>
  <si>
    <t>13862683;e69d0353-f300-457a-b6f0-5d63e9d57583;;111111118;Vodacom Life 20260324;;;;;AA;5;2026-05-25 10:34:52+02;system;2026-03-24 09:54:08+02;2026-03-24 09:54:08+02;;;;;;;;;27818946500;;;;;;;;prepaid life;;;;;</t>
  </si>
  <si>
    <t>ID_1657</t>
  </si>
  <si>
    <t>13862833;34a9ba63-f7e8-4925-b76e-a4ebec226a88;;111111118;Vodacom Life 20260324;;;27769280059;;BLQ;5;</t>
  </si>
  <si>
    <t>13862833;34a9ba63-f7e8-4925-b76e-a4ebec226a88;;111111118;Vodacom Life 20260324;;;27769280059;;BLQ;5;2026-05-25 09:15:52+02;bongiwe lushaba;2026-03-24 09:54:08+02;2026-03-24 09:54:08+02;;;;;;;;;27769280059;;;;;;;;prepaid life;;;;;</t>
  </si>
  <si>
    <t>ID_1658</t>
  </si>
  <si>
    <t>13862684;5a1d3b97-8de8-4b48-a849-cab80ac33968;;111111118;Vodacom Life 20260324;;;;;AA;5;2026-05-25 1</t>
  </si>
  <si>
    <t>13862684;5a1d3b97-8de8-4b48-a849-cab80ac33968;;111111118;Vodacom Life 20260324;;;;;AA;5;2026-05-25 10:34:52+02;system;2026-03-24 09:54:08+02;2026-03-24 09:54:08+02;;;;;;;;;27820422780;;;;;;;;prepaid life;;;;;</t>
  </si>
  <si>
    <t>ID_1659</t>
  </si>
  <si>
    <t>13862761;6a7b3cf8-6bdb-48f3-89bf-9166aef3e3df;;111111118;Vodacom Life 20260324;;;;;NA;5;2026-05-25 1</t>
  </si>
  <si>
    <t>13862761;6a7b3cf8-6bdb-48f3-89bf-9166aef3e3df;;111111118;Vodacom Life 20260324;;;;;NA;5;2026-05-25 11:31:24+02;system;2026-03-24 09:54:08+02;2026-03-24 09:54:08+02;;;;;;;;;27720407461;;;;;;;;prepaid life;;;;;</t>
  </si>
  <si>
    <t>ID_1660</t>
  </si>
  <si>
    <t>13862762;1ab94f89-3b69-4ac4-8979-2dd38152beda;;111111118;Vodacom Life 20260324;;;;;AA;5;2026-05-25 1</t>
  </si>
  <si>
    <t>13862762;1ab94f89-3b69-4ac4-8979-2dd38152beda;;111111118;Vodacom Life 20260324;;;;;AA;5;2026-05-25 11:20:40+02;system;2026-03-24 09:54:08+02;2026-03-24 09:54:08+02;;;;;;;;;27720525307;;;;;;;;prepaid life;;;;;</t>
  </si>
  <si>
    <t>ID_1661</t>
  </si>
  <si>
    <t>13862834;b7a000a0-8dda-4c0c-a644-dd3148f5cf44;;111111118;Vodacom Life 20260324;;;;;NIUP;2;2026-04-09</t>
  </si>
  <si>
    <t>13862834;b7a000a0-8dda-4c0c-a644-dd3148f5cf44;;111111118;Vodacom Life 20260324;;;;;NIUP;2;2026-04-09 16:25:23+02;Seboifeng Mogola;2026-03-24 09:54:08+02;2026-03-24 09:54:08+02;;;;;;;;;27769649929;;;;;;;;prepaid life;;;;;</t>
  </si>
  <si>
    <t>ID_1662</t>
  </si>
  <si>
    <t>13862763;33f0ab3d-2f38-44a7-a8bb-c8fe25936a79;;111111118;Vodacom Life 20260324;;;27721350399;;DROP;5</t>
  </si>
  <si>
    <t>13862763;33f0ab3d-2f38-44a7-a8bb-c8fe25936a79;;111111118;Vodacom Life 20260324;;;27721350399;;DROP;5;2026-05-25 11:31:43+02;system;2026-03-24 09:54:08+02;2026-03-24 09:54:08+02;;;;;;;;;27721350399;;;;;;;;prepaid life;;;;;</t>
  </si>
  <si>
    <t>ID_1663</t>
  </si>
  <si>
    <t>13862685;3d86b9f4-39c6-4584-99f1-77a241b67f17;;111111118;Vodacom Life 20260324;;;;;A;5;2026-05-25 10</t>
  </si>
  <si>
    <t>13862685;3d86b9f4-39c6-4584-99f1-77a241b67f17;;111111118;Vodacom Life 20260324;;;;;A;5;2026-05-25 10:34:52+02;bongiwe lushaba;2026-03-24 09:54:08+02;2026-03-24 09:54:08+02;;;;;;;;;27820741329;;;;;;;;prepaid life;;;;;</t>
  </si>
  <si>
    <t>ID_1664</t>
  </si>
  <si>
    <t>13862835;17745af4-96dc-436a-b449-163cff7e6fb5;;111111118;Vodacom Life 20260324;;;;;NIUP;1;2026-04-01</t>
  </si>
  <si>
    <t>13862835;17745af4-96dc-436a-b449-163cff7e6fb5;;111111118;Vodacom Life 20260324;;;;;NIUP;1;2026-04-01 09:58:09+02;Millicent Motsuku;2026-03-24 09:54:08+02;2026-03-24 09:54:08+02;;;;;;;;;27769797891;;;;;;;;prepaid life;;;;;</t>
  </si>
  <si>
    <t>ID_1665</t>
  </si>
  <si>
    <t>13862686;d29bc88b-45d0-4299-a017-5f616c4e16be;;111111118;Vodacom Life 20260324;;;;;DROP;5;2026-05-25</t>
  </si>
  <si>
    <t>13862686;d29bc88b-45d0-4299-a017-5f616c4e16be;;111111118;Vodacom Life 20260324;;;;;DROP;5;2026-05-25 10:34:58+02;system;2026-03-24 09:54:08+02;2026-03-24 09:54:08+02;;;;;;;;;27820834881;;;;;;;;prepaid life;;;;;</t>
  </si>
  <si>
    <t>ID_1666</t>
  </si>
  <si>
    <t>13862687;dae72bca-9300-482a-b107-79a53738c0a9;;111111118;Vodacom Life 20260324;;;;;CBACK;3;2026-04-1</t>
  </si>
  <si>
    <t>13862687;dae72bca-9300-482a-b107-79a53738c0a9;;111111118;Vodacom Life 20260324;;;;;CBACK;3;2026-04-15 10:58:38+02;bongiwe lushaba;2026-03-24 09:54:08+02;2026-03-24 09:54:08+02;;;;;;;;;27822522461;;;;;;;;prepaid life;;;;;</t>
  </si>
  <si>
    <t>ID_1667</t>
  </si>
  <si>
    <t>13862764;a62a3bfe-af20-42b5-81e0-d0ae8eaaf5cf;;111111118;Vodacom Life 20260324;;;;;NI;4;2026-05-19 1</t>
  </si>
  <si>
    <t>13862764;a62a3bfe-af20-42b5-81e0-d0ae8eaaf5cf;;111111118;Vodacom Life 20260324;;;;;NI;4;2026-05-19 14:16:11+02;Maureen Ntsoko;2026-03-24 09:54:08+02;2026-03-24 09:54:08+02;;;;;;;;;27721355771;;;;;;;;prepaid life;;;;;</t>
  </si>
  <si>
    <t>ID_1668</t>
  </si>
  <si>
    <t>13862836;b06db6a3-a4da-4409-86c9-8c20cfb7fb5b;;111111118;Vodacom Life 20260324;;;;;AA;5;2026-05-25 0</t>
  </si>
  <si>
    <t>13862836;b06db6a3-a4da-4409-86c9-8c20cfb7fb5b;;111111118;Vodacom Life 20260324;;;;;AA;5;2026-05-25 09:15:17+02;system;2026-03-24 09:54:08+02;2026-03-24 09:54:08+02;;;;;;;;;27769918636;;;;;;;;prepaid life;;;;;</t>
  </si>
  <si>
    <t>ID_1669</t>
  </si>
  <si>
    <t>13862765;5193cf50-a8fe-4cc9-9f01-d869d65866d2;;111111118;Vodacom Life 20260324;;;;;NA;5;2026-05-25 1</t>
  </si>
  <si>
    <t>13862765;5193cf50-a8fe-4cc9-9f01-d869d65866d2;;111111118;Vodacom Life 20260324;;;;;NA;5;2026-05-25 11:32:16+02;system;2026-03-24 09:54:08+02;2026-03-24 09:54:08+02;;;;;;;;;27722101956;;;;;;;;prepaid life;;;;;</t>
  </si>
  <si>
    <t>ID_1670</t>
  </si>
  <si>
    <t>13862688;cb7befc0-e0e3-4b94-a511-2037886126ea;;111111118;Vodacom Life 20260324;;;;;AA;5;2026-05-25 1</t>
  </si>
  <si>
    <t>13862688;cb7befc0-e0e3-4b94-a511-2037886126ea;;111111118;Vodacom Life 20260324;;;;;AA;5;2026-05-25 10:35:05+02;system;2026-03-24 09:54:08+02;2026-03-24 09:54:08+02;;;;;;;;;27823356808;;;;;;;;prepaid life;;;;;</t>
  </si>
  <si>
    <t>ID_1671</t>
  </si>
  <si>
    <t>13862837;83c2651f-190f-4475-aa3c-e6f64abaf904;;111111118;Vodacom Life 20260324;;;;;CBACK;3;2026-04-1</t>
  </si>
  <si>
    <t>13862837;83c2651f-190f-4475-aa3c-e6f64abaf904;;111111118;Vodacom Life 20260324;;;;;CBACK;3;2026-04-10 11:27:13+02;Esther Ramalete;2026-03-24 09:54:08+02;2026-03-24 09:54:08+02;;;;;;;;;27772640669;;;;;;;;prepaid life;;;;;</t>
  </si>
  <si>
    <t>ID_1672</t>
  </si>
  <si>
    <t>13862838;a5525087-87ca-4c0b-9961-2e38746b1ea6;;111111118;Vodacom Life 20260324;;;;;DNQF;4;2026-05-19</t>
  </si>
  <si>
    <t>13862838;a5525087-87ca-4c0b-9961-2e38746b1ea6;;111111118;Vodacom Life 20260324;;;;;DNQF;4;2026-05-19 14:04:17+02;Khensane Mabasa;2026-03-24 09:54:08+02;2026-03-24 09:54:08+02;;;;;;;;;27774156562;;;;;;;;prepaid life;;;;;</t>
  </si>
  <si>
    <t>ID_1673</t>
  </si>
  <si>
    <t>13862689;b3dd4cb7-32c3-4634-aa3a-5447ec66f2cf;;111111118;Vodacom Life 20260324;;;;;DROP;5;2026-05-25</t>
  </si>
  <si>
    <t>13862689;b3dd4cb7-32c3-4634-aa3a-5447ec66f2cf;;111111118;Vodacom Life 20260324;;;;;DROP;5;2026-05-25 10:35:25+02;system;2026-03-24 09:54:08+02;2026-03-24 09:54:08+02;;;;;;;;;27824298952;;;;;;;;prepaid life;;;;;</t>
  </si>
  <si>
    <t>ID_1674</t>
  </si>
  <si>
    <t>13862839;b8ffe5dc-b6c5-4149-9a5a-b4a77bee1efc;;111111118;Vodacom Life 20260324;;;;;AE;5;2026-05-25 0</t>
  </si>
  <si>
    <t>13862839;b8ffe5dc-b6c5-4149-9a5a-b4a77bee1efc;;111111118;Vodacom Life 20260324;;;;;AE;5;2026-05-25 09:15:33+02;system;2026-03-24 09:54:08+02;2026-03-24 09:54:08+02;;;;;;;;;27774369627;;;;;;;;prepaid life;;;;;</t>
  </si>
  <si>
    <t>ID_1675</t>
  </si>
  <si>
    <t>13862690;f0124dec-6954-4716-ba0b-0ad8fda36232;;111111118;Vodacom Life 20260324;;;;;CU;5;2026-05-25 1</t>
  </si>
  <si>
    <t>13862690;f0124dec-6954-4716-ba0b-0ad8fda36232;;111111118;Vodacom Life 20260324;;;;;CU;5;2026-05-25 10:35:25+02;bongiwe lushaba;2026-03-24 09:54:08+02;2026-03-24 09:54:08+02;;;;;;;;;27824715435;;;;;;;;prepaid life;;;;;</t>
  </si>
  <si>
    <t>ID_1676</t>
  </si>
  <si>
    <t>13862766;305f8eb9-f2a6-4400-9883-e9765769bcfa;;111111118;Vodacom Life 20260324;;;;;U;1;2026-04-01 11</t>
  </si>
  <si>
    <t>13862766;305f8eb9-f2a6-4400-9883-e9765769bcfa;;111111118;Vodacom Life 20260324;;;;;U;1;2026-04-01 11:21:36+02;Esther Ramalete;2026-03-24 09:54:08+02;2026-03-24 09:54:08+02;;;;;;;;;27722318965;;;;;;;;prepaid life;;;;;</t>
  </si>
  <si>
    <t>ID_1677</t>
  </si>
  <si>
    <t>13862840;afbb7d4f-f35d-403a-afc7-b3050e869597;;111111118;Vodacom Life 20260324;;;27783494671;;NA;5;2</t>
  </si>
  <si>
    <t>13862840;afbb7d4f-f35d-403a-afc7-b3050e869597;;111111118;Vodacom Life 20260324;;;27783494671;;NA;5;2026-05-25 09:15:33+02;system;2026-03-24 09:54:08+02;2026-03-24 09:54:08+02;;;;;;;;;27783494671;;;;;;;;prepaid life;;;;;</t>
  </si>
  <si>
    <t>ID_1678</t>
  </si>
  <si>
    <t>13862767;851453ed-0c91-4beb-a1b0-381e28f56619;;111111118;Vodacom Life 20260324;;;;;AA;5;2026-05-25 1</t>
  </si>
  <si>
    <t>13862767;851453ed-0c91-4beb-a1b0-381e28f56619;;111111118;Vodacom Life 20260324;;;;;AA;5;2026-05-25 11:32:16+02;system;2026-03-24 09:54:08+02;2026-03-24 09:54:08+02;;;;;;;;;27722603326;;;;;;;;prepaid life;;;;;</t>
  </si>
  <si>
    <t>ID_1679</t>
  </si>
  <si>
    <t>13862768;3d31e9a8-379d-4ba4-b096-9bd2b462c7ac;;111111118;Vodacom Life 20260324;;;;;AA;5;2026-05-25 1</t>
  </si>
  <si>
    <t>13862768;3d31e9a8-379d-4ba4-b096-9bd2b462c7ac;;111111118;Vodacom Life 20260324;;;;;AA;5;2026-05-25 11:06:23+02;system;2026-03-24 09:54:08+02;2026-03-24 09:54:08+02;;;;;;;;;27722897161;;;;;;;;prepaid life;;;;;</t>
  </si>
  <si>
    <t>ID_1680</t>
  </si>
  <si>
    <t>13862769;37fad727-35cb-40d6-ac61-8f344608e6f9;;111111118;Vodacom Life 20260324;;;;;AE;5;2026-05-25 1</t>
  </si>
  <si>
    <t>13862769;37fad727-35cb-40d6-ac61-8f344608e6f9;;111111118;Vodacom Life 20260324;;;;;AE;5;2026-05-25 11:32:16+02;system;2026-03-24 09:54:08+02;2026-03-24 09:54:08+02;;;;;;;;;27722948603;;;;;;;;prepaid life;;;;;</t>
  </si>
  <si>
    <t>ID_1681</t>
  </si>
  <si>
    <t xml:space="preserve">13862885;ec9ef6b3-1e0d-4b8e-9d10-39e6d1d752ae;;111111118;Vodacom Life 20260324;;;;;ADC;5;2026-05-25 </t>
  </si>
  <si>
    <t>13862885;ec9ef6b3-1e0d-4b8e-9d10-39e6d1d752ae;;111111118;Vodacom Life 20260324;;;;;ADC;5;2026-05-25 12:41:58+02;system;2026-03-24 09:54:08+02;2026-03-24 09:54:08+02;;;;;;;;;27828202102;;;;;;;;prepaid life;;;;;</t>
  </si>
  <si>
    <t>ID_1682</t>
  </si>
  <si>
    <t>13862886;219787f0-806a-4929-82ce-d2d7620065c4;;111111118;Vodacom Life 20260324;;;;;CBACK;5;2026-05-2</t>
  </si>
  <si>
    <t>13862886;219787f0-806a-4929-82ce-d2d7620065c4;;111111118;Vodacom Life 20260324;;;;;CBACK;5;2026-05-25 12:42:01+02;bongiwe lushaba;2026-03-24 09:54:08+02;2026-03-24 09:54:08+02;;;;;;;;;27828620691;;;;;;;;prepaid life;;;;;</t>
  </si>
  <si>
    <t>ID_1683</t>
  </si>
  <si>
    <t>13862887;5b8e8724-0433-4e31-ab53-1f0b858fb0dd;;111111118;Vodacom Life 20260324;;;;;AE;5;2026-05-25 1</t>
  </si>
  <si>
    <t>13862887;5b8e8724-0433-4e31-ab53-1f0b858fb0dd;;111111118;Vodacom Life 20260324;;;;;AE;5;2026-05-25 14:27:41+02;system;2026-03-24 09:54:08+02;2026-03-24 09:54:08+02;;;;;;;;;27828958501;;;;;;;;prepaid life;;;;;</t>
  </si>
  <si>
    <t>ID_1684</t>
  </si>
  <si>
    <t>13862770;59146a25-f4f8-4332-b576-f0817251c775;;111111118;Vodacom Life 20260324;;;;;AA;5;2026-05-25 1</t>
  </si>
  <si>
    <t>13862770;59146a25-f4f8-4332-b576-f0817251c775;;111111118;Vodacom Life 20260324;;;;;AA;5;2026-05-25 11:06:23+02;system;2026-03-24 09:54:08+02;2026-03-24 09:54:08+02;;;;;;;;;27723698861;;;;;;;;prepaid life;;;;;</t>
  </si>
  <si>
    <t>ID_1685</t>
  </si>
  <si>
    <t>13862843;da76fe82-28f1-46a9-af6f-acb040f9ec28;;111111118;Vodacom Life 20260324;;;;;U;4;2026-05-20 08</t>
  </si>
  <si>
    <t>13862843;da76fe82-28f1-46a9-af6f-acb040f9ec28;;111111118;Vodacom Life 20260324;;;;;U;4;2026-05-20 08:36:34+02;Khensane Mabasa;2026-03-24 09:54:08+02;2026-03-24 09:54:08+02;;;;;;;;;27791068504;;;;;;;;prepaid life;;;;;</t>
  </si>
  <si>
    <t>ID_1686</t>
  </si>
  <si>
    <t>13862771;d96dd57d-58fc-43d8-ae6a-b4335ee9e02d;;111111118;Vodacom Life 20260324;;;;;NA;5;2026-05-25 1</t>
  </si>
  <si>
    <t>13862771;d96dd57d-58fc-43d8-ae6a-b4335ee9e02d;;111111118;Vodacom Life 20260324;;;;;NA;5;2026-05-25 11:06:28+02;system;2026-03-24 09:54:08+02;2026-03-24 09:54:08+02;;;;;;;;;27724754357;;;;;;;;prepaid life;;;;;</t>
  </si>
  <si>
    <t>ID_1687</t>
  </si>
  <si>
    <t>13862888;79dec80f-2418-4ff6-b10f-aeda70888e25;;111111118;Vodacom Life 20260324;;;;;AE;5;2026-05-25 1</t>
  </si>
  <si>
    <t>13862888;79dec80f-2418-4ff6-b10f-aeda70888e25;;111111118;Vodacom Life 20260324;;;;;AE;5;2026-05-25 14:35:55+02;system;2026-03-24 09:54:08+02;2026-03-24 09:54:08+02;;;;;;;;;27829387742;;;;;;;;prepaid life;;;;;</t>
  </si>
  <si>
    <t>ID_1688</t>
  </si>
  <si>
    <t>13862844;cfa96b00-26d5-409d-8ada-9c5ed7462fb9;;111111118;Vodacom Life 20260324;;;27791718947;;IABDN;</t>
  </si>
  <si>
    <t>13862844;cfa96b00-26d5-409d-8ada-9c5ed7462fb9;;111111118;Vodacom Life 20260324;;;27791718947;;IABDN;5;2026-05-25 14:21:55+02;system;2026-03-24 09:54:08+02;2026-03-24 09:54:08+02;;;;;;;;;27791718947;;;;;;;;prepaid life;;;;;</t>
  </si>
  <si>
    <t>ID_1689</t>
  </si>
  <si>
    <t>13862889;0ae83010-c98b-4314-b270-14ed0ce01b7a;;111111118;Vodacom Life 20260324;;;;;NA;5;2026-05-25 1</t>
  </si>
  <si>
    <t>13862889;0ae83010-c98b-4314-b270-14ed0ce01b7a;;111111118;Vodacom Life 20260324;;;;;NA;5;2026-05-25 11:33:51+02;system;2026-03-24 09:54:08+02;2026-03-24 09:54:08+02;;;;;;;;;27829621592;;;;;;;;prepaid life;;;;;</t>
  </si>
  <si>
    <t>ID_1690</t>
  </si>
  <si>
    <t>13862772;50188cab-da6b-4061-8e26-85dc84abe0e5;;111111118;Vodacom Life 20260324;;;;;AA;5;2026-05-25 1</t>
  </si>
  <si>
    <t>13862772;50188cab-da6b-4061-8e26-85dc84abe0e5;;111111118;Vodacom Life 20260324;;;;;AA;5;2026-05-25 11:06:33+02;system;2026-03-24 09:54:08+02;2026-03-24 09:54:08+02;;;;;;;;;27724910154;;;;;;;;prepaid life;;;;;</t>
  </si>
  <si>
    <t>ID_1691</t>
  </si>
  <si>
    <t>13862845;764dd33d-bf69-4a27-be67-6d886bc0442e;;111111118;Vodacom Life 20260324;;;;;NA;5;2026-05-25 1</t>
  </si>
  <si>
    <t>13862845;764dd33d-bf69-4a27-be67-6d886bc0442e;;111111118;Vodacom Life 20260324;;;;;NA;5;2026-05-25 11:59:26+02;system;2026-03-24 09:54:08+02;2026-03-24 09:54:08+02;;;;;;;;;27791886158;;;;;;;;prepaid life;;;;;</t>
  </si>
  <si>
    <t>ID_1692</t>
  </si>
  <si>
    <t>13862773;4bdae61f-1539-4db3-beca-b06681fbde4b;;111111118;Vodacom Life 20260324;;;;;NI;3;2026-04-15 1</t>
  </si>
  <si>
    <t>13862773;4bdae61f-1539-4db3-beca-b06681fbde4b;;111111118;Vodacom Life 20260324;;;;;NI;3;2026-04-15 11:00:58+02;Thandile Nokubeni;2026-03-24 09:54:08+02;2026-03-24 09:54:08+02;;;;;;;;;27725795790;;;;;;;;prepaid life;;;;;</t>
  </si>
  <si>
    <t>ID_1693</t>
  </si>
  <si>
    <t>13862890;74a4a045-071b-44f0-b38a-a1e8283f4734;;111111118;Vodacom Life 20260324;;;;;NI;2;2026-04-07 1</t>
  </si>
  <si>
    <t>13862890;74a4a045-071b-44f0-b38a-a1e8283f4734;;111111118;Vodacom Life 20260324;;;;;NI;2;2026-04-07 11:32:01+02;Maureen Ntsoko;2026-03-24 09:54:08+02;2026-03-24 09:54:08+02;;;;;;;;;27829707639;;;;;;;;prepaid life;;;;;</t>
  </si>
  <si>
    <t>ID_1694</t>
  </si>
  <si>
    <t>13862846;c8751976-bf26-41ce-9659-1d9a042db3f2;;111111118;Vodacom Life 20260324;;;;;AE;5;2026-05-25 1</t>
  </si>
  <si>
    <t>13862846;c8751976-bf26-41ce-9659-1d9a042db3f2;;111111118;Vodacom Life 20260324;;;;;AE;5;2026-05-25 10:36:34+02;system;2026-03-24 09:54:08+02;2026-03-24 09:54:08+02;;;;;;;;;27792402902;;;;;;;;prepaid life;;;;;</t>
  </si>
  <si>
    <t>ID_1695</t>
  </si>
  <si>
    <t>13862774;d7c5b59f-0e5e-49c4-b49e-f3e4f689e2d0;;111111118;Vodacom Life 20260324;;;;;SELECTED;1;;;2026</t>
  </si>
  <si>
    <t>13862774;d7c5b59f-0e5e-49c4-b49e-f3e4f689e2d0;;111111118;Vodacom Life 20260324;;;;;SELECTED;1;;;2026-03-24 09:54:08+02;2026-03-24 09:54:08+02;;;;;;;;;27725946459;;;;;;;;prepaid life;;;;;</t>
  </si>
  <si>
    <t>ID_1696</t>
  </si>
  <si>
    <t>13862847;66dcd4ad-171d-4369-9915-1b7418f16d48;;111111118;Vodacom Life 20260324;;;;;CU;5;2026-05-25 1</t>
  </si>
  <si>
    <t>13862847;66dcd4ad-171d-4369-9915-1b7418f16d48;;111111118;Vodacom Life 20260324;;;;;CU;5;2026-05-25 11:48:22+02;bongiwe lushaba;2026-03-24 09:54:08+02;2026-03-24 09:54:08+02;;;;;;;;;27792845622;;;;;;;;prepaid life;;;;;</t>
  </si>
  <si>
    <t>ID_1697</t>
  </si>
  <si>
    <t>13862775;e4a32d32-2756-4576-a878-6f75b01bd86a;;111111118;Vodacom Life 20260324;;;27725991324;;DROP;5</t>
  </si>
  <si>
    <t>13862775;e4a32d32-2756-4576-a878-6f75b01bd86a;;111111118;Vodacom Life 20260324;;;27725991324;;DROP;5;2026-05-25 11:06:34+02;system;2026-03-24 09:54:08+02;2026-03-24 09:54:08+02;;;;;;;;;27725991324;;;;;;;;prepaid life;;;;;</t>
  </si>
  <si>
    <t>ID_1698</t>
  </si>
  <si>
    <t>13862891;6857cb36-afd1-4442-9116-501e3894842b;;111111118;Vodacom Life 20260324;;;27833464987;;CU;6;2</t>
  </si>
  <si>
    <t>13862891;6857cb36-afd1-4442-9116-501e3894842b;;111111118;Vodacom Life 20260324;;;27833464987;;CU;6;2026-05-25 14:51:09+02;bongiwe lushaba;2026-03-24 09:54:08+02;2026-03-24 09:54:08+02;;;;;;;;;27833464987;;;;;;;;prepaid life;;;;;</t>
  </si>
  <si>
    <t>ID_1699</t>
  </si>
  <si>
    <t>13862892;ea322354-e8c2-4f73-a5d8-e73d99e35018;;111111118;Vodacom Life 20260324;;;;;AA;5;2026-05-25 1</t>
  </si>
  <si>
    <t>13862892;ea322354-e8c2-4f73-a5d8-e73d99e35018;;111111118;Vodacom Life 20260324;;;;;AA;5;2026-05-25 11:33:51+02;system;2026-03-24 09:54:08+02;2026-03-24 09:54:08+02;;;;;;;;;27833515004;;;;;;;;prepaid life;;;;;</t>
  </si>
  <si>
    <t>ID_1700</t>
  </si>
  <si>
    <t>13862848;dae0179d-f3b1-4eea-aeef-4f8337f9044a;;111111118;Vodacom Life 20260324;;;;;NI;2;2026-04-09 1</t>
  </si>
  <si>
    <t>13862848;dae0179d-f3b1-4eea-aeef-4f8337f9044a;;111111118;Vodacom Life 20260324;;;;;NI;2;2026-04-09 13:56:32+02;Maureen Ntsoko;2026-03-24 09:54:08+02;2026-03-24 09:54:08+02;;;;;;;;;27795529675;;;;;;;;prepaid life;;;;;</t>
  </si>
  <si>
    <t>ID_1701</t>
  </si>
  <si>
    <t>13862893;58b91bf8-0697-41ef-af70-c1c3f623cadb;;111111118;Vodacom Life 20260324;;;;;AA;5;2026-05-25 1</t>
  </si>
  <si>
    <t>13862893;58b91bf8-0697-41ef-af70-c1c3f623cadb;;111111118;Vodacom Life 20260324;;;;;AA;5;2026-05-25 11:33:56+02;system;2026-03-24 09:54:08+02;2026-03-24 09:54:08+02;;;;;;;;;27834042405;;;;;;;;prepaid life;;;;;</t>
  </si>
  <si>
    <t>ID_1702</t>
  </si>
  <si>
    <t>13862776;3fa9ddaf-fa0b-46bb-a185-c7028a895b7c;;111111118;Vodacom Life 20260324;;;;;CU;5;2026-05-25 1</t>
  </si>
  <si>
    <t>13862776;3fa9ddaf-fa0b-46bb-a185-c7028a895b7c;;111111118;Vodacom Life 20260324;;;;;CU;5;2026-05-25 11:06:42+02;Maureen Ntsoko;2026-03-24 09:54:08+02;2026-03-24 09:54:08+02;;;;;;;;;27726115176;;;;;;;;prepaid life;;;;;</t>
  </si>
  <si>
    <t>ID_1703</t>
  </si>
  <si>
    <t>13862777;a29f8945-0f99-4c5d-99b7-ffdafbf3eb80;;111111118;Vodacom Life 20260324;;;;;AE;5;2026-05-25 1</t>
  </si>
  <si>
    <t>13862777;a29f8945-0f99-4c5d-99b7-ffdafbf3eb80;;111111118;Vodacom Life 20260324;;;;;AE;5;2026-05-25 11:07:31+02;system;2026-03-24 09:54:08+02;2026-03-24 09:54:08+02;;;;;;;;;27726294238;;;;;;;;prepaid life;;;;;</t>
  </si>
  <si>
    <t>ID_1704</t>
  </si>
  <si>
    <t>13862849;1d607d17-3932-452e-b6e8-3febf1abc984;;111111118;Vodacom Life 20260324;;;;;AE;5;2026-05-25 1</t>
  </si>
  <si>
    <t>13862849;1d607d17-3932-452e-b6e8-3febf1abc984;;111111118;Vodacom Life 20260324;;;;;AE;5;2026-05-25 10:36:37+02;system;2026-03-24 09:54:08+02;2026-03-24 09:54:08+02;;;;;;;;;27795558591;;;;;;;;prepaid life;;;;;</t>
  </si>
  <si>
    <t>ID_1705</t>
  </si>
  <si>
    <t>13862894;4dfeef14-508c-4274-bacc-4be669c77914;;111111118;Vodacom Life 20260324;;;;;CBACK;5;2026-05-2</t>
  </si>
  <si>
    <t>13862894;4dfeef14-508c-4274-bacc-4be669c77914;;111111118;Vodacom Life 20260324;;;;;CBACK;5;2026-05-25 11:34:12+02;Maureen Ntsoko;2026-03-24 09:54:08+02;2026-03-24 09:54:08+02;;;;;;;;;27637095346;;;;;;;;prepaid life;;;;;</t>
  </si>
  <si>
    <t>ID_1706</t>
  </si>
  <si>
    <t>13862850;bad88361-192e-4139-b85f-cb81352ace26;;111111118;Vodacom Life 20260324;;;;;AA;5;2026-05-25 1</t>
  </si>
  <si>
    <t>13862850;bad88361-192e-4139-b85f-cb81352ace26;;111111118;Vodacom Life 20260324;;;;;AA;5;2026-05-25 10:36:37+02;system;2026-03-24 09:54:08+02;2026-03-24 09:54:08+02;;;;;;;;;27796124762;;;;;;;;prepaid life;;;;;</t>
  </si>
  <si>
    <t>ID_1707</t>
  </si>
  <si>
    <t>13862895;6f853cd9-5cec-40bc-859f-d60550fb3154;;111111118;Vodacom Life 20260324;;;;;NIUP;2;2026-04-09</t>
  </si>
  <si>
    <t>13862895;6f853cd9-5cec-40bc-859f-d60550fb3154;;111111118;Vodacom Life 20260324;;;;;NIUP;2;2026-04-09 13:46:26+02;Millicent Motsuku;2026-03-24 09:54:08+02;2026-03-24 09:54:08+02;;;;;;;;;27648026129;;;;;;;;prepaid life;;;;;</t>
  </si>
  <si>
    <t>ID_1708</t>
  </si>
  <si>
    <t>13862779;3d19c36d-abf6-4df4-9726-649e46049973;;111111118;Vodacom Life 20260324;;;;;AA;5;2026-05-25 1</t>
  </si>
  <si>
    <t>13862779;3d19c36d-abf6-4df4-9726-649e46049973;;111111118;Vodacom Life 20260324;;;;;AA;5;2026-05-25 11:07:34+02;system;2026-03-24 09:54:08+02;2026-03-24 09:54:08+02;;;;;;;;;27727528195;;;;;;;;prepaid life;;;;;</t>
  </si>
  <si>
    <t>ID_1709</t>
  </si>
  <si>
    <t>13862851;a779f0b6-76a7-4d8a-9451-42adb54c8c67;;111111118;Vodacom Life 20260324;;;;;AA;5;2026-05-25 1</t>
  </si>
  <si>
    <t>13862851;a779f0b6-76a7-4d8a-9451-42adb54c8c67;;111111118;Vodacom Life 20260324;;;;;AA;5;2026-05-25 10:36:38+02;system;2026-03-24 09:54:08+02;2026-03-24 09:54:08+02;;;;;;;;;27796371211;;;;;;;;prepaid life;;;;;</t>
  </si>
  <si>
    <t>ID_1710</t>
  </si>
  <si>
    <t>13862780;f88047d4-5180-4272-a5cf-bc12b653328a;;111111118;Vodacom Life 20260324;;;;;NI;2;2026-04-09 1</t>
  </si>
  <si>
    <t>13862780;f88047d4-5180-4272-a5cf-bc12b653328a;;111111118;Vodacom Life 20260324;;;;;NI;2;2026-04-09 16:49:38+02;Thandile Nokubeni;2026-03-24 09:54:08+02;2026-03-24 09:54:08+02;;;;;;;;;27727837815;;;;;;;;prepaid life;;;;;</t>
  </si>
  <si>
    <t>ID_1711</t>
  </si>
  <si>
    <t>13862781;a2002987-4475-42d6-8b12-ade295310409;;111111118;Vodacom Life 20260324;;;;;NA;5;2026-05-25 0</t>
  </si>
  <si>
    <t>13862781;a2002987-4475-42d6-8b12-ade295310409;;111111118;Vodacom Life 20260324;;;;;NA;5;2026-05-25 09:11:41+02;system;2026-03-24 09:54:08+02;2026-03-24 09:54:08+02;;;;;;;;;27728496644;;;;;;;;prepaid life;;;;;</t>
  </si>
  <si>
    <t>ID_1712</t>
  </si>
  <si>
    <t>13862896;b678ef4c-bb22-4419-b90c-3608c2a3e0a0;;111111118;Vodacom Life 20260324;;;;;AA;5;2026-05-25 1</t>
  </si>
  <si>
    <t>13862896;b678ef4c-bb22-4419-b90c-3608c2a3e0a0;;111111118;Vodacom Life 20260324;;;;;AA;5;2026-05-25 11:34:16+02;system;2026-03-24 09:54:08+02;2026-03-24 09:54:08+02;;;;;;;;;27648073445;;;;;;;;prepaid life;;;;;</t>
  </si>
  <si>
    <t>ID_1713</t>
  </si>
  <si>
    <t>13862897;67ac6fc5-678f-4e46-b887-7d79fbce5923;;111111118;Vodacom Life 20260324;;;;;AA;5;2026-05-25 1</t>
  </si>
  <si>
    <t>13862897;67ac6fc5-678f-4e46-b887-7d79fbce5923;;111111118;Vodacom Life 20260324;;;;;AA;5;2026-05-25 11:34:21+02;system;2026-03-24 09:54:08+02;2026-03-24 09:54:08+02;;;;;;;;;27649853064;;;;;;;;prepaid life;;;;;</t>
  </si>
  <si>
    <t>ID_1714</t>
  </si>
  <si>
    <t xml:space="preserve">13862853;dfadb242-64a7-4592-b7be-db89368d8e3b;;111111118;Vodacom Life 20260324;;;;;ADC;5;2026-05-25 </t>
  </si>
  <si>
    <t>13862853;dfadb242-64a7-4592-b7be-db89368d8e3b;;111111118;Vodacom Life 20260324;;;;;ADC;5;2026-05-25 10:36:41+02;system;2026-03-24 09:54:08+02;2026-03-24 09:54:08+02;;;;;;;;;27796797050;;;;;;;;prepaid life;;;;;</t>
  </si>
  <si>
    <t>ID_1715</t>
  </si>
  <si>
    <t>13862898;7cf034bf-ad8a-48a1-8e4f-c9bffee4d1da;;111111118;Vodacom Life 20260324;;;;;AE;5;2026-05-25 1</t>
  </si>
  <si>
    <t>13862898;7cf034bf-ad8a-48a1-8e4f-c9bffee4d1da;;111111118;Vodacom Life 20260324;;;;;AE;5;2026-05-25 11:34:21+02;system;2026-03-24 09:54:08+02;2026-03-24 09:54:08+02;;;;;;;;;27711263056;;;;;;;;prepaid life;;;;;</t>
  </si>
  <si>
    <t>ID_1716</t>
  </si>
  <si>
    <t>13862782;594401e7-331c-4330-8c95-c316f78b4364;;111111118;Vodacom Life 20260324;;;;;AA;5;2026-05-25 1</t>
  </si>
  <si>
    <t>13862782;594401e7-331c-4330-8c95-c316f78b4364;;111111118;Vodacom Life 20260324;;;;;AA;5;2026-05-25 11:07:37+02;system;2026-03-24 09:54:08+02;2026-03-24 09:54:08+02;;;;;;;;;27728771483;;;;;;;;prepaid life;;;;;</t>
  </si>
  <si>
    <t>ID_1717</t>
  </si>
  <si>
    <t>13862854;1dfac979-d6f5-4fe0-b246-12fe0932bff3;;111111118;Vodacom Life 20260324;;;27798022833;;NA;5;2</t>
  </si>
  <si>
    <t>13862854;1dfac979-d6f5-4fe0-b246-12fe0932bff3;;111111118;Vodacom Life 20260324;;;27798022833;;NA;5;2026-05-25 10:37:56+02;system;2026-03-24 09:54:08+02;2026-03-24 09:54:08+02;;;;;;;;;27798022833;;;;;;;;prepaid life;;;;;</t>
  </si>
  <si>
    <t>ID_1718</t>
  </si>
  <si>
    <t>13862783;bf4f12de-273c-4a84-b408-a1ce205150eb;;111111118;Vodacom Life 20260324;;;;;NI;1;2026-03-26 1</t>
  </si>
  <si>
    <t>13862783;bf4f12de-273c-4a84-b408-a1ce205150eb;;111111118;Vodacom Life 20260324;;;;;NI;1;2026-03-26 12:26:19+02;Thandile Nokubeni;2026-03-24 09:54:08+02;2026-03-24 09:54:08+02;;;;;;;;;27729191849;;;;;;;;prepaid life;;;;;</t>
  </si>
  <si>
    <t>ID_1719</t>
  </si>
  <si>
    <t>13862899;32e96f69-1500-4b51-b513-954fa90c334b;;111111118;Vodacom Life 20260324;;;;;CU;5;2026-05-25 1</t>
  </si>
  <si>
    <t>13862899;32e96f69-1500-4b51-b513-954fa90c334b;;111111118;Vodacom Life 20260324;;;;;CU;5;2026-05-25 11:34:21+02;bongiwe lushaba;2026-03-24 09:54:08+02;2026-03-24 09:54:08+02;;;;;;;;;27713546866;;;;;;;;prepaid life;;;;;</t>
  </si>
  <si>
    <t>ID_1720</t>
  </si>
  <si>
    <t>13862855;44c7cab3-436d-43a8-b749-92e2e9e07966;;111111118;Vodacom Life 20260324;;;;;NI;2;2026-04-09 1</t>
  </si>
  <si>
    <t>13862855;44c7cab3-436d-43a8-b749-92e2e9e07966;;111111118;Vodacom Life 20260324;;;;;NI;2;2026-04-09 13:53:59+02;Musiiwa Mary Mabirimisa;2026-03-24 09:54:08+02;2026-03-24 09:54:08+02;;;;;;;;;27798162849;;;;;;;;prepaid life;;;;;</t>
  </si>
  <si>
    <t>ID_1721</t>
  </si>
  <si>
    <t>13862784;48278429-9c14-4323-9544-7aef8087472a;;111111118;Vodacom Life 20260324;;;;;AA;5;2026-05-25 0</t>
  </si>
  <si>
    <t>13862784;48278429-9c14-4323-9544-7aef8087472a;;111111118;Vodacom Life 20260324;;;;;AA;5;2026-05-25 09:11:52+02;system;2026-03-24 09:54:08+02;2026-03-24 09:54:08+02;;;;;;;;;27729214596;;;;;;;;prepaid life;;;;;</t>
  </si>
  <si>
    <t>ID_1722</t>
  </si>
  <si>
    <t>13862856;08359770-bb27-4b8b-8b1f-a3f7a68eb3e0;;111111118;Vodacom Life 20260324;;;;;AA;5;2026-05-25 1</t>
  </si>
  <si>
    <t>13862856;08359770-bb27-4b8b-8b1f-a3f7a68eb3e0;;111111118;Vodacom Life 20260324;;;;;AA;5;2026-05-25 10:37:11+02;system;2026-03-24 09:54:08+02;2026-03-24 09:54:08+02;;;;;;;;;27798286949;;;;;;;;prepaid life;;;;;</t>
  </si>
  <si>
    <t>ID_1723</t>
  </si>
  <si>
    <t>13862900;ebfb18a2-15f7-45f3-842a-c8ff16e0bf9a;;111111118;Vodacom Life 20260324;;;;;AA;5;2026-05-25 1</t>
  </si>
  <si>
    <t>13862900;ebfb18a2-15f7-45f3-842a-c8ff16e0bf9a;;111111118;Vodacom Life 20260324;;;;;AA;5;2026-05-25 11:34:22+02;system;2026-03-24 09:54:08+02;2026-03-24 09:54:08+02;;;;;;;;;27713668940;;;;;;;;prepaid life;;;;;</t>
  </si>
  <si>
    <t>ID_1724</t>
  </si>
  <si>
    <t>13862857;26d6c97b-2a39-4b20-97dd-10329d6bca51;;111111118;Vodacom Life 20260324;;;;;AA;5;2026-05-25 1</t>
  </si>
  <si>
    <t>13862857;26d6c97b-2a39-4b20-97dd-10329d6bca51;;111111118;Vodacom Life 20260324;;;;;AA;5;2026-05-25 10:37:11+02;system;2026-03-24 09:54:08+02;2026-03-24 09:54:08+02;;;;;;;;;27799184343;;;;;;;;prepaid life;;;;;</t>
  </si>
  <si>
    <t>ID_1725</t>
  </si>
  <si>
    <t>13862901;f930f6f2-3eda-47ac-b48b-22ad8c819501;;111111118;Vodacom Life 20260324;;;;;AA;5;2026-05-25 1</t>
  </si>
  <si>
    <t>13862901;f930f6f2-3eda-47ac-b48b-22ad8c819501;;111111118;Vodacom Life 20260324;;;;;AA;5;2026-05-25 11:34:25+02;system;2026-03-24 09:54:08+02;2026-03-24 09:54:08+02;;;;;;;;;27729930142;;;;;;;;prepaid life;;;;;</t>
  </si>
  <si>
    <t>ID_1726</t>
  </si>
  <si>
    <t>13862785;291767a3-24a2-4354-a6e9-ee2a6bbad81b;;111111118;Vodacom Life 20260324;;;;;AC;1;2026-03-30 1</t>
  </si>
  <si>
    <t>13862785;291767a3-24a2-4354-a6e9-ee2a6bbad81b;;111111118;Vodacom Life 20260324;;;;;AC;1;2026-03-30 12:04:40+02;Thandile Nokubeni;2026-03-24 09:54:08+02;2026-03-24 09:54:08+02;;;;;;;;;27729357277;;;;;;;;prepaid life;;;;;</t>
  </si>
  <si>
    <t>ID_1727</t>
  </si>
  <si>
    <t xml:space="preserve">13862858;ad6b1e51-9f93-4331-961b-337ce0fd76f8;;111111118;Vodacom Life 20260324;;;;;CCB;5;2026-05-25 </t>
  </si>
  <si>
    <t>13862858;ad6b1e51-9f93-4331-961b-337ce0fd76f8;;111111118;Vodacom Life 20260324;;;;;CCB;5;2026-05-25 10:37:11+02;Khensane Mabasa;2026-03-24 09:54:08+02;2026-03-24 09:54:08+02;;;;;;;;;27799381865;;;;;;;;prepaid life;;;;;</t>
  </si>
  <si>
    <t>ID_1728</t>
  </si>
  <si>
    <t>13862786;06c2cf72-aa86-4580-adfd-4772c572fd6d;;111111118;Vodacom Life 20260324;;;27729980124;;IABDN;</t>
  </si>
  <si>
    <t>13862786;06c2cf72-aa86-4580-adfd-4772c572fd6d;;111111118;Vodacom Life 20260324;;;27729980124;;IABDN;5;2026-05-25 09:58:34+02;system;2026-03-24 09:54:08+02;2026-03-24 09:54:08+02;;;;;;;;;27729980124;;;;;;;;prepaid life;;;;;</t>
  </si>
  <si>
    <t>ID_1729</t>
  </si>
  <si>
    <t>13862902;92c6f8da-7178-44fa-aa95-d430a1b31281;;111111118;Vodacom Life 20260324;;;;;SELECTED;5;2026-0</t>
  </si>
  <si>
    <t>13862902;92c6f8da-7178-44fa-aa95-d430a1b31281;;111111118;Vodacom Life 20260324;;;;;SELECTED;5;2026-05-19 14:12:31+02;system;2026-03-24 09:54:08+02;2026-03-24 09:54:08+02;;;;;;;;;27747970002;;;;;;;;prepaid life;;;;;</t>
  </si>
  <si>
    <t>ID_1730</t>
  </si>
  <si>
    <t>13862859;0c0590be-c9b7-43e7-8f66-5605152bc2b3;;111111118;Vodacom Life 20260324;;;;;AA;5;2026-05-25 1</t>
  </si>
  <si>
    <t>13862859;0c0590be-c9b7-43e7-8f66-5605152bc2b3;;111111118;Vodacom Life 20260324;;;;;AA;5;2026-05-25 10:37:18+02;system;2026-03-24 09:54:08+02;2026-03-24 09:54:08+02;;;;;;;;;27799582660;;;;;;;;prepaid life;;;;;</t>
  </si>
  <si>
    <t>ID_1731</t>
  </si>
  <si>
    <t>13862903;29863ee2-d12d-46d9-8e2c-d8145ec62d15;;111111118;Vodacom Life 20260324;;;;;AE;5;2026-05-25 1</t>
  </si>
  <si>
    <t>13862903;29863ee2-d12d-46d9-8e2c-d8145ec62d15;;111111118;Vodacom Life 20260324;;;;;AE;5;2026-05-25 14:16:13+02;system;2026-03-24 09:54:08+02;2026-03-24 09:54:08+02;;;;;;;;;27766332235;;;;;;;;prepaid life;;;;;</t>
  </si>
  <si>
    <t>ID_1732</t>
  </si>
  <si>
    <t>13862787;217b2a00-a231-4676-8ca6-d068a9aa88b3;;111111118;Vodacom Life 20260324;;;;;AE;5;2026-05-25 0</t>
  </si>
  <si>
    <t>13862787;217b2a00-a231-4676-8ca6-d068a9aa88b3;;111111118;Vodacom Life 20260324;;;;;AE;5;2026-05-25 09:11:55+02;system;2026-03-24 09:54:08+02;2026-03-24 09:54:08+02;;;;;;;;;27732739260;;;;;;;;prepaid life;;;;;</t>
  </si>
  <si>
    <t>ID_1733</t>
  </si>
  <si>
    <t>13862860;1ac820b4-bb1b-48e1-9388-8696929fcad2;;111111118;Vodacom Life 20260324;;;;;DNQF;3;2026-04-15</t>
  </si>
  <si>
    <t>13862860;1ac820b4-bb1b-48e1-9388-8696929fcad2;;111111118;Vodacom Life 20260324;;;;;DNQF;3;2026-04-15 11:05:42+02;Millicent Motsuku;2026-03-24 09:54:08+02;2026-03-24 09:54:08+02;;;;;;;;;27799667828;;;;;;;;prepaid life;;;;;</t>
  </si>
  <si>
    <t>ID_1734</t>
  </si>
  <si>
    <t>13862982;b38d6673-f315-49e1-8759-1020064af577;;111111118;Vodacom Life 20260324;;;;;CBACK;1;2026-03-2</t>
  </si>
  <si>
    <t>13862982;b38d6673-f315-49e1-8759-1020064af577;;111111118;Vodacom Life 20260324;;;;;CBACK;1;2026-03-26 11:52:24+02;Thandile Nokubeni;2026-03-24 09:54:08+02;2026-03-24 09:54:08+02;;;;;;;;;27795340023;;;;;;;;prepaid life;;;;;</t>
  </si>
  <si>
    <t>ID_1735</t>
  </si>
  <si>
    <t>13862904;4fc4dffb-96b5-409e-87bb-b5fb16609586;;111111118;Vodacom Life 20260324;;;;;AA;5;2026-05-25 1</t>
  </si>
  <si>
    <t>13862904;4fc4dffb-96b5-409e-87bb-b5fb16609586;;111111118;Vodacom Life 20260324;;;;;AA;5;2026-05-25 14:35:01+02;system;2026-03-24 09:54:08+02;2026-03-24 09:54:08+02;;;;;;;;;27766703017;;;;;;;;prepaid life;;;;;</t>
  </si>
  <si>
    <t>ID_1736</t>
  </si>
  <si>
    <t>13862861;c369084d-0a13-4f14-b096-61c0ed9e9435;;111111118;Vodacom Life 20260324;;;;;NI;2;2026-03-26 1</t>
  </si>
  <si>
    <t>13862861;c369084d-0a13-4f14-b096-61c0ed9e9435;;111111118;Vodacom Life 20260324;;;;;NI;2;2026-03-26 11:51:00+02;Thandile Nokubeni;2026-03-24 09:54:08+02;2026-03-24 09:54:08+02;;;;;;;;;27818775875;;;;;;;;prepaid life;;;;;</t>
  </si>
  <si>
    <t>ID_1737</t>
  </si>
  <si>
    <t xml:space="preserve">13862862;3931ea08-2bac-496e-addd-0507e3b38392;;111111118;Vodacom Life 20260324;;;;;CCB;5;2026-05-25 </t>
  </si>
  <si>
    <t>13862862;3931ea08-2bac-496e-addd-0507e3b38392;;111111118;Vodacom Life 20260324;;;;;CCB;5;2026-05-25 09:48:11+02;Maureen Ntsoko;2026-03-24 09:54:08+02;2026-03-24 09:54:08+02;;;;;;;;;27820843694;;;;;;;;prepaid life;;;;;</t>
  </si>
  <si>
    <t>ID_1738</t>
  </si>
  <si>
    <t>13862906;c69b8ba7-8c5e-457e-9feb-7c43975e4618;;111111118;Vodacom Life 20260324;;;;;AE;5;2026-05-25 1</t>
  </si>
  <si>
    <t>13862906;c69b8ba7-8c5e-457e-9feb-7c43975e4618;;111111118;Vodacom Life 20260324;;;;;AE;5;2026-05-25 14:35:32+02;system;2026-03-24 09:54:08+02;2026-03-24 09:54:08+02;;;;;;;;;27784413030;;;;;;;;prepaid life;;;;;</t>
  </si>
  <si>
    <t>ID_1739</t>
  </si>
  <si>
    <t>13862907;261dff6f-cbe1-4314-a82e-92bf97a4abbe;;111111118;Vodacom Life 20260324;;;;;AE;5;2026-05-25 1</t>
  </si>
  <si>
    <t>13862907;261dff6f-cbe1-4314-a82e-92bf97a4abbe;;111111118;Vodacom Life 20260324;;;;;AE;5;2026-05-25 14:04:53+02;system;2026-03-24 09:54:08+02;2026-03-24 09:54:08+02;;;;;;;;;27785536904;;;;;;;;prepaid life;;;;;</t>
  </si>
  <si>
    <t>ID_1740</t>
  </si>
  <si>
    <t>13862983;a2932470-b68f-4753-bcb1-20b0df37f520;;111111118;Vodacom Life 20260324;;;;;NI;2;2026-03-26 1</t>
  </si>
  <si>
    <t>13862983;a2932470-b68f-4753-bcb1-20b0df37f520;;111111118;Vodacom Life 20260324;;;;;NI;2;2026-03-26 11:54:32+02;Mahlatse Manamela;2026-03-24 09:54:08+02;2026-03-24 09:54:08+02;;;;;;;;;27796421152;;;;;;;;prepaid life;;;;;</t>
  </si>
  <si>
    <t>ID_1741</t>
  </si>
  <si>
    <t>13862863;0224b0cb-17e6-422a-a3e0-37a70ee5c177;;111111118;Vodacom Life 20260324;;;;;DROP;5;2026-05-25</t>
  </si>
  <si>
    <t>13862863;0224b0cb-17e6-422a-a3e0-37a70ee5c177;;111111118;Vodacom Life 20260324;;;;;DROP;5;2026-05-25 10:37:18+02;system;2026-03-24 09:54:08+02;2026-03-24 09:54:08+02;;;;;;;;;27822042064;;;;;;;;prepaid life;;;;;</t>
  </si>
  <si>
    <t>ID_1742</t>
  </si>
  <si>
    <t>13862864;8b206dcb-d331-4319-8c65-13745f1a3236;;111111118;Vodacom Life 20260324;;;;;CBACK;5;2026-05-2</t>
  </si>
  <si>
    <t>13862864;8b206dcb-d331-4319-8c65-13745f1a3236;;111111118;Vodacom Life 20260324;;;;;CBACK;5;2026-05-25 10:37:18+02;Maureen Ntsoko;2026-03-24 09:54:08+02;2026-03-24 09:54:08+02;;;;;;;;;27822571804;;;;;;;;prepaid life;;;;;</t>
  </si>
  <si>
    <t>ID_1743</t>
  </si>
  <si>
    <t>13862984;03216882-6c4c-4fc9-87d6-e7c373d7bc42;;111111118;Vodacom Life 20260324;;;27797472205;;AA;5;2</t>
  </si>
  <si>
    <t>13862984;03216882-6c4c-4fc9-87d6-e7c373d7bc42;;111111118;Vodacom Life 20260324;;;27797472205;;AA;5;2026-05-25 09:17:28+02;system;2026-03-24 09:54:08+02;2026-03-24 09:54:08+02;;;;;;;;;27797472205;;;;;;;;prepaid life;;;;;</t>
  </si>
  <si>
    <t>ID_1744</t>
  </si>
  <si>
    <t>13862908;408064c8-0a70-4341-8b45-baa249561fb7;;111111118;Vodacom Life 20260324;;;;;AE;5;2026-05-25 1</t>
  </si>
  <si>
    <t>13862908;408064c8-0a70-4341-8b45-baa249561fb7;;111111118;Vodacom Life 20260324;;;;;AE;5;2026-05-25 11:49:59+02;system;2026-03-24 09:54:08+02;2026-03-24 09:54:08+02;;;;;;;;;27792297415;;;;;;;;prepaid life;;;;;</t>
  </si>
  <si>
    <t>ID_1745</t>
  </si>
  <si>
    <t>13862865;de66cd09-585d-42a7-80c0-1af320d91131;;111111118;Vodacom Life 20260324;;;;;NI;3;2026-04-15 1</t>
  </si>
  <si>
    <t>13862865;de66cd09-585d-42a7-80c0-1af320d91131;;111111118;Vodacom Life 20260324;;;;;NI;3;2026-04-15 12:02:23+02;Musiiwa Mary Mabirimisa;2026-03-24 09:54:08+02;2026-03-24 09:54:08+02;;;;;;;;;27822677764;;;;;;;;prepaid life;;;;;</t>
  </si>
  <si>
    <t>ID_1746</t>
  </si>
  <si>
    <t>13862909;fc026913-7222-4442-991e-dfde6b1dec6a;;111111118;Vodacom Life 20260324;;;;;NIUP;2;2026-04-09</t>
  </si>
  <si>
    <t>13862909;fc026913-7222-4442-991e-dfde6b1dec6a;;111111118;Vodacom Life 20260324;;;;;NIUP;2;2026-04-09 13:40:28+02;Millicent Motsuku;2026-03-24 09:54:08+02;2026-03-24 09:54:08+02;;;;;;;;;27794717362;;;;;;;;prepaid life;;;;;</t>
  </si>
  <si>
    <t>ID_1747</t>
  </si>
  <si>
    <t>13862985;380bee3c-5db2-4dad-bf09-e8afa336b3e3;;111111118;Vodacom Life 20260324;;;;;DROP;5;2026-05-25</t>
  </si>
  <si>
    <t>13862985;380bee3c-5db2-4dad-bf09-e8afa336b3e3;;111111118;Vodacom Life 20260324;;;;;DROP;5;2026-05-25 09:17:57+02;system;2026-03-24 09:54:08+02;2026-03-24 09:54:08+02;;;;;;;;;27799656406;;;;;;;;prepaid life;;;;;</t>
  </si>
  <si>
    <t>ID_1748</t>
  </si>
  <si>
    <t>13862866;5f7d51ab-b88e-4a4b-b195-809ac3cdfdc6;;111111118;Vodacom Life 20260324;;;;;AA;5;2026-05-25 1</t>
  </si>
  <si>
    <t>13862866;5f7d51ab-b88e-4a4b-b195-809ac3cdfdc6;;111111118;Vodacom Life 20260324;;;;;AA;5;2026-05-25 10:37:18+02;system;2026-03-24 09:54:08+02;2026-03-24 09:54:08+02;;;;;;;;;27823173009;;;;;;;;prepaid life;;;;;</t>
  </si>
  <si>
    <t>ID_1749</t>
  </si>
  <si>
    <t>13862986;fd876e56-0228-47a1-92d8-2ee34595a1ff;;111111118;Vodacom Life 20260324;;;27799857593;;NA;5;2</t>
  </si>
  <si>
    <t>13862986;fd876e56-0228-47a1-92d8-2ee34595a1ff;;111111118;Vodacom Life 20260324;;;27799857593;;NA;5;2026-05-25 09:17:57+02;system;2026-03-24 09:54:08+02;2026-03-24 09:54:08+02;;;;;;;;;27799857593;;;;;;;;prepaid life;;;;;</t>
  </si>
  <si>
    <t>ID_1750</t>
  </si>
  <si>
    <t>13862867;a786f63b-cc4e-43f7-8056-7bbc771404b4;;111111118;Vodacom Life 20260324;;;;;AE;5;2026-05-22 1</t>
  </si>
  <si>
    <t>13862867;a786f63b-cc4e-43f7-8056-7bbc771404b4;;111111118;Vodacom Life 20260324;;;;;AE;5;2026-05-22 13:06:18+02;system;2026-03-24 09:54:08+02;2026-03-24 09:54:08+02;;;;;;;;;27823405052;;;;;;;;prepaid life;;;;;</t>
  </si>
  <si>
    <t>ID_1751</t>
  </si>
  <si>
    <t>13862910;77ec0938-3ae9-4581-b786-c1a083b2facb;;111111118;Vodacom Life 20260324;;;;;AA;5;2026-05-25 0</t>
  </si>
  <si>
    <t>13862910;77ec0938-3ae9-4581-b786-c1a083b2facb;;111111118;Vodacom Life 20260324;;;;;AA;5;2026-05-25 09:15:37+02;system;2026-03-24 09:54:08+02;2026-03-24 09:54:08+02;;;;;;;;;27798957504;;;;;;;;prepaid life;;;;;</t>
  </si>
  <si>
    <t>ID_1752</t>
  </si>
  <si>
    <t>13862868;98a79738-98fe-435c-a51d-59cd937f9911;;111111118;Vodacom Life 20260324;;;27823833183;;AA;5;2</t>
  </si>
  <si>
    <t>13862868;98a79738-98fe-435c-a51d-59cd937f9911;;111111118;Vodacom Life 20260324;;;27823833183;;AA;5;2026-05-25 10:38:06+02;system;2026-03-24 09:54:08+02;2026-03-24 09:54:08+02;;;;;;;;;27823833183;;;;;;;;prepaid life;;;;;</t>
  </si>
  <si>
    <t>ID_1753</t>
  </si>
  <si>
    <t>13862911;efa969a0-4126-4a15-8983-3a5b4b7501b1;;111111118;Vodacom Life 20260324;;;;;SELECTED;2;2026-0</t>
  </si>
  <si>
    <t>13862911;efa969a0-4126-4a15-8983-3a5b4b7501b1;;111111118;Vodacom Life 20260324;;;;;SELECTED;2;2026-03-26 11:30:59+02;system;2026-03-24 09:54:08+02;2026-03-24 09:54:08+02;;;;;;;;;27820906751;;;;;;;;prepaid life;;;;;</t>
  </si>
  <si>
    <t>ID_1754</t>
  </si>
  <si>
    <t xml:space="preserve">13862912;a1bebd4e-d98b-4671-b727-29fd7e1d6bf9;;111111118;Vodacom Life 20260324;;;;;ADC;5;2026-05-25 </t>
  </si>
  <si>
    <t>13862912;a1bebd4e-d98b-4671-b727-29fd7e1d6bf9;;111111118;Vodacom Life 20260324;;;;;ADC;5;2026-05-25 11:50:00+02;system;2026-03-24 09:54:08+02;2026-03-24 09:54:08+02;;;;;;;;;27609385775;;;;;;;;prepaid life;;;;;</t>
  </si>
  <si>
    <t>ID_1755</t>
  </si>
  <si>
    <t>13862987;b9da54a2-b48b-4039-b60e-eb2846cd4c4b;;111111118;Vodacom Life 20260324;;;;;NI;2;2026-04-09 1</t>
  </si>
  <si>
    <t>13862987;b9da54a2-b48b-4039-b60e-eb2846cd4c4b;;111111118;Vodacom Life 20260324;;;;;NI;2;2026-04-09 13:11:39+02;Esther Ramalete;2026-03-24 09:54:08+02;2026-03-24 09:54:08+02;;;;;;;;;27815635586;;;;;;;;prepaid life;;;;;</t>
  </si>
  <si>
    <t>ID_1756</t>
  </si>
  <si>
    <t>13862869;09d06cbc-612f-4acb-85f5-699c543f292d;;111111118;Vodacom Life 20260324;;;;;AA;5;2026-05-22 1</t>
  </si>
  <si>
    <t>13862869;09d06cbc-612f-4acb-85f5-699c543f292d;;111111118;Vodacom Life 20260324;;;;;AA;5;2026-05-22 13:06:18+02;system;2026-03-24 09:54:08+02;2026-03-24 09:54:08+02;;;;;;;;;27823870485;;;;;;;;prepaid life;;;;;</t>
  </si>
  <si>
    <t>ID_1757</t>
  </si>
  <si>
    <t xml:space="preserve">13862988;7fc37d06-756f-4b65-ac8f-36ea187ef37e;;111111118;Vodacom Life 20260324;;;;;TDN;5;2026-05-25 </t>
  </si>
  <si>
    <t>13862988;7fc37d06-756f-4b65-ac8f-36ea187ef37e;;111111118;Vodacom Life 20260324;;;;;TDN;5;2026-05-25 09:17:57+02;system;2026-03-24 09:54:08+02;2026-03-24 09:54:08+02;;;;;;;;;27818120708;;;;;;;;prepaid life;;;;;</t>
  </si>
  <si>
    <t>ID_1758</t>
  </si>
  <si>
    <t xml:space="preserve">13862870;afa0d4bb-e4aa-4494-93e0-a6d73b346a11;;111111118;Vodacom Life 20260324;;;;;ADC;5;2026-05-22 </t>
  </si>
  <si>
    <t>13862870;afa0d4bb-e4aa-4494-93e0-a6d73b346a11;;111111118;Vodacom Life 20260324;;;;;ADC;5;2026-05-22 13:06:18+02;system;2026-03-24 09:54:08+02;2026-03-24 09:54:08+02;;;;;;;;;27824212515;;;;;;;;prepaid life;;;;;</t>
  </si>
  <si>
    <t>ID_1759</t>
  </si>
  <si>
    <t>13862913;06f2cfe0-7d9f-4ece-9645-8a7ff76b5853;;111111118;Vodacom Life 20260324;;;;;AA;5;2026-05-25 0</t>
  </si>
  <si>
    <t>13862913;06f2cfe0-7d9f-4ece-9645-8a7ff76b5853;;111111118;Vodacom Life 20260324;;;;;AA;5;2026-05-25 09:15:40+02;system;2026-03-24 09:54:08+02;2026-03-24 09:54:08+02;;;;;;;;;27646369487;;;;;;;;prepaid life;;;;;</t>
  </si>
  <si>
    <t>ID_1760</t>
  </si>
  <si>
    <t xml:space="preserve">13862871;4416da3d-fd22-4112-afe9-8f6e9f5099ea;;111111118;Vodacom Life 20260324;;;;;BLQ;5;2026-05-22 </t>
  </si>
  <si>
    <t>13862871;4416da3d-fd22-4112-afe9-8f6e9f5099ea;;111111118;Vodacom Life 20260324;;;;;BLQ;5;2026-05-22 13:06:31+02;Khensane Mabasa;2026-03-24 09:54:08+02;2026-03-24 09:54:08+02;;;;;;;;;27824260066;;;;;;;;prepaid life;;;;;</t>
  </si>
  <si>
    <t>ID_1761</t>
  </si>
  <si>
    <t>13862914;cf7fc565-0c88-456b-bc90-6a8c0f7de7cb;;111111118;Vodacom Life 20260324;;;27646479384;;CU;5;2</t>
  </si>
  <si>
    <t>13862914;cf7fc565-0c88-456b-bc90-6a8c0f7de7cb;;111111118;Vodacom Life 20260324;;;27646479384;;CU;5;2026-05-25 09:16:30+02;Khensane Mabasa;2026-03-24 09:54:08+02;2026-03-24 09:54:08+02;;;;;;;;;27646479384;;;;;;;;prepaid life;;;;;</t>
  </si>
  <si>
    <t>ID_1762</t>
  </si>
  <si>
    <t>13862872;42a41533-1c99-47e5-99ee-90349eb46e2f;;111111118;Vodacom Life 20260324;;;;;AE;5;2026-05-22 1</t>
  </si>
  <si>
    <t>13862872;42a41533-1c99-47e5-99ee-90349eb46e2f;;111111118;Vodacom Life 20260324;;;;;AE;5;2026-05-22 13:06:35+02;system;2026-03-24 09:54:08+02;2026-03-24 09:54:08+02;;;;;;;;;27824464856;;;;;;;;prepaid life;;;;;</t>
  </si>
  <si>
    <t>ID_1763</t>
  </si>
  <si>
    <t>13862873;11f8f364-2593-4674-9345-245490f18da4;;111111118;Vodacom Life 20260324;;;;;A;5;2026-04-17 10</t>
  </si>
  <si>
    <t>13862873;11f8f364-2593-4674-9345-245490f18da4;;111111118;Vodacom Life 20260324;;;;;A;5;2026-04-17 10:33:26+02;Seboifeng Mogola;2026-03-24 09:54:08+02;2026-03-24 09:54:08+02;;;;;;;;;27824571089;;;;;;;;prepaid life;;;;;</t>
  </si>
  <si>
    <t>ID_1764</t>
  </si>
  <si>
    <t>13862915;870d6063-c635-4697-a316-38f215488dce;;111111118;Vodacom Life 20260324;;;27647086549;;AA;5;2</t>
  </si>
  <si>
    <t>13862915;870d6063-c635-4697-a316-38f215488dce;;111111118;Vodacom Life 20260324;;;27647086549;;AA;5;2026-05-25 09:15:50+02;system;2026-03-24 09:54:08+02;2026-03-24 09:54:08+02;;;;;;;;;27647086549;;;;;;;;prepaid life;;;;;</t>
  </si>
  <si>
    <t>ID_1765</t>
  </si>
  <si>
    <t xml:space="preserve">13862916;b9b8c51e-67c7-4fe5-8b05-8aa8aa4b2758;;111111118;Vodacom Life 20260324;;;;;OAL;2;2026-04-09 </t>
  </si>
  <si>
    <t>13862916;b9b8c51e-67c7-4fe5-8b05-8aa8aa4b2758;;111111118;Vodacom Life 20260324;;;;;OAL;2;2026-04-09 13:39:04+02;Musiiwa Mary Mabirimisa;2026-03-24 09:54:08+02;2026-03-24 09:54:08+02;;;;;;;;;27647448632;;;;;;;;prepaid life;;;;;</t>
  </si>
  <si>
    <t>ID_1766</t>
  </si>
  <si>
    <t>13862990;8cc0b1f2-1b11-4390-a576-d8ff4cccf381;;111111118;Vodacom Life 20260324;;;;;AA;5;2026-05-25 0</t>
  </si>
  <si>
    <t>13862990;8cc0b1f2-1b11-4390-a576-d8ff4cccf381;;111111118;Vodacom Life 20260324;;;;;AA;5;2026-05-25 09:18:23+02;system;2026-03-24 09:54:08+02;2026-03-24 09:54:08+02;;;;;;;;;27609899277;;;;;;;;prepaid life;;;;;</t>
  </si>
  <si>
    <t>ID_1767</t>
  </si>
  <si>
    <t>13862874;1ce0e7a1-f1f6-47b3-b914-482432049ba1;;111111118;Vodacom Life 20260324;;;;;DROP;5;2026-05-22</t>
  </si>
  <si>
    <t>13862874;1ce0e7a1-f1f6-47b3-b914-482432049ba1;;111111118;Vodacom Life 20260324;;;;;DROP;5;2026-05-22 13:06:42+02;system;2026-03-24 09:54:08+02;2026-03-24 09:54:08+02;;;;;;;;;27825007198;;;;;;;;prepaid life;;;;;</t>
  </si>
  <si>
    <t>ID_1768</t>
  </si>
  <si>
    <t>13862991;0bca8408-7b38-4493-95fe-eed00e17791e;;111111118;Vodacom Life 20260324;;;;;NIUP;1;2026-03-24</t>
  </si>
  <si>
    <t>13862991;0bca8408-7b38-4493-95fe-eed00e17791e;;111111118;Vodacom Life 20260324;;;;;NIUP;1;2026-03-24 11:49:40+02;Seboifeng Mogola;2026-03-24 09:54:08+02;2026-03-24 09:54:08+02;;;;;;;;;27636181270;;;;;;;;prepaid life;;;;;</t>
  </si>
  <si>
    <t>ID_1769</t>
  </si>
  <si>
    <t>13862992;88f3df4c-b6e9-45e0-8edc-09980207fd19;;111111118;Vodacom Life 20260324;;;27648435866;;DROP;5</t>
  </si>
  <si>
    <t>13862992;88f3df4c-b6e9-45e0-8edc-09980207fd19;;111111118;Vodacom Life 20260324;;;27648435866;;DROP;5;2026-05-25 09:18:31+02;system;2026-03-24 09:54:08+02;2026-03-24 09:54:08+02;;;;;;;;;27648435866;;;;;;;;prepaid life;;;;;</t>
  </si>
  <si>
    <t>ID_1770</t>
  </si>
  <si>
    <t xml:space="preserve">13862875;040c4bb4-96da-4308-9559-fa4d75644491;;111111118;Vodacom Life 20260324;;;;;ADC;5;2026-05-22 </t>
  </si>
  <si>
    <t>13862875;040c4bb4-96da-4308-9559-fa4d75644491;;111111118;Vodacom Life 20260324;;;;;ADC;5;2026-05-22 13:06:43+02;system;2026-03-24 09:54:08+02;2026-03-24 09:54:08+02;;;;;;;;;27825180028;;;;;;;;prepaid life;;;;;</t>
  </si>
  <si>
    <t>ID_1771</t>
  </si>
  <si>
    <t>13862993;f5b499ba-ab01-43ff-9343-d6f9f10da455;;111111118;Vodacom Life 20260324;;;27660758444;;AA;5;2</t>
  </si>
  <si>
    <t>13862993;f5b499ba-ab01-43ff-9343-d6f9f10da455;;111111118;Vodacom Life 20260324;;;27660758444;;AA;5;2026-05-25 09:18:34+02;system;2026-03-24 09:54:08+02;2026-03-24 09:54:08+02;;;;;;;;;27660758444;;;;;;;;prepaid life;;;;;</t>
  </si>
  <si>
    <t>ID_1772</t>
  </si>
  <si>
    <t>13862917;ccce1c46-89c4-4240-bc91-a3ea860e8fd9;;111111118;Vodacom Life 20260324;;;;;CBACK;5;2026-05-2</t>
  </si>
  <si>
    <t>13862917;ccce1c46-89c4-4240-bc91-a3ea860e8fd9;;111111118;Vodacom Life 20260324;;;;;CBACK;5;2026-05-25 09:16:13+02;Maureen Ntsoko;2026-03-24 09:54:08+02;2026-03-24 09:54:08+02;;;;;;;;;27660897384;;;;;;;;prepaid life;;;;;</t>
  </si>
  <si>
    <t>ID_1773</t>
  </si>
  <si>
    <t>13862918;c87d3708-9dc4-4826-ad62-01e28450b9e6;;111111118;Vodacom Life 20260324;;;;;CU;5;2026-05-25 0</t>
  </si>
  <si>
    <t>13862918;c87d3708-9dc4-4826-ad62-01e28450b9e6;;111111118;Vodacom Life 20260324;;;;;CU;5;2026-05-25 09:16:18+02;bongiwe lushaba;2026-03-24 09:54:08+02;2026-03-24 09:54:08+02;;;;;;;;;27665371269;;;;;;;;prepaid life;;;;;</t>
  </si>
  <si>
    <t>ID_1774</t>
  </si>
  <si>
    <t>13862876;d2b26e0d-6bd4-43c6-ba12-27c46572c36c;;111111118;Vodacom Life 20260324;;;;;AE;5;2026-05-22 1</t>
  </si>
  <si>
    <t>13862876;d2b26e0d-6bd4-43c6-ba12-27c46572c36c;;111111118;Vodacom Life 20260324;;;;;AE;5;2026-05-22 13:06:43+02;system;2026-03-24 09:54:08+02;2026-03-24 09:54:08+02;;;;;;;;;27825260053;;;;;;;;prepaid life;;;;;</t>
  </si>
  <si>
    <t>ID_1775</t>
  </si>
  <si>
    <t xml:space="preserve">13862919;fa257ce8-3b38-4540-a574-978eb412e4e7;;111111118;Vodacom Life 20260324;;;;;OAL;2;2026-04-09 </t>
  </si>
  <si>
    <t>13862919;fa257ce8-3b38-4540-a574-978eb412e4e7;;111111118;Vodacom Life 20260324;;;;;OAL;2;2026-04-09 13:37:43+02;Thandile Nokubeni;2026-03-24 09:54:08+02;2026-03-24 09:54:08+02;;;;;;;;;27673681965;;;;;;;;prepaid life;;;;;</t>
  </si>
  <si>
    <t>ID_1776</t>
  </si>
  <si>
    <t>13862994;7fe3c144-d37e-498b-9ac2-e3080aa787d9;;111111118;Vodacom Life 20260324;;;;;CBACK;5;2026-05-2</t>
  </si>
  <si>
    <t>13862994;7fe3c144-d37e-498b-9ac2-e3080aa787d9;;111111118;Vodacom Life 20260324;;;;;CBACK;5;2026-05-25 09:19:02+02;Maureen Ntsoko;2026-03-24 09:54:08+02;2026-03-24 09:54:08+02;;;;;;;;;27661687144;;;;;;;;prepaid life;;;;;</t>
  </si>
  <si>
    <t>ID_1777</t>
  </si>
  <si>
    <t>13862877;87608889-607c-47ce-a001-d69c866252e8;;111111118;Vodacom Life 20260324;;;;;NA;5;2026-05-22 1</t>
  </si>
  <si>
    <t>13862877;87608889-607c-47ce-a001-d69c866252e8;;111111118;Vodacom Life 20260324;;;;;NA;5;2026-05-22 13:06:44+02;system;2026-03-24 09:54:08+02;2026-03-24 09:54:08+02;;;;;;;;;27825852754;;;;;;;;prepaid life;;;;;</t>
  </si>
  <si>
    <t>ID_1778</t>
  </si>
  <si>
    <t>13862995;9883d97a-ef1e-443e-8eb2-784b6a13200f;;111111118;Vodacom Life 20260324;;;;;AC;1;2026-03-26 1</t>
  </si>
  <si>
    <t>13862995;9883d97a-ef1e-443e-8eb2-784b6a13200f;;111111118;Vodacom Life 20260324;;;;;AC;1;2026-03-26 11:51:16+02;Seboifeng Mogola;2026-03-24 09:54:08+02;2026-03-24 09:54:08+02;;;;;;;;;27663226083;;;;;;;;prepaid life;;;;;</t>
  </si>
  <si>
    <t>ID_1779</t>
  </si>
  <si>
    <t>13862878;e4d517c6-9063-445d-9192-5b9b551b231e;;111111118;Vodacom Life 20260324;;;;;AA;5;2026-05-22 1</t>
  </si>
  <si>
    <t>13862878;e4d517c6-9063-445d-9192-5b9b551b231e;;111111118;Vodacom Life 20260324;;;;;AA;5;2026-05-22 13:06:44+02;system;2026-03-24 09:54:08+02;2026-03-24 09:54:08+02;;;;;;;;;27825897808;;;;;;;;prepaid life;;;;;</t>
  </si>
  <si>
    <t>ID_1780</t>
  </si>
  <si>
    <t>13862920;2a620a16-19af-4b0d-82a5-cb1cdbe3446f;;111111118;Vodacom Life 20260324;;;;;NI;1;2026-03-26 1</t>
  </si>
  <si>
    <t>13862920;2a620a16-19af-4b0d-82a5-cb1cdbe3446f;;111111118;Vodacom Life 20260324;;;;;NI;1;2026-03-26 11:34:19+02;Thandile Nokubeni;2026-03-24 09:54:08+02;2026-03-24 09:54:08+02;;;;;;;;;27711012460;;;;;;;;prepaid life;;;;;</t>
  </si>
  <si>
    <t>ID_1781</t>
  </si>
  <si>
    <t>13862879;53f24ccf-5ffa-4994-abba-89b333ae31c2;;111111118;Vodacom Life 20260324;;;;;U;3;2026-04-14 16</t>
  </si>
  <si>
    <t>13862879;53f24ccf-5ffa-4994-abba-89b333ae31c2;;111111118;Vodacom Life 20260324;;;;;U;3;2026-04-14 16:06:18+02;Musiiwa Mary Mabirimisa;2026-03-24 09:54:08+02;2026-03-24 09:54:08+02;;;;;;;;;27826491312;;;;;;;;prepaid life;;;;;</t>
  </si>
  <si>
    <t>ID_1782</t>
  </si>
  <si>
    <t>13862921;c57dba4b-b3cb-4039-b545-9a3a86794ecc;;111111118;Vodacom Life 20260324;;;;;NI;4;2026-04-15 1</t>
  </si>
  <si>
    <t>13862921;c57dba4b-b3cb-4039-b545-9a3a86794ecc;;111111118;Vodacom Life 20260324;;;;;NI;4;2026-04-15 11:45:35+02;Musiiwa Mary Mabirimisa;2026-03-24 09:54:08+02;2026-03-24 09:54:08+02;;;;;;;;;27715799800;;;;;;;;prepaid life;;;;;</t>
  </si>
  <si>
    <t>ID_1783</t>
  </si>
  <si>
    <t>13862996;64ce749e-5ecd-436e-91aa-4ccacfad4c61;;111111118;Vodacom Life 20260324;;;;;AA;5;2026-05-25 0</t>
  </si>
  <si>
    <t>13862996;64ce749e-5ecd-436e-91aa-4ccacfad4c61;;111111118;Vodacom Life 20260324;;;;;AA;5;2026-05-25 09:19:02+02;system;2026-03-24 09:54:08+02;2026-03-24 09:54:08+02;;;;;;;;;27663717206;;;;;;;;prepaid life;;;;;</t>
  </si>
  <si>
    <t>ID_1784</t>
  </si>
  <si>
    <t>13862880;c1e40a28-e053-4982-a658-6c6207478c3d;;111111118;Vodacom Life 20260324;;;;;AA;5;2026-05-22 1</t>
  </si>
  <si>
    <t>13862880;c1e40a28-e053-4982-a658-6c6207478c3d;;111111118;Vodacom Life 20260324;;;;;AA;5;2026-05-22 13:06:49+02;system;2026-03-24 09:54:08+02;2026-03-24 09:54:08+02;;;;;;;;;27826621866;;;;;;;;prepaid life;;;;;</t>
  </si>
  <si>
    <t>ID_1785</t>
  </si>
  <si>
    <t xml:space="preserve">13862997;79f27c76-2447-416b-917c-e77c989699b6;;111111118;Vodacom Life 20260324;;;;;ADC;5;2026-05-25 </t>
  </si>
  <si>
    <t>13862997;79f27c76-2447-416b-917c-e77c989699b6;;111111118;Vodacom Life 20260324;;;;;ADC;5;2026-05-25 09:19:02+02;system;2026-03-24 09:54:08+02;2026-03-24 09:54:08+02;;;;;;;;;27663758931;;;;;;;;prepaid life;;;;;</t>
  </si>
  <si>
    <t>ID_1786</t>
  </si>
  <si>
    <t>13862922;8fae0f39-b597-45fb-b71d-4852bd1c0837;;111111118;Vodacom Life 20260324;;;;;DNCLIFE;3;2026-03</t>
  </si>
  <si>
    <t>13862922;8fae0f39-b597-45fb-b71d-4852bd1c0837;;111111118;Vodacom Life 20260324;;;;;DNCLIFE;3;2026-03-26 11:35:48+02;Maureen Ntsoko;2026-03-24 09:54:08+02;2026-03-24 09:54:08+02;;;;;;;;;27716784783;;;;;;;;prepaid life;;;;;</t>
  </si>
  <si>
    <t>ID_1787</t>
  </si>
  <si>
    <t>13862881;63c215ca-9a4f-4480-b90b-49c1e78fe8b5;;111111118;Vodacom Life 20260324;;;;;DROP;5;2026-05-22</t>
  </si>
  <si>
    <t>13862881;63c215ca-9a4f-4480-b90b-49c1e78fe8b5;;111111118;Vodacom Life 20260324;;;;;DROP;5;2026-05-22 13:06:50+02;system;2026-03-24 09:54:08+02;2026-03-24 09:54:08+02;;;;;;;;;27826967308;;;;;;;;prepaid life;;;;;</t>
  </si>
  <si>
    <t>ID_1788</t>
  </si>
  <si>
    <t>13862923;92703e45-5483-4451-9c66-ce6bd7597bea;;111111118;Vodacom Life 20260324;;;;;DROP;5;2026-05-25</t>
  </si>
  <si>
    <t>13862923;92703e45-5483-4451-9c66-ce6bd7597bea;;111111118;Vodacom Life 20260324;;;;;DROP;5;2026-05-25 09:16:29+02;system;2026-03-24 09:54:08+02;2026-03-24 09:54:08+02;;;;;;;;;27721721446;;;;;;;;prepaid life;;;;;</t>
  </si>
  <si>
    <t>ID_1789</t>
  </si>
  <si>
    <t>13862998;13057f9e-2cd6-4a86-81b6-437fd3558619;;111111118;Vodacom Life 20260324;;;27665080601;;AA;5;2</t>
  </si>
  <si>
    <t>13862998;13057f9e-2cd6-4a86-81b6-437fd3558619;;111111118;Vodacom Life 20260324;;;27665080601;;AA;5;2026-05-25 09:19:35+02;system;2026-03-24 09:54:08+02;2026-03-24 09:54:08+02;;;;;;;;;27665080601;;;;;;;;prepaid life;;;;;</t>
  </si>
  <si>
    <t>ID_1790</t>
  </si>
  <si>
    <t>13862882;05ea212e-fc95-4553-a22b-4480a9ea1eb4;;111111118;Vodacom Life 20260324;;;;;NI;3;2026-04-14 1</t>
  </si>
  <si>
    <t>13862882;05ea212e-fc95-4553-a22b-4480a9ea1eb4;;111111118;Vodacom Life 20260324;;;;;NI;3;2026-04-14 15:55:37+02;Esther Ramalete;2026-03-24 09:54:08+02;2026-03-24 09:54:08+02;;;;;;;;;27827028143;;;;;;;;prepaid life;;;;;</t>
  </si>
  <si>
    <t>ID_1791</t>
  </si>
  <si>
    <t>13862883;f06e05a4-2a41-4bdc-8907-5ed970b57bb5;;111111118;Vodacom Life 20260324;;;;;NA;5;2026-05-22 1</t>
  </si>
  <si>
    <t>13862883;f06e05a4-2a41-4bdc-8907-5ed970b57bb5;;111111118;Vodacom Life 20260324;;;;;NA;5;2026-05-22 13:06:51+02;system;2026-03-24 09:54:08+02;2026-03-24 09:54:08+02;;;;;;;;;27827607565;;;;;;;;prepaid life;;;;;</t>
  </si>
  <si>
    <t>ID_1792</t>
  </si>
  <si>
    <t>13862999;f748d127-e195-4bd2-90c8-42806731d538;;111111118;Vodacom Life 20260324;;;;;AA;5;2026-05-25 0</t>
  </si>
  <si>
    <t>13862999;f748d127-e195-4bd2-90c8-42806731d538;;111111118;Vodacom Life 20260324;;;;;AA;5;2026-05-25 09:19:35+02;system;2026-03-24 09:54:08+02;2026-03-24 09:54:08+02;;;;;;;;;27665483832;;;;;;;;prepaid life;;;;;</t>
  </si>
  <si>
    <t>ID_1793</t>
  </si>
  <si>
    <t>13862924;60f60b6d-749b-42a2-bd59-e49234dc366d;;111111118;Vodacom Life 20260324;;;27725315386;;IABDN;</t>
  </si>
  <si>
    <t>13862924;60f60b6d-749b-42a2-bd59-e49234dc366d;;111111118;Vodacom Life 20260324;;;27725315386;;IABDN;5;2026-05-25 10:12:50+02;system;2026-03-24 09:54:08+02;2026-03-24 09:54:08+02;;;;;;;;;27725315386;;;;;;;;prepaid life;;;;;</t>
  </si>
  <si>
    <t>ID_1794</t>
  </si>
  <si>
    <t>13862884;4aef0dbf-4a3f-4dec-aa2a-8c53bd88491e;;111111118;Vodacom Life 20260324;;;;;NA;5;2026-05-25 1</t>
  </si>
  <si>
    <t>13862884;4aef0dbf-4a3f-4dec-aa2a-8c53bd88491e;;111111118;Vodacom Life 20260324;;;;;NA;5;2026-05-25 12:10:49+02;system;2026-03-24 09:54:08+02;2026-03-24 09:54:08+02;;;;;;;;;27827849055;;;;;;;;prepaid life;;;;;</t>
  </si>
  <si>
    <t>ID_1795</t>
  </si>
  <si>
    <t>13862925;cae8e9ce-1ac2-4337-b45b-e532bb6f6890;;111111118;Vodacom Life 20260324;;;;;U;1;2026-03-26 11</t>
  </si>
  <si>
    <t>13862925;cae8e9ce-1ac2-4337-b45b-e532bb6f6890;;111111118;Vodacom Life 20260324;;;;;U;1;2026-03-26 11:33:25+02;Seboifeng Mogola;2026-03-24 09:54:08+02;2026-03-24 09:54:08+02;;;;;;;;;27727311821;;;;;;;;prepaid life;;;;;</t>
  </si>
  <si>
    <t>ID_1796</t>
  </si>
  <si>
    <t>13863000;672e3e2b-ef01-4dcb-9d60-fc16ab3075eb;;111111118;Vodacom Life 20260324;;;;;DROP;5;2026-05-25</t>
  </si>
  <si>
    <t>13863000;672e3e2b-ef01-4dcb-9d60-fc16ab3075eb;;111111118;Vodacom Life 20260324;;;;;DROP;5;2026-05-25 09:19:35+02;system;2026-03-24 09:54:08+02;2026-03-24 09:54:08+02;;;;;;;;;27665647452;;;;;;;;prepaid life;;;;;</t>
  </si>
  <si>
    <t>ID_1797</t>
  </si>
  <si>
    <t>13863079;5dff46f1-fd61-4b5a-8b06-5cecc75e99c4;;111111118;Vodacom Life 20260324;;;27716680204;;IABDN;</t>
  </si>
  <si>
    <t>13863079;5dff46f1-fd61-4b5a-8b06-5cecc75e99c4;;111111118;Vodacom Life 20260324;;;27716680204;;IABDN;5;2026-05-25 09:51:54+02;system;2026-03-24 09:54:08+02;2026-03-24 09:54:08+02;;;;;;;;;27716680204;;;;;;;;prepaid life;;;;;</t>
  </si>
  <si>
    <t>ID_1798</t>
  </si>
  <si>
    <t>13863001;b96f58b1-0e7e-4c47-89ff-b4419484700f;;111111118;Vodacom Life 20260324;;;;;NA;5;2026-05-25 0</t>
  </si>
  <si>
    <t>13863001;b96f58b1-0e7e-4c47-89ff-b4419484700f;;111111118;Vodacom Life 20260324;;;;;NA;5;2026-05-25 09:19:35+02;system;2026-03-24 09:54:08+02;2026-03-24 09:54:08+02;;;;;;;;;27673403351;;;;;;;;prepaid life;;;;;</t>
  </si>
  <si>
    <t>ID_1799</t>
  </si>
  <si>
    <t>13862926;29eda5b3-ea33-47d8-a629-154c574a58b4;;111111118;Vodacom Life 20260324;;;;;DROP;5;2026-05-25</t>
  </si>
  <si>
    <t>13862926;29eda5b3-ea33-47d8-a629-154c574a58b4;;111111118;Vodacom Life 20260324;;;;;DROP;5;2026-05-25 09:16:30+02;system;2026-03-24 09:54:08+02;2026-03-24 09:54:08+02;;;;;;;;;27729306995;;;;;;;;prepaid life;;;;;</t>
  </si>
  <si>
    <t>ID_1800</t>
  </si>
  <si>
    <t xml:space="preserve">13862927;133c509f-87a5-4491-a67e-564836b22510;;111111118;Vodacom Life 20260324;;;;;OAL;3;2026-04-15 </t>
  </si>
  <si>
    <t>13862927;133c509f-87a5-4491-a67e-564836b22510;;111111118;Vodacom Life 20260324;;;;;OAL;3;2026-04-15 12:14:24+02;Maureen Ntsoko;2026-03-24 09:54:08+02;2026-03-24 09:54:08+02;;;;;;;;;27729537923;;;;;;;;prepaid life;;;;;</t>
  </si>
  <si>
    <t>ID_1801</t>
  </si>
  <si>
    <t>13863080;91e8ec70-8c81-448d-8204-b360f2d2417c;;111111118;Vodacom Life 20260324;;;;;AE;5;2026-05-25 0</t>
  </si>
  <si>
    <t>13863080;91e8ec70-8c81-448d-8204-b360f2d2417c;;111111118;Vodacom Life 20260324;;;;;AE;5;2026-05-25 09:28:02+02;system;2026-03-24 09:54:08+02;2026-03-24 09:54:08+02;;;;;;;;;27720497082;;;;;;;;prepaid life;;;;;</t>
  </si>
  <si>
    <t>ID_1802</t>
  </si>
  <si>
    <t xml:space="preserve">13862928;10d24f65-1161-4ffe-a6ef-39aae78fc7df;;111111118;Vodacom Life 20260324;;;;;ADC;5;2026-05-25 </t>
  </si>
  <si>
    <t>13862928;10d24f65-1161-4ffe-a6ef-39aae78fc7df;;111111118;Vodacom Life 20260324;;;;;ADC;5;2026-05-25 09:16:30+02;system;2026-03-24 09:54:08+02;2026-03-24 09:54:08+02;;;;;;;;;27729786749;;;;;;;;prepaid life;;;;;</t>
  </si>
  <si>
    <t>ID_1803</t>
  </si>
  <si>
    <t>13863002;8a015fca-9111-4339-b176-f5c60c36789c;;111111118;Vodacom Life 20260324;;;;;AA;5;2026-05-25 1</t>
  </si>
  <si>
    <t>13863002;8a015fca-9111-4339-b176-f5c60c36789c;;111111118;Vodacom Life 20260324;;;;;AA;5;2026-05-25 12:01:04+02;system;2026-03-24 09:54:08+02;2026-03-24 09:54:08+02;;;;;;;;;27674735238;;;;;;;;prepaid life;;;;;</t>
  </si>
  <si>
    <t>ID_1804</t>
  </si>
  <si>
    <t>13863003;a4334a63-7aca-43e1-87fc-7caa00bc31b9;;111111118;Vodacom Life 20260324;;;;;AE;5;2026-05-25 1</t>
  </si>
  <si>
    <t>13863003;a4334a63-7aca-43e1-87fc-7caa00bc31b9;;111111118;Vodacom Life 20260324;;;;;AE;5;2026-05-25 12:01:13+02;system;2026-03-24 09:54:08+02;2026-03-24 09:54:08+02;;;;;;;;;27674879343;;;;;;;;prepaid life;;;;;</t>
  </si>
  <si>
    <t>ID_1805</t>
  </si>
  <si>
    <t>13863081;3d8fd5a1-be44-40a0-8ca3-2421b5ce51a4;;111111118;Vodacom Life 20260324;;;;;AA;5;2026-05-25 1</t>
  </si>
  <si>
    <t>13863081;3d8fd5a1-be44-40a0-8ca3-2421b5ce51a4;;111111118;Vodacom Life 20260324;;;;;AA;5;2026-05-25 14:29:44+02;system;2026-03-24 09:54:08+02;2026-03-24 09:54:08+02;;;;;;;;;27720561960;;;;;;;;prepaid life;;;;;</t>
  </si>
  <si>
    <t>ID_1806</t>
  </si>
  <si>
    <t>13863082;6a366f31-86e7-4ecb-a596-12623692cf4a;;111111118;Vodacom Life 20260324;;;;;EC;2;2026-04-09 1</t>
  </si>
  <si>
    <t>13863082;6a366f31-86e7-4ecb-a596-12623692cf4a;;111111118;Vodacom Life 20260324;;;;;EC;2;2026-04-09 12:45:12+02;Seboifeng Mogola;2026-03-24 09:54:08+02;2026-03-24 09:54:08+02;;;;;;;;;27721099715;;;;;;;;prepaid life;;;;;</t>
  </si>
  <si>
    <t>ID_1807</t>
  </si>
  <si>
    <t>13863004;cb5a00d9-8c18-4611-afd1-52cb14fc7559;;111111118;Vodacom Life 20260324;;;;;DROP;5;2026-05-25</t>
  </si>
  <si>
    <t>13863004;cb5a00d9-8c18-4611-afd1-52cb14fc7559;;111111118;Vodacom Life 20260324;;;;;DROP;5;2026-05-25 12:01:13+02;system;2026-03-24 09:54:08+02;2026-03-24 09:54:08+02;;;;;;;;;27711313508;;;;;;;;prepaid life;;;;;</t>
  </si>
  <si>
    <t>ID_1808</t>
  </si>
  <si>
    <t>13862929;429c2da6-83bd-49e4-a592-5f14b2059606;;111111118;Vodacom Life 20260324;;;;;AA;5;2026-05-25 0</t>
  </si>
  <si>
    <t>13862929;429c2da6-83bd-49e4-a592-5f14b2059606;;111111118;Vodacom Life 20260324;;;;;AA;5;2026-05-25 09:16:32+02;system;2026-03-24 09:54:08+02;2026-03-24 09:54:08+02;;;;;;;;;27762356081;;;;;;;;prepaid life;;;;;</t>
  </si>
  <si>
    <t>ID_1809</t>
  </si>
  <si>
    <t>13863083;51552e4e-0f43-4dc2-94f7-dd67bac54f05;;111111118;Vodacom Life 20260324;;;27721241760;;AA;5;2</t>
  </si>
  <si>
    <t>13863083;51552e4e-0f43-4dc2-94f7-dd67bac54f05;;111111118;Vodacom Life 20260324;;;27721241760;;AA;5;2026-05-23 12:17:14+02;system;2026-03-24 09:54:08+02;2026-03-24 09:54:08+02;;;;;;;;;27721241760;;;;;;;;prepaid life;;;;;</t>
  </si>
  <si>
    <t>ID_1810</t>
  </si>
  <si>
    <t>13862930;03c300db-da63-4197-8a67-7a352e4e6cc6;;111111118;Vodacom Life 20260324;;;27766355006;;NA;5;2</t>
  </si>
  <si>
    <t>13862930;03c300db-da63-4197-8a67-7a352e4e6cc6;;111111118;Vodacom Life 20260324;;;27766355006;;NA;5;2026-05-25 09:18:17+02;bongiwe lushaba;2026-03-24 09:54:08+02;2026-03-24 09:54:08+02;;;;;;;;;27766355006;;;;;;;;prepaid life;;;;;</t>
  </si>
  <si>
    <t>ID_1811</t>
  </si>
  <si>
    <t>13863005;370fc031-af1b-40e4-b886-d89ccea7851e;;111111118;Vodacom Life 20260324;;;;;NA;5;2026-05-25 1</t>
  </si>
  <si>
    <t>13863005;370fc031-af1b-40e4-b886-d89ccea7851e;;111111118;Vodacom Life 20260324;;;;;NA;5;2026-05-25 12:01:14+02;system;2026-03-24 09:54:08+02;2026-03-24 09:54:08+02;;;;;;;;;27711965837;;;;;;;;prepaid life;;;;;</t>
  </si>
  <si>
    <t>ID_1812</t>
  </si>
  <si>
    <t>13863084;c873d38e-5242-4dda-924d-0f350ba275ab;;111111118;Vodacom Life 20260324;;;;;CBACK;1;2026-03-2</t>
  </si>
  <si>
    <t>13863084;c873d38e-5242-4dda-924d-0f350ba275ab;;111111118;Vodacom Life 20260324;;;;;CBACK;1;2026-03-25 09:59:34+02;Thandile Nokubeni;2026-03-24 09:54:08+02;2026-03-24 09:54:08+02;;;;;;;;;27721300267;;;;;;;;prepaid life;;;;;</t>
  </si>
  <si>
    <t>ID_1813</t>
  </si>
  <si>
    <t>13863006;798c806a-e141-4326-8554-18f6f0a9c720;;111111118;Vodacom Life 20260324;;;;;AA;5;2026-05-25 1</t>
  </si>
  <si>
    <t>13863006;798c806a-e141-4326-8554-18f6f0a9c720;;111111118;Vodacom Life 20260324;;;;;AA;5;2026-05-25 12:01:18+02;system;2026-03-24 09:54:08+02;2026-03-24 09:54:08+02;;;;;;;;;27712447679;;;;;;;;prepaid life;;;;;</t>
  </si>
  <si>
    <t>ID_1814</t>
  </si>
  <si>
    <t>13862931;69416d5d-352e-43a5-808c-4133dfe38e59;;111111118;Vodacom Life 20260324;;;;;DROP;5;2026-05-25</t>
  </si>
  <si>
    <t>13862931;69416d5d-352e-43a5-808c-4133dfe38e59;;111111118;Vodacom Life 20260324;;;;;DROP;5;2026-05-25 09:17:11+02;system;2026-03-24 09:54:08+02;2026-03-24 09:54:08+02;;;;;;;;;27767716001;;;;;;;;prepaid life;;;;;</t>
  </si>
  <si>
    <t>ID_1815</t>
  </si>
  <si>
    <t>13863085;12ad77fa-6f64-4fe3-8507-42aec3d54503;;111111118;Vodacom Life 20260324;;;;;AE;5;2026-05-25 0</t>
  </si>
  <si>
    <t>13863085;12ad77fa-6f64-4fe3-8507-42aec3d54503;;111111118;Vodacom Life 20260324;;;;;AE;5;2026-05-25 09:27:23+02;system;2026-03-24 09:54:08+02;2026-03-24 09:54:08+02;;;;;;;;;27721868976;;;;;;;;prepaid life;;;;;</t>
  </si>
  <si>
    <t>ID_1816</t>
  </si>
  <si>
    <t>13862932;11b20a44-fa7f-4765-a246-c8ec526c7dbd;;111111118;Vodacom Life 20260324;;;;;AE;5;2026-05-25 0</t>
  </si>
  <si>
    <t>13862932;11b20a44-fa7f-4765-a246-c8ec526c7dbd;;111111118;Vodacom Life 20260324;;;;;AE;5;2026-05-25 09:17:11+02;system;2026-03-24 09:54:08+02;2026-03-24 09:54:08+02;;;;;;;;;27768047381;;;;;;;;prepaid life;;;;;</t>
  </si>
  <si>
    <t>ID_1817</t>
  </si>
  <si>
    <t>13863007;c21638e8-ea03-4d44-841c-c691aae0d8be;;111111118;Vodacom Life 20260324;;;;;AA;5;2026-05-25 1</t>
  </si>
  <si>
    <t>13863007;c21638e8-ea03-4d44-841c-c691aae0d8be;;111111118;Vodacom Life 20260324;;;;;AA;5;2026-05-25 12:01:55+02;system;2026-03-24 09:54:08+02;2026-03-24 09:54:08+02;;;;;;;;;27713039817;;;;;;;;prepaid life;;;;;</t>
  </si>
  <si>
    <t>ID_1818</t>
  </si>
  <si>
    <t>13863086;35f2e952-ae4f-406b-a73b-db5702ed46df;;111111118;Vodacom Life 20260324;;;;;CU;8;2026-05-21 1</t>
  </si>
  <si>
    <t>13863086;35f2e952-ae4f-406b-a73b-db5702ed46df;;111111118;Vodacom Life 20260324;;;;;CU;8;2026-05-21 11:02:51+02;Khensane Mabasa;2026-03-24 09:54:08+02;2026-03-24 09:54:08+02;;;;;;;;;27722152570;;;;;;;;prepaid life;;;;;</t>
  </si>
  <si>
    <t>ID_1819</t>
  </si>
  <si>
    <t>13863008;ec6d20e6-f1a9-4c2d-8743-fe6d6f867ef4;;111111118;Vodacom Life 20260324;;;;;AA;5;2026-05-25 1</t>
  </si>
  <si>
    <t>13863008;ec6d20e6-f1a9-4c2d-8743-fe6d6f867ef4;;111111118;Vodacom Life 20260324;;;;;AA;5;2026-05-25 11:57:57+02;system;2026-03-24 09:54:08+02;2026-03-24 09:54:08+02;;;;;;;;;27714793920;;;;;;;;prepaid life;;;;;</t>
  </si>
  <si>
    <t>ID_1820</t>
  </si>
  <si>
    <t>13862933;41485644-804f-4d17-b3d9-4751aec33f43;;111111118;Vodacom Life 20260324;;;;;NI;6;2026-04-15 1</t>
  </si>
  <si>
    <t>13862933;41485644-804f-4d17-b3d9-4751aec33f43;;111111118;Vodacom Life 20260324;;;;;NI;6;2026-04-15 15:03:00+02;Musiiwa Mary Mabirimisa;2026-03-24 09:54:08+02;2026-03-24 09:54:08+02;;;;;;;;;27768511613;;;;;;;;prepaid life;;;;;</t>
  </si>
  <si>
    <t>ID_1821</t>
  </si>
  <si>
    <t>13863087;43dfba5d-7549-481c-a8aa-53f822486c08;;111111118;Vodacom Life 20260324;;;;;A;5;2026-05-25 09</t>
  </si>
  <si>
    <t>13863087;43dfba5d-7549-481c-a8aa-53f822486c08;;111111118;Vodacom Life 20260324;;;;;A;5;2026-05-25 09:27:23+02;bongiwe lushaba;2026-03-24 09:54:08+02;2026-03-24 09:54:08+02;;;;;;;;;27722322950;;;;;;;;prepaid life;;;;;</t>
  </si>
  <si>
    <t>ID_1822</t>
  </si>
  <si>
    <t>13863009;080e7a57-8a08-49b8-b783-a29c4149e5a3;;111111118;Vodacom Life 20260324;;;;;SELECTED;3;2026-0</t>
  </si>
  <si>
    <t>13863009;080e7a57-8a08-49b8-b783-a29c4149e5a3;;111111118;Vodacom Life 20260324;;;;;SELECTED;3;2026-04-09 13:06:03+02;system;2026-03-24 09:54:08+02;2026-03-24 09:54:08+02;;;;;;;;;27720306927;;;;;;;;prepaid life;;;;;</t>
  </si>
  <si>
    <t>ID_1823</t>
  </si>
  <si>
    <t>13863088;34be780e-ccb0-4ac4-89b4-8ed3160c3407;;111111118;Vodacom Life 20260324;;;;;AA;5;2026-05-25 0</t>
  </si>
  <si>
    <t>13863088;34be780e-ccb0-4ac4-89b4-8ed3160c3407;;111111118;Vodacom Life 20260324;;;;;AA;5;2026-05-25 09:27:23+02;system;2026-03-24 09:54:08+02;2026-03-24 09:54:08+02;;;;;;;;;27722383803;;;;;;;;prepaid life;;;;;</t>
  </si>
  <si>
    <t>ID_1824</t>
  </si>
  <si>
    <t>13863010;390add4d-924c-43b2-9ec8-60925109d3f6;;111111118;Vodacom Life 20260324;;;;;DNCLIFE;3;2026-04</t>
  </si>
  <si>
    <t>13863010;390add4d-924c-43b2-9ec8-60925109d3f6;;111111118;Vodacom Life 20260324;;;;;DNCLIFE;3;2026-04-15 11:14:12+02;Millicent Motsuku;2026-03-24 09:54:08+02;2026-03-24 09:54:08+02;;;;;;;;;27722518121;;;;;;;;prepaid life;;;;;</t>
  </si>
  <si>
    <t>ID_1825</t>
  </si>
  <si>
    <t>13862935;f59e71e1-9ed8-4466-891a-3c8c962ab438;;111111118;Vodacom Life 20260324;;;;;AE;5;2026-05-25 0</t>
  </si>
  <si>
    <t>13862935;f59e71e1-9ed8-4466-891a-3c8c962ab438;;111111118;Vodacom Life 20260324;;;;;AE;5;2026-05-25 09:17:11+02;system;2026-03-24 09:54:08+02;2026-03-24 09:54:08+02;;;;;;;;;27773819790;;;;;;;;prepaid life;;;;;</t>
  </si>
  <si>
    <t>ID_1826</t>
  </si>
  <si>
    <t>13863089;ff91433d-0bf7-4fc5-bf93-78917b92950e;;111111118;Vodacom Life 20260324;;;;;AA;5;2026-05-23 0</t>
  </si>
  <si>
    <t>13863089;ff91433d-0bf7-4fc5-bf93-78917b92950e;;111111118;Vodacom Life 20260324;;;;;AA;5;2026-05-23 09:03:35+02;system;2026-03-24 09:54:08+02;2026-03-24 09:54:08+02;;;;;;;;;27722577411;;;;;;;;prepaid life;;;;;</t>
  </si>
  <si>
    <t>ID_1827</t>
  </si>
  <si>
    <t>13862936;67a88dc0-bfc0-463e-b5e7-1fd8e85fd14f;;111111118;Vodacom Life 20260324;;;;;AA;5;2026-05-25 1</t>
  </si>
  <si>
    <t>13862936;67a88dc0-bfc0-463e-b5e7-1fd8e85fd14f;;111111118;Vodacom Life 20260324;;;;;AA;5;2026-05-25 11:50:11+02;system;2026-03-24 09:54:08+02;2026-03-24 09:54:08+02;;;;;;;;;27793442332;;;;;;;;prepaid life;;;;;</t>
  </si>
  <si>
    <t>ID_1828</t>
  </si>
  <si>
    <t>13863011;69453b52-4acf-403a-b6a9-a10448968613;;111111118;Vodacom Life 20260324;;;;;AA;5;2026-05-25 1</t>
  </si>
  <si>
    <t>13863011;69453b52-4acf-403a-b6a9-a10448968613;;111111118;Vodacom Life 20260324;;;;;AA;5;2026-05-25 12:02:01+02;system;2026-03-24 09:54:08+02;2026-03-24 09:54:08+02;;;;;;;;;27724910835;;;;;;;;prepaid life;;;;;</t>
  </si>
  <si>
    <t>ID_1829</t>
  </si>
  <si>
    <t>13863090;445430d7-86e9-4687-b6de-cdfcc5700799;;111111118;Vodacom Life 20260324;;;;;AA;5;2026-05-25 0</t>
  </si>
  <si>
    <t>13863090;445430d7-86e9-4687-b6de-cdfcc5700799;;111111118;Vodacom Life 20260324;;;;;AA;5;2026-05-25 09:27:32+02;system;2026-03-24 09:54:08+02;2026-03-24 09:54:08+02;;;;;;;;;27723208020;;;;;;;;prepaid life;;;;;</t>
  </si>
  <si>
    <t>ID_1830</t>
  </si>
  <si>
    <t>13862937;02ed37ab-e9dd-4f30-b78c-4d9fb5489929;;111111118;Vodacom Life 20260324;;;;;NI;4;2026-04-15 1</t>
  </si>
  <si>
    <t>13862937;02ed37ab-e9dd-4f30-b78c-4d9fb5489929;;111111118;Vodacom Life 20260324;;;;;NI;4;2026-04-15 12:44:02+02;Maureen Ntsoko;2026-03-24 09:54:08+02;2026-03-24 09:54:08+02;;;;;;;;;27794639966;;;;;;;;prepaid life;;;;;</t>
  </si>
  <si>
    <t>ID_1831</t>
  </si>
  <si>
    <t>13863091;c7f4ca37-4d0d-4e42-b255-7c0941b8518e;;111111118;Vodacom Life 20260324;;;;;AA;5;2026-05-23 0</t>
  </si>
  <si>
    <t>13863091;c7f4ca37-4d0d-4e42-b255-7c0941b8518e;;111111118;Vodacom Life 20260324;;;;;AA;5;2026-05-23 09:03:35+02;system;2026-03-24 09:54:08+02;2026-03-24 09:54:08+02;;;;;;;;;27723409980;;;;;;;;prepaid life;;;;;</t>
  </si>
  <si>
    <t>ID_1832</t>
  </si>
  <si>
    <t>13862938;d44545df-7a57-47d0-bb47-87a959a67dba;;111111118;Vodacom Life 20260324;;;;;AA;5;2026-05-25 1</t>
  </si>
  <si>
    <t>13862938;d44545df-7a57-47d0-bb47-87a959a67dba;;111111118;Vodacom Life 20260324;;;;;AA;5;2026-05-25 11:50:14+02;system;2026-03-24 09:54:08+02;2026-03-24 09:54:08+02;;;;;;;;;27796481833;;;;;;;;prepaid life;;;;;</t>
  </si>
  <si>
    <t>ID_1833</t>
  </si>
  <si>
    <t>13862939;bf5b968e-183e-4c42-b970-d4f9137109d2;;111111118;Vodacom Life 20260324;;;;;AF;3;2026-04-09 1</t>
  </si>
  <si>
    <t>13862939;bf5b968e-183e-4c42-b970-d4f9137109d2;;111111118;Vodacom Life 20260324;;;;;AF;3;2026-04-09 13:32:47+02;Thandile Nokubeni;2026-03-24 09:54:08+02;2026-03-24 09:54:08+02;;;;;;;;;27798086028;;;;;;;;prepaid life;;;;;</t>
  </si>
  <si>
    <t>ID_1834</t>
  </si>
  <si>
    <t>13863012;c837e06b-b118-4b8b-9e5c-9b3c40369ec8;;111111118;Vodacom Life 20260324;;;;;AA;5;2026-05-25 1</t>
  </si>
  <si>
    <t>13863012;c837e06b-b118-4b8b-9e5c-9b3c40369ec8;;111111118;Vodacom Life 20260324;;;;;AA;5;2026-05-25 12:02:02+02;system;2026-03-24 09:54:08+02;2026-03-24 09:54:08+02;;;;;;;;;27725742678;;;;;;;;prepaid life;;;;;</t>
  </si>
  <si>
    <t>ID_1835</t>
  </si>
  <si>
    <t xml:space="preserve">13863092;5d090680-4009-4a12-ba61-e9c50c58e75f;;111111118;Vodacom Life 20260324;;;;;CCB;5;2026-05-23 </t>
  </si>
  <si>
    <t>13863092;5d090680-4009-4a12-ba61-e9c50c58e75f;;111111118;Vodacom Life 20260324;;;;;CCB;5;2026-05-23 09:03:35+02;Maureen Ntsoko;2026-03-24 09:54:08+02;2026-03-24 09:54:08+02;;;;;;;;;27723448324;;;;;;;;prepaid life;;;;;</t>
  </si>
  <si>
    <t>ID_1836</t>
  </si>
  <si>
    <t xml:space="preserve">13863013;d27d2d63-ff65-472f-8515-e3b1539fdadb;;111111118;Vodacom Life 20260324;;;;;ADC;5;2026-05-25 </t>
  </si>
  <si>
    <t>13863013;d27d2d63-ff65-472f-8515-e3b1539fdadb;;111111118;Vodacom Life 20260324;;;;;ADC;5;2026-05-25 12:02:21+02;system;2026-03-24 09:54:08+02;2026-03-24 09:54:08+02;;;;;;;;;27725912183;;;;;;;;prepaid life;;;;;</t>
  </si>
  <si>
    <t>ID_1837</t>
  </si>
  <si>
    <t>13862940;d310ea90-f1b3-40bc-8a68-fcf966d76e36;;111111118;Vodacom Life 20260324;;;;;DROP;5;2026-05-25</t>
  </si>
  <si>
    <t>13862940;d310ea90-f1b3-40bc-8a68-fcf966d76e36;;111111118;Vodacom Life 20260324;;;;;DROP;5;2026-05-25 11:08:27+02;system;2026-03-24 09:54:08+02;2026-03-24 09:54:08+02;;;;;;;;;27825023664;;;;;;;;prepaid life;;;;;</t>
  </si>
  <si>
    <t>ID_1838</t>
  </si>
  <si>
    <t>13863093;0c14e409-8029-4f30-8d80-6351dc419276;;111111118;Vodacom Life 20260324;;;27723562897;;IABDN;</t>
  </si>
  <si>
    <t>13863093;0c14e409-8029-4f30-8d80-6351dc419276;;111111118;Vodacom Life 20260324;;;27723562897;;IABDN;5;2026-05-23 10:18:42+02;system;2026-03-24 09:54:08+02;2026-03-24 09:54:08+02;;;;;;;;;27723562897;;;;;;;;prepaid life;;;;;</t>
  </si>
  <si>
    <t>ID_1839</t>
  </si>
  <si>
    <t xml:space="preserve">13862941;2776e5e9-a080-4afd-8f2e-999d9acfbb8e;;111111118;Vodacom Life 20260324;;;;;ADC;5;2026-05-25 </t>
  </si>
  <si>
    <t>13862941;2776e5e9-a080-4afd-8f2e-999d9acfbb8e;;111111118;Vodacom Life 20260324;;;;;ADC;5;2026-05-25 11:50:17+02;system;2026-03-24 09:54:08+02;2026-03-24 09:54:08+02;;;;;;;;;27826766841;;;;;;;;prepaid life;;;;;</t>
  </si>
  <si>
    <t>ID_1840</t>
  </si>
  <si>
    <t>13863014;cd8382aa-d0bb-4ade-81d4-0583166f9000;;111111118;Vodacom Life 20260324;;;;;NI;3;2026-04-14 1</t>
  </si>
  <si>
    <t>13863014;cd8382aa-d0bb-4ade-81d4-0583166f9000;;111111118;Vodacom Life 20260324;;;;;NI;3;2026-04-14 15:29:12+02;Thandile Nokubeni;2026-03-24 09:54:08+02;2026-03-24 09:54:08+02;;;;;;;;;27727282180;;;;;;;;prepaid life;;;;;</t>
  </si>
  <si>
    <t>ID_1841</t>
  </si>
  <si>
    <t>13863094;c60bc14a-1b8b-4401-b14b-867291189b00;;111111118;Vodacom Life 20260324;;;;;NIUP;3;2026-04-15</t>
  </si>
  <si>
    <t>13863094;c60bc14a-1b8b-4401-b14b-867291189b00;;111111118;Vodacom Life 20260324;;;;;NIUP;3;2026-04-15 11:18:27+02;bongiwe lushaba;2026-03-24 09:54:08+02;2026-03-24 09:54:08+02;;;;;;;;;27723903424;;;;;;;;prepaid life;;;;;</t>
  </si>
  <si>
    <t>ID_1842</t>
  </si>
  <si>
    <t>13863015;1ef11ba0-12e8-41a0-a969-f3e69081fb56;;111111118;Vodacom Life 20260324;;;;;AA;5;2026-05-25 1</t>
  </si>
  <si>
    <t>13863015;1ef11ba0-12e8-41a0-a969-f3e69081fb56;;111111118;Vodacom Life 20260324;;;;;AA;5;2026-05-25 12:02:23+02;system;2026-03-24 09:54:08+02;2026-03-24 09:54:08+02;;;;;;;;;27728888200;;;;;;;;prepaid life;;;;;</t>
  </si>
  <si>
    <t>ID_1843</t>
  </si>
  <si>
    <t>13862942;32dec3af-48af-4d01-8182-01c9fe5a9e83;;111111118;Vodacom Life 20260324;;;;;CBACK;2;2026-04-0</t>
  </si>
  <si>
    <t>13862942;32dec3af-48af-4d01-8182-01c9fe5a9e83;;111111118;Vodacom Life 20260324;;;;;CBACK;2;2026-04-09 13:30:17+02;Thandile Nokubeni;2026-03-24 09:54:08+02;2026-03-24 09:54:08+02;;;;;;;;;27827172781;;;;;;;;prepaid life;;;;;</t>
  </si>
  <si>
    <t>ID_1844</t>
  </si>
  <si>
    <t>13863095;a3f1c27f-d3b3-4302-8232-1b627f3b8503;;111111118;Vodacom Life 20260324;;;;;NI;2;2026-03-24 1</t>
  </si>
  <si>
    <t>13863095;a3f1c27f-d3b3-4302-8232-1b627f3b8503;;111111118;Vodacom Life 20260324;;;;;NI;2;2026-03-24 12:12:03+02;Thandile Nokubeni;2026-03-24 09:54:08+02;2026-03-24 09:54:08+02;;;;;;;;;27724057959;;;;;;;;prepaid life;;;;;</t>
  </si>
  <si>
    <t>ID_1845</t>
  </si>
  <si>
    <t>13862943;6cb57d48-3691-40a9-87e2-263b9dec232c;;111111118;Vodacom Life 20260324;;;;;CU;5;2026-05-25 1</t>
  </si>
  <si>
    <t>13862943;6cb57d48-3691-40a9-87e2-263b9dec232c;;111111118;Vodacom Life 20260324;;;;;CU;5;2026-05-25 11:08:28+02;Khensane Mabasa;2026-03-24 09:54:08+02;2026-03-24 09:54:08+02;;;;;;;;;27606045209;;;;;;;;prepaid life;;;;;</t>
  </si>
  <si>
    <t>ID_1846</t>
  </si>
  <si>
    <t>13863016;6d3b6875-9793-4955-a562-ff355946af7b;;111111118;Vodacom Life 20260324;;;;;NA;6;2026-05-26 1</t>
  </si>
  <si>
    <t>13863016;6d3b6875-9793-4955-a562-ff355946af7b;;111111118;Vodacom Life 20260324;;;;;NA;6;2026-05-26 16:22:10+02;system;2026-03-24 09:54:08+02;2026-03-24 09:54:08+02;;;;;;;;;27729051388;;;;;;;;prepaid life;;;;;</t>
  </si>
  <si>
    <t>ID_1847</t>
  </si>
  <si>
    <t xml:space="preserve">13863017;d8a19af4-e806-467c-9e38-483c83dcf7dd;;111111118;Vodacom Life 20260324;;;;;ADC;6;2026-05-26 </t>
  </si>
  <si>
    <t>13863017;d8a19af4-e806-467c-9e38-483c83dcf7dd;;111111118;Vodacom Life 20260324;;;;;ADC;6;2026-05-26 16:22:10+02;system;2026-03-24 09:54:08+02;2026-03-24 09:54:08+02;;;;;;;;;27729591161;;;;;;;;prepaid life;;;;;</t>
  </si>
  <si>
    <t>ID_1848</t>
  </si>
  <si>
    <t>13863096;a3e85d06-327d-4b65-81df-eae40fba5afb;;111111118;Vodacom Life 20260324;;;27724362478;;IABDN;</t>
  </si>
  <si>
    <t>13863096;a3e85d06-327d-4b65-81df-eae40fba5afb;;111111118;Vodacom Life 20260324;;;27724362478;;IABDN;5;2026-05-23 09:33:06+02;system;2026-03-24 09:54:08+02;2026-03-24 09:54:08+02;;;;;;;;;27724362478;;;;;;;;prepaid life;;;;;</t>
  </si>
  <si>
    <t>ID_1849</t>
  </si>
  <si>
    <t>13863018;88a94623-6c7c-4adb-83af-487fdc7c392b;;111111118;Vodacom Life 20260324;;;;;AA;5;2026-05-25 1</t>
  </si>
  <si>
    <t>13863018;88a94623-6c7c-4adb-83af-487fdc7c392b;;111111118;Vodacom Life 20260324;;;;;AA;5;2026-05-25 11:35:34+02;system;2026-03-24 09:54:08+02;2026-03-24 09:54:08+02;;;;;;;;;27733553730;;;;;;;;prepaid life;;;;;</t>
  </si>
  <si>
    <t>ID_1850</t>
  </si>
  <si>
    <t>13862944;a7ca82f9-c547-4fa0-8d94-87a4ca2da911;;111111118;Vodacom Life 20260324;;;;;A;7;2026-05-25 14</t>
  </si>
  <si>
    <t>13862944;a7ca82f9-c547-4fa0-8d94-87a4ca2da911;;111111118;Vodacom Life 20260324;;;;;A;7;2026-05-25 14:05:34+02;Maureen Ntsoko;2026-03-24 09:54:08+02;2026-03-24 09:54:08+02;;;;;;;;;27606419648;;;;;;;;prepaid life;;;;;</t>
  </si>
  <si>
    <t>ID_1851</t>
  </si>
  <si>
    <t>13862945;4203e56c-9824-4941-b447-e24342d78069;;111111118;Vodacom Life 20260324;;;;;NA;5;2026-05-25 1</t>
  </si>
  <si>
    <t>13862945;4203e56c-9824-4941-b447-e24342d78069;;111111118;Vodacom Life 20260324;;;;;NA;5;2026-05-25 11:08:28+02;system;2026-03-24 09:54:08+02;2026-03-24 09:54:08+02;;;;;;;;;27606484152;;;;;;;;prepaid life;;;;;</t>
  </si>
  <si>
    <t>ID_1852</t>
  </si>
  <si>
    <t>13863098;c310b716-ce70-44d0-a8d1-6794a671e8e9;;111111118;Vodacom Life 20260324;;;;;AA;5;2026-05-23 0</t>
  </si>
  <si>
    <t>13863098;c310b716-ce70-44d0-a8d1-6794a671e8e9;;111111118;Vodacom Life 20260324;;;;;AA;5;2026-05-23 09:05:29+02;system;2026-03-24 09:54:08+02;2026-03-24 09:54:08+02;;;;;;;;;27725308389;;;;;;;;prepaid life;;;;;</t>
  </si>
  <si>
    <t>ID_1853</t>
  </si>
  <si>
    <t>13862946;b01a99d0-2335-4c86-a2bd-ca98864aebdd;;111111118;Vodacom Life 20260324;;;;;DROP;5;2026-05-25</t>
  </si>
  <si>
    <t>13862946;b01a99d0-2335-4c86-a2bd-ca98864aebdd;;111111118;Vodacom Life 20260324;;;;;DROP;5;2026-05-25 11:08:28+02;system;2026-03-24 09:54:08+02;2026-03-24 09:54:08+02;;;;;;;;;27609040017;;;;;;;;prepaid life;;;;;</t>
  </si>
  <si>
    <t>ID_1854</t>
  </si>
  <si>
    <t>13863019;a0ad0417-5c96-48c5-b8cc-aaa7f4f974a4;;111111118;Vodacom Life 20260324;;;;;AA;5;2026-05-25 1</t>
  </si>
  <si>
    <t>13863019;a0ad0417-5c96-48c5-b8cc-aaa7f4f974a4;;111111118;Vodacom Life 20260324;;;;;AA;5;2026-05-25 11:35:34+02;system;2026-03-24 09:54:08+02;2026-03-24 09:54:08+02;;;;;;;;;27761774370;;;;;;;;prepaid life;;;;;</t>
  </si>
  <si>
    <t>ID_1855</t>
  </si>
  <si>
    <t>13863099;5ee376af-e0a5-4679-8596-d81dcee8b509;;111111118;Vodacom Life 20260324;;;;;DROP;5;2026-05-23</t>
  </si>
  <si>
    <t>13863099;5ee376af-e0a5-4679-8596-d81dcee8b509;;111111118;Vodacom Life 20260324;;;;;DROP;5;2026-05-23 09:26:18+02;system;2026-03-24 09:54:08+02;2026-03-24 09:54:08+02;;;;;;;;;27725513885;;;;;;;;prepaid life;;;;;</t>
  </si>
  <si>
    <t>ID_1856</t>
  </si>
  <si>
    <t>13863020;21d7fbc2-9b60-42f0-89a8-e58dc29ddcdd;;111111118;Vodacom Life 20260324;;;;;AA;5;2026-05-23 0</t>
  </si>
  <si>
    <t>13863020;21d7fbc2-9b60-42f0-89a8-e58dc29ddcdd;;111111118;Vodacom Life 20260324;;;;;AA;5;2026-05-23 09:18:03+02;system;2026-03-24 09:54:08+02;2026-03-24 09:54:08+02;;;;;;;;;27761868568;;;;;;;;prepaid life;;;;;</t>
  </si>
  <si>
    <t>ID_1857</t>
  </si>
  <si>
    <t>13862947;4dcffd64-8771-49e6-91b2-8455276ebd62;;111111118;Vodacom Life 20260324;;;;;AA;5;2026-05-25 1</t>
  </si>
  <si>
    <t>13862947;4dcffd64-8771-49e6-91b2-8455276ebd62;;111111118;Vodacom Life 20260324;;;;;AA;5;2026-05-25 11:08:32+02;system;2026-03-24 09:54:08+02;2026-03-24 09:54:08+02;;;;;;;;;27609473947;;;;;;;;prepaid life;;;;;</t>
  </si>
  <si>
    <t>ID_1858</t>
  </si>
  <si>
    <t>13863100;00470d32-71da-4f5b-a1fe-a19e845c532a;;111111118;Vodacom Life 20260324;;;;;AA;5;2026-05-25 0</t>
  </si>
  <si>
    <t>13863100;00470d32-71da-4f5b-a1fe-a19e845c532a;;111111118;Vodacom Life 20260324;;;;;AA;5;2026-05-25 09:30:01+02;system;2026-03-24 09:54:08+02;2026-03-24 09:54:08+02;;;;;;;;;27725569946;;;;;;;;prepaid life;;;;;</t>
  </si>
  <si>
    <t>ID_1859</t>
  </si>
  <si>
    <t xml:space="preserve">13862948;46e98cf4-35ef-42db-b125-2f2fcc2c4e3a;;111111118;Vodacom Life 20260324;;;;;CQN;1;2026-04-01 </t>
  </si>
  <si>
    <t>13862948;46e98cf4-35ef-42db-b125-2f2fcc2c4e3a;;111111118;Vodacom Life 20260324;;;;;CQN;1;2026-04-01 10:40:45+02;Thandile Nokubeni;2026-03-24 09:54:08+02;2026-03-24 09:54:08+02;;;;;;;;;27636877146;;;;;;;;prepaid life;;;;;</t>
  </si>
  <si>
    <t>ID_1860</t>
  </si>
  <si>
    <t>13862949;68e9e354-9266-4352-964e-5a9ac1e021a8;;111111118;Vodacom Life 20260324;;;;;NA;5;2026-05-22 1</t>
  </si>
  <si>
    <t>13862949;68e9e354-9266-4352-964e-5a9ac1e021a8;;111111118;Vodacom Life 20260324;;;;;NA;5;2026-05-22 13:14:47+02;system;2026-03-24 09:54:08+02;2026-03-24 09:54:08+02;;;;;;;;;27637435164;;;;;;;;prepaid life;;;;;</t>
  </si>
  <si>
    <t>ID_1861</t>
  </si>
  <si>
    <t>13863021;36de6f6a-4c15-4f7a-9169-d9c1b31b72ce;;111111118;Vodacom Life 20260324;;;;;AA;5;2026-05-25 1</t>
  </si>
  <si>
    <t>13863021;36de6f6a-4c15-4f7a-9169-d9c1b31b72ce;;111111118;Vodacom Life 20260324;;;;;AA;5;2026-05-25 11:36:07+02;system;2026-03-24 09:54:08+02;2026-03-24 09:54:08+02;;;;;;;;;27766102380;;;;;;;;prepaid life;;;;;</t>
  </si>
  <si>
    <t>ID_1862</t>
  </si>
  <si>
    <t>13863101;35cf91d8-2209-4897-987c-8787bf7d1a38;;111111118;Vodacom Life 20260324;;;;;AA;5;2026-05-25 0</t>
  </si>
  <si>
    <t>13863101;35cf91d8-2209-4897-987c-8787bf7d1a38;;111111118;Vodacom Life 20260324;;;;;AA;5;2026-05-25 09:30:09+02;system;2026-03-24 09:54:08+02;2026-03-24 09:54:08+02;;;;;;;;;27725756737;;;;;;;;prepaid life;;;;;</t>
  </si>
  <si>
    <t>ID_1863</t>
  </si>
  <si>
    <t>13863022;a09a5bbb-69ce-474b-977b-01cae66dee18;;111111118;Vodacom Life 20260324;;;;;CBACK;3;2026-04-1</t>
  </si>
  <si>
    <t>13863022;a09a5bbb-69ce-474b-977b-01cae66dee18;;111111118;Vodacom Life 20260324;;;;;CBACK;3;2026-04-15 13:02:42+02;Maureen Ntsoko;2026-03-24 09:54:08+02;2026-03-24 09:54:08+02;;;;;;;;;27766894258;;;;;;;;prepaid life;;;;;</t>
  </si>
  <si>
    <t>ID_1864</t>
  </si>
  <si>
    <t>13862950;b7c3ef66-41d3-4ed9-97b0-3482b6208253;;111111118;Vodacom Life 20260324;;;;;AA;5;2026-05-25 1</t>
  </si>
  <si>
    <t>13862950;b7c3ef66-41d3-4ed9-97b0-3482b6208253;;111111118;Vodacom Life 20260324;;;;;AA;5;2026-05-25 11:08:33+02;system;2026-03-24 09:54:08+02;2026-03-24 09:54:08+02;;;;;;;;;27646090505;;;;;;;;prepaid life;;;;;</t>
  </si>
  <si>
    <t>ID_1865</t>
  </si>
  <si>
    <t>13863103;bb839837-df06-454b-9828-107675abe919;;111111118;Vodacom Life 20260324;;;;;AA;5;2026-05-25 1</t>
  </si>
  <si>
    <t>13863103;bb839837-df06-454b-9828-107675abe919;;111111118;Vodacom Life 20260324;;;;;AA;5;2026-05-25 11:54:47+02;system;2026-03-24 09:54:08+02;2026-03-24 09:54:08+02;;;;;;;;;27726663944;;;;;;;;prepaid life;;;;;</t>
  </si>
  <si>
    <t>ID_1866</t>
  </si>
  <si>
    <t>13863104;d9d74bd0-4787-468a-9b4b-270ab2038d9e;;111111118;Vodacom Life 20260324;;;;;AE;5;2026-05-25 1</t>
  </si>
  <si>
    <t>13863104;d9d74bd0-4787-468a-9b4b-270ab2038d9e;;111111118;Vodacom Life 20260324;;;;;AE;5;2026-05-25 11:31:19+02;system;2026-03-24 09:54:08+02;2026-03-24 09:54:08+02;;;;;;;;;27727279768;;;;;;;;prepaid life;;;;;</t>
  </si>
  <si>
    <t>ID_1867</t>
  </si>
  <si>
    <t xml:space="preserve">13862951;88d805ef-ee49-4a7d-88a4-8d8ce808d441;;111111118;Vodacom Life 20260324;;;;;ADC;5;2026-05-22 </t>
  </si>
  <si>
    <t>13862951;88d805ef-ee49-4a7d-88a4-8d8ce808d441;;111111118;Vodacom Life 20260324;;;;;ADC;5;2026-05-22 13:14:47+02;system;2026-03-24 09:54:08+02;2026-03-24 09:54:08+02;;;;;;;;;27648076163;;;;;;;;prepaid life;;;;;</t>
  </si>
  <si>
    <t>ID_1868</t>
  </si>
  <si>
    <t>13863023;b0b59768-48dd-4960-a8f3-7491f429923f;;111111118;Vodacom Life 20260324;;;;;AE;5;2026-05-25 1</t>
  </si>
  <si>
    <t>13863023;b0b59768-48dd-4960-a8f3-7491f429923f;;111111118;Vodacom Life 20260324;;;;;AE;5;2026-05-25 10:39:10+02;system;2026-03-24 09:54:08+02;2026-03-24 09:54:08+02;;;;;;;;;27766926945;;;;;;;;prepaid life;;;;;</t>
  </si>
  <si>
    <t>ID_1869</t>
  </si>
  <si>
    <t>13863105;7257df1f-c72e-4639-aec9-7590c0b898b8;;111111118;Vodacom Life 20260324;;;;;NA;5;2026-05-25 1</t>
  </si>
  <si>
    <t>13863105;7257df1f-c72e-4639-aec9-7590c0b898b8;;111111118;Vodacom Life 20260324;;;;;NA;5;2026-05-25 11:54:47+02;system;2026-03-24 09:54:08+02;2026-03-24 09:54:08+02;;;;;;;;;27727821633;;;;;;;;prepaid life;;;;;</t>
  </si>
  <si>
    <t>ID_1870</t>
  </si>
  <si>
    <t>13863024;8ec3bf6e-f6b1-4eb1-a6e0-3ba664bf316e;;111111118;Vodacom Life 20260324;;;;;NA;5;2026-05-25 1</t>
  </si>
  <si>
    <t>13863024;8ec3bf6e-f6b1-4eb1-a6e0-3ba664bf316e;;111111118;Vodacom Life 20260324;;;;;NA;5;2026-05-25 10:39:10+02;system;2026-03-24 09:54:08+02;2026-03-24 09:54:08+02;;;;;;;;;27767222244;;;;;;;;prepaid life;;;;;</t>
  </si>
  <si>
    <t>ID_1871</t>
  </si>
  <si>
    <t>13862952;3a3b31a4-279c-4db1-9bd2-6db6389a9d4a;;111111118;Vodacom Life 20260324;;;;;NA;5;2026-05-22 1</t>
  </si>
  <si>
    <t>13862952;3a3b31a4-279c-4db1-9bd2-6db6389a9d4a;;111111118;Vodacom Life 20260324;;;;;NA;5;2026-05-22 13:15:05+02;system;2026-03-24 09:54:08+02;2026-03-24 09:54:08+02;;;;;;;;;27648470897;;;;;;;;prepaid life;;;;;</t>
  </si>
  <si>
    <t>ID_1872</t>
  </si>
  <si>
    <t>13863106;5d4284f0-6605-4268-bd17-00c1114679fe;;111111118;Vodacom Life 20260324;;;;;NI;1;2026-03-26 1</t>
  </si>
  <si>
    <t>13863106;5d4284f0-6605-4268-bd17-00c1114679fe;;111111118;Vodacom Life 20260324;;;;;NI;1;2026-03-26 10:51:02+02;Thandile Nokubeni;2026-03-24 09:54:08+02;2026-03-24 09:54:08+02;;;;;;;;;27727917575;;;;;;;;prepaid life;;;;;</t>
  </si>
  <si>
    <t>ID_1873</t>
  </si>
  <si>
    <t>13863025;2e28c372-899b-4d84-a743-c8ff46b88b52;;111111118;Vodacom Life 20260324;;;;;CU;5;2026-05-25 0</t>
  </si>
  <si>
    <t>13863025;2e28c372-899b-4d84-a743-c8ff46b88b52;;111111118;Vodacom Life 20260324;;;;;CU;5;2026-05-25 09:19:40+02;Khensane Mabasa;2026-03-24 09:54:08+02;2026-03-24 09:54:08+02;;;;;;;;;27768553155;;;;;;;;prepaid life;;;;;</t>
  </si>
  <si>
    <t>ID_1874</t>
  </si>
  <si>
    <t>13863107;66757f24-2a59-4b04-a27e-42f1d557fcb2;;111111118;Vodacom Life 20260324;;;;;U;4;2026-05-20 08</t>
  </si>
  <si>
    <t>13863107;66757f24-2a59-4b04-a27e-42f1d557fcb2;;111111118;Vodacom Life 20260324;;;;;U;4;2026-05-20 08:27:51+02;bongiwe lushaba;2026-03-24 09:54:08+02;2026-03-24 09:54:08+02;;;;;;;;;27728073691;;;;;;;;prepaid life;;;;;</t>
  </si>
  <si>
    <t>ID_1875</t>
  </si>
  <si>
    <t xml:space="preserve">13863026;4604f16d-102a-4880-8414-585f8e1c4b58;;111111118;Vodacom Life 20260324;;;;;ADC;5;2026-05-23 </t>
  </si>
  <si>
    <t>13863026;4604f16d-102a-4880-8414-585f8e1c4b58;;111111118;Vodacom Life 20260324;;;;;ADC;5;2026-05-23 09:50:32+02;system;2026-03-24 09:54:08+02;2026-03-24 09:54:08+02;;;;;;;;;27768869021;;;;;;;;prepaid life;;;;;</t>
  </si>
  <si>
    <t>ID_1876</t>
  </si>
  <si>
    <t>13862953;1999567f-793d-40d1-a423-6f71ce49087e;;111111118;Vodacom Life 20260324;;;;;CU;5;2026-05-22 1</t>
  </si>
  <si>
    <t>13862953;1999567f-793d-40d1-a423-6f71ce49087e;;111111118;Vodacom Life 20260324;;;;;CU;5;2026-05-22 13:15:35+02;bongiwe lushaba;2026-03-24 09:54:08+02;2026-03-24 09:54:08+02;;;;;;;;;27649204131;;;;;;;;prepaid life;;;;;</t>
  </si>
  <si>
    <t>ID_1877</t>
  </si>
  <si>
    <t>13863108;9307ea79-3b7b-41ec-9300-71aa91daed57;;111111118;Vodacom Life 20260324;;;;;CBACK;1;2026-03-2</t>
  </si>
  <si>
    <t>13863108;9307ea79-3b7b-41ec-9300-71aa91daed57;;111111118;Vodacom Life 20260324;;;;;CBACK;1;2026-03-24 12:09:08+02;Maureen Ntsoko;2026-03-24 09:54:08+02;2026-03-24 09:54:08+02;;;;;;;;;27728484749;;;;;;;;prepaid life;;;;;</t>
  </si>
  <si>
    <t>ID_1878</t>
  </si>
  <si>
    <t>13862954;9d180d17-4cbb-4c9e-acae-8b66409d2a43;;111111118;Vodacom Life 20260324;;;;;AA;5;2026-05-22 1</t>
  </si>
  <si>
    <t>13862954;9d180d17-4cbb-4c9e-acae-8b66409d2a43;;111111118;Vodacom Life 20260324;;;;;AA;5;2026-05-22 13:15:35+02;system;2026-03-24 09:54:08+02;2026-03-24 09:54:08+02;;;;;;;;;27649658037;;;;;;;;prepaid life;;;;;</t>
  </si>
  <si>
    <t>ID_1879</t>
  </si>
  <si>
    <t>13863027;98b87270-62c5-4357-8fb4-b77409007ebf;;111111118;Vodacom Life 20260324;;;27769749251;;CBACK;</t>
  </si>
  <si>
    <t>13863027;98b87270-62c5-4357-8fb4-b77409007ebf;;111111118;Vodacom Life 20260324;;;27769749251;;CBACK;5;2026-05-25 09:20:27+02;Maureen Ntsoko;2026-03-24 09:54:08+02;2026-03-24 09:54:08+02;;;;;;;;;27769749251;;;;;;;;prepaid life;;;;;</t>
  </si>
  <si>
    <t>ID_1880</t>
  </si>
  <si>
    <t>13863109;80788d6f-c045-482f-9850-40d03f0703db;;111111118;Vodacom Life 20260324;;;;;AA;5;2026-05-25 1</t>
  </si>
  <si>
    <t>13863109;80788d6f-c045-482f-9850-40d03f0703db;;111111118;Vodacom Life 20260324;;;;;AA;5;2026-05-25 10:43:06+02;system;2026-03-24 09:54:08+02;2026-03-24 09:54:08+02;;;;;;;;;27728759388;;;;;;;;prepaid life;;;;;</t>
  </si>
  <si>
    <t>ID_1881</t>
  </si>
  <si>
    <t>13863028;de724efb-9e3d-4900-b5dc-f533d08ddaf5;;111111118;Vodacom Life 20260324;;;;;NA;5;2026-05-23 0</t>
  </si>
  <si>
    <t>13863028;de724efb-9e3d-4900-b5dc-f533d08ddaf5;;111111118;Vodacom Life 20260324;;;;;NA;5;2026-05-23 09:57:23+02;system;2026-03-24 09:54:08+02;2026-03-24 09:54:08+02;;;;;;;;;27769780783;;;;;;;;prepaid life;;;;;</t>
  </si>
  <si>
    <t>ID_1882</t>
  </si>
  <si>
    <t>13862955;b2986499-3ac4-4685-a6f5-b034a89b88bc;;111111118;Vodacom Life 20260324;;;;;NA;5;2026-05-22 1</t>
  </si>
  <si>
    <t>13862955;b2986499-3ac4-4685-a6f5-b034a89b88bc;;111111118;Vodacom Life 20260324;;;;;NA;5;2026-05-22 13:21:24+02;system;2026-03-24 09:54:08+02;2026-03-24 09:54:08+02;;;;;;;;;27663774274;;;;;;;;prepaid life;;;;;</t>
  </si>
  <si>
    <t>ID_1883</t>
  </si>
  <si>
    <t xml:space="preserve">13863110;8ab87e63-cc8b-4ae7-8729-6a2b4e1eb18d;;111111118;Vodacom Life 20260324;;;;;CCB;5;2026-05-25 </t>
  </si>
  <si>
    <t>13863110;8ab87e63-cc8b-4ae7-8729-6a2b4e1eb18d;;111111118;Vodacom Life 20260324;;;;;CCB;5;2026-05-25 11:54:47+02;Maureen Ntsoko;2026-03-24 09:54:08+02;2026-03-24 09:54:08+02;;;;;;;;;27728763608;;;;;;;;prepaid life;;;;;</t>
  </si>
  <si>
    <t>ID_1884</t>
  </si>
  <si>
    <t>13862957;17c3b269-9391-4ad6-828a-0a62bd239c09;;111111118;Vodacom Life 20260324;;;;;DROP;5;2026-05-22</t>
  </si>
  <si>
    <t>13862957;17c3b269-9391-4ad6-828a-0a62bd239c09;;111111118;Vodacom Life 20260324;;;;;DROP;5;2026-05-22 13:21:48+02;system;2026-03-24 09:54:08+02;2026-03-24 09:54:08+02;;;;;;;;;27673543730;;;;;;;;prepaid life;;;;;</t>
  </si>
  <si>
    <t>ID_1885</t>
  </si>
  <si>
    <t>13863029;c5313641-8092-41bf-8c80-b1d88b49279d;;111111118;Vodacom Life 20260324;;;;;DROP;5;2026-05-25</t>
  </si>
  <si>
    <t>13863029;c5313641-8092-41bf-8c80-b1d88b49279d;;111111118;Vodacom Life 20260324;;;;;DROP;5;2026-05-25 09:20:07+02;system;2026-03-24 09:54:08+02;2026-03-24 09:54:08+02;;;;;;;;;27790275764;;;;;;;;prepaid life;;;;;</t>
  </si>
  <si>
    <t>ID_1886</t>
  </si>
  <si>
    <t>13863030;d1ba02ae-5725-4016-96fe-21c072e3b24a;;111111118;Vodacom Life 20260324;;;;;NA;5;2026-05-23 0</t>
  </si>
  <si>
    <t>13863030;d1ba02ae-5725-4016-96fe-21c072e3b24a;;111111118;Vodacom Life 20260324;;;;;NA;5;2026-05-23 09:59:50+02;system;2026-03-24 09:54:08+02;2026-03-24 09:54:08+02;;;;;;;;;27791771550;;;;;;;;prepaid life;;;;;</t>
  </si>
  <si>
    <t>ID_1887</t>
  </si>
  <si>
    <t>13863111;07d5e5f2-9e82-4e86-a779-7e69b1168a42;;111111118;Vodacom Life 20260324;;;;;CBACK;6;2026-05-2</t>
  </si>
  <si>
    <t>13863111;07d5e5f2-9e82-4e86-a779-7e69b1168a42;;111111118;Vodacom Life 20260324;;;;;CBACK;6;2026-05-21 11:13:56+02;Maureen Ntsoko;2026-03-24 09:54:08+02;2026-03-24 09:54:08+02;;;;;;;;;27728965309;;;;;;;;prepaid life;;;;;</t>
  </si>
  <si>
    <t>ID_1888</t>
  </si>
  <si>
    <t>13862958;46b8a3dc-d0ed-4520-92da-7f62f5a2d102;;111111118;Vodacom Life 20260324;;;;;N;5;2026-05-19 15</t>
  </si>
  <si>
    <t>13862958;46b8a3dc-d0ed-4520-92da-7f62f5a2d102;;111111118;Vodacom Life 20260324;;;;;N;5;2026-05-19 15:38:36+02;Maureen Ntsoko;2026-03-24 09:54:08+02;2026-03-24 09:54:08+02;;;;;;;;;27674889133;;;;;;;;prepaid life;;;;;</t>
  </si>
  <si>
    <t>ID_1889</t>
  </si>
  <si>
    <t>13863112;47ce066d-0fb6-4ab0-9054-5e92e80a8058;;111111118;Vodacom Life 20260324;;;;;AA;5;2026-05-25 1</t>
  </si>
  <si>
    <t>13863112;47ce066d-0fb6-4ab0-9054-5e92e80a8058;;111111118;Vodacom Life 20260324;;;;;AA;5;2026-05-25 10:43:06+02;system;2026-03-24 09:54:08+02;2026-03-24 09:54:08+02;;;;;;;;;27729309559;;;;;;;;prepaid life;;;;;</t>
  </si>
  <si>
    <t>ID_1890</t>
  </si>
  <si>
    <t>13862959;5f54553d-7fbd-4a00-a3f0-b1a12406f8cd;;111111118;Vodacom Life 20260324;;;;;DROP;5;2026-05-22</t>
  </si>
  <si>
    <t>13862959;5f54553d-7fbd-4a00-a3f0-b1a12406f8cd;;111111118;Vodacom Life 20260324;;;;;DROP;5;2026-05-22 13:36:08+02;system;2026-03-24 09:54:08+02;2026-03-24 09:54:08+02;;;;;;;;;27711697698;;;;;;;;prepaid life;;;;;</t>
  </si>
  <si>
    <t>ID_1891</t>
  </si>
  <si>
    <t>13863113;4f20bcf5-abcb-4537-9388-0ecfde53fa20;;111111118;Vodacom Life 20260324;;;;;AA;5;2026-05-25 1</t>
  </si>
  <si>
    <t>13863113;4f20bcf5-abcb-4537-9388-0ecfde53fa20;;111111118;Vodacom Life 20260324;;;;;AA;5;2026-05-25 10:38:12+02;system;2026-03-24 09:54:08+02;2026-03-24 09:54:08+02;;;;;;;;;27729459117;;;;;;;;prepaid life;;;;;</t>
  </si>
  <si>
    <t>ID_1892</t>
  </si>
  <si>
    <t>13862960;bc27d517-4782-46e9-85e4-ab2c77ad3ef0;;111111118;Vodacom Life 20260324;;;;;NI;1;2026-03-24 1</t>
  </si>
  <si>
    <t>13862960;bc27d517-4782-46e9-85e4-ab2c77ad3ef0;;111111118;Vodacom Life 20260324;;;;;NI;1;2026-03-24 11:42:37+02;Thandile Nokubeni;2026-03-24 09:54:08+02;2026-03-24 09:54:08+02;;;;;;;;;27712680579;;;;;;;;prepaid life;;;;;</t>
  </si>
  <si>
    <t>ID_1893</t>
  </si>
  <si>
    <t>13863032;5ad5ecf7-48a1-4df0-aa01-d3346c43d103;;111111118;Vodacom Life 20260324;;;;;AA;5;2026-05-25 0</t>
  </si>
  <si>
    <t>13863032;5ad5ecf7-48a1-4df0-aa01-d3346c43d103;;111111118;Vodacom Life 20260324;;;;;AA;5;2026-05-25 09:20:36+02;system;2026-03-24 09:54:08+02;2026-03-24 09:54:08+02;;;;;;;;;27794241046;;;;;;;;prepaid life;;;;;</t>
  </si>
  <si>
    <t>ID_1894</t>
  </si>
  <si>
    <t>13863114;92614002-314e-43a8-bb1c-578eca5ecdc2;;111111118;Vodacom Life 20260324;;;;;NA;5;2026-05-25 1</t>
  </si>
  <si>
    <t>13863114;92614002-314e-43a8-bb1c-578eca5ecdc2;;111111118;Vodacom Life 20260324;;;;;NA;5;2026-05-25 10:38:23+02;system;2026-03-24 09:54:08+02;2026-03-24 09:54:08+02;;;;;;;;;27729604169;;;;;;;;prepaid life;;;;;</t>
  </si>
  <si>
    <t>ID_1895</t>
  </si>
  <si>
    <t>13863033;6b36507e-5956-42db-813c-d768c7b0cd44;;111111118;Vodacom Life 20260324;;;;;AE;5;2026-05-25 0</t>
  </si>
  <si>
    <t>13863033;6b36507e-5956-42db-813c-d768c7b0cd44;;111111118;Vodacom Life 20260324;;;;;AE;5;2026-05-25 09:28:00+02;system;2026-03-24 09:54:08+02;2026-03-24 09:54:08+02;;;;;;;;;27796246677;;;;;;;;prepaid life;;;;;</t>
  </si>
  <si>
    <t>ID_1896</t>
  </si>
  <si>
    <t>13863034;2aff757f-9515-457e-887b-bb9f5cd3500f;;111111118;Vodacom Life 20260324;;;;;AA;5;2026-05-25 0</t>
  </si>
  <si>
    <t>13863034;2aff757f-9515-457e-887b-bb9f5cd3500f;;111111118;Vodacom Life 20260324;;;;;AA;5;2026-05-25 09:28:00+02;system;2026-03-24 09:54:08+02;2026-03-24 09:54:08+02;;;;;;;;;27796460722;;;;;;;;prepaid life;;;;;</t>
  </si>
  <si>
    <t>ID_1897</t>
  </si>
  <si>
    <t>13862961;9cea1dfe-fede-48a2-814b-1da18182ccd1;;111111118;Vodacom Life 20260324;;;;;NI;3;2026-04-15 1</t>
  </si>
  <si>
    <t>13862961;9cea1dfe-fede-48a2-814b-1da18182ccd1;;111111118;Vodacom Life 20260324;;;;;NI;3;2026-04-15 12:04:24+02;Musiiwa Mary Mabirimisa;2026-03-24 09:54:08+02;2026-03-24 09:54:08+02;;;;;;;;;27720364575;;;;;;;;prepaid life;;;;;</t>
  </si>
  <si>
    <t>ID_1898</t>
  </si>
  <si>
    <t>13863115;3d1fccda-ca0c-4bf5-ac47-4497db48949f;;111111118;Vodacom Life 20260324;;;;;AF;2;2026-04-09 1</t>
  </si>
  <si>
    <t>13863115;3d1fccda-ca0c-4bf5-ac47-4497db48949f;;111111118;Vodacom Life 20260324;;;;;AF;2;2026-04-09 15:36:33+02;Millicent Motsuku;2026-03-24 09:54:08+02;2026-03-24 09:54:08+02;;;;;;;;;27730850089;;;;;;;;prepaid life;;;;;</t>
  </si>
  <si>
    <t>ID_1899</t>
  </si>
  <si>
    <t>13862962;1d6d6087-72fb-4ee2-bd04-6f24b65ba2bc;;111111118;Vodacom Life 20260324;;;;;NI;3;2026-04-15 1</t>
  </si>
  <si>
    <t>13862962;1d6d6087-72fb-4ee2-bd04-6f24b65ba2bc;;111111118;Vodacom Life 20260324;;;;;NI;3;2026-04-15 11:41:51+02;Musiiwa Mary Mabirimisa;2026-03-24 09:54:08+02;2026-03-24 09:54:08+02;;;;;;;;;27720932910;;;;;;;;prepaid life;;;;;</t>
  </si>
  <si>
    <t>ID_1900</t>
  </si>
  <si>
    <t>13863035;3dd0c0e4-ff62-4be9-b759-b7bc16526c1b;;111111118;Vodacom Life 20260324;;;;;N;6;2026-05-20 08</t>
  </si>
  <si>
    <t>13863035;3dd0c0e4-ff62-4be9-b759-b7bc16526c1b;;111111118;Vodacom Life 20260324;;;;;N;6;2026-05-20 08:29:51+02;Khensane Mabasa;2026-03-24 09:54:08+02;2026-03-24 09:54:08+02;;;;;;;;;27823696796;;;;;;;;prepaid life;;;;;</t>
  </si>
  <si>
    <t>ID_1901</t>
  </si>
  <si>
    <t xml:space="preserve">13863116;527b483c-815e-468e-bc0e-71a70bcb678a;;111111118;Vodacom Life 20260324;;;;;BLQ;5;2026-05-25 </t>
  </si>
  <si>
    <t>13863116;527b483c-815e-468e-bc0e-71a70bcb678a;;111111118;Vodacom Life 20260324;;;;;BLQ;5;2026-05-25 10:38:44+02;Maureen Ntsoko;2026-03-24 09:54:08+02;2026-03-24 09:54:08+02;;;;;;;;;27731744837;;;;;;;;prepaid life;;;;;</t>
  </si>
  <si>
    <t>ID_1902</t>
  </si>
  <si>
    <t>13863036;08b3ce2d-78b9-4f63-a945-4b3e2e1f1ab5;;111111118;Vodacom Life 20260324;;;;;AA;5;2026-05-25 0</t>
  </si>
  <si>
    <t>13863036;08b3ce2d-78b9-4f63-a945-4b3e2e1f1ab5;;111111118;Vodacom Life 20260324;;;;;AA;5;2026-05-25 09:28:06+02;system;2026-03-24 09:54:08+02;2026-03-24 09:54:08+02;;;;;;;;;27606583334;;;;;;;;prepaid life;;;;;</t>
  </si>
  <si>
    <t>ID_1903</t>
  </si>
  <si>
    <t>13862963;89ace37f-0160-40d8-9d3e-cbca8875c631;;111111118;Vodacom Life 20260324;;;27724526918;;IABDN;</t>
  </si>
  <si>
    <t>13862963;89ace37f-0160-40d8-9d3e-cbca8875c631;;111111118;Vodacom Life 20260324;;;27724526918;;IABDN;5;2026-05-22 13:37:12+02;system;2026-03-24 09:54:08+02;2026-03-24 09:54:08+02;;;;;;;;;27724526918;;;;;;;;prepaid life;;;;;</t>
  </si>
  <si>
    <t>ID_1904</t>
  </si>
  <si>
    <t>13863117;7f7d79a4-799f-4292-a129-0f580dfa914a;;111111118;Vodacom Life 20260324;;;;;U;1;2026-03-26 09</t>
  </si>
  <si>
    <t>13863117;7f7d79a4-799f-4292-a129-0f580dfa914a;;111111118;Vodacom Life 20260324;;;;;U;1;2026-03-26 09:33:14+02;Esther Ramalete;2026-03-24 09:54:08+02;2026-03-24 09:54:08+02;;;;;;;;;27732076638;;;;;;;;prepaid life;;;;;</t>
  </si>
  <si>
    <t>ID_1905</t>
  </si>
  <si>
    <t>13862964;bc9d4105-ad48-4763-b5a7-9de4d6c7cb36;;111111118;Vodacom Life 20260324;;;;;AE;5;2026-05-22 1</t>
  </si>
  <si>
    <t>13862964;bc9d4105-ad48-4763-b5a7-9de4d6c7cb36;;111111118;Vodacom Life 20260324;;;;;AE;5;2026-05-22 13:51:37+02;system;2026-03-24 09:54:08+02;2026-03-24 09:54:08+02;;;;;;;;;27725361319;;;;;;;;prepaid life;;;;;</t>
  </si>
  <si>
    <t>ID_1906</t>
  </si>
  <si>
    <t>13863118;8278f160-980f-44da-9a3b-779cd93e638f;;111111118;Vodacom Life 20260324;;;;;DROP;5;2026-05-25</t>
  </si>
  <si>
    <t>13863118;8278f160-980f-44da-9a3b-779cd93e638f;;111111118;Vodacom Life 20260324;;;;;DROP;5;2026-05-25 10:43:06+02;system;2026-03-24 09:54:08+02;2026-03-24 09:54:08+02;;;;;;;;;27732276416;;;;;;;;prepaid life;;;;;</t>
  </si>
  <si>
    <t>ID_1907</t>
  </si>
  <si>
    <t>13863037;d5b02191-b5e9-449c-9d54-668449d96d6e;;111111118;Vodacom Life 20260324;;;;;AA;5;2026-05-23 1</t>
  </si>
  <si>
    <t>13863037;d5b02191-b5e9-449c-9d54-668449d96d6e;;111111118;Vodacom Life 20260324;;;;;AA;5;2026-05-23 10:05:25+02;system;2026-03-24 09:54:08+02;2026-03-24 09:54:08+02;;;;;;;;;27606977701;;;;;;;;prepaid life;;;;;</t>
  </si>
  <si>
    <t>ID_1908</t>
  </si>
  <si>
    <t>13863119;01f0f77f-8766-4654-93f8-a38678ce3ac5;;111111118;Vodacom Life 20260324;;;;;DROP;5;2026-05-25</t>
  </si>
  <si>
    <t>13863119;01f0f77f-8766-4654-93f8-a38678ce3ac5;;111111118;Vodacom Life 20260324;;;;;DROP;5;2026-05-25 10:43:50+02;system;2026-03-24 09:54:08+02;2026-03-24 09:54:08+02;;;;;;;;;27733181141;;;;;;;;prepaid life;;;;;</t>
  </si>
  <si>
    <t>ID_1909</t>
  </si>
  <si>
    <t>13863038;dd8b6cb8-eaf1-4db8-8cce-6e589f211143;;111111118;Vodacom Life 20260324;;;;;NA;5;2026-05-22 1</t>
  </si>
  <si>
    <t>13863038;dd8b6cb8-eaf1-4db8-8cce-6e589f211143;;111111118;Vodacom Life 20260324;;;;;NA;5;2026-05-22 14:02:48+02;system;2026-03-24 09:54:08+02;2026-03-24 09:54:08+02;;;;;;;;;27607129749;;;;;;;;prepaid life;;;;;</t>
  </si>
  <si>
    <t>ID_1910</t>
  </si>
  <si>
    <t>13863039;aa97e716-c719-48c7-bbb2-52a18cc60569;;111111118;Vodacom Life 20260324;;;;;A;5;2026-05-25 09</t>
  </si>
  <si>
    <t>13863039;aa97e716-c719-48c7-bbb2-52a18cc60569;;111111118;Vodacom Life 20260324;;;;;A;5;2026-05-25 09:30:05+02;bongiwe lushaba;2026-03-24 09:54:08+02;2026-03-24 09:54:08+02;;;;;;;;;27607142959;;;;;;;;prepaid life;;;;;</t>
  </si>
  <si>
    <t>ID_1911</t>
  </si>
  <si>
    <t>13863040;2c5e6db2-e23c-445a-b283-431a8eb703c7;;111111118;Vodacom Life 20260324;;;;;AE;5;2026-05-22 1</t>
  </si>
  <si>
    <t>13863040;2c5e6db2-e23c-445a-b283-431a8eb703c7;;111111118;Vodacom Life 20260324;;;;;AE;5;2026-05-22 14:02:48+02;system;2026-03-24 09:54:08+02;2026-03-24 09:54:08+02;;;;;;;;;27607160521;;;;;;;;prepaid life;;;;;</t>
  </si>
  <si>
    <t>ID_1912</t>
  </si>
  <si>
    <t>13863120;bf04d740-7151-45c2-9cf7-b85ed82859c2;;111111118;Vodacom Life 20260324;;;;;AA;5;2026-05-25 1</t>
  </si>
  <si>
    <t>13863120;bf04d740-7151-45c2-9cf7-b85ed82859c2;;111111118;Vodacom Life 20260324;;;;;AA;5;2026-05-25 10:43:50+02;system;2026-03-24 09:54:08+02;2026-03-24 09:54:08+02;;;;;;;;;27733771502;;;;;;;;prepaid life;;;;;</t>
  </si>
  <si>
    <t>ID_1913</t>
  </si>
  <si>
    <t>13862966;6cf3cd22-9c76-41d8-9204-ecd10c4c5454;;111111118;Vodacom Life 20260324;;;;;DROP;5;2026-05-22</t>
  </si>
  <si>
    <t>13862966;6cf3cd22-9c76-41d8-9204-ecd10c4c5454;;111111118;Vodacom Life 20260324;;;;;DROP;5;2026-05-22 14:05:05+02;system;2026-03-24 09:54:08+02;2026-03-24 09:54:08+02;;;;;;;;;27729229430;;;;;;;;prepaid life;;;;;</t>
  </si>
  <si>
    <t>ID_1914</t>
  </si>
  <si>
    <t>13863041;fcbfc132-aac2-4fe1-b4e7-16e432177c79;;111111118;Vodacom Life 20260324;;;;;AA;5;2026-05-22 1</t>
  </si>
  <si>
    <t>13863041;fcbfc132-aac2-4fe1-b4e7-16e432177c79;;111111118;Vodacom Life 20260324;;;;;AA;5;2026-05-22 14:02:48+02;system;2026-03-24 09:54:08+02;2026-03-24 09:54:08+02;;;;;;;;;27607168557;;;;;;;;prepaid life;;;;;</t>
  </si>
  <si>
    <t>ID_1915</t>
  </si>
  <si>
    <t xml:space="preserve">13863121;e29e18cf-e4c4-41b0-b7a0-17a34d35aafe;;111111118;Vodacom Life 20260324;;;;;CCB;5;2026-05-25 </t>
  </si>
  <si>
    <t>13863121;e29e18cf-e4c4-41b0-b7a0-17a34d35aafe;;111111118;Vodacom Life 20260324;;;;;CCB;5;2026-05-25 10:43:50+02;Khensane Mabasa;2026-03-24 09:54:08+02;2026-03-24 09:54:08+02;;;;;;;;;27734662884;;;;;;;;prepaid life;;;;;</t>
  </si>
  <si>
    <t>ID_1916</t>
  </si>
  <si>
    <t>13863042;eee0ee13-2108-4c88-adb1-8c8333ef7db9;;111111118;Vodacom Life 20260324;;;;;AA;5;2026-05-22 1</t>
  </si>
  <si>
    <t>13863042;eee0ee13-2108-4c88-adb1-8c8333ef7db9;;111111118;Vodacom Life 20260324;;;;;AA;5;2026-05-22 14:02:48+02;system;2026-03-24 09:54:08+02;2026-03-24 09:54:08+02;;;;;;;;;27607652775;;;;;;;;prepaid life;;;;;</t>
  </si>
  <si>
    <t>ID_1917</t>
  </si>
  <si>
    <t>13862967;09917e41-f9ae-40c9-8462-8f56c969b775;;111111118;Vodacom Life 20260324;;;;;AA;5;2026-05-22 1</t>
  </si>
  <si>
    <t>13862967;09917e41-f9ae-40c9-8462-8f56c969b775;;111111118;Vodacom Life 20260324;;;;;AA;5;2026-05-22 14:20:09+02;system;2026-03-24 09:54:08+02;2026-03-24 09:54:08+02;;;;;;;;;27738047845;;;;;;;;prepaid life;;;;;</t>
  </si>
  <si>
    <t>ID_1918</t>
  </si>
  <si>
    <t>13863122;88de8797-04c0-4c58-a76c-2c74ba973b24;;111111118;Vodacom Life 20260324;;;;;AE;5;2026-05-25 1</t>
  </si>
  <si>
    <t>13863122;88de8797-04c0-4c58-a76c-2c74ba973b24;;111111118;Vodacom Life 20260324;;;;;AE;5;2026-05-25 10:43:57+02;system;2026-03-24 09:54:08+02;2026-03-24 09:54:08+02;;;;;;;;;27760396420;;;;;;;;prepaid life;;;;;</t>
  </si>
  <si>
    <t>ID_1919</t>
  </si>
  <si>
    <t>13862968;7fa1037c-248e-4214-ab6c-c809119587e1;;111111118;Vodacom Life 20260324;;;;;NA;5;2026-05-22 1</t>
  </si>
  <si>
    <t>13862968;7fa1037c-248e-4214-ab6c-c809119587e1;;111111118;Vodacom Life 20260324;;;;;NA;5;2026-05-22 14:20:23+02;system;2026-03-24 09:54:08+02;2026-03-24 09:54:08+02;;;;;;;;;27762773738;;;;;;;;prepaid life;;;;;</t>
  </si>
  <si>
    <t>ID_1920</t>
  </si>
  <si>
    <t>13862969;edca3856-a3ee-4aa7-873d-920a52bb05e7;;111111118;Vodacom Life 20260324;;;;;AA;5;2026-05-25 1</t>
  </si>
  <si>
    <t>13862969;edca3856-a3ee-4aa7-873d-920a52bb05e7;;111111118;Vodacom Life 20260324;;;;;AA;5;2026-05-25 12:33:56+02;system;2026-03-24 09:54:08+02;2026-03-24 09:54:08+02;;;;;;;;;27762818536;;;;;;;;prepaid life;;;;;</t>
  </si>
  <si>
    <t>ID_1921</t>
  </si>
  <si>
    <t>13863043;052003ca-5d33-46df-b036-49d85bd53e21;;111111118;Vodacom Life 20260324;;;;;AA;5;2026-05-22 1</t>
  </si>
  <si>
    <t>13863043;052003ca-5d33-46df-b036-49d85bd53e21;;111111118;Vodacom Life 20260324;;;;;AA;5;2026-05-22 14:03:02+02;system;2026-03-24 09:54:08+02;2026-03-24 09:54:08+02;;;;;;;;;27607756113;;;;;;;;prepaid life;;;;;</t>
  </si>
  <si>
    <t>ID_1922</t>
  </si>
  <si>
    <t>13863044;45aad25b-84d4-433c-bb89-bf02937709a0;;111111118;Vodacom Life 20260324;;;;;AA;5;2026-05-22 1</t>
  </si>
  <si>
    <t>13863044;45aad25b-84d4-433c-bb89-bf02937709a0;;111111118;Vodacom Life 20260324;;;;;AA;5;2026-05-22 14:03:15+02;system;2026-03-24 09:54:08+02;2026-03-24 09:54:08+02;;;;;;;;;27607944073;;;;;;;;prepaid life;;;;;</t>
  </si>
  <si>
    <t>ID_1923</t>
  </si>
  <si>
    <t>13863123;8972f5e5-c938-4145-9eb1-25a6d7eaac8b;;111111118;Vodacom Life 20260324;;;;;AA;5;2026-05-25 1</t>
  </si>
  <si>
    <t>13863123;8972f5e5-c938-4145-9eb1-25a6d7eaac8b;;111111118;Vodacom Life 20260324;;;;;AA;5;2026-05-25 10:44:15+02;system;2026-03-24 09:54:08+02;2026-03-24 09:54:08+02;;;;;;;;;27760567861;;;;;;;;prepaid life;;;;;</t>
  </si>
  <si>
    <t>ID_1924</t>
  </si>
  <si>
    <t>13863045;178eb8d4-cc68-473c-a7d4-e16520612a51;;111111118;Vodacom Life 20260324;;;;;CU;5;2026-05-20 1</t>
  </si>
  <si>
    <t>13863045;178eb8d4-cc68-473c-a7d4-e16520612a51;;111111118;Vodacom Life 20260324;;;;;CU;5;2026-05-20 11:08:08+02;bongiwe lushaba;2026-03-24 09:54:08+02;2026-03-24 09:54:08+02;;;;;;;;;27608151724;;;;;;;;prepaid life;;;;;</t>
  </si>
  <si>
    <t>ID_1925</t>
  </si>
  <si>
    <t>13862970;7ad396ef-5be8-481f-9f14-1a9b7e02f46b;;111111118;Vodacom Life 20260324;;;;;CU;5;2026-05-25 1</t>
  </si>
  <si>
    <t>13862970;7ad396ef-5be8-481f-9f14-1a9b7e02f46b;;111111118;Vodacom Life 20260324;;;;;CU;5;2026-05-25 12:33:56+02;bongiwe lushaba;2026-03-24 09:54:08+02;2026-03-24 09:54:08+02;;;;;;;;;27766005698;;;;;;;;prepaid life;;;;;</t>
  </si>
  <si>
    <t>ID_1926</t>
  </si>
  <si>
    <t>13863124;85058cf6-6bb7-4722-99d6-11a29f19d3fc;;111111118;Vodacom Life 20260324;;;;;AE;5;2026-05-25 1</t>
  </si>
  <si>
    <t>13863124;85058cf6-6bb7-4722-99d6-11a29f19d3fc;;111111118;Vodacom Life 20260324;;;;;AE;5;2026-05-25 10:44:17+02;system;2026-03-24 09:54:08+02;2026-03-24 09:54:08+02;;;;;;;;;27760667023;;;;;;;;prepaid life;;;;;</t>
  </si>
  <si>
    <t>ID_1927</t>
  </si>
  <si>
    <t>13862971;9a75ce99-5c28-4150-831a-9ff5480d3005;;111111118;Vodacom Life 20260324;;;;;NI;1;2026-03-26 1</t>
  </si>
  <si>
    <t>13862971;9a75ce99-5c28-4150-831a-9ff5480d3005;;111111118;Vodacom Life 20260324;;;;;NI;1;2026-03-26 11:34:42+02;Musiiwa Mary Mabirimisa;2026-03-24 09:54:08+02;2026-03-24 09:54:08+02;;;;;;;;;27766455249;;;;;;;;prepaid life;;;;;</t>
  </si>
  <si>
    <t>ID_1928</t>
  </si>
  <si>
    <t>13862972;5d7bf2a3-8b7e-456c-bee5-aa222b1416e9;;111111118;Vodacom Life 20260324;;;;;NI;3;2026-04-15 1</t>
  </si>
  <si>
    <t>13862972;5d7bf2a3-8b7e-456c-bee5-aa222b1416e9;;111111118;Vodacom Life 20260324;;;;;NI;3;2026-04-15 11:42:18+02;Thandile Nokubeni;2026-03-24 09:54:08+02;2026-03-24 09:54:08+02;;;;;;;;;27766870297;;;;;;;;prepaid life;;;;;</t>
  </si>
  <si>
    <t>ID_1929</t>
  </si>
  <si>
    <t>13863125;4d6efa75-d5d9-4f39-bf5e-607435f2c5d2;;111111118;Vodacom Life 20260324;;;;;AA;5;2026-05-25 1</t>
  </si>
  <si>
    <t>13863125;4d6efa75-d5d9-4f39-bf5e-607435f2c5d2;;111111118;Vodacom Life 20260324;;;;;AA;5;2026-05-25 11:54:48+02;system;2026-03-24 09:54:08+02;2026-03-24 09:54:08+02;;;;;;;;;27761498896;;;;;;;;prepaid life;;;;;</t>
  </si>
  <si>
    <t>ID_1930</t>
  </si>
  <si>
    <t xml:space="preserve">13862973;276c5943-e5d0-46ba-8e1a-5d64c32b374a;;111111118;Vodacom Life 20260324;;;;;ADC;5;2026-05-25 </t>
  </si>
  <si>
    <t>13862973;276c5943-e5d0-46ba-8e1a-5d64c32b374a;;111111118;Vodacom Life 20260324;;;;;ADC;5;2026-05-25 12:21:20+02;system;2026-03-24 09:54:08+02;2026-03-24 09:54:08+02;;;;;;;;;27767483782;;;;;;;;prepaid life;;;;;</t>
  </si>
  <si>
    <t>ID_1931</t>
  </si>
  <si>
    <t>13863046;21335efb-c043-4936-bfe8-01855a252f2c;;111111118;Vodacom Life 20260324;;;;;AA;5;2026-05-22 1</t>
  </si>
  <si>
    <t>13863046;21335efb-c043-4936-bfe8-01855a252f2c;;111111118;Vodacom Life 20260324;;;;;AA;5;2026-05-22 14:03:20+02;system;2026-03-24 09:54:08+02;2026-03-24 09:54:08+02;;;;;;;;;27608970944;;;;;;;;prepaid life;;;;;</t>
  </si>
  <si>
    <t>ID_1932</t>
  </si>
  <si>
    <t>13863126;677f8dfc-82c3-4e79-af08-59fea2705582;;111111118;Vodacom Life 20260324;;;;;CBACK;5;2026-05-2</t>
  </si>
  <si>
    <t>13863126;677f8dfc-82c3-4e79-af08-59fea2705582;;111111118;Vodacom Life 20260324;;;;;CBACK;5;2026-05-25 14:32:55+02;bongiwe lushaba;2026-03-24 09:54:08+02;2026-03-24 09:54:08+02;;;;;;;;;27761599217;;;;;;;;prepaid life;;;;;</t>
  </si>
  <si>
    <t>ID_1933</t>
  </si>
  <si>
    <t>13863047;19bda7e3-3d43-4c6b-a37b-12f8e6609ddc;;111111118;Vodacom Life 20260324;;;;;AF;3;2026-04-15 1</t>
  </si>
  <si>
    <t>13863047;19bda7e3-3d43-4c6b-a37b-12f8e6609ddc;;111111118;Vodacom Life 20260324;;;;;AF;3;2026-04-15 12:08:13+02;Millicent Motsuku;2026-03-24 09:54:08+02;2026-03-24 09:54:08+02;;;;;;;;;27609234723;;;;;;;;prepaid life;;;;;</t>
  </si>
  <si>
    <t>ID_1934</t>
  </si>
  <si>
    <t>13862974;5b910760-1be8-4ed1-a5ae-50377af38228;;111111118;Vodacom Life 20260324;;;;;AE;5;2026-05-25 1</t>
  </si>
  <si>
    <t>13862974;5b910760-1be8-4ed1-a5ae-50377af38228;;111111118;Vodacom Life 20260324;;;;;AE;5;2026-05-25 12:33:56+02;system;2026-03-24 09:54:08+02;2026-03-24 09:54:08+02;;;;;;;;;27772503250;;;;;;;;prepaid life;;;;;</t>
  </si>
  <si>
    <t>ID_1935</t>
  </si>
  <si>
    <t>13863127;ea03e05b-4b8f-465c-bd25-c419d2f39894;;111111118;Vodacom Life 20260324;;;;;A;6;2026-05-25 16</t>
  </si>
  <si>
    <t>13863127;ea03e05b-4b8f-465c-bd25-c419d2f39894;;111111118;Vodacom Life 20260324;;;;;A;6;2026-05-25 16:20:10+02;Maureen Ntsoko;2026-03-24 09:54:08+02;2026-03-24 09:54:08+02;;;;;;;;;27762832879;;;;;;;;prepaid life;;;;;</t>
  </si>
  <si>
    <t>ID_1936</t>
  </si>
  <si>
    <t>13862975;70d53d7c-576d-42dc-8336-e582ece85e50;;111111118;Vodacom Life 20260324;;;27772800020;;AA;5;2</t>
  </si>
  <si>
    <t>13862975;70d53d7c-576d-42dc-8336-e582ece85e50;;111111118;Vodacom Life 20260324;;;27772800020;;AA;5;2026-05-25 14:34:48+02;system;2026-03-24 09:54:08+02;2026-03-24 09:54:08+02;;;;;;;;;27772800020;;;;;;;;prepaid life;;;;;</t>
  </si>
  <si>
    <t>ID_1937</t>
  </si>
  <si>
    <t>13863048;6da058d1-0913-4c08-b7ef-ef61f00c98e6;;111111118;Vodacom Life 20260324;;;;;AE;5;2026-05-22 1</t>
  </si>
  <si>
    <t>13863048;6da058d1-0913-4c08-b7ef-ef61f00c98e6;;111111118;Vodacom Life 20260324;;;;;AE;5;2026-05-22 14:04:02+02;system;2026-03-24 09:54:08+02;2026-03-24 09:54:08+02;;;;;;;;;27626593430;;;;;;;;prepaid life;;;;;</t>
  </si>
  <si>
    <t>ID_1938</t>
  </si>
  <si>
    <t>13863128;97be6668-e797-4832-b80a-75d357100470;;111111118;Vodacom Life 20260324;;;;;NA;5;2026-05-25 1</t>
  </si>
  <si>
    <t>13863128;97be6668-e797-4832-b80a-75d357100470;;111111118;Vodacom Life 20260324;;;;;NA;5;2026-05-25 14:12:19+02;system;2026-03-24 09:54:08+02;2026-03-24 09:54:08+02;;;;;;;;;27763212367;;;;;;;;prepaid life;;;;;</t>
  </si>
  <si>
    <t>ID_1939</t>
  </si>
  <si>
    <t>13862976;7e5f3a1c-931b-4b91-bbf4-41994f4fc3bc;;111111118;Vodacom Life 20260324;;;;;AA;5;2026-05-25 1</t>
  </si>
  <si>
    <t>13862976;7e5f3a1c-931b-4b91-bbf4-41994f4fc3bc;;111111118;Vodacom Life 20260324;;;;;AA;5;2026-05-25 14:34:55+02;system;2026-03-24 09:54:08+02;2026-03-24 09:54:08+02;;;;;;;;;27774140050;;;;;;;;prepaid life;;;;;</t>
  </si>
  <si>
    <t>ID_1940</t>
  </si>
  <si>
    <t>13863129;dd44d5bb-bb70-4b1e-9a82-9644bf93f29b;;111111118;Vodacom Life 20260324;;;;;RP;9;2026-05-25 1</t>
  </si>
  <si>
    <t>13863129;dd44d5bb-bb70-4b1e-9a82-9644bf93f29b;;111111118;Vodacom Life 20260324;;;;;RP;9;2026-05-25 14:10:22+02;Maureen Ntsoko;2026-03-24 09:54:08+02;2026-03-24 09:54:08+02;;;;;;;;;27763221287;;;;;;;;prepaid life;;;;;</t>
  </si>
  <si>
    <t>ID_1941</t>
  </si>
  <si>
    <t>13862977;386f71a7-001c-4432-8d52-6b7eb8244465;;111111118;Vodacom Life 20260324;;;;;AA;5;2026-05-25 1</t>
  </si>
  <si>
    <t>13862977;386f71a7-001c-4432-8d52-6b7eb8244465;;111111118;Vodacom Life 20260324;;;;;AA;5;2026-05-25 14:34:56+02;system;2026-03-24 09:54:08+02;2026-03-24 09:54:08+02;;;;;;;;;27790160131;;;;;;;;prepaid life;;;;;</t>
  </si>
  <si>
    <t>ID_1942</t>
  </si>
  <si>
    <t>13863049;e39a9c01-627b-44cc-ad6d-915dcf0b8922;;111111118;Vodacom Life 20260324;;;;;AA;5;2026-05-22 1</t>
  </si>
  <si>
    <t>13863049;e39a9c01-627b-44cc-ad6d-915dcf0b8922;;111111118;Vodacom Life 20260324;;;;;AA;5;2026-05-22 14:04:43+02;system;2026-03-24 09:54:08+02;2026-03-24 09:54:08+02;;;;;;;;;27636967311;;;;;;;;prepaid life;;;;;</t>
  </si>
  <si>
    <t>ID_1943</t>
  </si>
  <si>
    <t>13863130;f0f4739a-a6e9-4c7c-a562-7eaf4ed1ce43;;111111118;Vodacom Life 20260324;;;;;AA;5;2026-05-25 1</t>
  </si>
  <si>
    <t>13863130;f0f4739a-a6e9-4c7c-a562-7eaf4ed1ce43;;111111118;Vodacom Life 20260324;;;;;AA;5;2026-05-25 11:34:11+02;system;2026-03-24 09:54:08+02;2026-03-24 09:54:08+02;;;;;;;;;27763453377;;;;;;;;prepaid life;;;;;</t>
  </si>
  <si>
    <t>ID_1944</t>
  </si>
  <si>
    <t>13863050;6f243177-6f23-42ea-a58f-eb76c58f8948;;111111118;Vodacom Life 20260324;;;27637217088;;AA;5;2</t>
  </si>
  <si>
    <t>13863050;6f243177-6f23-42ea-a58f-eb76c58f8948;;111111118;Vodacom Life 20260324;;;27637217088;;AA;5;2026-05-22 14:04:51+02;system;2026-03-24 09:54:08+02;2026-03-24 09:54:08+02;;;;;;;;;27637217088;;;;;;;;prepaid life;;;;;</t>
  </si>
  <si>
    <t>ID_1945</t>
  </si>
  <si>
    <t>13862978;03d8a316-b7dd-4772-a079-2b7ab555c35c;;111111118;Vodacom Life 20260324;;;;;NIUP;3;2026-04-15</t>
  </si>
  <si>
    <t>13862978;03d8a316-b7dd-4772-a079-2b7ab555c35c;;111111118;Vodacom Life 20260324;;;;;NIUP;3;2026-04-15 11:42:23+02;Seboifeng Mogola;2026-03-24 09:54:08+02;2026-03-24 09:54:08+02;;;;;;;;;27790659072;;;;;;;;prepaid life;;;;;</t>
  </si>
  <si>
    <t>ID_1946</t>
  </si>
  <si>
    <t>13863131;3c13f0e0-589f-4ce6-a9ea-31a26cfa3a9b;;111111118;Vodacom Life 20260324;;;;;AA;5;2026-05-23 0</t>
  </si>
  <si>
    <t>13863131;3c13f0e0-589f-4ce6-a9ea-31a26cfa3a9b;;111111118;Vodacom Life 20260324;;;;;AA;5;2026-05-23 09:09:35+02;system;2026-03-24 09:54:08+02;2026-03-24 09:54:08+02;;;;;;;;;27764085905;;;;;;;;prepaid life;;;;;</t>
  </si>
  <si>
    <t>ID_1947</t>
  </si>
  <si>
    <t>13863051;4539dd97-4c89-4a8d-9f2d-7ece9de92a63;;111111118;Vodacom Life 20260324;;;;;AA;5;2026-05-22 1</t>
  </si>
  <si>
    <t>13863051;4539dd97-4c89-4a8d-9f2d-7ece9de92a63;;111111118;Vodacom Life 20260324;;;;;AA;5;2026-05-22 14:05:05+02;system;2026-03-24 09:54:08+02;2026-03-24 09:54:08+02;;;;;;;;;27637517389;;;;;;;;prepaid life;;;;;</t>
  </si>
  <si>
    <t>ID_1948</t>
  </si>
  <si>
    <t>13863132;6bddd656-bf45-4a88-be39-5b88c1031121;;111111118;Vodacom Life 20260324;;;;;AE;5;2026-05-25 1</t>
  </si>
  <si>
    <t>13863132;6bddd656-bf45-4a88-be39-5b88c1031121;;111111118;Vodacom Life 20260324;;;;;AE;5;2026-05-25 14:35:38+02;system;2026-03-24 09:54:08+02;2026-03-24 09:54:08+02;;;;;;;;;27764380826;;;;;;;;prepaid life;;;;;</t>
  </si>
  <si>
    <t>ID_1949</t>
  </si>
  <si>
    <t>13863052;6633a160-941f-4631-9df1-d3893d825530;;111111118;Vodacom Life 20260324;;;;;A;5;2026-05-22 14</t>
  </si>
  <si>
    <t>13863052;6633a160-941f-4631-9df1-d3893d825530;;111111118;Vodacom Life 20260324;;;;;A;5;2026-05-22 14:05:05+02;bongiwe lushaba;2026-03-24 09:54:08+02;2026-03-24 09:54:08+02;;;;;;;;;27637931549;;;;;;;;prepaid life;;;;;</t>
  </si>
  <si>
    <t>ID_1950</t>
  </si>
  <si>
    <t xml:space="preserve">13862979;aac2266f-8ad4-411a-9a5b-9f7bc8728951;;111111118;Vodacom Life 20260324;;;;;BLQ;5;2026-05-25 </t>
  </si>
  <si>
    <t>13862979;aac2266f-8ad4-411a-9a5b-9f7bc8728951;;111111118;Vodacom Life 20260324;;;;;BLQ;5;2026-05-25 09:17:15+02;Khensane Mabasa;2026-03-24 09:54:08+02;2026-03-24 09:54:08+02;;;;;;;;;27791092446;;;;;;;;prepaid life;;;;;</t>
  </si>
  <si>
    <t>ID_1951</t>
  </si>
  <si>
    <t>13862980;6e8b3887-35de-4668-8095-e74d664bfe3b;;111111118;Vodacom Life 20260324;;;;;AA;5;2026-05-25 1</t>
  </si>
  <si>
    <t>13862980;6e8b3887-35de-4668-8095-e74d664bfe3b;;111111118;Vodacom Life 20260324;;;;;AA;5;2026-05-25 12:00:53+02;system;2026-03-24 09:54:08+02;2026-03-24 09:54:08+02;;;;;;;;;27792487683;;;;;;;;prepaid life;;;;;</t>
  </si>
  <si>
    <t>ID_1952</t>
  </si>
  <si>
    <t>13863133;8cf622cd-d819-4dc2-b435-0a6777e2e956;;111111118;Vodacom Life 20260324;;;;;AA;5;2026-05-23 0</t>
  </si>
  <si>
    <t>13863133;8cf622cd-d819-4dc2-b435-0a6777e2e956;;111111118;Vodacom Life 20260324;;;;;AA;5;2026-05-23 09:09:35+02;system;2026-03-24 09:54:08+02;2026-03-24 09:54:08+02;;;;;;;;;27764434982;;;;;;;;prepaid life;;;;;</t>
  </si>
  <si>
    <t>ID_1953</t>
  </si>
  <si>
    <t>13862981;7f539b12-c001-42d0-ae97-bed9a0873962;;111111118;Vodacom Life 20260324;;;27793228963;;DROP;5</t>
  </si>
  <si>
    <t>13862981;7f539b12-c001-42d0-ae97-bed9a0873962;;111111118;Vodacom Life 20260324;;;27793228963;;DROP;5;2026-05-25 09:17:21+02;system;2026-03-24 09:54:08+02;2026-03-24 09:54:08+02;;;;;;;;;27793228963;;;;;;;;prepaid life;;;;;</t>
  </si>
  <si>
    <t>ID_1954</t>
  </si>
  <si>
    <t>13863053;b67c4b52-ccfe-40ee-8394-7fc906e412da;;111111118;Vodacom Life 20260324;;;;;CU;5;2026-05-22 1</t>
  </si>
  <si>
    <t>13863053;b67c4b52-ccfe-40ee-8394-7fc906e412da;;111111118;Vodacom Life 20260324;;;;;CU;5;2026-05-22 14:20:05+02;bongiwe lushaba;2026-03-24 09:54:08+02;2026-03-24 09:54:08+02;;;;;;;;;27647253666;;;;;;;;prepaid life;;;;;</t>
  </si>
  <si>
    <t>ID_1955</t>
  </si>
  <si>
    <t>13863134;1dbde29d-01fe-4b5b-9cfe-10d7667732d2;;111111118;Vodacom Life 20260324;;;;;NI;4;2026-05-20 1</t>
  </si>
  <si>
    <t>13863134;1dbde29d-01fe-4b5b-9cfe-10d7667732d2;;111111118;Vodacom Life 20260324;;;;;NI;4;2026-05-20 11:15:10+02;Maureen Ntsoko;2026-03-24 09:54:08+02;2026-03-24 09:54:08+02;;;;;;;;;27764767279;;;;;;;;prepaid life;;;;;</t>
  </si>
  <si>
    <t>ID_1956</t>
  </si>
  <si>
    <t>13863176;db04ebf6-e07d-4553-934e-ea93dfd45d62;;111111118;Vodacom Life 20260324;;;;;AA;5;2026-05-23 0</t>
  </si>
  <si>
    <t>13863176;db04ebf6-e07d-4553-934e-ea93dfd45d62;;111111118;Vodacom Life 20260324;;;;;AA;5;2026-05-23 09:15:10+02;system;2026-03-24 09:54:08+02;2026-03-24 09:54:08+02;;;;;;;;;27793987857;;;;;;;;prepaid life;;;;;</t>
  </si>
  <si>
    <t>ID_1957</t>
  </si>
  <si>
    <t>13863135;30de801c-0e00-4e98-8c87-6cf50dbe5af2;;111111118;Vodacom Life 20260324;;;;;NI;3;2026-04-15 1</t>
  </si>
  <si>
    <t>13863135;30de801c-0e00-4e98-8c87-6cf50dbe5af2;;111111118;Vodacom Life 20260324;;;;;NI;3;2026-04-15 11:43:40+02;Esther Ramalete;2026-03-24 09:54:08+02;2026-03-24 09:54:08+02;;;;;;;;;27765043729;;;;;;;;prepaid life;;;;;</t>
  </si>
  <si>
    <t>ID_1958</t>
  </si>
  <si>
    <t>13863177;0cb6f7f5-f5bb-4c67-9b29-a63486b2dc05;;111111118;Vodacom Life 20260324;;;;;NIUP;3;2026-04-15</t>
  </si>
  <si>
    <t>13863177;0cb6f7f5-f5bb-4c67-9b29-a63486b2dc05;;111111118;Vodacom Life 20260324;;;;;NIUP;3;2026-04-15 11:20:59+02;Millicent Motsuku;2026-03-24 09:54:08+02;2026-03-24 09:54:08+02;;;;;;;;;27794081036;;;;;;;;prepaid life;;;;;</t>
  </si>
  <si>
    <t>ID_1959</t>
  </si>
  <si>
    <t>13863055;a041a994-c80a-43f6-acec-62a1a8a0bdf3;;111111118;Vodacom Life 20260324;;;;;CBACK;4;2026-05-1</t>
  </si>
  <si>
    <t>13863055;a041a994-c80a-43f6-acec-62a1a8a0bdf3;;111111118;Vodacom Life 20260324;;;;;CBACK;4;2026-05-19 16:41:08+02;bongiwe lushaba;2026-03-24 09:54:08+02;2026-03-24 09:54:08+02;;;;;;;;;27649660225;;;;;;;;prepaid life;;;;;</t>
  </si>
  <si>
    <t>ID_1960</t>
  </si>
  <si>
    <t xml:space="preserve">13863056;28369226-6baf-4e02-846f-422e41152937;;111111118;Vodacom Life 20260324;;;;;ADC;5;2026-05-25 </t>
  </si>
  <si>
    <t>13863056;28369226-6baf-4e02-846f-422e41152937;;111111118;Vodacom Life 20260324;;;;;ADC;5;2026-05-25 14:29:59+02;system;2026-03-24 09:54:08+02;2026-03-24 09:54:08+02;;;;;;;;;27649791470;;;;;;;;prepaid life;;;;;</t>
  </si>
  <si>
    <t>ID_1961</t>
  </si>
  <si>
    <t>13863136;b1a09b61-fcc8-419f-9394-cb9af56b807d;;111111118;Vodacom Life 20260324;;;;;AA;5;2026-05-23 0</t>
  </si>
  <si>
    <t>13863136;b1a09b61-fcc8-419f-9394-cb9af56b807d;;111111118;Vodacom Life 20260324;;;;;AA;5;2026-05-23 09:09:46+02;system;2026-03-24 09:54:08+02;2026-03-24 09:54:08+02;;;;;;;;;27765115948;;;;;;;;prepaid life;;;;;</t>
  </si>
  <si>
    <t>ID_1962</t>
  </si>
  <si>
    <t>13863057;9588a07c-49df-41ca-88cb-1f923d793931;;111111118;Vodacom Life 20260324;;;;;DROP;5;2026-05-25</t>
  </si>
  <si>
    <t>13863057;9588a07c-49df-41ca-88cb-1f923d793931;;111111118;Vodacom Life 20260324;;;;;DROP;5;2026-05-25 14:30:04+02;system;2026-03-24 09:54:08+02;2026-03-24 09:54:08+02;;;;;;;;;27649961971;;;;;;;;prepaid life;;;;;</t>
  </si>
  <si>
    <t>ID_1963</t>
  </si>
  <si>
    <t>13863178;953dfce9-9fc5-4097-a892-d1c80dfd7fc2;;111111118;Vodacom Life 20260324;;;;;U;3;2026-04-15 12</t>
  </si>
  <si>
    <t>13863178;953dfce9-9fc5-4097-a892-d1c80dfd7fc2;;111111118;Vodacom Life 20260324;;;;;U;3;2026-04-15 12:17:10+02;Seboifeng Mogola;2026-03-24 09:54:08+02;2026-03-24 09:54:08+02;;;;;;;;;27794823644;;;;;;;;prepaid life;;;;;</t>
  </si>
  <si>
    <t>ID_1964</t>
  </si>
  <si>
    <t>13863137;5c489e48-e529-46a7-aca9-a0c354e7affc;;111111118;Vodacom Life 20260324;;;;;AA;5;2026-05-23 0</t>
  </si>
  <si>
    <t>13863137;5c489e48-e529-46a7-aca9-a0c354e7affc;;111111118;Vodacom Life 20260324;;;;;AA;5;2026-05-23 09:09:49+02;system;2026-03-24 09:54:08+02;2026-03-24 09:54:08+02;;;;;;;;;27765362842;;;;;;;;prepaid life;;;;;</t>
  </si>
  <si>
    <t>ID_1965</t>
  </si>
  <si>
    <t>13863179;fb585b18-e751-47a9-b762-058e75d09b2d;;111111118;Vodacom Life 20260324;;;;;AE;5;2026-05-23 0</t>
  </si>
  <si>
    <t>13863179;fb585b18-e751-47a9-b762-058e75d09b2d;;111111118;Vodacom Life 20260324;;;;;AE;5;2026-05-23 09:19:05+02;system;2026-03-24 09:54:08+02;2026-03-24 09:54:08+02;;;;;;;;;27795403119;;;;;;;;prepaid life;;;;;</t>
  </si>
  <si>
    <t>ID_1966</t>
  </si>
  <si>
    <t>13863058;8753943c-6b49-4f84-96c8-f46018fb4385;;111111118;Vodacom Life 20260324;;;;;AA;5;2026-05-25 1</t>
  </si>
  <si>
    <t>13863058;8753943c-6b49-4f84-96c8-f46018fb4385;;111111118;Vodacom Life 20260324;;;;;AA;5;2026-05-25 14:30:29+02;system;2026-03-24 09:54:08+02;2026-03-24 09:54:08+02;;;;;;;;;27649988248;;;;;;;;prepaid life;;;;;</t>
  </si>
  <si>
    <t>ID_1967</t>
  </si>
  <si>
    <t>13863138;2faaed9e-1c1b-44cb-a5c7-54c388aaf5e6;;111111118;Vodacom Life 20260324;;;;;AA;5;2026-05-23 0</t>
  </si>
  <si>
    <t>13863138;2faaed9e-1c1b-44cb-a5c7-54c388aaf5e6;;111111118;Vodacom Life 20260324;;;;;AA;5;2026-05-23 09:09:57+02;system;2026-03-24 09:54:08+02;2026-03-24 09:54:08+02;;;;;;;;;27765666248;;;;;;;;prepaid life;;;;;</t>
  </si>
  <si>
    <t>ID_1968</t>
  </si>
  <si>
    <t>13863059;ea53088a-a23e-443c-9e5d-5bd8106daf25;;111111118;Vodacom Life 20260324;;;27660364188;;CU;5;2</t>
  </si>
  <si>
    <t>13863059;ea53088a-a23e-443c-9e5d-5bd8106daf25;;111111118;Vodacom Life 20260324;;;27660364188;;CU;5;2026-05-25 14:08:59+02;bongiwe lushaba;2026-03-24 09:54:08+02;2026-03-24 09:54:08+02;;;;;;;;;27660364188;;;;;;;;prepaid life;;;;;</t>
  </si>
  <si>
    <t>ID_1969</t>
  </si>
  <si>
    <t>13863180;076d67e9-3bba-42cc-bdcb-ddf9cd3dec55;;111111118;Vodacom Life 20260324;;;27795509591;;CU;5;2</t>
  </si>
  <si>
    <t>13863180;076d67e9-3bba-42cc-bdcb-ddf9cd3dec55;;111111118;Vodacom Life 20260324;;;27795509591;;CU;5;2026-05-23 09:13:47+02;Maureen Ntsoko;2026-03-24 09:54:08+02;2026-03-24 09:54:08+02;;;;;;;;;27795509591;;;;;;;;prepaid life;;;;;</t>
  </si>
  <si>
    <t>ID_1970</t>
  </si>
  <si>
    <t>13863139;bb8da8ee-fca1-4211-89f9-dc1a54696b77;;111111118;Vodacom Life 20260324;;;;;AE;5;2026-05-23 0</t>
  </si>
  <si>
    <t>13863139;bb8da8ee-fca1-4211-89f9-dc1a54696b77;;111111118;Vodacom Life 20260324;;;;;AE;5;2026-05-23 09:15:10+02;system;2026-03-24 09:54:08+02;2026-03-24 09:54:08+02;;;;;;;;;27766050291;;;;;;;;prepaid life;;;;;</t>
  </si>
  <si>
    <t>ID_1971</t>
  </si>
  <si>
    <t>13863181;0bec2619-a16f-4bfc-91a1-f701f4250e7d;;111111118;Vodacom Life 20260324;;;;;AA;5;2026-05-25 0</t>
  </si>
  <si>
    <t>13863181;0bec2619-a16f-4bfc-91a1-f701f4250e7d;;111111118;Vodacom Life 20260324;;;;;AA;5;2026-05-25 08:42:14+02;system;2026-03-24 09:54:08+02;2026-03-24 09:54:08+02;;;;;;;;;27796521788;;;;;;;;prepaid life;;;;;</t>
  </si>
  <si>
    <t>ID_1972</t>
  </si>
  <si>
    <t>13863060;5d8606bb-3bfc-428f-8528-44a8c738549b;;111111118;Vodacom Life 20260324;;;;;AA;5;2026-05-23 1</t>
  </si>
  <si>
    <t>13863060;5d8606bb-3bfc-428f-8528-44a8c738549b;;111111118;Vodacom Life 20260324;;;;;AA;5;2026-05-23 10:56:17+02;system;2026-03-24 09:54:08+02;2026-03-24 09:54:08+02;;;;;;;;;27660836692;;;;;;;;prepaid life;;;;;</t>
  </si>
  <si>
    <t>ID_1973</t>
  </si>
  <si>
    <t>13863140;b5f89f76-f222-475d-8fe3-8cc2cfd5d0cf;;111111118;Vodacom Life 20260324;;;;;AA;5;2026-05-23 0</t>
  </si>
  <si>
    <t>13863140;b5f89f76-f222-475d-8fe3-8cc2cfd5d0cf;;111111118;Vodacom Life 20260324;;;;;AA;5;2026-05-23 09:19:00+02;system;2026-03-24 09:54:08+02;2026-03-24 09:54:08+02;;;;;;;;;27766311860;;;;;;;;prepaid life;;;;;</t>
  </si>
  <si>
    <t>ID_1974</t>
  </si>
  <si>
    <t>13863061;d9f54ee0-c50d-4fb2-b392-c279bc30b780;;111111118;Vodacom Life 20260324;;;;;AE;5;2026-05-25 1</t>
  </si>
  <si>
    <t>13863061;d9f54ee0-c50d-4fb2-b392-c279bc30b780;;111111118;Vodacom Life 20260324;;;;;AE;5;2026-05-25 14:30:40+02;system;2026-03-24 09:54:08+02;2026-03-24 09:54:08+02;;;;;;;;;27664532825;;;;;;;;prepaid life;;;;;</t>
  </si>
  <si>
    <t>ID_1975</t>
  </si>
  <si>
    <t>13863182;4d597974-69da-4260-9151-6e3afc9ee87e;;111111118;Vodacom Life 20260324;;;;;CBACK;3;2026-04-0</t>
  </si>
  <si>
    <t>13863182;4d597974-69da-4260-9151-6e3afc9ee87e;;111111118;Vodacom Life 20260324;;;;;CBACK;3;2026-04-09 12:39:14+02;Maureen Ntsoko;2026-03-24 09:54:08+02;2026-03-24 09:54:08+02;;;;;;;;;27796877374;;;;;;;;prepaid life;;;;;</t>
  </si>
  <si>
    <t>ID_1976</t>
  </si>
  <si>
    <t>13863141;4a7264c1-a362-4a4f-b98d-49e78120f489;;111111118;Vodacom Life 20260324;;;;;AA;5;2026-05-23 0</t>
  </si>
  <si>
    <t>13863141;4a7264c1-a362-4a4f-b98d-49e78120f489;;111111118;Vodacom Life 20260324;;;;;AA;5;2026-05-23 09:24:07+02;system;2026-03-24 09:54:08+02;2026-03-24 09:54:08+02;;;;;;;;;27766422088;;;;;;;;prepaid life;;;;;</t>
  </si>
  <si>
    <t>ID_1977</t>
  </si>
  <si>
    <t>13863142;ac2a5722-0374-46f0-9306-71b93d25fbd4;;111111118;Vodacom Life 20260324;;;;;NA;5;2026-05-25 1</t>
  </si>
  <si>
    <t>13863142;ac2a5722-0374-46f0-9306-71b93d25fbd4;;111111118;Vodacom Life 20260324;;;;;NA;5;2026-05-25 13:00:34+02;system;2026-03-24 09:54:08+02;2026-03-24 09:54:08+02;;;;;;;;;27766540297;;;;;;;;prepaid life;;;;;</t>
  </si>
  <si>
    <t>ID_1978</t>
  </si>
  <si>
    <t>13863183;948dcacf-872c-43a5-bd0b-ab40c8f05766;;111111118;Vodacom Life 20260324;;;;;AA;5;2026-05-23 0</t>
  </si>
  <si>
    <t>13863183;948dcacf-872c-43a5-bd0b-ab40c8f05766;;111111118;Vodacom Life 20260324;;;;;AA;5;2026-05-23 09:13:47+02;system;2026-03-24 09:54:08+02;2026-03-24 09:54:08+02;;;;;;;;;27797042241;;;;;;;;prepaid life;;;;;</t>
  </si>
  <si>
    <t>ID_1979</t>
  </si>
  <si>
    <t>13863063;cf223a0b-5bbf-4ab6-97c2-41ffe867c2b7;;111111118;Vodacom Life 20260324;;;;;AA;5;2026-05-25 0</t>
  </si>
  <si>
    <t>13863063;cf223a0b-5bbf-4ab6-97c2-41ffe867c2b7;;111111118;Vodacom Life 20260324;;;;;AA;5;2026-05-25 09:21:11+02;system;2026-03-24 09:54:08+02;2026-03-24 09:54:08+02;;;;;;;;;27665382222;;;;;;;;prepaid life;;;;;</t>
  </si>
  <si>
    <t>ID_1980</t>
  </si>
  <si>
    <t>13863143;dc638620-5997-473d-93cf-3482b8d48e96;;111111118;Vodacom Life 20260324;;;;;NA;5;2026-05-23 0</t>
  </si>
  <si>
    <t>13863143;dc638620-5997-473d-93cf-3482b8d48e96;;111111118;Vodacom Life 20260324;;;;;NA;5;2026-05-23 09:11:40+02;system;2026-03-24 09:54:08+02;2026-03-24 09:54:08+02;;;;;;;;;27766883005;;;;;;;;prepaid life;;;;;</t>
  </si>
  <si>
    <t>ID_1981</t>
  </si>
  <si>
    <t>13863064;3e7bfe3e-5a98-4951-9196-f4840c8aa259;;111111118;Vodacom Life 20260324;;;27665747729;;AFTHRS</t>
  </si>
  <si>
    <t>13863064;3e7bfe3e-5a98-4951-9196-f4840c8aa259;;111111118;Vodacom Life 20260324;;;27665747729;;AFTHRS;5;2026-05-26 23:28:03+02;system;2026-03-24 09:54:08+02;2026-03-24 09:54:08+02;;;;;;;;;27665747729;;;;;;;;prepaid life;;;;;</t>
  </si>
  <si>
    <t>ID_1982</t>
  </si>
  <si>
    <t>13863184;44595801-98f0-4444-8bde-493f0106470e;;111111118;Vodacom Life 20260324;;;;;SELECTED;5;2026-0</t>
  </si>
  <si>
    <t>13863184;44595801-98f0-4444-8bde-493f0106470e;;111111118;Vodacom Life 20260324;;;;;SELECTED;5;2026-04-13 15:07:19+02;Musiiwa Mary Mabirimisa;2026-03-24 09:54:08+02;2026-03-24 09:54:08+02;;;;;;;;;27797048381;;;;;;;;prepaid life;;;;;</t>
  </si>
  <si>
    <t>ID_1983</t>
  </si>
  <si>
    <t>13863144;afef07bd-2c90-4a19-ba5e-e3a5c93ad27d;;111111118;Vodacom Life 20260324;;;;;N;10;2026-04-17 1</t>
  </si>
  <si>
    <t>13863144;afef07bd-2c90-4a19-ba5e-e3a5c93ad27d;;111111118;Vodacom Life 20260324;;;;;N;10;2026-04-17 13:53:14+02;Thandile Nokubeni;2026-03-24 09:54:08+02;2026-03-24 09:54:08+02;;;;;;;;;27767703071;;;;;;;;prepaid life;;;;;</t>
  </si>
  <si>
    <t>ID_1984</t>
  </si>
  <si>
    <t xml:space="preserve">13863185;0b7238d8-fcae-4e94-90bb-c3c1972ecf1d;;111111118;Vodacom Life 20260324;;;;;ADC;5;2026-05-23 </t>
  </si>
  <si>
    <t>13863185;0b7238d8-fcae-4e94-90bb-c3c1972ecf1d;;111111118;Vodacom Life 20260324;;;;;ADC;5;2026-05-23 09:13:52+02;system;2026-03-24 09:54:08+02;2026-03-24 09:54:08+02;;;;;;;;;27797104684;;;;;;;;prepaid life;;;;;</t>
  </si>
  <si>
    <t>ID_1985</t>
  </si>
  <si>
    <t>13863065;65ea469b-d899-40a9-ba8f-55d7c7a4a050;;111111118;Vodacom Life 20260324;;;;;DNQS;2;2026-04-09</t>
  </si>
  <si>
    <t>13863065;65ea469b-d899-40a9-ba8f-55d7c7a4a050;;111111118;Vodacom Life 20260324;;;;;DNQS;2;2026-04-09 12:48:05+02;Seboifeng Mogola;2026-03-24 09:54:08+02;2026-03-24 09:54:08+02;;;;;;;;;27674835876;;;;;;;;prepaid life;;;;;</t>
  </si>
  <si>
    <t>ID_1986</t>
  </si>
  <si>
    <t>13863145;c32ecd8f-7c13-475e-b7f0-fa0dbffe98f7;;111111118;Vodacom Life 20260324;;;;;NA;5;2026-05-23 0</t>
  </si>
  <si>
    <t>13863145;c32ecd8f-7c13-475e-b7f0-fa0dbffe98f7;;111111118;Vodacom Life 20260324;;;;;NA;5;2026-05-23 09:11:40+02;system;2026-03-24 09:54:08+02;2026-03-24 09:54:08+02;;;;;;;;;27767736057;;;;;;;;prepaid life;;;;;</t>
  </si>
  <si>
    <t>ID_1987</t>
  </si>
  <si>
    <t>13863066;5cad6cbe-3be3-4d1b-8683-459cbf1e56d2;;111111118;Vodacom Life 20260324;;;;;AE;5;2026-05-25 0</t>
  </si>
  <si>
    <t>13863066;5cad6cbe-3be3-4d1b-8683-459cbf1e56d2;;111111118;Vodacom Life 20260324;;;;;AE;5;2026-05-25 09:27:28+02;system;2026-03-24 09:54:08+02;2026-03-24 09:54:08+02;;;;;;;;;27711041336;;;;;;;;prepaid life;;;;;</t>
  </si>
  <si>
    <t>ID_1988</t>
  </si>
  <si>
    <t>13863186;c17a0580-12fa-41b7-86bf-0679d12224e2;;111111118;Vodacom Life 20260324;;;;;AE;5;2026-05-23 0</t>
  </si>
  <si>
    <t>13863186;c17a0580-12fa-41b7-86bf-0679d12224e2;;111111118;Vodacom Life 20260324;;;;;AE;5;2026-05-23 09:15:01+02;system;2026-03-24 09:54:08+02;2026-03-24 09:54:08+02;;;;;;;;;27797158883;;;;;;;;prepaid life;;;;;</t>
  </si>
  <si>
    <t>ID_1989</t>
  </si>
  <si>
    <t>13863146;24ab923d-de8c-4797-9afe-63a98fa7406c;;111111118;Vodacom Life 20260324;;;;;NA;5;2026-05-23 0</t>
  </si>
  <si>
    <t>13863146;24ab923d-de8c-4797-9afe-63a98fa7406c;;111111118;Vodacom Life 20260324;;;;;NA;5;2026-05-23 09:11:40+02;system;2026-03-24 09:54:08+02;2026-03-24 09:54:08+02;;;;;;;;;27767770497;;;;;;;;prepaid life;;;;;</t>
  </si>
  <si>
    <t>ID_1990</t>
  </si>
  <si>
    <t>13863187;47c8b537-30db-4a95-bbad-1996d8474257;;111111118;Vodacom Life 20260324;;;;;NA;5;2026-05-23 0</t>
  </si>
  <si>
    <t>13863187;47c8b537-30db-4a95-bbad-1996d8474257;;111111118;Vodacom Life 20260324;;;;;NA;5;2026-05-23 09:15:22+02;system;2026-03-24 09:54:08+02;2026-03-24 09:54:08+02;;;;;;;;;27797235060;;;;;;;;prepaid life;;;;;</t>
  </si>
  <si>
    <t>ID_1991</t>
  </si>
  <si>
    <t>13863067;56bc8299-fc3c-4930-9c88-bebc3496f281;;111111118;Vodacom Life 20260324;;;;;AA;5;2026-05-25 1</t>
  </si>
  <si>
    <t>13863067;56bc8299-fc3c-4930-9c88-bebc3496f281;;111111118;Vodacom Life 20260324;;;;;AA;5;2026-05-25 14:28:08+02;system;2026-03-24 09:54:08+02;2026-03-24 09:54:08+02;;;;;;;;;27711349741;;;;;;;;prepaid life;;;;;</t>
  </si>
  <si>
    <t>ID_1992</t>
  </si>
  <si>
    <t>13863147;b95d552a-3b17-40b5-91e1-63626c5c7d22;;111111118;Vodacom Life 20260324;;;;;A;5;2026-05-23 09</t>
  </si>
  <si>
    <t>13863147;b95d552a-3b17-40b5-91e1-63626c5c7d22;;111111118;Vodacom Life 20260324;;;;;A;5;2026-05-23 09:11:40+02;bongiwe lushaba;2026-03-24 09:54:08+02;2026-03-24 09:54:08+02;;;;;;;;;27767837426;;;;;;;;prepaid life;;;;;</t>
  </si>
  <si>
    <t>ID_1993</t>
  </si>
  <si>
    <t>13863068;c6cbbb95-9ee5-43b3-9e58-c88f3fed3b8e;;111111118;Vodacom Life 20260324;;;;;CU;5;2026-05-25 1</t>
  </si>
  <si>
    <t>13863068;c6cbbb95-9ee5-43b3-9e58-c88f3fed3b8e;;111111118;Vodacom Life 20260324;;;;;CU;5;2026-05-25 14:26:53+02;bongiwe lushaba;2026-03-24 09:54:08+02;2026-03-24 09:54:08+02;;;;;;;;;27711806016;;;;;;;;prepaid life;;;;;</t>
  </si>
  <si>
    <t>ID_1994</t>
  </si>
  <si>
    <t>13863188;17113803-8a3d-4406-8df2-d7da6c0a7780;;111111118;Vodacom Life 20260324;;;;;AA;5;2026-05-23 0</t>
  </si>
  <si>
    <t>13863188;17113803-8a3d-4406-8df2-d7da6c0a7780;;111111118;Vodacom Life 20260324;;;;;AA;5;2026-05-23 09:19:03+02;system;2026-03-24 09:54:08+02;2026-03-24 09:54:08+02;;;;;;;;;27797238935;;;;;;;;prepaid life;;;;;</t>
  </si>
  <si>
    <t>ID_1995</t>
  </si>
  <si>
    <t>13863189;23181876-4a47-4aa2-89db-9c33a0b1bc37;;111111118;Vodacom Life 20260324;;;;;AA;5;2026-05-23 0</t>
  </si>
  <si>
    <t>13863189;23181876-4a47-4aa2-89db-9c33a0b1bc37;;111111118;Vodacom Life 20260324;;;;;AA;5;2026-05-23 09:24:13+02;system;2026-03-24 09:54:08+02;2026-03-24 09:54:08+02;;;;;;;;;27797300062;;;;;;;;prepaid life;;;;;</t>
  </si>
  <si>
    <t>ID_1996</t>
  </si>
  <si>
    <t xml:space="preserve">13863069;43050d5b-f721-407d-9dfc-c88c1bec123c;;111111118;Vodacom Life 20260324;;;;;OAL;4;2026-05-20 </t>
  </si>
  <si>
    <t>13863069;43050d5b-f721-407d-9dfc-c88c1bec123c;;111111118;Vodacom Life 20260324;;;;;OAL;4;2026-05-20 10:51:15+02;bongiwe lushaba;2026-03-24 09:54:08+02;2026-03-24 09:54:08+02;;;;;;;;;27711964210;;;;;;;;prepaid life;;;;;</t>
  </si>
  <si>
    <t>ID_1997</t>
  </si>
  <si>
    <t>13863070;9c65967c-b24a-414a-b30b-332754bc34f6;;111111118;Vodacom Life 20260324;;;;;AA;5;2026-05-25 0</t>
  </si>
  <si>
    <t>13863070;9c65967c-b24a-414a-b30b-332754bc34f6;;111111118;Vodacom Life 20260324;;;;;AA;5;2026-05-25 09:23:56+02;system;2026-03-24 09:54:08+02;2026-03-24 09:54:08+02;;;;;;;;;27712153877;;;;;;;;prepaid life;;;;;</t>
  </si>
  <si>
    <t>ID_1998</t>
  </si>
  <si>
    <t>13863149;313f2bc8-c23d-48bf-913c-7dff894400cf;;111111118;Vodacom Life 20260324;;;;;NI;2;2026-04-09 1</t>
  </si>
  <si>
    <t>13863149;313f2bc8-c23d-48bf-913c-7dff894400cf;;111111118;Vodacom Life 20260324;;;;;NI;2;2026-04-09 12:30:32+02;Musiiwa Mary Mabirimisa;2026-03-24 09:54:08+02;2026-03-24 09:54:08+02;;;;;;;;;27768657216;;;;;;;;prepaid life;;;;;</t>
  </si>
  <si>
    <t>ID_1999</t>
  </si>
  <si>
    <t>13863190;85286b0c-11e5-41e5-9041-4f56665ae46a;;111111118;Vodacom Life 20260324;;;27797392627;;IABDN;</t>
  </si>
  <si>
    <t>13863190;85286b0c-11e5-41e5-9041-4f56665ae46a;;111111118;Vodacom Life 20260324;;;27797392627;;IABDN;5;2026-05-25 08:37:53+02;system;2026-03-24 09:54:08+02;2026-03-24 09:54:08+02;;;;;;;;;27797392627;;;;;;;;prepaid life;;;;;</t>
  </si>
  <si>
    <t>ID_2000</t>
  </si>
  <si>
    <t>13863150;c1ffcfb5-d850-46a3-b2c4-453739428cc5;;111111118;Vodacom Life 20260324;;;;;AA;5;2026-05-23 0</t>
  </si>
  <si>
    <t>13863150;c1ffcfb5-d850-46a3-b2c4-453739428cc5;;111111118;Vodacom Life 20260324;;;;;AA;5;2026-05-23 09:15:12+02;system;2026-03-24 09:54:08+02;2026-03-24 09:54:08+02;;;;;;;;;27769080582;;;;;;;;prepaid life;;;;;</t>
  </si>
  <si>
    <t>ID_2001</t>
  </si>
  <si>
    <t>13863191;b9937200-780d-4108-a239-0b818248555b;;111111118;Vodacom Life 20260324;;;;;AC;3;2026-04-21 1</t>
  </si>
  <si>
    <t>13863191;b9937200-780d-4108-a239-0b818248555b;;111111118;Vodacom Life 20260324;;;;;AC;3;2026-04-21 10:28:47+02;Maureen Ntsoko;2026-03-24 09:54:08+02;2026-03-24 09:54:08+02;;;;;;;;;27797613662;;;;;;;;prepaid life;;;;;</t>
  </si>
  <si>
    <t>ID_2002</t>
  </si>
  <si>
    <t>13863071;71d9bf58-37bb-48f4-9565-10f88da84385;;111111118;Vodacom Life 20260324;;;;;AA;5;2026-05-25 1</t>
  </si>
  <si>
    <t>13863071;71d9bf58-37bb-48f4-9565-10f88da84385;;111111118;Vodacom Life 20260324;;;;;AA;5;2026-05-25 14:29:17+02;system;2026-03-24 09:54:08+02;2026-03-24 09:54:08+02;;;;;;;;;27712574657;;;;;;;;prepaid life;;;;;</t>
  </si>
  <si>
    <t>ID_2003</t>
  </si>
  <si>
    <t>13863151;e44e579d-41c0-4ab1-b50f-409f123767cb;;111111118;Vodacom Life 20260324;;;27769197722;;CU;6;2</t>
  </si>
  <si>
    <t>13863151;e44e579d-41c0-4ab1-b50f-409f123767cb;;111111118;Vodacom Life 20260324;;;27769197722;;CU;6;2026-05-25 09:29:47+02;Maureen Ntsoko;2026-03-24 09:54:08+02;2026-03-24 09:54:08+02;;;;;;;;;27769197722;;;;;;;;prepaid life;;;;;</t>
  </si>
  <si>
    <t>ID_2004</t>
  </si>
  <si>
    <t>13863072;b07ca797-cb6c-4bdd-aa68-94d98a95c567;;111111118;Vodacom Life 20260324;;;;;DROP;5;2026-05-25</t>
  </si>
  <si>
    <t>13863072;b07ca797-cb6c-4bdd-aa68-94d98a95c567;;111111118;Vodacom Life 20260324;;;;;DROP;5;2026-05-25 09:23:56+02;system;2026-03-24 09:54:08+02;2026-03-24 09:54:08+02;;;;;;;;;27713029233;;;;;;;;prepaid life;;;;;</t>
  </si>
  <si>
    <t>ID_2005</t>
  </si>
  <si>
    <t>13863192;9214aeb7-620c-4836-ada3-7ffcfad9ed7c;;111111118;Vodacom Life 20260324;;;;;AE;5;2026-05-23 0</t>
  </si>
  <si>
    <t>13863192;9214aeb7-620c-4836-ada3-7ffcfad9ed7c;;111111118;Vodacom Life 20260324;;;;;AE;5;2026-05-23 09:14:56+02;system;2026-03-24 09:54:08+02;2026-03-24 09:54:08+02;;;;;;;;;27797821189;;;;;;;;prepaid life;;;;;</t>
  </si>
  <si>
    <t>ID_2006</t>
  </si>
  <si>
    <t>13863152;10558643-0341-4d9a-beba-686b9638aae8;;111111118;Vodacom Life 20260324;;;;;AA;5;2026-05-23 0</t>
  </si>
  <si>
    <t>13863152;10558643-0341-4d9a-beba-686b9638aae8;;111111118;Vodacom Life 20260324;;;;;AA;5;2026-05-23 09:12:01+02;system;2026-03-24 09:54:08+02;2026-03-24 09:54:08+02;;;;;;;;;27769318331;;;;;;;;prepaid life;;;;;</t>
  </si>
  <si>
    <t>ID_2007</t>
  </si>
  <si>
    <t>13863193;c8828c32-0370-40f7-bff7-705d83f39738;;111111118;Vodacom Life 20260324;;;;;A;5;2026-04-10 09</t>
  </si>
  <si>
    <t>13863193;c8828c32-0370-40f7-bff7-705d83f39738;;111111118;Vodacom Life 20260324;;;;;A;5;2026-04-10 09:04:31+02;Seboifeng Mogola;2026-03-24 09:54:08+02;2026-03-24 09:54:08+02;;;;;;;;;27797878626;;;;;;;;prepaid life;;;;;</t>
  </si>
  <si>
    <t>ID_2008</t>
  </si>
  <si>
    <t>13863073;3be7e7a9-c75d-4ac3-8d56-e047f512cada;;111111118;Vodacom Life 20260324;;;;;DROP;5;2026-05-25</t>
  </si>
  <si>
    <t>13863073;3be7e7a9-c75d-4ac3-8d56-e047f512cada;;111111118;Vodacom Life 20260324;;;;;DROP;5;2026-05-25 09:23:56+02;system;2026-03-24 09:54:08+02;2026-03-24 09:54:08+02;;;;;;;;;27713122856;;;;;;;;prepaid life;;;;;</t>
  </si>
  <si>
    <t>ID_2009</t>
  </si>
  <si>
    <t>13863153;172deb03-c6de-4f69-8f9f-aeee43efbaca;;111111118;Vodacom Life 20260324;;;;;AA;5;2026-05-25 1</t>
  </si>
  <si>
    <t>13863153;172deb03-c6de-4f69-8f9f-aeee43efbaca;;111111118;Vodacom Life 20260324;;;;;AA;5;2026-05-25 10:44:55+02;system;2026-03-24 09:54:08+02;2026-03-24 09:54:08+02;;;;;;;;;27769653435;;;;;;;;prepaid life;;;;;</t>
  </si>
  <si>
    <t>ID_2010</t>
  </si>
  <si>
    <t xml:space="preserve">13863074;9eb4b88b-fd1d-4ccc-8b95-8eb315dc88ca;;111111118;Vodacom Life 20260324;;;;;ADC;5;2026-05-25 </t>
  </si>
  <si>
    <t>13863074;9eb4b88b-fd1d-4ccc-8b95-8eb315dc88ca;;111111118;Vodacom Life 20260324;;;;;ADC;5;2026-05-25 09:27:25+02;system;2026-03-24 09:54:08+02;2026-03-24 09:54:08+02;;;;;;;;;27713321228;;;;;;;;prepaid life;;;;;</t>
  </si>
  <si>
    <t>ID_2011</t>
  </si>
  <si>
    <t xml:space="preserve">13863194;fba1a98e-5a67-4233-bb70-863fe350b69a;;111111118;Vodacom Life 20260324;;;;;OAL;2;2026-04-09 </t>
  </si>
  <si>
    <t>13863194;fba1a98e-5a67-4233-bb70-863fe350b69a;;111111118;Vodacom Life 20260324;;;;;OAL;2;2026-04-09 12:24:52+02;Thandile Nokubeni;2026-03-24 09:54:08+02;2026-03-24 09:54:08+02;;;;;;;;;27798287784;;;;;;;;prepaid life;;;;;</t>
  </si>
  <si>
    <t>ID_2012</t>
  </si>
  <si>
    <t>13863154;e3bd4ca0-c8f3-4463-8dec-0f3e1fc677de;;111111118;Vodacom Life 20260324;;;;;NI;2;2026-04-09 1</t>
  </si>
  <si>
    <t>13863154;e3bd4ca0-c8f3-4463-8dec-0f3e1fc677de;;111111118;Vodacom Life 20260324;;;;;NI;2;2026-04-09 12:31:32+02;Mahlatse Manamela;2026-03-24 09:54:08+02;2026-03-24 09:54:08+02;;;;;;;;;27772044700;;;;;;;;prepaid life;;;;;</t>
  </si>
  <si>
    <t>ID_2013</t>
  </si>
  <si>
    <t>13863076;767ac5d7-85e8-4a24-a978-941f4be16867;;111111118;Vodacom Life 20260324;;;27714515751;;CU;5;2</t>
  </si>
  <si>
    <t>13863076;767ac5d7-85e8-4a24-a978-941f4be16867;;111111118;Vodacom Life 20260324;;;27714515751;;CU;5;2026-05-25 09:30:03+02;Khensane Mabasa;2026-03-24 09:54:08+02;2026-03-24 09:54:08+02;;;;;;;;;27714515751;;;;;;;;prepaid life;;;;;</t>
  </si>
  <si>
    <t>ID_2014</t>
  </si>
  <si>
    <t>13863195;828166f1-edde-4a3c-be47-ca506a296e8b;;111111118;Vodacom Life 20260324;;;;;AE;5;2026-05-23 0</t>
  </si>
  <si>
    <t>13863195;828166f1-edde-4a3c-be47-ca506a296e8b;;111111118;Vodacom Life 20260324;;;;;AE;5;2026-05-23 09:14:56+02;system;2026-03-24 09:54:08+02;2026-03-24 09:54:08+02;;;;;;;;;27799304082;;;;;;;;prepaid life;;;;;</t>
  </si>
  <si>
    <t>ID_2015</t>
  </si>
  <si>
    <t>13863196;93befa64-dc8b-4761-b1ca-8cecf2719f40;;111111118;Vodacom Life 20260324;;;;;DNCLIFE;3;2026-03</t>
  </si>
  <si>
    <t>13863196;93befa64-dc8b-4761-b1ca-8cecf2719f40;;111111118;Vodacom Life 20260324;;;;;DNCLIFE;3;2026-03-27 14:23:50+02;Millicent Motsuku;2026-03-24 09:54:08+02;2026-03-24 09:54:08+02;;;;;;;;;27799309810;;;;;;;;prepaid life;;;;;</t>
  </si>
  <si>
    <t>ID_2016</t>
  </si>
  <si>
    <t>13863156;359c24eb-fe5d-41b9-84ad-929cf4877aae;;111111118;Vodacom Life 20260324;;;;;NI;2;2026-04-09 1</t>
  </si>
  <si>
    <t>13863156;359c24eb-fe5d-41b9-84ad-929cf4877aae;;111111118;Vodacom Life 20260324;;;;;NI;2;2026-04-09 12:31:41+02;Musiiwa Mary Mabirimisa;2026-03-24 09:54:08+02;2026-03-24 09:54:08+02;;;;;;;;;27774902592;;;;;;;;prepaid life;;;;;</t>
  </si>
  <si>
    <t>ID_2017</t>
  </si>
  <si>
    <t>13863197;7275536a-7f22-4f74-834b-0fcf19337a4e;;111111118;Vodacom Life 20260324;;;;;AA;5;2026-05-23 0</t>
  </si>
  <si>
    <t>13863197;7275536a-7f22-4f74-834b-0fcf19337a4e;;111111118;Vodacom Life 20260324;;;;;AA;5;2026-05-23 09:14:56+02;system;2026-03-24 09:54:08+02;2026-03-24 09:54:08+02;;;;;;;;;27799389832;;;;;;;;prepaid life;;;;;</t>
  </si>
  <si>
    <t>ID_2018</t>
  </si>
  <si>
    <t>13863077;82ceafe6-ab17-45ae-b785-33a28d383b3b;;111111118;Vodacom Life 20260324;;;;;NIUP;2;2026-04-09</t>
  </si>
  <si>
    <t>13863077;82ceafe6-ab17-45ae-b785-33a28d383b3b;;111111118;Vodacom Life 20260324;;;;;NIUP;2;2026-04-09 12:43:35+02;Seboifeng Mogola;2026-03-24 09:54:08+02;2026-03-24 09:54:08+02;;;;;;;;;27715935020;;;;;;;;prepaid life;;;;;</t>
  </si>
  <si>
    <t>ID_2019</t>
  </si>
  <si>
    <t>13863078;8752b188-b0ea-48ee-9b24-b7009b066c62;;111111118;Vodacom Life 20260324;;;;;AA;5;2026-05-25 0</t>
  </si>
  <si>
    <t>13863078;8752b188-b0ea-48ee-9b24-b7009b066c62;;111111118;Vodacom Life 20260324;;;;;AA;5;2026-05-25 09:27:42+02;system;2026-03-24 09:54:08+02;2026-03-24 09:54:08+02;;;;;;;;;27716290836;;;;;;;;prepaid life;;;;;</t>
  </si>
  <si>
    <t>ID_2020</t>
  </si>
  <si>
    <t>13863157;7c654fbe-4782-4d69-93a6-f5e88897cdee;;111111118;Vodacom Life 20260324;;;;;AA;5;2026-05-23 0</t>
  </si>
  <si>
    <t>13863157;7c654fbe-4782-4d69-93a6-f5e88897cdee;;111111118;Vodacom Life 20260324;;;;;AA;5;2026-05-23 09:12:01+02;system;2026-03-24 09:54:08+02;2026-03-24 09:54:08+02;;;;;;;;;27781396715;;;;;;;;prepaid life;;;;;</t>
  </si>
  <si>
    <t>ID_2021</t>
  </si>
  <si>
    <t>13863273;13bec99a-35db-4e89-b868-6d70d04258da;;111111118;Vodacom Life 20260324;;;;;AF;1;2026-03-26 1</t>
  </si>
  <si>
    <t>13863273;13bec99a-35db-4e89-b868-6d70d04258da;;111111118;Vodacom Life 20260324;;;;;AF;1;2026-03-26 11:22:01+02;Seboifeng Mogola;2026-03-24 09:54:08+02;2026-03-24 09:54:08+02;;;;;;;;;27713835259;;;;;;;;prepaid life;;;;;</t>
  </si>
  <si>
    <t>ID_2022</t>
  </si>
  <si>
    <t>13863198;d5b84e7d-34be-434a-a10f-2016eca9f331;;111111118;Vodacom Life 20260324;;;;;AA;5;2026-05-23 0</t>
  </si>
  <si>
    <t>13863198;d5b84e7d-34be-434a-a10f-2016eca9f331;;111111118;Vodacom Life 20260324;;;;;AA;5;2026-05-23 09:14:56+02;system;2026-03-24 09:54:08+02;2026-03-24 09:54:08+02;;;;;;;;;27799880727;;;;;;;;prepaid life;;;;;</t>
  </si>
  <si>
    <t>ID_2023</t>
  </si>
  <si>
    <t>13863199;a579605c-8bde-415c-93a2-e3183caa2979;;111111118;Vodacom Life 20260324;;;27818285404;;AA;5;2</t>
  </si>
  <si>
    <t>13863199;a579605c-8bde-415c-93a2-e3183caa2979;;111111118;Vodacom Life 20260324;;;27818285404;;AA;5;2026-05-23 09:15:04+02;system;2026-03-24 09:54:08+02;2026-03-24 09:54:08+02;;;;;;;;;27818285404;;;;;;;;prepaid life;;;;;</t>
  </si>
  <si>
    <t>ID_2024</t>
  </si>
  <si>
    <t>13863158;bbff8265-4fd1-40ef-bb9a-1e6f4df299e1;;111111118;Vodacom Life 20260324;;;;;NA;5;2026-05-23 0</t>
  </si>
  <si>
    <t>13863158;bbff8265-4fd1-40ef-bb9a-1e6f4df299e1;;111111118;Vodacom Life 20260324;;;;;NA;5;2026-05-23 09:12:01+02;system;2026-03-24 09:54:08+02;2026-03-24 09:54:08+02;;;;;;;;;27786768659;;;;;;;;prepaid life;;;;;</t>
  </si>
  <si>
    <t>ID_2025</t>
  </si>
  <si>
    <t>13863274;a7c7a09e-061b-46de-956a-e6ff9f3775df;;111111118;Vodacom Life 20260324;;;;;U;4;2026-05-20 09</t>
  </si>
  <si>
    <t>13863274;a7c7a09e-061b-46de-956a-e6ff9f3775df;;111111118;Vodacom Life 20260324;;;;;U;4;2026-05-20 09:32:35+02;bongiwe lushaba;2026-03-24 09:54:08+02;2026-03-24 09:54:08+02;;;;;;;;;27714107783;;;;;;;;prepaid life;;;;;</t>
  </si>
  <si>
    <t>ID_2026</t>
  </si>
  <si>
    <t>13863275;da5e4ba1-36f1-45ef-97d9-59881b0d9d8c;;111111118;Vodacom Life 20260324;;;;;A;6;2026-05-26 12</t>
  </si>
  <si>
    <t>13863275;da5e4ba1-36f1-45ef-97d9-59881b0d9d8c;;111111118;Vodacom Life 20260324;;;;;A;6;2026-05-26 12:10:47+02;Khensane Mabasa;2026-03-24 09:54:08+02;2026-03-24 09:54:08+02;;;;;;;;;27714656565;;;;;;;;prepaid life;;;;;</t>
  </si>
  <si>
    <t>ID_2027</t>
  </si>
  <si>
    <t>13863159;d886acf1-44a6-453a-9113-eec9ed028f97;;111111118;Vodacom Life 20260324;;;;;NI;3;2026-04-15 1</t>
  </si>
  <si>
    <t>13863159;d886acf1-44a6-453a-9113-eec9ed028f97;;111111118;Vodacom Life 20260324;;;;;NI;3;2026-04-15 12:01:28+02;Musiiwa Mary Mabirimisa;2026-03-24 09:54:08+02;2026-03-24 09:54:08+02;;;;;;;;;27790455264;;;;;;;;prepaid life;;;;;</t>
  </si>
  <si>
    <t>ID_2028</t>
  </si>
  <si>
    <t>13863276;66263d67-2db6-49a6-89fe-cecbcdf8a899;;111111118;Vodacom Life 20260324;;;;;DROP;5;2026-05-25</t>
  </si>
  <si>
    <t>13863276;66263d67-2db6-49a6-89fe-cecbcdf8a899;;111111118;Vodacom Life 20260324;;;;;DROP;5;2026-05-25 08:20:53+02;system;2026-03-24 09:54:08+02;2026-03-24 09:54:08+02;;;;;;;;;27714958560;;;;;;;;prepaid life;;;;;</t>
  </si>
  <si>
    <t>ID_2029</t>
  </si>
  <si>
    <t>13863200;62714e9b-3768-4986-8610-fceb1736d6f9;;111111118;Vodacom Life 20260324;;;;;AA;5;2026-05-23 0</t>
  </si>
  <si>
    <t>13863200;62714e9b-3768-4986-8610-fceb1736d6f9;;111111118;Vodacom Life 20260324;;;;;AA;5;2026-05-23 09:15:18+02;system;2026-03-24 09:54:08+02;2026-03-24 09:54:08+02;;;;;;;;;27818338132;;;;;;;;prepaid life;;;;;</t>
  </si>
  <si>
    <t>ID_2030</t>
  </si>
  <si>
    <t>13863160;60c97a22-539f-4060-a6ce-4f9e7bfdda16;;111111118;Vodacom Life 20260324;;;;;AA;5;2026-05-23 0</t>
  </si>
  <si>
    <t>13863160;60c97a22-539f-4060-a6ce-4f9e7bfdda16;;111111118;Vodacom Life 20260324;;;;;AA;5;2026-05-23 09:12:01+02;system;2026-03-24 09:54:08+02;2026-03-24 09:54:08+02;;;;;;;;;27790501379;;;;;;;;prepaid life;;;;;</t>
  </si>
  <si>
    <t>ID_2031</t>
  </si>
  <si>
    <t>13863201;f2a93495-ae54-44f7-b52c-d372395ecac5;;111111118;Vodacom Life 20260324;;;;;AE;5;2026-05-23 0</t>
  </si>
  <si>
    <t>13863201;f2a93495-ae54-44f7-b52c-d372395ecac5;;111111118;Vodacom Life 20260324;;;;;AE;5;2026-05-23 09:19:04+02;system;2026-03-24 09:54:08+02;2026-03-24 09:54:08+02;;;;;;;;;27818655948;;;;;;;;prepaid life;;;;;</t>
  </si>
  <si>
    <t>ID_2032</t>
  </si>
  <si>
    <t xml:space="preserve">13863277;c75e1229-3ecc-491a-bd76-b12b21a5026c;;111111118;Vodacom Life 20260324;;;;;ADC;5;2026-05-23 </t>
  </si>
  <si>
    <t>13863277;c75e1229-3ecc-491a-bd76-b12b21a5026c;;111111118;Vodacom Life 20260324;;;;;ADC;5;2026-05-23 09:18:35+02;system;2026-03-24 09:54:08+02;2026-03-24 09:54:08+02;;;;;;;;;27715107470;;;;;;;;prepaid life;;;;;</t>
  </si>
  <si>
    <t>ID_2033</t>
  </si>
  <si>
    <t>13863161;22c7d02d-4bcd-4f02-a43e-f4c186f8a26d;;111111118;Vodacom Life 20260324;;;;;A;5;2026-05-23 09</t>
  </si>
  <si>
    <t>13863161;22c7d02d-4bcd-4f02-a43e-f4c186f8a26d;;111111118;Vodacom Life 20260324;;;;;A;5;2026-05-23 09:15:01+02;bongiwe lushaba;2026-03-24 09:54:08+02;2026-03-24 09:54:08+02;;;;;;;;;27790912083;;;;;;;;prepaid life;;;;;</t>
  </si>
  <si>
    <t>ID_2034</t>
  </si>
  <si>
    <t>13863278;5550403b-178b-4344-919e-f2fed2c12631;;111111118;Vodacom Life 20260324;;;;;CU;5;2026-05-25 0</t>
  </si>
  <si>
    <t>13863278;5550403b-178b-4344-919e-f2fed2c12631;;111111118;Vodacom Life 20260324;;;;;CU;5;2026-05-25 08:24:47+02;bongiwe lushaba;2026-03-24 09:54:08+02;2026-03-24 09:54:08+02;;;;;;;;;27715391544;;;;;;;;prepaid life;;;;;</t>
  </si>
  <si>
    <t>ID_2035</t>
  </si>
  <si>
    <t>13863202;f702b06e-2554-4700-a9ae-2421bbad332a;;111111118;Vodacom Life 20260324;;;;;DROP;5;2026-05-25</t>
  </si>
  <si>
    <t>13863202;f702b06e-2554-4700-a9ae-2421bbad332a;;111111118;Vodacom Life 20260324;;;;;DROP;5;2026-05-25 08:37:04+02;system;2026-03-24 09:54:08+02;2026-03-24 09:54:08+02;;;;;;;;;27818676144;;;;;;;;prepaid life;;;;;</t>
  </si>
  <si>
    <t>ID_2036</t>
  </si>
  <si>
    <t>13863162;471464ed-d706-48cb-b686-ea0d195bfa08;;111111118;Vodacom Life 20260324;;;;;CBACK;2;2026-04-1</t>
  </si>
  <si>
    <t>13863162;471464ed-d706-48cb-b686-ea0d195bfa08;;111111118;Vodacom Life 20260324;;;;;CBACK;2;2026-04-10 08:27:54+02;bongiwe lushaba;2026-03-24 09:54:08+02;2026-03-24 09:54:08+02;;;;;;;;;27790946897;;;;;;;;prepaid life;;;;;</t>
  </si>
  <si>
    <t>ID_2037</t>
  </si>
  <si>
    <t>13863203;eb117d12-49cb-4aad-bcb6-b6e96a1e9a12;;111111118;Vodacom Life 20260324;;;;;CU;5;2026-05-25 0</t>
  </si>
  <si>
    <t>13863203;eb117d12-49cb-4aad-bcb6-b6e96a1e9a12;;111111118;Vodacom Life 20260324;;;;;CU;5;2026-05-25 08:32:38+02;bongiwe lushaba;2026-03-24 09:54:08+02;2026-03-24 09:54:08+02;;;;;;;;;27818782321;;;;;;;;prepaid life;;;;;</t>
  </si>
  <si>
    <t>ID_2038</t>
  </si>
  <si>
    <t>13863279;607d93a7-dd23-49f9-be1e-50a05d4c260c;;111111118;Vodacom Life 20260324;;;;;AA;5;2026-05-23 0</t>
  </si>
  <si>
    <t>13863279;607d93a7-dd23-49f9-be1e-50a05d4c260c;;111111118;Vodacom Life 20260324;;;;;AA;5;2026-05-23 09:18:36+02;system;2026-03-24 09:54:08+02;2026-03-24 09:54:08+02;;;;;;;;;27715734449;;;;;;;;prepaid life;;;;;</t>
  </si>
  <si>
    <t>ID_2039</t>
  </si>
  <si>
    <t>13863280;d91b34d9-3a72-4319-8463-18f0aefa84f5;;111111118;Vodacom Life 20260324;;;;;AA;5;2026-05-23 0</t>
  </si>
  <si>
    <t>13863280;d91b34d9-3a72-4319-8463-18f0aefa84f5;;111111118;Vodacom Life 20260324;;;;;AA;5;2026-05-23 09:18:39+02;system;2026-03-24 09:54:08+02;2026-03-24 09:54:08+02;;;;;;;;;27715856546;;;;;;;;prepaid life;;;;;</t>
  </si>
  <si>
    <t>ID_2040</t>
  </si>
  <si>
    <t>13863204;71215f50-6b5c-46ee-a74e-a1bf7280b069;;111111118;Vodacom Life 20260324;;;;;NI;3;2026-04-15 1</t>
  </si>
  <si>
    <t>13863204;71215f50-6b5c-46ee-a74e-a1bf7280b069;;111111118;Vodacom Life 20260324;;;;;NI;3;2026-04-15 11:22:54+02;Esther Ramalete;2026-03-24 09:54:08+02;2026-03-24 09:54:08+02;;;;;;;;;27820607200;;;;;;;;prepaid life;;;;;</t>
  </si>
  <si>
    <t>ID_2041</t>
  </si>
  <si>
    <t>13863205;9547c931-70bd-4682-9066-1c3faa8eeca0;;111111118;Vodacom Life 20260324;;;;;AF;1;2026-04-02 1</t>
  </si>
  <si>
    <t>13863205;9547c931-70bd-4682-9066-1c3faa8eeca0;;111111118;Vodacom Life 20260324;;;;;AF;1;2026-04-02 11:44:50+02;Seboifeng Mogola;2026-03-24 09:54:08+02;2026-03-24 09:54:08+02;;;;;;;;;27822226413;;;;;;;;prepaid life;;;;;</t>
  </si>
  <si>
    <t>ID_2042</t>
  </si>
  <si>
    <t>13863206;dcdc406f-5bd7-4009-bef9-7cbc970e951c;;111111118;Vodacom Life 20260324;;;;;NI;1;2026-03-26 0</t>
  </si>
  <si>
    <t>13863206;dcdc406f-5bd7-4009-bef9-7cbc970e951c;;111111118;Vodacom Life 20260324;;;;;NI;1;2026-03-26 09:46:17+02;Thandile Nokubeni;2026-03-24 09:54:08+02;2026-03-24 09:54:08+02;;;;;;;;;27823065889;;;;;;;;prepaid life;;;;;</t>
  </si>
  <si>
    <t>ID_2043</t>
  </si>
  <si>
    <t>13863281;298e1a20-4050-4b41-9392-da890d63bc26;;111111118;Vodacom Life 20260324;;;;;AE;5;2026-05-23 0</t>
  </si>
  <si>
    <t>13863281;298e1a20-4050-4b41-9392-da890d63bc26;;111111118;Vodacom Life 20260324;;;;;AE;5;2026-05-23 09:18:52+02;system;2026-03-24 09:54:08+02;2026-03-24 09:54:08+02;;;;;;;;;27716137940;;;;;;;;prepaid life;;;;;</t>
  </si>
  <si>
    <t>ID_2044</t>
  </si>
  <si>
    <t>13863165;055b6d5c-24c2-458d-9d35-1193cc0f20b9;;111111118;Vodacom Life 20260324;;;;;AC;1;2026-03-26 1</t>
  </si>
  <si>
    <t>13863165;055b6d5c-24c2-458d-9d35-1193cc0f20b9;;111111118;Vodacom Life 20260324;;;;;AC;1;2026-03-26 11:16:37+02;Esther Ramalete;2026-03-24 09:54:08+02;2026-03-24 09:54:08+02;;;;;;;;;27791561250;;;;;;;;prepaid life;;;;;</t>
  </si>
  <si>
    <t>ID_2045</t>
  </si>
  <si>
    <t>13863207;d44a149b-5b7f-4936-8624-92bc740a8e00;;111111118;Vodacom Life 20260324;;;;;NA;5;2026-05-23 1</t>
  </si>
  <si>
    <t>13863207;d44a149b-5b7f-4936-8624-92bc740a8e00;;111111118;Vodacom Life 20260324;;;;;NA;5;2026-05-23 12:32:54+02;system;2026-03-24 09:54:08+02;2026-03-24 09:54:08+02;;;;;;;;;27823158092;;;;;;;;prepaid life;;;;;</t>
  </si>
  <si>
    <t>ID_2046</t>
  </si>
  <si>
    <t>13863166;8bba1dd9-b374-4ffb-8589-dfe80f2b5b28;;111111118;Vodacom Life 20260324;;;;;NA;5;2026-05-22 1</t>
  </si>
  <si>
    <t>13863166;8bba1dd9-b374-4ffb-8589-dfe80f2b5b28;;111111118;Vodacom Life 20260324;;;;;NA;5;2026-05-22 14:26:40+02;system;2026-03-24 09:54:08+02;2026-03-24 09:54:08+02;;;;;;;;;27791964965;;;;;;;;prepaid life;;;;;</t>
  </si>
  <si>
    <t>ID_2047</t>
  </si>
  <si>
    <t>13863208;a86e7270-3cf7-4bbc-9666-eedfec73da35;;111111118;Vodacom Life 20260324;;;;;AE;5;2026-05-25 0</t>
  </si>
  <si>
    <t>13863208;a86e7270-3cf7-4bbc-9666-eedfec73da35;;111111118;Vodacom Life 20260324;;;;;AE;5;2026-05-25 08:32:59+02;system;2026-03-24 09:54:08+02;2026-03-24 09:54:08+02;;;;;;;;;27823993993;;;;;;;;prepaid life;;;;;</t>
  </si>
  <si>
    <t>ID_2048</t>
  </si>
  <si>
    <t>13863282;79028b44-6004-4702-88f3-d2c7047a6ae2;;111111118;Vodacom Life 20260324;;;;;U;2;2026-04-09 12</t>
  </si>
  <si>
    <t>13863282;79028b44-6004-4702-88f3-d2c7047a6ae2;;111111118;Vodacom Life 20260324;;;;;U;2;2026-04-09 12:16:02+02;Musiiwa Mary Mabirimisa;2026-03-24 09:54:08+02;2026-03-24 09:54:08+02;;;;;;;;;27717139023;;;;;;;;prepaid life;;;;;</t>
  </si>
  <si>
    <t>ID_2049</t>
  </si>
  <si>
    <t>13863283;9995b214-cb11-43e3-9fcb-c494841e7357;;111111118;Vodacom Life 20260324;;;27717784101;;NA;5;2</t>
  </si>
  <si>
    <t>13863283;9995b214-cb11-43e3-9fcb-c494841e7357;;111111118;Vodacom Life 20260324;;;27717784101;;NA;5;2026-05-23 09:18:53+02;system;2026-03-24 09:54:08+02;2026-03-24 09:54:08+02;;;;;;;;;27717784101;;;;;;;;prepaid life;;;;;</t>
  </si>
  <si>
    <t>ID_2050</t>
  </si>
  <si>
    <t>13863167;796b3eb1-1e56-405d-b745-89c6d5a94a3b;;111111118;Vodacom Life 20260324;;;;;NI;1;2026-03-26 1</t>
  </si>
  <si>
    <t>13863167;796b3eb1-1e56-405d-b745-89c6d5a94a3b;;111111118;Vodacom Life 20260324;;;;;NI;1;2026-03-26 11:35:51+02;Thandile Nokubeni;2026-03-24 09:54:08+02;2026-03-24 09:54:08+02;;;;;;;;;27792101529;;;;;;;;prepaid life;;;;;</t>
  </si>
  <si>
    <t>ID_2051</t>
  </si>
  <si>
    <t>13863284;a480271a-8e59-4ee3-8c41-f23906ed0723;;111111118;Vodacom Life 20260324;;;27718591272;;AA;5;2</t>
  </si>
  <si>
    <t>13863284;a480271a-8e59-4ee3-8c41-f23906ed0723;;111111118;Vodacom Life 20260324;;;27718591272;;AA;5;2026-05-23 09:18:53+02;system;2026-03-24 09:54:08+02;2026-03-24 09:54:08+02;;;;;;;;;27718591272;;;;;;;;prepaid life;;;;;</t>
  </si>
  <si>
    <t>ID_2052</t>
  </si>
  <si>
    <t>13863285;6b2b881c-7813-4dcf-9121-194e7bcf241e;;111111118;Vodacom Life 20260324;;;;;CU;5;2026-05-23 0</t>
  </si>
  <si>
    <t>13863285;6b2b881c-7813-4dcf-9121-194e7bcf241e;;111111118;Vodacom Life 20260324;;;;;CU;5;2026-05-23 09:19:00+02;Maureen Ntsoko;2026-03-24 09:54:08+02;2026-03-24 09:54:08+02;;;;;;;;;27720444211;;;;;;;;prepaid life;;;;;</t>
  </si>
  <si>
    <t>ID_2053</t>
  </si>
  <si>
    <t>13863209;9249da67-c171-4b28-89e6-12f67b684a1d;;111111118;Vodacom Life 20260324;;;27824302526;;DROP;5</t>
  </si>
  <si>
    <t>13863209;9249da67-c171-4b28-89e6-12f67b684a1d;;111111118;Vodacom Life 20260324;;;27824302526;;DROP;5;2026-05-25 08:32:44+02;system;2026-03-24 09:54:08+02;2026-03-24 09:54:08+02;;;;;;;;;27824302526;;;;;;;;prepaid life;;;;;</t>
  </si>
  <si>
    <t>ID_2054</t>
  </si>
  <si>
    <t>13863168;1c03452e-58c7-4391-a569-169c70b85579;;111111118;Vodacom Life 20260324;;;;;A;5;2026-04-21 16</t>
  </si>
  <si>
    <t>13863168;1c03452e-58c7-4391-a569-169c70b85579;;111111118;Vodacom Life 20260324;;;;;A;5;2026-04-21 16:14:52+02;Thandile Nokubeni;2026-03-24 09:54:08+02;2026-03-24 09:54:08+02;;;;;;;;;27792307935;;;;;;;;prepaid life;;;;;</t>
  </si>
  <si>
    <t>ID_2055</t>
  </si>
  <si>
    <t>13863210;8a425e13-f29e-4fa7-ac35-ef4353af9abb;;111111118;Vodacom Life 20260324;;;;;AA;5;2026-05-25 0</t>
  </si>
  <si>
    <t>13863210;8a425e13-f29e-4fa7-ac35-ef4353af9abb;;111111118;Vodacom Life 20260324;;;;;AA;5;2026-05-25 08:37:03+02;system;2026-03-24 09:54:08+02;2026-03-24 09:54:08+02;;;;;;;;;27824824745;;;;;;;;prepaid life;;;;;</t>
  </si>
  <si>
    <t>ID_2056</t>
  </si>
  <si>
    <t>13863169;17bd018b-9635-4add-9db5-b92244ada0f3;;111111118;Vodacom Life 20260324;;;;;AE;5;2026-05-22 1</t>
  </si>
  <si>
    <t>13863169;17bd018b-9635-4add-9db5-b92244ada0f3;;111111118;Vodacom Life 20260324;;;;;AE;5;2026-05-22 14:26:41+02;system;2026-03-24 09:54:08+02;2026-03-24 09:54:08+02;;;;;;;;;27792727265;;;;;;;;prepaid life;;;;;</t>
  </si>
  <si>
    <t>ID_2057</t>
  </si>
  <si>
    <t>13863211;7c929a1c-ec0a-4ad9-af07-60241d0acc5d;;111111118;Vodacom Life 20260324;;;;;AA;5;2026-05-25 0</t>
  </si>
  <si>
    <t>13863211;7c929a1c-ec0a-4ad9-af07-60241d0acc5d;;111111118;Vodacom Life 20260324;;;;;AA;5;2026-05-25 08:37:03+02;system;2026-03-24 09:54:08+02;2026-03-24 09:54:08+02;;;;;;;;;27825093145;;;;;;;;prepaid life;;;;;</t>
  </si>
  <si>
    <t>ID_2058</t>
  </si>
  <si>
    <t>13863286;97f19665-6337-4584-8f9a-e487f753c133;;111111118;Vodacom Life 20260324;;;;;NA;5;2026-05-23 0</t>
  </si>
  <si>
    <t>13863286;97f19665-6337-4584-8f9a-e487f753c133;;111111118;Vodacom Life 20260324;;;;;NA;5;2026-05-23 09:26:12+02;system;2026-03-24 09:54:08+02;2026-03-24 09:54:08+02;;;;;;;;;27720748938;;;;;;;;prepaid life;;;;;</t>
  </si>
  <si>
    <t>ID_2059</t>
  </si>
  <si>
    <t>13863170;6548c668-1774-41c6-88f2-c07d54e8a7de;;111111118;Vodacom Life 20260324;;;;;AE;5;2026-05-22 1</t>
  </si>
  <si>
    <t>13863170;6548c668-1774-41c6-88f2-c07d54e8a7de;;111111118;Vodacom Life 20260324;;;;;AE;5;2026-05-22 14:27:02+02;system;2026-03-24 09:54:08+02;2026-03-24 09:54:08+02;;;;;;;;;27792921363;;;;;;;;prepaid life;;;;;</t>
  </si>
  <si>
    <t>ID_2060</t>
  </si>
  <si>
    <t>13863287;b0412ab4-3f09-45a3-a8f8-2a79252a21af;;111111118;Vodacom Life 20260324;;;;;AF;4;2026-05-07 1</t>
  </si>
  <si>
    <t>13863287;b0412ab4-3f09-45a3-a8f8-2a79252a21af;;111111118;Vodacom Life 20260324;;;;;AF;4;2026-05-07 12:03:48+02;Millicent Motsuku;2026-03-24 09:54:08+02;2026-03-24 09:54:08+02;;;;;;;;;27720791322;;;;;;;;prepaid life;;;;;</t>
  </si>
  <si>
    <t>ID_2061</t>
  </si>
  <si>
    <t>13863212;1148c1a3-02b9-4219-b43b-fd02a4689c70;;111111118;Vodacom Life 20260324;;;;;AE;5;2026-05-25 0</t>
  </si>
  <si>
    <t>13863212;1148c1a3-02b9-4219-b43b-fd02a4689c70;;111111118;Vodacom Life 20260324;;;;;AE;5;2026-05-25 08:41:14+02;system;2026-03-24 09:54:08+02;2026-03-24 09:54:08+02;;;;;;;;;27825338812;;;;;;;;prepaid life;;;;;</t>
  </si>
  <si>
    <t>ID_2062</t>
  </si>
  <si>
    <t>13863171;05cd8445-b165-4df0-8bcf-b0306039a397;;111111118;Vodacom Life 20260324;;;;;DROP;5;2026-05-22</t>
  </si>
  <si>
    <t>13863171;05cd8445-b165-4df0-8bcf-b0306039a397;;111111118;Vodacom Life 20260324;;;;;DROP;5;2026-05-22 14:27:02+02;system;2026-03-24 09:54:08+02;2026-03-24 09:54:08+02;;;;;;;;;27793477218;;;;;;;;prepaid life;;;;;</t>
  </si>
  <si>
    <t>ID_2063</t>
  </si>
  <si>
    <t>13863213;4bc4bf81-f9e1-4d0a-b563-5ef1c04e0de5;;111111118;Vodacom Life 20260324;;;;;U;5;2026-05-25 08</t>
  </si>
  <si>
    <t>13863213;4bc4bf81-f9e1-4d0a-b563-5ef1c04e0de5;;111111118;Vodacom Life 20260324;;;;;U;5;2026-05-25 08:41:13+02;bongiwe lushaba;2026-03-24 09:54:08+02;2026-03-24 09:54:08+02;;;;;;;;;27825392718;;;;;;;;prepaid life;;;;;</t>
  </si>
  <si>
    <t>ID_2064</t>
  </si>
  <si>
    <t>13863288;537cac82-b458-479a-a385-9bb1a663aa05;;111111118;Vodacom Life 20260324;;;;;AA;5;2026-05-25 0</t>
  </si>
  <si>
    <t>13863288;537cac82-b458-479a-a385-9bb1a663aa05;;111111118;Vodacom Life 20260324;;;;;AA;5;2026-05-25 08:13:46+02;system;2026-03-24 09:54:08+02;2026-03-24 09:54:08+02;;;;;;;;;27721296158;;;;;;;;prepaid life;;;;;</t>
  </si>
  <si>
    <t>ID_2065</t>
  </si>
  <si>
    <t xml:space="preserve">13863172;711b4d9a-4e49-46c2-93d7-52d8053c1f25;;111111118;Vodacom Life 20260324;;;;;CCB;5;2026-05-22 </t>
  </si>
  <si>
    <t>13863172;711b4d9a-4e49-46c2-93d7-52d8053c1f25;;111111118;Vodacom Life 20260324;;;;;CCB;5;2026-05-22 14:28:22+02;Khensane Mabasa;2026-03-24 09:54:08+02;2026-03-24 09:54:08+02;;;;;;;;;27793617686;;;;;;;;prepaid life;;;;;</t>
  </si>
  <si>
    <t>ID_2066</t>
  </si>
  <si>
    <t>13863289;0987a7f4-1977-4469-bb51-acfab1502d8c;;111111118;Vodacom Life 20260324;;;27721340278;;IABDN;</t>
  </si>
  <si>
    <t>13863289;0987a7f4-1977-4469-bb51-acfab1502d8c;;111111118;Vodacom Life 20260324;;;27721340278;;IABDN;5;2026-05-25 08:16:58+02;system;2026-03-24 09:54:08+02;2026-03-24 09:54:08+02;;;;;;;;;27721340278;;;;;;;;prepaid life;;;;;</t>
  </si>
  <si>
    <t>ID_2067</t>
  </si>
  <si>
    <t>13863214;f4a22201-e89e-40fb-b2b1-1f457ebfb6b6;;111111118;Vodacom Life 20260324;;;;;AE;5;2026-05-25 0</t>
  </si>
  <si>
    <t>13863214;f4a22201-e89e-40fb-b2b1-1f457ebfb6b6;;111111118;Vodacom Life 20260324;;;;;AE;5;2026-05-25 08:41:13+02;system;2026-03-24 09:54:08+02;2026-03-24 09:54:08+02;;;;;;;;;27825426975;;;;;;;;prepaid life;;;;;</t>
  </si>
  <si>
    <t>ID_2068</t>
  </si>
  <si>
    <t xml:space="preserve">13863215;5be0a05a-91b2-4b44-b79d-f9882b127bb7;;111111118;Vodacom Life 20260324;;;;;ADC;5;2026-05-25 </t>
  </si>
  <si>
    <t>13863215;5be0a05a-91b2-4b44-b79d-f9882b127bb7;;111111118;Vodacom Life 20260324;;;;;ADC;5;2026-05-25 08:41:13+02;system;2026-03-24 09:54:08+02;2026-03-24 09:54:08+02;;;;;;;;;27826279750;;;;;;;;prepaid life;;;;;</t>
  </si>
  <si>
    <t>ID_2069</t>
  </si>
  <si>
    <t>13863216;50bb97d8-5ad0-48fe-9be3-7bc552a8cab6;;111111118;Vodacom Life 20260324;;;27826487391;;CU;5;2</t>
  </si>
  <si>
    <t>13863216;50bb97d8-5ad0-48fe-9be3-7bc552a8cab6;;111111118;Vodacom Life 20260324;;;27826487391;;CU;5;2026-05-25 08:42:08+02;Maureen Ntsoko;2026-03-24 09:54:08+02;2026-03-24 09:54:08+02;;;;;;;;;27826487391;;;;;;;;prepaid life;;;;;</t>
  </si>
  <si>
    <t>ID_2070</t>
  </si>
  <si>
    <t>13863290;e9d08658-5368-49a8-a3cc-682bcce5fff9;;111111118;Vodacom Life 20260324;;;;;DROP;5;2026-05-25</t>
  </si>
  <si>
    <t>13863290;e9d08658-5368-49a8-a3cc-682bcce5fff9;;111111118;Vodacom Life 20260324;;;;;DROP;5;2026-05-25 08:13:46+02;system;2026-03-24 09:54:08+02;2026-03-24 09:54:08+02;;;;;;;;;27721975469;;;;;;;;prepaid life;;;;;</t>
  </si>
  <si>
    <t>ID_2071</t>
  </si>
  <si>
    <t>13863174;dd40f590-b7b9-459d-b5c6-bc1b42bb6b1a;;111111118;Vodacom Life 20260324;;;27793819641;;IABDN;</t>
  </si>
  <si>
    <t>13863174;dd40f590-b7b9-459d-b5c6-bc1b42bb6b1a;;111111118;Vodacom Life 20260324;;;27793819641;;IABDN;5;2026-05-23 07:51:56+02;system;2026-03-24 09:54:08+02;2026-03-24 09:54:08+02;;;;;;;;;27793819641;;;;;;;;prepaid life;;;;;</t>
  </si>
  <si>
    <t>ID_2072</t>
  </si>
  <si>
    <t>13863291;e32a931c-01ae-4d24-95bb-56d635113fe4;;111111118;Vodacom Life 20260324;;;;;NI;1;2026-04-01 1</t>
  </si>
  <si>
    <t>13863291;e32a931c-01ae-4d24-95bb-56d635113fe4;;111111118;Vodacom Life 20260324;;;;;NI;1;2026-04-01 11:35:52+02;Thandile Nokubeni;2026-03-24 09:54:08+02;2026-03-24 09:54:08+02;;;;;;;;;27722512679;;;;;;;;prepaid life;;;;;</t>
  </si>
  <si>
    <t>ID_2073</t>
  </si>
  <si>
    <t>13863217;9df45804-894a-486e-8f80-bbeb512c7675;;111111118;Vodacom Life 20260324;;;;;GTTB;3;2026-04-15</t>
  </si>
  <si>
    <t>13863217;9df45804-894a-486e-8f80-bbeb512c7675;;111111118;Vodacom Life 20260324;;;;;GTTB;3;2026-04-15 11:44:46+02;Esther Ramalete;2026-03-24 09:54:08+02;2026-03-24 09:54:08+02;;;;;;;;;27827204504;;;;;;;;prepaid life;;;;;</t>
  </si>
  <si>
    <t>ID_2074</t>
  </si>
  <si>
    <t>13863175;501b14b9-a2ac-4485-8356-2267faff462d;;111111118;Vodacom Life 20260324;;;;;DROP;5;2026-05-23</t>
  </si>
  <si>
    <t>13863175;501b14b9-a2ac-4485-8356-2267faff462d;;111111118;Vodacom Life 20260324;;;;;DROP;5;2026-05-23 09:13:55+02;system;2026-03-24 09:54:08+02;2026-03-24 09:54:08+02;;;;;;;;;27793927830;;;;;;;;prepaid life;;;;;</t>
  </si>
  <si>
    <t>ID_2075</t>
  </si>
  <si>
    <t>13863218;db586d88-07c8-4f74-a2d9-37c3acb56d77;;111111118;Vodacom Life 20260324;;;;;AF;3;2026-04-15 1</t>
  </si>
  <si>
    <t>13863218;db586d88-07c8-4f74-a2d9-37c3acb56d77;;111111118;Vodacom Life 20260324;;;;;AF;3;2026-04-15 11:44:51+02;bongiwe lushaba;2026-03-24 09:54:08+02;2026-03-24 09:54:08+02;;;;;;;;;27827482001;;;;;;;;prepaid life;;;;;</t>
  </si>
  <si>
    <t>ID_2076</t>
  </si>
  <si>
    <t>13863292;ca20b2eb-3400-4e0c-b860-a0fe8e1ab63b;;111111118;Vodacom Life 20260324;;;;;CU;5;2026-05-25 0</t>
  </si>
  <si>
    <t>13863292;ca20b2eb-3400-4e0c-b860-a0fe8e1ab63b;;111111118;Vodacom Life 20260324;;;;;CU;5;2026-05-25 08:18:50+02;Khensane Mabasa;2026-03-24 09:54:08+02;2026-03-24 09:54:08+02;;;;;;;;;27722518520;;;;;;;;prepaid life;;;;;</t>
  </si>
  <si>
    <t>ID_2077</t>
  </si>
  <si>
    <t>13863370;4d2a86d9-a408-4773-8921-958018cad9d1;;111111118;Vodacom Life 20260324;;;;;AA;5;2026-05-23 0</t>
  </si>
  <si>
    <t>13863370;4d2a86d9-a408-4773-8921-958018cad9d1;;111111118;Vodacom Life 20260324;;;;;AA;5;2026-05-23 09:26:06+02;system;2026-03-24 09:54:08+02;2026-03-24 09:54:08+02;;;;;;;;;27773605773;;;;;;;;prepaid life;;;;;</t>
  </si>
  <si>
    <t>ID_2078</t>
  </si>
  <si>
    <t>13863293;fe6ac2a6-b3d5-4d35-b40b-7b3a424c754a;;111111118;Vodacom Life 20260324;;;;;AE;5;2026-05-25 0</t>
  </si>
  <si>
    <t>13863293;fe6ac2a6-b3d5-4d35-b40b-7b3a424c754a;;111111118;Vodacom Life 20260324;;;;;AE;5;2026-05-25 08:18:49+02;system;2026-03-24 09:54:08+02;2026-03-24 09:54:08+02;;;;;;;;;27722788932;;;;;;;;prepaid life;;;;;</t>
  </si>
  <si>
    <t>ID_2079</t>
  </si>
  <si>
    <t>13863219;17bb6332-ed7b-4ebb-bd10-bddbefc8745e;;111111118;Vodacom Life 20260324;;;;;NI;2;2026-03-26 1</t>
  </si>
  <si>
    <t>13863219;17bb6332-ed7b-4ebb-bd10-bddbefc8745e;;111111118;Vodacom Life 20260324;;;;;NI;2;2026-03-26 12:38:05+02;Maureen Ntsoko;2026-03-24 09:54:08+02;2026-03-24 09:54:08+02;;;;;;;;;27827706873;;;;;;;;prepaid life;;;;;</t>
  </si>
  <si>
    <t>ID_2080</t>
  </si>
  <si>
    <t>13863371;a6814f60-91d5-4454-b41e-b1075dc12808;;111111118;Vodacom Life 20260324;;;;;AA;5;2026-05-23 0</t>
  </si>
  <si>
    <t>13863371;a6814f60-91d5-4454-b41e-b1075dc12808;;111111118;Vodacom Life 20260324;;;;;AA;5;2026-05-23 09:26:06+02;system;2026-03-24 09:54:08+02;2026-03-24 09:54:08+02;;;;;;;;;27774096980;;;;;;;;prepaid life;;;;;</t>
  </si>
  <si>
    <t>ID_2081</t>
  </si>
  <si>
    <t>13863220;604f9659-328f-44d8-9bef-21fd536c7b26;;111111118;Vodacom Life 20260324;;;27827911182;;IABDN;</t>
  </si>
  <si>
    <t>13863220;604f9659-328f-44d8-9bef-21fd536c7b26;;111111118;Vodacom Life 20260324;;;27827911182;;IABDN;5;2026-05-25 09:08:41+02;system;2026-03-24 09:54:08+02;2026-03-24 09:54:08+02;;;;;;;;;27827911182;;;;;;;;prepaid life;;;;;</t>
  </si>
  <si>
    <t>ID_2082</t>
  </si>
  <si>
    <t>13863294;6485a6d0-c991-4607-bc42-1c20cb4816ed;;111111118;Vodacom Life 20260324;;;;;DROP;5;2026-05-25</t>
  </si>
  <si>
    <t>13863294;6485a6d0-c991-4607-bc42-1c20cb4816ed;;111111118;Vodacom Life 20260324;;;;;DROP;5;2026-05-25 08:18:49+02;system;2026-03-24 09:54:08+02;2026-03-24 09:54:08+02;;;;;;;;;27723031559;;;;;;;;prepaid life;;;;;</t>
  </si>
  <si>
    <t>ID_2083</t>
  </si>
  <si>
    <t>13863295;3c46187a-fc92-4cd6-85e5-7e499287e0dd;;111111118;Vodacom Life 20260324;;;27723140648;;DROP;5</t>
  </si>
  <si>
    <t>13863295;3c46187a-fc92-4cd6-85e5-7e499287e0dd;;111111118;Vodacom Life 20260324;;;27723140648;;DROP;5;2026-05-25 08:18:49+02;system;2026-03-24 09:54:08+02;2026-03-24 09:54:08+02;;;;;;;;;27723140648;;;;;;;;prepaid life;;;;;</t>
  </si>
  <si>
    <t>ID_2084</t>
  </si>
  <si>
    <t>13863372;2ad37291-68b9-4804-9d41-1e8f8eaa44cd;;111111118;Vodacom Life 20260324;;;;;NA;5;2026-05-23 0</t>
  </si>
  <si>
    <t>13863372;2ad37291-68b9-4804-9d41-1e8f8eaa44cd;;111111118;Vodacom Life 20260324;;;;;NA;5;2026-05-23 09:26:11+02;system;2026-03-24 09:54:08+02;2026-03-24 09:54:08+02;;;;;;;;;27774601825;;;;;;;;prepaid life;;;;;</t>
  </si>
  <si>
    <t>ID_2085</t>
  </si>
  <si>
    <t>13863296;04c5c2ad-d829-4988-b57d-9667c70d641a;;111111118;Vodacom Life 20260324;;;;;DROP;5;2026-05-25</t>
  </si>
  <si>
    <t>13863296;04c5c2ad-d829-4988-b57d-9667c70d641a;;111111118;Vodacom Life 20260324;;;;;DROP;5;2026-05-25 08:10:56+02;system;2026-03-24 09:54:08+02;2026-03-24 09:54:08+02;;;;;;;;;27723906749;;;;;;;;prepaid life;;;;;</t>
  </si>
  <si>
    <t>ID_2086</t>
  </si>
  <si>
    <t>13863221;8a94878c-6f0d-494b-8aaa-7070a2da30cd;;111111118;Vodacom Life 20260324;;;27828347815;;NA;5;2</t>
  </si>
  <si>
    <t>13863221;8a94878c-6f0d-494b-8aaa-7070a2da30cd;;111111118;Vodacom Life 20260324;;;27828347815;;NA;5;2026-05-25 08:42:08+02;system;2026-03-24 09:54:08+02;2026-03-24 09:54:08+02;;;;;;;;;27828347815;;;;;;;;prepaid life;;;;;</t>
  </si>
  <si>
    <t>ID_2087</t>
  </si>
  <si>
    <t>13863373;875d8266-1f6c-4578-8ead-2a12a87f4da1;;111111118;Vodacom Life 20260324;;;27774703290;;IABDN;</t>
  </si>
  <si>
    <t>13863373;875d8266-1f6c-4578-8ead-2a12a87f4da1;;111111118;Vodacom Life 20260324;;;27774703290;;IABDN;5;2026-05-23 10:47:24+02;system;2026-03-24 09:54:08+02;2026-03-24 09:54:08+02;;;;;;;;;27774703290;;;;;;;;prepaid life;;;;;</t>
  </si>
  <si>
    <t>ID_2088</t>
  </si>
  <si>
    <t>13863222;0a8f1181-fece-4f45-bab7-345b5d6bc737;;111111118;Vodacom Life 20260324;;;;;U;2;2026-04-09 12</t>
  </si>
  <si>
    <t>13863222;0a8f1181-fece-4f45-bab7-345b5d6bc737;;111111118;Vodacom Life 20260324;;;;;U;2;2026-04-09 12:23:45+02;Millicent Motsuku;2026-03-24 09:54:08+02;2026-03-24 09:54:08+02;;;;;;;;;27829274982;;;;;;;;prepaid life;;;;;</t>
  </si>
  <si>
    <t>ID_2089</t>
  </si>
  <si>
    <t>13863297;ea4c3ba8-92fb-4f0f-bcf0-5be4f24123f5;;111111118;Vodacom Life 20260324;;;27724023787;;A;5;20</t>
  </si>
  <si>
    <t>13863297;ea4c3ba8-92fb-4f0f-bcf0-5be4f24123f5;;111111118;Vodacom Life 20260324;;;27724023787;;A;5;2026-05-25 08:10:56+02;bongiwe lushaba;2026-03-24 09:54:08+02;2026-03-24 09:54:08+02;;;;;;;;;27724023787;;;;;;;;prepaid life;;;;;</t>
  </si>
  <si>
    <t>ID_2090</t>
  </si>
  <si>
    <t>13863298;68af534a-bf98-4f06-a90c-15d2ab96a71e;;111111118;Vodacom Life 20260324;;;;;NA;5;2026-05-25 0</t>
  </si>
  <si>
    <t>13863298;68af534a-bf98-4f06-a90c-15d2ab96a71e;;111111118;Vodacom Life 20260324;;;;;NA;5;2026-05-25 08:10:54+02;system;2026-03-24 09:54:08+02;2026-03-24 09:54:08+02;;;;;;;;;27724081138;;;;;;;;prepaid life;;;;;</t>
  </si>
  <si>
    <t>ID_2091</t>
  </si>
  <si>
    <t>13863299;f2e41882-f87b-4eaf-bcf8-a8ebae048f99;;111111118;Vodacom Life 20260324;;;;;DROP;5;2026-05-25</t>
  </si>
  <si>
    <t>13863299;f2e41882-f87b-4eaf-bcf8-a8ebae048f99;;111111118;Vodacom Life 20260324;;;;;DROP;5;2026-05-25 08:11:15+02;system;2026-03-24 09:54:08+02;2026-03-24 09:54:08+02;;;;;;;;;27724112105;;;;;;;;prepaid life;;;;;</t>
  </si>
  <si>
    <t>ID_2092</t>
  </si>
  <si>
    <t>13863300;ef4344bd-d1f1-4cf2-8020-590676626f4b;;111111118;Vodacom Life 20260324;;;;;NI;4;2026-05-07 1</t>
  </si>
  <si>
    <t>13863300;ef4344bd-d1f1-4cf2-8020-590676626f4b;;111111118;Vodacom Life 20260324;;;;;NI;4;2026-05-07 15:09:31+02;Musiiwa Mary Mabirimisa;2026-03-24 09:54:08+02;2026-03-24 09:54:08+02;;;;;;;;;27724433222;;;;;;;;prepaid life;;;;;</t>
  </si>
  <si>
    <t>ID_2093</t>
  </si>
  <si>
    <t>13863223;909d1efa-66c9-4d4d-814d-bcc59e0a7613;;111111118;Vodacom Life 20260324;;;;;AE;5;2026-05-25 1</t>
  </si>
  <si>
    <t>13863223;909d1efa-66c9-4d4d-814d-bcc59e0a7613;;111111118;Vodacom Life 20260324;;;;;AE;5;2026-05-25 10:47:02+02;system;2026-03-24 09:54:08+02;2026-03-24 09:54:08+02;;;;;;;;;27829770071;;;;;;;;prepaid life;;;;;</t>
  </si>
  <si>
    <t>ID_2094</t>
  </si>
  <si>
    <t>13863224;97c3b9b5-198d-4ad2-a7e6-9f2f7d5b4195;;111111118;Vodacom Life 20260324;;;;;DROP;5;2026-05-22</t>
  </si>
  <si>
    <t>13863224;97c3b9b5-198d-4ad2-a7e6-9f2f7d5b4195;;111111118;Vodacom Life 20260324;;;;;DROP;5;2026-05-22 14:48:44+02;system;2026-03-24 09:54:08+02;2026-03-24 09:54:08+02;;;;;;;;;27829949475;;;;;;;;prepaid life;;;;;</t>
  </si>
  <si>
    <t>ID_2095</t>
  </si>
  <si>
    <t>13863375;36e0f299-4962-43f1-b22b-f59e7f2571ac;;111111118;Vodacom Life 20260324;;;27784949835;;IABDN;</t>
  </si>
  <si>
    <t>13863375;36e0f299-4962-43f1-b22b-f59e7f2571ac;;111111118;Vodacom Life 20260324;;;27784949835;;IABDN;5;2026-05-23 10:06:28+02;system;2026-03-24 09:54:08+02;2026-03-24 09:54:08+02;;;;;;;;;27784949835;;;;;;;;prepaid life;;;;;</t>
  </si>
  <si>
    <t>ID_2096</t>
  </si>
  <si>
    <t>13863225;4546a5b7-1355-421f-a93e-8c57af5329b2;;111111118;Vodacom Life 20260324;;;;;AE;5;2026-05-25 0</t>
  </si>
  <si>
    <t>13863225;4546a5b7-1355-421f-a93e-8c57af5329b2;;111111118;Vodacom Life 20260324;;;;;AE;5;2026-05-25 08:30:27+02;system;2026-03-24 09:54:08+02;2026-03-24 09:54:08+02;;;;;;;;;27836864068;;;;;;;;prepaid life;;;;;</t>
  </si>
  <si>
    <t>ID_2097</t>
  </si>
  <si>
    <t>13863301;b2cd3bf3-6872-4a98-91fc-037104078e19;;111111118;Vodacom Life 20260324;;;;;AA;5;2026-05-25 0</t>
  </si>
  <si>
    <t>13863301;b2cd3bf3-6872-4a98-91fc-037104078e19;;111111118;Vodacom Life 20260324;;;;;AA;5;2026-05-25 08:24:28+02;system;2026-03-24 09:54:08+02;2026-03-24 09:54:08+02;;;;;;;;;27724646432;;;;;;;;prepaid life;;;;;</t>
  </si>
  <si>
    <t>ID_2098</t>
  </si>
  <si>
    <t>13863376;25f11a4c-6722-46b8-9668-9d4e17a52ab1;;111111118;Vodacom Life 20260324;;;;;AE;5;2026-05-23 0</t>
  </si>
  <si>
    <t>13863376;25f11a4c-6722-46b8-9668-9d4e17a52ab1;;111111118;Vodacom Life 20260324;;;;;AE;5;2026-05-23 09:29:15+02;system;2026-03-24 09:54:08+02;2026-03-24 09:54:08+02;;;;;;;;;27788044512;;;;;;;;prepaid life;;;;;</t>
  </si>
  <si>
    <t>ID_2099</t>
  </si>
  <si>
    <t>13863302;331b4278-cb74-4961-aa7e-a5301a9f8d1e;;111111118;Vodacom Life 20260324;;;;;AA;5;2026-05-25 0</t>
  </si>
  <si>
    <t>13863302;331b4278-cb74-4961-aa7e-a5301a9f8d1e;;111111118;Vodacom Life 20260324;;;;;AA;5;2026-05-25 08:10:45+02;system;2026-03-24 09:54:08+02;2026-03-24 09:54:08+02;;;;;;;;;27724695720;;;;;;;;prepaid life;;;;;</t>
  </si>
  <si>
    <t>ID_2100</t>
  </si>
  <si>
    <t>13863226;903744ba-0258-44fa-9bc3-615f3b83eefd;;111111118;Vodacom Life 20260324;;;;;DROP;5;2026-05-25</t>
  </si>
  <si>
    <t>13863226;903744ba-0258-44fa-9bc3-615f3b83eefd;;111111118;Vodacom Life 20260324;;;;;DROP;5;2026-05-25 08:30:26+02;system;2026-03-24 09:54:08+02;2026-03-24 09:54:08+02;;;;;;;;;27848807269;;;;;;;;prepaid life;;;;;</t>
  </si>
  <si>
    <t>ID_2101</t>
  </si>
  <si>
    <t>13863377;c3cc5b04-d50d-442e-aa2c-52274a7c953e;;111111118;Vodacom Life 20260324;;;27790250088;;A;5;20</t>
  </si>
  <si>
    <t>13863377;c3cc5b04-d50d-442e-aa2c-52274a7c953e;;111111118;Vodacom Life 20260324;;;27790250088;;A;5;2026-05-25 09:38:27+02;Khensane Mabasa;2026-03-24 09:54:08+02;2026-03-24 09:54:08+02;;;;;;;;;27790250088;;;;;;;;prepaid life;;;;;</t>
  </si>
  <si>
    <t>ID_2102</t>
  </si>
  <si>
    <t xml:space="preserve">13863227;ee0f06b7-8697-4a1c-bbb8-59dd91ad225b;;111111118;Vodacom Life 20260324;;;;;ADC;5;2026-05-25 </t>
  </si>
  <si>
    <t>13863227;ee0f06b7-8697-4a1c-bbb8-59dd91ad225b;;111111118;Vodacom Life 20260324;;;;;ADC;5;2026-05-25 08:30:27+02;system;2026-03-24 09:54:08+02;2026-03-24 09:54:08+02;;;;;;;;;27606427309;;;;;;;;prepaid life;;;;;</t>
  </si>
  <si>
    <t>ID_2103</t>
  </si>
  <si>
    <t>13863303;ff3cb3fe-6eba-432f-8e94-d44a521de7d0;;111111118;Vodacom Life 20260324;;;;;AF;3;2026-04-15 0</t>
  </si>
  <si>
    <t>13863303;ff3cb3fe-6eba-432f-8e94-d44a521de7d0;;111111118;Vodacom Life 20260324;;;;;AF;3;2026-04-15 09:35:57+02;Seboifeng Mogola;2026-03-24 09:54:08+02;2026-03-24 09:54:08+02;;;;;;;;;27724784310;;;;;;;;prepaid life;;;;;</t>
  </si>
  <si>
    <t>ID_2104</t>
  </si>
  <si>
    <t>13863378;c31373f7-1b9c-428f-af49-7dc7f72f9067;;111111118;Vodacom Life 20260324;;;;;AE;5;2026-05-25 0</t>
  </si>
  <si>
    <t>13863378;c31373f7-1b9c-428f-af49-7dc7f72f9067;;111111118;Vodacom Life 20260324;;;;;AE;5;2026-05-25 09:38:59+02;system;2026-03-24 09:54:08+02;2026-03-24 09:54:08+02;;;;;;;;;27790500540;;;;;;;;prepaid life;;;;;</t>
  </si>
  <si>
    <t>ID_2105</t>
  </si>
  <si>
    <t>13863304;6f1a956a-1bb4-4d17-9fa9-43dea20b3a09;;111111118;Vodacom Life 20260324;;;;;AA;5;2026-05-25 0</t>
  </si>
  <si>
    <t>13863304;6f1a956a-1bb4-4d17-9fa9-43dea20b3a09;;111111118;Vodacom Life 20260324;;;;;AA;5;2026-05-25 08:10:45+02;system;2026-03-24 09:54:08+02;2026-03-24 09:54:08+02;;;;;;;;;27724846436;;;;;;;;prepaid life;;;;;</t>
  </si>
  <si>
    <t>ID_2106</t>
  </si>
  <si>
    <t>13863228;579322f4-185c-4786-9e19-73dba534b75c;;111111118;Vodacom Life 20260324;;;27606844327;;NA;5;2</t>
  </si>
  <si>
    <t>13863228;579322f4-185c-4786-9e19-73dba534b75c;;111111118;Vodacom Life 20260324;;;27606844327;;NA;5;2026-05-23 12:40:50+02;system;2026-03-24 09:54:08+02;2026-03-24 09:54:08+02;;;;;;;;;27606844327;;;;;;;;prepaid life;;;;;</t>
  </si>
  <si>
    <t>ID_2107</t>
  </si>
  <si>
    <t>13863379;9751ebac-7b3e-4505-8718-e92ca54892f0;;111111118;Vodacom Life 20260324;;;;;AA;5;2026-05-25 0</t>
  </si>
  <si>
    <t>13863379;9751ebac-7b3e-4505-8718-e92ca54892f0;;111111118;Vodacom Life 20260324;;;;;AA;5;2026-05-25 09:39:15+02;system;2026-03-24 09:54:08+02;2026-03-24 09:54:08+02;;;;;;;;;27790574553;;;;;;;;prepaid life;;;;;</t>
  </si>
  <si>
    <t>ID_2108</t>
  </si>
  <si>
    <t>13863229;ea98c5c8-f904-4c52-aeac-48ecf7c11872;;111111118;Vodacom Life 20260324;;;;;NA;5;2026-05-23 0</t>
  </si>
  <si>
    <t>13863229;ea98c5c8-f904-4c52-aeac-48ecf7c11872;;111111118;Vodacom Life 20260324;;;;;NA;5;2026-05-23 09:15:53+02;system;2026-03-24 09:54:08+02;2026-03-24 09:54:08+02;;;;;;;;;27606846188;;;;;;;;prepaid life;;;;;</t>
  </si>
  <si>
    <t>ID_2109</t>
  </si>
  <si>
    <t>13863305;ccdf09f8-341a-44ad-a17a-168ec0125c15;;111111118;Vodacom Life 20260324;;;;;AE;5;2026-05-25 0</t>
  </si>
  <si>
    <t>13863305;ccdf09f8-341a-44ad-a17a-168ec0125c15;;111111118;Vodacom Life 20260324;;;;;AE;5;2026-05-25 08:10:45+02;system;2026-03-24 09:54:08+02;2026-03-24 09:54:08+02;;;;;;;;;27725353822;;;;;;;;prepaid life;;;;;</t>
  </si>
  <si>
    <t>ID_2110</t>
  </si>
  <si>
    <t>13863306;f69f4080-3f06-459f-9163-9be8c4bfb221;;111111118;Vodacom Life 20260324;;;;;GTTB;5;2026-05-25</t>
  </si>
  <si>
    <t>13863306;f69f4080-3f06-459f-9163-9be8c4bfb221;;111111118;Vodacom Life 20260324;;;;;GTTB;5;2026-05-25 08:08:47+02;Maureen Ntsoko;2026-03-24 09:54:08+02;2026-03-24 09:54:08+02;;;;;;;;;27725595578;;;;;;;;prepaid life;;;;;</t>
  </si>
  <si>
    <t>ID_2111</t>
  </si>
  <si>
    <t>13863380;46966a58-c1ac-4bf5-899b-7460a24e1a35;;111111118;Vodacom Life 20260324;;;;;DROP;5;2026-05-25</t>
  </si>
  <si>
    <t>13863380;46966a58-c1ac-4bf5-899b-7460a24e1a35;;111111118;Vodacom Life 20260324;;;;;DROP;5;2026-05-25 09:39:19+02;system;2026-03-24 09:54:08+02;2026-03-24 09:54:08+02;;;;;;;;;27790798898;;;;;;;;prepaid life;;;;;</t>
  </si>
  <si>
    <t>ID_2112</t>
  </si>
  <si>
    <t>13863307;00206d9e-60e0-4de7-b701-f8986fed888d;;111111118;Vodacom Life 20260324;;;;;NA;5;2026-05-25 0</t>
  </si>
  <si>
    <t>13863307;00206d9e-60e0-4de7-b701-f8986fed888d;;111111118;Vodacom Life 20260324;;;;;NA;5;2026-05-25 08:10:45+02;system;2026-03-24 09:54:08+02;2026-03-24 09:54:08+02;;;;;;;;;27725754548;;;;;;;;prepaid life;;;;;</t>
  </si>
  <si>
    <t>ID_2113</t>
  </si>
  <si>
    <t>13863230;834977ae-753c-480d-af7b-8df29d849e8b;;111111118;Vodacom Life 20260324;;;;;DROP;5;2026-05-25</t>
  </si>
  <si>
    <t>13863230;834977ae-753c-480d-af7b-8df29d849e8b;;111111118;Vodacom Life 20260324;;;;;DROP;5;2026-05-25 08:30:26+02;system;2026-03-24 09:54:08+02;2026-03-24 09:54:08+02;;;;;;;;;27608061600;;;;;;;;prepaid life;;;;;</t>
  </si>
  <si>
    <t>ID_2114</t>
  </si>
  <si>
    <t xml:space="preserve">13863381;6bd45c89-7261-4c24-8a67-e02002211256;;111111118;Vodacom Life 20260324;;;;;CCB;5;2026-04-01 </t>
  </si>
  <si>
    <t>13863381;6bd45c89-7261-4c24-8a67-e02002211256;;111111118;Vodacom Life 20260324;;;;;CCB;5;2026-04-01 14:39:00+02;Musiiwa Mary Mabirimisa;2026-03-24 09:54:08+02;2026-03-24 09:54:08+02;;;;;;;;;27791390569;;;;;;;;prepaid life;;;;;</t>
  </si>
  <si>
    <t>ID_2115</t>
  </si>
  <si>
    <t xml:space="preserve">13863231;8b8567c4-c302-435d-8f3e-6d3539eab0e5;;111111118;Vodacom Life 20260324;;;;;ADC;5;2026-05-23 </t>
  </si>
  <si>
    <t>13863231;8b8567c4-c302-435d-8f3e-6d3539eab0e5;;111111118;Vodacom Life 20260324;;;;;ADC;5;2026-05-23 09:15:53+02;system;2026-03-24 09:54:08+02;2026-03-24 09:54:08+02;;;;;;;;;27608070535;;;;;;;;prepaid life;;;;;</t>
  </si>
  <si>
    <t>ID_2116</t>
  </si>
  <si>
    <t xml:space="preserve">13863308;0c7de278-c4d9-4612-b6e5-11d68ff075ae;;111111118;Vodacom Life 20260324;;;;;ADC;5;2026-05-25 </t>
  </si>
  <si>
    <t>13863308;0c7de278-c4d9-4612-b6e5-11d68ff075ae;;111111118;Vodacom Life 20260324;;;;;ADC;5;2026-05-25 08:24:28+02;system;2026-03-24 09:54:08+02;2026-03-24 09:54:08+02;;;;;;;;;27726291530;;;;;;;;prepaid life;;;;;</t>
  </si>
  <si>
    <t>ID_2117</t>
  </si>
  <si>
    <t>13863382;37df712d-f5e2-40e6-b705-0699bc107074;;111111118;Vodacom Life 20260324;;;27791908876;;IABDN;</t>
  </si>
  <si>
    <t>13863382;37df712d-f5e2-40e6-b705-0699bc107074;;111111118;Vodacom Life 20260324;;;27791908876;;IABDN;5;2026-05-25 14:13:27+02;system;2026-03-24 09:54:08+02;2026-03-24 09:54:08+02;;;;;;;;;27791908876;;;;;;;;prepaid life;;;;;</t>
  </si>
  <si>
    <t>ID_2118</t>
  </si>
  <si>
    <t>13863309;63c6a86e-68b2-4b07-8ba2-88cae97bbb75;;111111118;Vodacom Life 20260324;;;27726533232;;CCB;5;</t>
  </si>
  <si>
    <t>13863309;63c6a86e-68b2-4b07-8ba2-88cae97bbb75;;111111118;Vodacom Life 20260324;;;27726533232;;CCB;5;2026-05-25 08:25:09+02;Khensane Mabasa;2026-03-24 09:54:08+02;2026-03-24 09:54:08+02;;;;;;;;;27726533232;;;;;;;;prepaid life;;;;;</t>
  </si>
  <si>
    <t>ID_2119</t>
  </si>
  <si>
    <t xml:space="preserve">13863232;71ac9417-08a0-4dbd-a19b-04a5c50a68fd;;111111118;Vodacom Life 20260324;;;;;ADC;5;2026-05-23 </t>
  </si>
  <si>
    <t>13863232;71ac9417-08a0-4dbd-a19b-04a5c50a68fd;;111111118;Vodacom Life 20260324;;;;;ADC;5;2026-05-23 09:15:53+02;system;2026-03-24 09:54:08+02;2026-03-24 09:54:08+02;;;;;;;;;27608107992;;;;;;;;prepaid life;;;;;</t>
  </si>
  <si>
    <t>ID_2120</t>
  </si>
  <si>
    <t>13863383;79a5d731-9592-4116-8c74-f7452a81ff9e;;111111118;Vodacom Life 20260324;;;;;CU;5;2026-05-25 1</t>
  </si>
  <si>
    <t>13863383;79a5d731-9592-4116-8c74-f7452a81ff9e;;111111118;Vodacom Life 20260324;;;;;CU;5;2026-05-25 14:11:24+02;Khensane Mabasa;2026-03-24 09:54:08+02;2026-03-24 09:54:08+02;;;;;;;;;27792235716;;;;;;;;prepaid life;;;;;</t>
  </si>
  <si>
    <t>ID_2121</t>
  </si>
  <si>
    <t>13863233;4b268549-153a-4dac-8e65-ea5733d5edd8;;111111118;Vodacom Life 20260324;;;;;AA;5;2026-05-23 0</t>
  </si>
  <si>
    <t>13863233;4b268549-153a-4dac-8e65-ea5733d5edd8;;111111118;Vodacom Life 20260324;;;;;AA;5;2026-05-23 09:16:11+02;system;2026-03-24 09:54:08+02;2026-03-24 09:54:08+02;;;;;;;;;27609216252;;;;;;;;prepaid life;;;;;</t>
  </si>
  <si>
    <t>ID_2122</t>
  </si>
  <si>
    <t>13863310;ff9d2afc-7c0f-4e1c-a340-9af3459a25e9;;111111118;Vodacom Life 20260324;;;;;DROP;5;2026-05-25</t>
  </si>
  <si>
    <t>13863310;ff9d2afc-7c0f-4e1c-a340-9af3459a25e9;;111111118;Vodacom Life 20260324;;;;;DROP;5;2026-05-25 08:24:51+02;system;2026-03-24 09:54:08+02;2026-03-24 09:54:08+02;;;;;;;;;27727226423;;;;;;;;prepaid life;;;;;</t>
  </si>
  <si>
    <t>ID_2123</t>
  </si>
  <si>
    <t>13863384;c3b391f9-f9e6-4142-b9aa-09a9002a33c4;;111111118;Vodacom Life 20260324;;;;;DROP;5;2026-05-25</t>
  </si>
  <si>
    <t>13863384;c3b391f9-f9e6-4142-b9aa-09a9002a33c4;;111111118;Vodacom Life 20260324;;;;;DROP;5;2026-05-25 14:11:29+02;system;2026-03-24 09:54:08+02;2026-03-24 09:54:08+02;;;;;;;;;27792406802;;;;;;;;prepaid life;;;;;</t>
  </si>
  <si>
    <t>ID_2124</t>
  </si>
  <si>
    <t>13863311;8325b69e-0908-451f-b141-fa5017317b9d;;111111118;Vodacom Life 20260324;;;27727593465;;A;5;20</t>
  </si>
  <si>
    <t>13863311;8325b69e-0908-451f-b141-fa5017317b9d;;111111118;Vodacom Life 20260324;;;27727593465;;A;5;2026-05-25 09:31:02+02;bongiwe lushaba;2026-03-24 09:54:08+02;2026-03-24 09:54:08+02;;;;;;;;;27727593465;;;;;;;;prepaid life;;;;;</t>
  </si>
  <si>
    <t>ID_2125</t>
  </si>
  <si>
    <t>13863312;974aa7ad-7733-48e5-bb12-fc4e14b4c457;;111111118;Vodacom Life 20260324;;;;;NA;5;2026-05-23 0</t>
  </si>
  <si>
    <t>13863312;974aa7ad-7733-48e5-bb12-fc4e14b4c457;;111111118;Vodacom Life 20260324;;;;;NA;5;2026-05-23 09:21:38+02;system;2026-03-24 09:54:08+02;2026-03-24 09:54:08+02;;;;;;;;;27727658058;;;;;;;;prepaid life;;;;;</t>
  </si>
  <si>
    <t>ID_2126</t>
  </si>
  <si>
    <t>13863234;89c3acef-b541-45e7-8530-9067f3e59d37;;111111118;Vodacom Life 20260324;;;;;CBACK;5;2026-05-2</t>
  </si>
  <si>
    <t>13863234;89c3acef-b541-45e7-8530-9067f3e59d37;;111111118;Vodacom Life 20260324;;;;;CBACK;5;2026-05-23 09:16:11+02;Maureen Ntsoko;2026-03-24 09:54:08+02;2026-03-24 09:54:08+02;;;;;;;;;27609476337;;;;;;;;prepaid life;;;;;</t>
  </si>
  <si>
    <t>ID_2127</t>
  </si>
  <si>
    <t>13863385;0b518647-283e-4f65-b6fb-4dbae59985c2;;111111118;Vodacom Life 20260324;;;;;EC;1;2026-03-30 1</t>
  </si>
  <si>
    <t>13863385;0b518647-283e-4f65-b6fb-4dbae59985c2;;111111118;Vodacom Life 20260324;;;;;EC;1;2026-03-30 12:17:24+02;bongiwe lushaba;2026-03-24 09:54:08+02;2026-03-24 09:54:08+02;;;;;;;;;27792445883;;;;;;;;prepaid life;;;;;</t>
  </si>
  <si>
    <t>ID_2128</t>
  </si>
  <si>
    <t>13863386;baa3002b-3348-4661-b631-f8cb88315283;;111111118;Vodacom Life 20260324;;;;;CBACK;4;2026-05-2</t>
  </si>
  <si>
    <t>13863386;baa3002b-3348-4661-b631-f8cb88315283;;111111118;Vodacom Life 20260324;;;;;CBACK;4;2026-05-20 09:14:46+02;Maureen Ntsoko;2026-03-24 09:54:08+02;2026-03-24 09:54:08+02;;;;;;;;;27792568481;;;;;;;;prepaid life;;;;;</t>
  </si>
  <si>
    <t>ID_2129</t>
  </si>
  <si>
    <t>13863235;c9ce433a-d432-4318-a63a-768e4a8ef5d9;;111111118;Vodacom Life 20260324;;;;;AA;5;2026-05-23 0</t>
  </si>
  <si>
    <t>13863235;c9ce433a-d432-4318-a63a-768e4a8ef5d9;;111111118;Vodacom Life 20260324;;;;;AA;5;2026-05-23 09:16:17+02;system;2026-03-24 09:54:08+02;2026-03-24 09:54:08+02;;;;;;;;;27609593237;;;;;;;;prepaid life;;;;;</t>
  </si>
  <si>
    <t>ID_2130</t>
  </si>
  <si>
    <t>13863313;daaa9f0f-a0da-4e29-9bd8-12d0d5d561df;;111111118;Vodacom Life 20260324;;;;;AE;5;2026-05-23 1</t>
  </si>
  <si>
    <t>13863313;daaa9f0f-a0da-4e29-9bd8-12d0d5d561df;;111111118;Vodacom Life 20260324;;;;;AE;5;2026-05-23 12:49:49+02;system;2026-03-24 09:54:08+02;2026-03-24 09:54:08+02;;;;;;;;;27727832357;;;;;;;;prepaid life;;;;;</t>
  </si>
  <si>
    <t>ID_2131</t>
  </si>
  <si>
    <t>13863314;419f8eb0-7f14-4d1e-9cbf-7ede9f24367a;;111111118;Vodacom Life 20260324;;;;;NI;5;2026-05-23 0</t>
  </si>
  <si>
    <t>13863314;419f8eb0-7f14-4d1e-9cbf-7ede9f24367a;;111111118;Vodacom Life 20260324;;;;;NI;5;2026-05-23 09:21:38+02;Maureen Ntsoko;2026-03-24 09:54:08+02;2026-03-24 09:54:08+02;;;;;;;;;27727975820;;;;;;;;prepaid life;;;;;</t>
  </si>
  <si>
    <t>ID_2132</t>
  </si>
  <si>
    <t>13863387;5938ef27-56f4-4fbd-b12c-9858f4b3408f;;111111118;Vodacom Life 20260324;;;;;AA;5;2026-05-25 1</t>
  </si>
  <si>
    <t>13863387;5938ef27-56f4-4fbd-b12c-9858f4b3408f;;111111118;Vodacom Life 20260324;;;;;AA;5;2026-05-25 14:11:29+02;system;2026-03-24 09:54:08+02;2026-03-24 09:54:08+02;;;;;;;;;27792615725;;;;;;;;prepaid life;;;;;</t>
  </si>
  <si>
    <t>ID_2133</t>
  </si>
  <si>
    <t>13863315;aa146c59-1710-4f39-b9c5-355f7c43e63e;;111111118;Vodacom Life 20260324;;;;;AA;5;2026-05-23 0</t>
  </si>
  <si>
    <t>13863315;aa146c59-1710-4f39-b9c5-355f7c43e63e;;111111118;Vodacom Life 20260324;;;;;AA;5;2026-05-23 09:21:38+02;system;2026-03-24 09:54:08+02;2026-03-24 09:54:08+02;;;;;;;;;27728019437;;;;;;;;prepaid life;;;;;</t>
  </si>
  <si>
    <t>ID_2134</t>
  </si>
  <si>
    <t>13863236;cebfe3bc-b122-43d1-831e-f52cbe096c43;;111111118;Vodacom Life 20260324;;;;;AA;5;2026-05-23 0</t>
  </si>
  <si>
    <t>13863236;cebfe3bc-b122-43d1-831e-f52cbe096c43;;111111118;Vodacom Life 20260324;;;;;AA;5;2026-05-23 09:19:01+02;system;2026-03-24 09:54:08+02;2026-03-24 09:54:08+02;;;;;;;;;27630232434;;;;;;;;prepaid life;;;;;</t>
  </si>
  <si>
    <t>ID_2135</t>
  </si>
  <si>
    <t>13863388;9a460d37-f215-4c4c-ac43-b47680fa4a07;;111111118;Vodacom Life 20260324;;;;;AA;5;2026-05-25 1</t>
  </si>
  <si>
    <t>13863388;9a460d37-f215-4c4c-ac43-b47680fa4a07;;111111118;Vodacom Life 20260324;;;;;AA;5;2026-05-25 14:11:29+02;system;2026-03-24 09:54:08+02;2026-03-24 09:54:08+02;;;;;;;;;27792670064;;;;;;;;prepaid life;;;;;</t>
  </si>
  <si>
    <t>ID_2136</t>
  </si>
  <si>
    <t>13863237;141eb61d-db51-4cd9-82e1-1d10dd5fa22e;;111111118;Vodacom Life 20260324;;;;;SELECTED;1;;;2026</t>
  </si>
  <si>
    <t>13863237;141eb61d-db51-4cd9-82e1-1d10dd5fa22e;;111111118;Vodacom Life 20260324;;;;;SELECTED;1;;;2026-03-24 09:54:08+02;2026-03-24 09:54:08+02;;;;;;;;;27636425234;;;;;;;;prepaid life;;;;;</t>
  </si>
  <si>
    <t>ID_2137</t>
  </si>
  <si>
    <t>13863389;dcf4e33d-9d3b-4190-8d3f-c6e6471cf1b4;;111111118;Vodacom Life 20260324;;;27792675826;;AA;5;2</t>
  </si>
  <si>
    <t>13863389;dcf4e33d-9d3b-4190-8d3f-c6e6471cf1b4;;111111118;Vodacom Life 20260324;;;27792675826;;AA;5;2026-05-25 14:11:35+02;system;2026-03-24 09:54:08+02;2026-03-24 09:54:08+02;;;;;;;;;27792675826;;;;;;;;prepaid life;;;;;</t>
  </si>
  <si>
    <t>ID_2138</t>
  </si>
  <si>
    <t>13863238;5b5510e3-3691-4697-a459-d3632408fcd3;;111111118;Vodacom Life 20260324;;;;;DROP;5;2026-05-25</t>
  </si>
  <si>
    <t>13863238;5b5510e3-3691-4697-a459-d3632408fcd3;;111111118;Vodacom Life 20260324;;;;;DROP;5;2026-05-25 08:29:39+02;system;2026-03-24 09:54:08+02;2026-03-24 09:54:08+02;;;;;;;;;27636713907;;;;;;;;prepaid life;;;;;</t>
  </si>
  <si>
    <t>ID_2139</t>
  </si>
  <si>
    <t>13863316;52a4104e-6648-4436-9865-7ee5715c5c61;;111111118;Vodacom Life 20260324;;;27728614164;;IABDN;</t>
  </si>
  <si>
    <t>13863316;52a4104e-6648-4436-9865-7ee5715c5c61;;111111118;Vodacom Life 20260324;;;27728614164;;IABDN;5;2026-05-23 09:45:16+02;system;2026-03-24 09:54:08+02;2026-03-24 09:54:08+02;;;;;;;;;27728614164;;;;;;;;prepaid life;;;;;</t>
  </si>
  <si>
    <t>ID_2140</t>
  </si>
  <si>
    <t>13863390;79211b68-368e-4bed-9375-e4731097c796;;111111118;Vodacom Life 20260324;;;;;NA;5;2026-05-25 1</t>
  </si>
  <si>
    <t>13863390;79211b68-368e-4bed-9375-e4731097c796;;111111118;Vodacom Life 20260324;;;;;NA;5;2026-05-25 11:56:53+02;system;2026-03-24 09:54:08+02;2026-03-24 09:54:08+02;;;;;;;;;27792788521;;;;;;;;prepaid life;;;;;</t>
  </si>
  <si>
    <t>ID_2141</t>
  </si>
  <si>
    <t>13863317;f286daa7-b716-457b-9266-96415a65c501;;111111118;Vodacom Life 20260324;;;;;DROP;5;2026-05-23</t>
  </si>
  <si>
    <t>13863317;f286daa7-b716-457b-9266-96415a65c501;;111111118;Vodacom Life 20260324;;;;;DROP;5;2026-05-23 09:21:43+02;system;2026-03-24 09:54:08+02;2026-03-24 09:54:08+02;;;;;;;;;27728616293;;;;;;;;prepaid life;;;;;</t>
  </si>
  <si>
    <t>ID_2142</t>
  </si>
  <si>
    <t>13863239;8029ea9a-b3e9-4c3c-8d97-617e625f072e;;111111118;Vodacom Life 20260324;;;;;AA;5;2026-05-25 0</t>
  </si>
  <si>
    <t>13863239;8029ea9a-b3e9-4c3c-8d97-617e625f072e;;111111118;Vodacom Life 20260324;;;;;AA;5;2026-05-25 08:29:36+02;system;2026-03-24 09:54:08+02;2026-03-24 09:54:08+02;;;;;;;;;27637285974;;;;;;;;prepaid life;;;;;</t>
  </si>
  <si>
    <t>ID_2143</t>
  </si>
  <si>
    <t>13863391;748031c6-dc07-4fb9-a1c3-eda78d216175;;111111118;Vodacom Life 20260324;;;;;CU;5;2026-05-25 1</t>
  </si>
  <si>
    <t>13863391;748031c6-dc07-4fb9-a1c3-eda78d216175;;111111118;Vodacom Life 20260324;;;;;CU;5;2026-05-25 11:17:05+02;Maureen Ntsoko;2026-03-24 09:54:08+02;2026-03-24 09:54:08+02;;;;;;;;;27792888367;;;;;;;;prepaid life;;;;;</t>
  </si>
  <si>
    <t>ID_2144</t>
  </si>
  <si>
    <t>13863240;062dadce-ca1c-4c4d-a2ed-868526d7cacd;;111111118;Vodacom Life 20260324;;;;;AE;5;2026-05-25 0</t>
  </si>
  <si>
    <t>13863240;062dadce-ca1c-4c4d-a2ed-868526d7cacd;;111111118;Vodacom Life 20260324;;;;;AE;5;2026-05-25 08:24:52+02;system;2026-03-24 09:54:08+02;2026-03-24 09:54:08+02;;;;;;;;;27637540560;;;;;;;;prepaid life;;;;;</t>
  </si>
  <si>
    <t>ID_2145</t>
  </si>
  <si>
    <t>13863318;6e5c903b-8be0-41ca-8fb3-ffa40d9374f5;;111111118;Vodacom Life 20260324;;;;;AE;5;2026-05-23 0</t>
  </si>
  <si>
    <t>13863318;6e5c903b-8be0-41ca-8fb3-ffa40d9374f5;;111111118;Vodacom Life 20260324;;;;;AE;5;2026-05-23 09:22:06+02;system;2026-03-24 09:54:08+02;2026-03-24 09:54:08+02;;;;;;;;;27728691563;;;;;;;;prepaid life;;;;;</t>
  </si>
  <si>
    <t>ID_2146</t>
  </si>
  <si>
    <t>13863392;f2e8b31c-71f5-44c0-abd2-199301544a47;;111111118;Vodacom Life 20260324;;;;;AA;5;2026-05-23 0</t>
  </si>
  <si>
    <t>13863392;f2e8b31c-71f5-44c0-abd2-199301544a47;;111111118;Vodacom Life 20260324;;;;;AA;5;2026-05-23 09:28:29+02;system;2026-03-24 09:54:08+02;2026-03-24 09:54:08+02;;;;;;;;;27792965433;;;;;;;;prepaid life;;;;;</t>
  </si>
  <si>
    <t>ID_2147</t>
  </si>
  <si>
    <t>13863319;938d401d-4c85-4be4-b1fe-71b1dffd3350;;111111118;Vodacom Life 20260324;;;;;NI;3;2026-04-15 0</t>
  </si>
  <si>
    <t>13863319;938d401d-4c85-4be4-b1fe-71b1dffd3350;;111111118;Vodacom Life 20260324;;;;;NI;3;2026-04-15 09:19:35+02;Seboifeng Mogola;2026-03-24 09:54:08+02;2026-03-24 09:54:08+02;;;;;;;;;27729318370;;;;;;;;prepaid life;;;;;</t>
  </si>
  <si>
    <t>ID_2148</t>
  </si>
  <si>
    <t>13863241;208f6169-be05-408a-ac69-bc364661ac8f;;111111118;Vodacom Life 20260324;;;;;AF;1;2026-03-24 1</t>
  </si>
  <si>
    <t>13863241;208f6169-be05-408a-ac69-bc364661ac8f;;111111118;Vodacom Life 20260324;;;;;AF;1;2026-03-24 12:37:47+02;Seboifeng Mogola;2026-03-24 09:54:08+02;2026-03-24 09:54:08+02;;;;;;;;;27637560551;;;;;;;;prepaid life;;;;;</t>
  </si>
  <si>
    <t>ID_2149</t>
  </si>
  <si>
    <t>13863393;9a3a956a-53b7-4f65-b7fc-034399ab8f28;;111111118;Vodacom Life 20260324;;;;;NA;5;2026-05-25 1</t>
  </si>
  <si>
    <t>13863393;9a3a956a-53b7-4f65-b7fc-034399ab8f28;;111111118;Vodacom Life 20260324;;;;;NA;5;2026-05-25 11:17:06+02;system;2026-03-24 09:54:08+02;2026-03-24 09:54:08+02;;;;;;;;;27793037838;;;;;;;;prepaid life;;;;;</t>
  </si>
  <si>
    <t>ID_2150</t>
  </si>
  <si>
    <t>13863242;6dff757b-f792-4fb8-a104-ce5dd118f384;;111111118;Vodacom Life 20260324;;;;;DQQD;6;2026-05-25</t>
  </si>
  <si>
    <t>13863242;6dff757b-f792-4fb8-a104-ce5dd118f384;;111111118;Vodacom Life 20260324;;;;;DQQD;6;2026-05-25 08:45:31+02;Khensane Mabasa;2026-03-24 09:54:08+02;2026-03-24 09:54:08+02;;;;;;;;;27646088589;;;;;;;;prepaid life;;;;;</t>
  </si>
  <si>
    <t>ID_2151</t>
  </si>
  <si>
    <t>13863320;d0e0a0ac-a4c9-47d2-a2a3-786013ba8c2b;;111111118;Vodacom Life 20260324;;;;;AA;5;2026-05-23 0</t>
  </si>
  <si>
    <t>13863320;d0e0a0ac-a4c9-47d2-a2a3-786013ba8c2b;;111111118;Vodacom Life 20260324;;;;;AA;5;2026-05-23 09:22:06+02;system;2026-03-24 09:54:08+02;2026-03-24 09:54:08+02;;;;;;;;;27729519722;;;;;;;;prepaid life;;;;;</t>
  </si>
  <si>
    <t>ID_2152</t>
  </si>
  <si>
    <t>13863394;bb317ddf-18d0-47f6-b120-26791c091c2b;;111111118;Vodacom Life 20260324;;;27793063657;;NA;5;2</t>
  </si>
  <si>
    <t>13863394;bb317ddf-18d0-47f6-b120-26791c091c2b;;111111118;Vodacom Life 20260324;;;27793063657;;NA;5;2026-05-23 09:28:29+02;system;2026-03-24 09:54:08+02;2026-03-24 09:54:08+02;;;;;;;;;27793063657;;;;;;;;prepaid life;;;;;</t>
  </si>
  <si>
    <t>ID_2153</t>
  </si>
  <si>
    <t>13863321;6b635485-6862-4aec-8f66-c13ddaf6bbc6;;111111118;Vodacom Life 20260324;;;;;AA;5;2026-05-23 0</t>
  </si>
  <si>
    <t>13863321;6b635485-6862-4aec-8f66-c13ddaf6bbc6;;111111118;Vodacom Life 20260324;;;;;AA;5;2026-05-23 09:24:30+02;system;2026-03-24 09:54:08+02;2026-03-24 09:54:08+02;;;;;;;;;27729928355;;;;;;;;prepaid life;;;;;</t>
  </si>
  <si>
    <t>ID_2154</t>
  </si>
  <si>
    <t>13863243;d528ccab-1a08-416a-b195-094ab5b7e33e;;111111118;Vodacom Life 20260324;;;;;DNQS;4;2026-04-15</t>
  </si>
  <si>
    <t>13863243;d528ccab-1a08-416a-b195-094ab5b7e33e;;111111118;Vodacom Life 20260324;;;;;DNQS;4;2026-04-15 12:12:31+02;Millicent Motsuku;2026-03-24 09:54:08+02;2026-03-24 09:54:08+02;;;;;;;;;27646202687;;;;;;;;prepaid life;;;;;</t>
  </si>
  <si>
    <t>ID_2155</t>
  </si>
  <si>
    <t>13863395;9f41621b-7f4c-4c26-826a-ed9ff1efd2f8;;111111118;Vodacom Life 20260324;;;27793142393;;A;5;20</t>
  </si>
  <si>
    <t>13863395;9f41621b-7f4c-4c26-826a-ed9ff1efd2f8;;111111118;Vodacom Life 20260324;;;27793142393;;A;5;2026-05-23 09:29:01+02;bongiwe lushaba;2026-03-24 09:54:08+02;2026-03-24 09:54:08+02;;;;;;;;;27793142393;;;;;;;;prepaid life;;;;;</t>
  </si>
  <si>
    <t>ID_2156</t>
  </si>
  <si>
    <t>13863322;69638dea-c1da-4684-b9c9-8ca873a10cfb;;111111118;Vodacom Life 20260324;;;;;CU;6;2026-04-29 1</t>
  </si>
  <si>
    <t>13863322;69638dea-c1da-4684-b9c9-8ca873a10cfb;;111111118;Vodacom Life 20260324;;;;;CU;6;2026-04-29 12:47:57+02;Maureen Ntsoko;2026-03-24 09:54:08+02;2026-03-24 09:54:08+02;;;;;;;;;27729941355;;;;;;;;prepaid life;;;;;</t>
  </si>
  <si>
    <t>ID_2157</t>
  </si>
  <si>
    <t>13863396;a195c816-c243-47f5-8585-880042a46dc2;;111111118;Vodacom Life 20260324;;;;;NA;5;2026-05-23 0</t>
  </si>
  <si>
    <t>13863396;a195c816-c243-47f5-8585-880042a46dc2;;111111118;Vodacom Life 20260324;;;;;NA;5;2026-05-23 09:28:29+02;system;2026-03-24 09:54:08+02;2026-03-24 09:54:08+02;;;;;;;;;27793470256;;;;;;;;prepaid life;;;;;</t>
  </si>
  <si>
    <t>ID_2158</t>
  </si>
  <si>
    <t>13863323;18c8129a-f21e-4668-af3f-44aa4ec93392;;111111118;Vodacom Life 20260324;;;;;AA;5;2026-05-25 0</t>
  </si>
  <si>
    <t>13863323;18c8129a-f21e-4668-af3f-44aa4ec93392;;111111118;Vodacom Life 20260324;;;;;AA;5;2026-05-25 08:07:52+02;system;2026-03-24 09:54:08+02;2026-03-24 09:54:08+02;;;;;;;;;27732146511;;;;;;;;prepaid life;;;;;</t>
  </si>
  <si>
    <t>ID_2159</t>
  </si>
  <si>
    <t>13863244;47ba54b3-413b-4328-9168-9e9eba7185e5;;111111118;Vodacom Life 20260324;;;;;AA;5;2026-05-23 0</t>
  </si>
  <si>
    <t>13863244;47ba54b3-413b-4328-9168-9e9eba7185e5;;111111118;Vodacom Life 20260324;;;;;AA;5;2026-05-23 09:17:06+02;system;2026-03-24 09:54:08+02;2026-03-24 09:54:08+02;;;;;;;;;27647399859;;;;;;;;prepaid life;;;;;</t>
  </si>
  <si>
    <t>ID_2160</t>
  </si>
  <si>
    <t>13863245;8ab97c55-7c05-4dbb-91f9-c3cc18af6a17;;111111118;Vodacom Life 20260324;;;27647689684;;IABDN;</t>
  </si>
  <si>
    <t>13863245;8ab97c55-7c05-4dbb-91f9-c3cc18af6a17;;111111118;Vodacom Life 20260324;;;27647689684;;IABDN;5;2026-05-25 08:26:24+02;system;2026-03-24 09:54:08+02;2026-03-24 09:54:08+02;;;;;;;;;27647689684;;;;;;;;prepaid life;;;;;</t>
  </si>
  <si>
    <t>ID_2161</t>
  </si>
  <si>
    <t>13863397;f6cd23ac-1042-4339-95be-9995f91afce9;;111111118;Vodacom Life 20260324;;;;;NI;4;2026-05-19 1</t>
  </si>
  <si>
    <t>13863397;f6cd23ac-1042-4339-95be-9995f91afce9;;111111118;Vodacom Life 20260324;;;;;NI;4;2026-05-19 10:37:23+02;Maureen Ntsoko;2026-03-24 09:54:08+02;2026-03-24 09:54:08+02;;;;;;;;;27793770155;;;;;;;;prepaid life;;;;;</t>
  </si>
  <si>
    <t>ID_2162</t>
  </si>
  <si>
    <t>13863246;5feae7f1-2d86-4dce-8078-5cc401345ad1;;111111118;Vodacom Life 20260324;;;;;NA;5;2026-05-23 0</t>
  </si>
  <si>
    <t>13863246;5feae7f1-2d86-4dce-8078-5cc401345ad1;;111111118;Vodacom Life 20260324;;;;;NA;5;2026-05-23 09:17:06+02;system;2026-03-24 09:54:08+02;2026-03-24 09:54:08+02;;;;;;;;;27648246725;;;;;;;;prepaid life;;;;;</t>
  </si>
  <si>
    <t>ID_2163</t>
  </si>
  <si>
    <t xml:space="preserve">13863324;3f49af51-eb13-4912-85ca-58349c96d2d8;;111111118;Vodacom Life 20260324;;;;;ADC;5;2026-05-25 </t>
  </si>
  <si>
    <t>13863324;3f49af51-eb13-4912-85ca-58349c96d2d8;;111111118;Vodacom Life 20260324;;;;;ADC;5;2026-05-25 08:07:36+02;system;2026-03-24 09:54:08+02;2026-03-24 09:54:08+02;;;;;;;;;27732745777;;;;;;;;prepaid life;;;;;</t>
  </si>
  <si>
    <t>ID_2164</t>
  </si>
  <si>
    <t>13863325;ad6d8058-9244-4a3d-9a23-9affaf3603b7;;111111118;Vodacom Life 20260324;;;;;AE;5;2026-05-25 0</t>
  </si>
  <si>
    <t>13863325;ad6d8058-9244-4a3d-9a23-9affaf3603b7;;111111118;Vodacom Life 20260324;;;;;AE;5;2026-05-25 08:06:58+02;system;2026-03-24 09:54:08+02;2026-03-24 09:54:08+02;;;;;;;;;27743746482;;;;;;;;prepaid life;;;;;</t>
  </si>
  <si>
    <t>ID_2165</t>
  </si>
  <si>
    <t>13863398;9fdb3800-4b5f-42c5-bb25-c25dd4e576db;;111111118;Vodacom Life 20260324;;;;;NIUP;1;2026-03-27</t>
  </si>
  <si>
    <t>13863398;9fdb3800-4b5f-42c5-bb25-c25dd4e576db;;111111118;Vodacom Life 20260324;;;;;NIUP;1;2026-03-27 10:36:05+02;Seboifeng Mogola;2026-03-24 09:54:08+02;2026-03-24 09:54:08+02;;;;;;;;;27793943772;;;;;;;;prepaid life;;;;;</t>
  </si>
  <si>
    <t>ID_2166</t>
  </si>
  <si>
    <t>13863326;f8b1d97c-afc3-4047-8a7f-4b2957f6fb91;;111111118;Vodacom Life 20260324;;;;;NI;4;2026-05-20 1</t>
  </si>
  <si>
    <t>13863326;f8b1d97c-afc3-4047-8a7f-4b2957f6fb91;;111111118;Vodacom Life 20260324;;;;;NI;4;2026-05-20 10:00:12+02;Khensane Mabasa;2026-03-24 09:54:08+02;2026-03-24 09:54:08+02;;;;;;;;;27760630971;;;;;;;;prepaid life;;;;;</t>
  </si>
  <si>
    <t>ID_2167</t>
  </si>
  <si>
    <t>13863247;60deb58b-e113-4fc5-9a82-17c9f6f3971c;;111111118;Vodacom Life 20260324;;;;;A;5;2026-05-23 09</t>
  </si>
  <si>
    <t>13863247;60deb58b-e113-4fc5-9a82-17c9f6f3971c;;111111118;Vodacom Life 20260324;;;;;A;5;2026-05-23 09:17:06+02;bongiwe lushaba;2026-03-24 09:54:08+02;2026-03-24 09:54:08+02;;;;;;;;;27648865390;;;;;;;;prepaid life;;;;;</t>
  </si>
  <si>
    <t>ID_2168</t>
  </si>
  <si>
    <t>13863399;c34f38ff-54ae-4c3c-80ed-b8b35a298162;;111111118;Vodacom Life 20260324;;;;;NI;1;2026-04-01 1</t>
  </si>
  <si>
    <t>13863399;c34f38ff-54ae-4c3c-80ed-b8b35a298162;;111111118;Vodacom Life 20260324;;;;;NI;1;2026-04-01 12:43:14+02;Esther Ramalete;2026-03-24 09:54:08+02;2026-03-24 09:54:08+02;;;;;;;;;27794064393;;;;;;;;prepaid life;;;;;</t>
  </si>
  <si>
    <t>ID_2169</t>
  </si>
  <si>
    <t>13863400;7a0d3e6b-2cc6-41f0-9866-f2566c88e7a9;;111111118;Vodacom Life 20260324;;;;;N;5;2026-05-11 12</t>
  </si>
  <si>
    <t>13863400;7a0d3e6b-2cc6-41f0-9866-f2566c88e7a9;;111111118;Vodacom Life 20260324;;;;;N;5;2026-05-11 12:01:58+02;Seboifeng Mogola;2026-03-24 09:54:08+02;2026-03-24 09:54:08+02;;;;;;;;;27794077842;;;;;;;;prepaid life;;;;;</t>
  </si>
  <si>
    <t>ID_2170</t>
  </si>
  <si>
    <t>13863248;3757724a-28a5-4345-bc38-458fab80f9fb;;111111118;Vodacom Life 20260324;;;;;AA;5;2026-05-23 0</t>
  </si>
  <si>
    <t>13863248;3757724a-28a5-4345-bc38-458fab80f9fb;;111111118;Vodacom Life 20260324;;;;;AA;5;2026-05-23 09:18:09+02;system;2026-03-24 09:54:08+02;2026-03-24 09:54:08+02;;;;;;;;;27649583870;;;;;;;;prepaid life;;;;;</t>
  </si>
  <si>
    <t>ID_2171</t>
  </si>
  <si>
    <t>13863327;cbb8023f-e87b-476d-bb73-bae76d171b31;;111111118;Vodacom Life 20260324;;;;;AE;5;2026-05-25 0</t>
  </si>
  <si>
    <t>13863327;cbb8023f-e87b-476d-bb73-bae76d171b31;;111111118;Vodacom Life 20260324;;;;;AE;5;2026-05-25 08:06:58+02;system;2026-03-24 09:54:08+02;2026-03-24 09:54:08+02;;;;;;;;;27760631908;;;;;;;;prepaid life;;;;;</t>
  </si>
  <si>
    <t>ID_2172</t>
  </si>
  <si>
    <t>13863401;61483244-b9cc-4ddf-b328-c7b6601b4a57;;111111118;Vodacom Life 20260324;;;27794572475;;AA;5;2</t>
  </si>
  <si>
    <t>13863401;61483244-b9cc-4ddf-b328-c7b6601b4a57;;111111118;Vodacom Life 20260324;;;27794572475;;AA;5;2026-05-23 09:29:01+02;system;2026-03-24 09:54:08+02;2026-03-24 09:54:08+02;;;;;;;;;27794572475;;;;;;;;prepaid life;;;;;</t>
  </si>
  <si>
    <t>ID_2173</t>
  </si>
  <si>
    <t xml:space="preserve">13863328;01278bf3-c1e1-4ea0-b07b-e5c767d63312;;111111118;Vodacom Life 20260324;;;;;CCB;5;2026-05-25 </t>
  </si>
  <si>
    <t>13863328;01278bf3-c1e1-4ea0-b07b-e5c767d63312;;111111118;Vodacom Life 20260324;;;;;CCB;5;2026-05-25 08:06:58+02;Khensane Mabasa;2026-03-24 09:54:08+02;2026-03-24 09:54:08+02;;;;;;;;;27760835300;;;;;;;;prepaid life;;;;;</t>
  </si>
  <si>
    <t>ID_2174</t>
  </si>
  <si>
    <t>13863329;a92f6f18-f281-40fd-8c40-c09a1d15dd69;;111111118;Vodacom Life 20260324;;;;;DROP;5;2026-05-25</t>
  </si>
  <si>
    <t>13863329;a92f6f18-f281-40fd-8c40-c09a1d15dd69;;111111118;Vodacom Life 20260324;;;;;DROP;5;2026-05-25 08:06:58+02;system;2026-03-24 09:54:08+02;2026-03-24 09:54:08+02;;;;;;;;;27760897078;;;;;;;;prepaid life;;;;;</t>
  </si>
  <si>
    <t>ID_2175</t>
  </si>
  <si>
    <t>13863249;5b37b62a-1629-44aa-9565-fc0f4272e426;;111111118;Vodacom Life 20260324;;;27649612278;;AA;5;2</t>
  </si>
  <si>
    <t>13863249;5b37b62a-1629-44aa-9565-fc0f4272e426;;111111118;Vodacom Life 20260324;;;27649612278;;AA;5;2026-05-23 09:18:27+02;system;2026-03-24 09:54:08+02;2026-03-24 09:54:08+02;;;;;;;;;27649612278;;;;;;;;prepaid life;;;;;</t>
  </si>
  <si>
    <t>ID_2176</t>
  </si>
  <si>
    <t>13863402;508cc785-8f55-4671-a77c-c9fc2c566b0a;;111111118;Vodacom Life 20260324;;;;;NI;3;2026-04-15 0</t>
  </si>
  <si>
    <t>13863402;508cc785-8f55-4671-a77c-c9fc2c566b0a;;111111118;Vodacom Life 20260324;;;;;NI;3;2026-04-15 09:06:09+02;Thandile Nokubeni;2026-03-24 09:54:08+02;2026-03-24 09:54:08+02;;;;;;;;;27794808770;;;;;;;;prepaid life;;;;;</t>
  </si>
  <si>
    <t>ID_2177</t>
  </si>
  <si>
    <t>13863250;75852f78-c4a6-472d-9297-26f08a246f94;;111111118;Vodacom Life 20260324;;;;;N;6;2026-05-19 11</t>
  </si>
  <si>
    <t>13863250;75852f78-c4a6-472d-9297-26f08a246f94;;111111118;Vodacom Life 20260324;;;;;N;6;2026-05-19 11:26:15+02;bongiwe lushaba;2026-03-24 09:54:08+02;2026-03-24 09:54:08+02;;;;;;;;;27660003823;;;;;;;;prepaid life;;;;;</t>
  </si>
  <si>
    <t>ID_2178</t>
  </si>
  <si>
    <t>13863330;2a05b438-19a3-4100-841e-bd4e15555eed;;111111118;Vodacom Life 20260324;;;;;AA;5;2026-05-25 0</t>
  </si>
  <si>
    <t>13863330;2a05b438-19a3-4100-841e-bd4e15555eed;;111111118;Vodacom Life 20260324;;;;;AA;5;2026-05-25 08:07:47+02;system;2026-03-24 09:54:08+02;2026-03-24 09:54:08+02;;;;;;;;;27760947702;;;;;;;;prepaid life;;;;;</t>
  </si>
  <si>
    <t>ID_2179</t>
  </si>
  <si>
    <t>13863403;c255347a-6b86-448a-8ebe-c1d96a64ca4f;;111111118;Vodacom Life 20260324;;;;;CBACK;2;2026-03-2</t>
  </si>
  <si>
    <t>13863403;c255347a-6b86-448a-8ebe-c1d96a64ca4f;;111111118;Vodacom Life 20260324;;;;;CBACK;2;2026-03-27 10:45:19+02;Maureen Ntsoko;2026-03-24 09:54:08+02;2026-03-24 09:54:08+02;;;;;;;;;27795149608;;;;;;;;prepaid life;;;;;</t>
  </si>
  <si>
    <t>ID_2180</t>
  </si>
  <si>
    <t>13863404;887c2918-0838-4d88-bcd6-e5b091e57df2;;111111118;Vodacom Life 20260324;;;27795153341;;CU;5;2</t>
  </si>
  <si>
    <t>13863404;887c2918-0838-4d88-bcd6-e5b091e57df2;;111111118;Vodacom Life 20260324;;;27795153341;;CU;5;2026-05-23 09:29:58+02;Maureen Ntsoko;2026-03-24 09:54:08+02;2026-03-24 09:54:08+02;;;;;;;;;27795153341;;;;;;;;prepaid life;;;;;</t>
  </si>
  <si>
    <t>ID_2181</t>
  </si>
  <si>
    <t>13863251;9e19ae70-01e1-4615-baf3-763f4c45f062;;111111118;Vodacom Life 20260324;;;;;CBACK;4;2026-05-2</t>
  </si>
  <si>
    <t>13863251;9e19ae70-01e1-4615-baf3-763f4c45f062;;111111118;Vodacom Life 20260324;;;;;CBACK;4;2026-05-20 09:07:22+02;Maureen Ntsoko;2026-03-24 09:54:08+02;2026-03-24 09:54:08+02;;;;;;;;;27660020600;;;;;;;;prepaid life;;;;;</t>
  </si>
  <si>
    <t>ID_2182</t>
  </si>
  <si>
    <t>13863405;8001cb81-9d77-43c6-8f82-e9f361cc26f7;;111111118;Vodacom Life 20260324;;;;;NI;1;2026-04-01 1</t>
  </si>
  <si>
    <t>13863405;8001cb81-9d77-43c6-8f82-e9f361cc26f7;;111111118;Vodacom Life 20260324;;;;;NI;1;2026-04-01 10:36:34+02;Thandile Nokubeni;2026-03-24 09:54:08+02;2026-03-24 09:54:08+02;;;;;;;;;27795358048;;;;;;;;prepaid life;;;;;</t>
  </si>
  <si>
    <t>ID_2183</t>
  </si>
  <si>
    <t>13863331;797589c2-abe7-48ce-9e23-a764d134f8b1;;111111118;Vodacom Life 20260324;;;;;AA;5;2026-05-23 0</t>
  </si>
  <si>
    <t>13863331;797589c2-abe7-48ce-9e23-a764d134f8b1;;111111118;Vodacom Life 20260324;;;;;AA;5;2026-05-23 09:23:54+02;system;2026-03-24 09:54:08+02;2026-03-24 09:54:08+02;;;;;;;;;27760988837;;;;;;;;prepaid life;;;;;</t>
  </si>
  <si>
    <t>ID_2184</t>
  </si>
  <si>
    <t>13863406;b233d8ff-6a78-479a-838c-5375958324d7;;111111118;Vodacom Life 20260324;;;;;NA;5;2026-05-23 0</t>
  </si>
  <si>
    <t>13863406;b233d8ff-6a78-479a-838c-5375958324d7;;111111118;Vodacom Life 20260324;;;;;NA;5;2026-05-23 09:28:35+02;system;2026-03-24 09:54:08+02;2026-03-24 09:54:08+02;;;;;;;;;27795852774;;;;;;;;prepaid life;;;;;</t>
  </si>
  <si>
    <t>ID_2185</t>
  </si>
  <si>
    <t>13863332;c7991dab-cc2c-4dbc-96b4-955904d9fad5;;111111118;Vodacom Life 20260324;;;;;CBACK;3;2026-04-1</t>
  </si>
  <si>
    <t>13863332;c7991dab-cc2c-4dbc-96b4-955904d9fad5;;111111118;Vodacom Life 20260324;;;;;CBACK;3;2026-04-15 09:18:43+02;Maureen Ntsoko;2026-03-24 09:54:08+02;2026-03-24 09:54:08+02;;;;;;;;;27761067387;;;;;;;;prepaid life;;;;;</t>
  </si>
  <si>
    <t>ID_2186</t>
  </si>
  <si>
    <t>13863252;58387c46-fbd3-4163-8ca0-235120bc3122;;111111118;Vodacom Life 20260324;;;;;NI;2;2026-04-09 1</t>
  </si>
  <si>
    <t>13863252;58387c46-fbd3-4163-8ca0-235120bc3122;;111111118;Vodacom Life 20260324;;;;;NI;2;2026-04-09 12:19:19+02;Esther Ramalete;2026-03-24 09:54:08+02;2026-03-24 09:54:08+02;;;;;;;;;27660126952;;;;;;;;prepaid life;;;;;</t>
  </si>
  <si>
    <t>ID_2187</t>
  </si>
  <si>
    <t>13863407;62cadbf9-cd8f-43d3-b950-c4d6a69ad2e8;;111111118;Vodacom Life 20260324;;;;;NI;4;2026-05-07 1</t>
  </si>
  <si>
    <t>13863407;62cadbf9-cd8f-43d3-b950-c4d6a69ad2e8;;111111118;Vodacom Life 20260324;;;;;NI;4;2026-05-07 12:50:19+02;Esther Ramalete;2026-03-24 09:54:08+02;2026-03-24 09:54:08+02;;;;;;;;;27795949886;;;;;;;;prepaid life;;;;;</t>
  </si>
  <si>
    <t>ID_2188</t>
  </si>
  <si>
    <t>13863253;e2bfb783-02d3-4c4e-9d20-250693254a89;;111111118;Vodacom Life 20260324;;;;;U;3;2026-03-30 12</t>
  </si>
  <si>
    <t>13863253;e2bfb783-02d3-4c4e-9d20-250693254a89;;111111118;Vodacom Life 20260324;;;;;U;3;2026-03-30 12:15:24+02;Musiiwa Mary Mabirimisa;2026-03-24 09:54:08+02;2026-03-24 09:54:08+02;;;;;;;;;27660372919;;;;;;;;prepaid life;;;;;</t>
  </si>
  <si>
    <t>ID_2189</t>
  </si>
  <si>
    <t>13863333;c3405e17-3cc5-47d1-ad9a-799518176a7c;;111111118;Vodacom Life 20260324;;;;;AA;5;2026-05-25 0</t>
  </si>
  <si>
    <t>13863333;c3405e17-3cc5-47d1-ad9a-799518176a7c;;111111118;Vodacom Life 20260324;;;;;AA;5;2026-05-25 08:07:47+02;system;2026-03-24 09:54:08+02;2026-03-24 09:54:08+02;;;;;;;;;27761287397;;;;;;;;prepaid life;;;;;</t>
  </si>
  <si>
    <t>ID_2190</t>
  </si>
  <si>
    <t>13863334;075105ae-8ee4-4856-a1a4-a98c9a55488b;;111111118;Vodacom Life 20260324;;;;;DNQS;1;2026-03-24</t>
  </si>
  <si>
    <t>13863334;075105ae-8ee4-4856-a1a4-a98c9a55488b;;111111118;Vodacom Life 20260324;;;;;DNQS;1;2026-03-24 13:26:28+02;Esther Ramalete;2026-03-24 09:54:08+02;2026-03-24 09:54:08+02;;;;;;;;;27761822986;;;;;;;;prepaid life;;;;;</t>
  </si>
  <si>
    <t>ID_2191</t>
  </si>
  <si>
    <t>13863408;a3846127-9430-4d70-a8f7-2c1e940bec0a;;111111118;Vodacom Life 20260324;;;;;NA;5;2026-05-25 1</t>
  </si>
  <si>
    <t>13863408;a3846127-9430-4d70-a8f7-2c1e940bec0a;;111111118;Vodacom Life 20260324;;;;;NA;5;2026-05-25 12:31:29+02;system;2026-03-24 09:54:08+02;2026-03-24 09:54:08+02;;;;;;;;;27795977139;;;;;;;;prepaid life;;;;;</t>
  </si>
  <si>
    <t>ID_2192</t>
  </si>
  <si>
    <t>13863254;71941785-9e4a-4853-bd92-c7be7d75dafb;;111111118;Vodacom Life 20260324;;;;;CU;5;2026-05-23 0</t>
  </si>
  <si>
    <t>13863254;71941785-9e4a-4853-bd92-c7be7d75dafb;;111111118;Vodacom Life 20260324;;;;;CU;5;2026-05-23 09:19:01+02;bongiwe lushaba;2026-03-24 09:54:08+02;2026-03-24 09:54:08+02;;;;;;;;;27660378986;;;;;;;;prepaid life;;;;;</t>
  </si>
  <si>
    <t>ID_2193</t>
  </si>
  <si>
    <t>13863409;4efeaeaf-4986-4a50-932c-14d7b7de9248;;111111118;Vodacom Life 20260324;;;;;AA;5;2026-05-23 0</t>
  </si>
  <si>
    <t>13863409;4efeaeaf-4986-4a50-932c-14d7b7de9248;;111111118;Vodacom Life 20260324;;;;;AA;5;2026-05-23 09:28:35+02;system;2026-03-24 09:54:08+02;2026-03-24 09:54:08+02;;;;;;;;;27796020720;;;;;;;;prepaid life;;;;;</t>
  </si>
  <si>
    <t>ID_2194</t>
  </si>
  <si>
    <t>13863335;9fb50005-5b12-4ffa-a5cb-e77b55821eba;;111111118;Vodacom Life 20260324;;;;;AA;5;2026-05-23 0</t>
  </si>
  <si>
    <t>13863335;9fb50005-5b12-4ffa-a5cb-e77b55821eba;;111111118;Vodacom Life 20260324;;;;;AA;5;2026-05-23 09:23:54+02;system;2026-03-24 09:54:08+02;2026-03-24 09:54:08+02;;;;;;;;;27761917664;;;;;;;;prepaid life;;;;;</t>
  </si>
  <si>
    <t>ID_2195</t>
  </si>
  <si>
    <t>13863410;b49b965a-8e42-4d37-94b4-3ec36e542fad;;111111118;Vodacom Life 20260324;;;;;AE;5;2026-05-23 0</t>
  </si>
  <si>
    <t>13863410;b49b965a-8e42-4d37-94b4-3ec36e542fad;;111111118;Vodacom Life 20260324;;;;;AE;5;2026-05-23 09:28:35+02;system;2026-03-24 09:54:08+02;2026-03-24 09:54:08+02;;;;;;;;;27796292659;;;;;;;;prepaid life;;;;;</t>
  </si>
  <si>
    <t>ID_2196</t>
  </si>
  <si>
    <t>13863336;686910d8-3631-4e4b-a85d-eda5cc116909;;111111118;Vodacom Life 20260324;;;;;AA;5;2026-05-23 0</t>
  </si>
  <si>
    <t>13863336;686910d8-3631-4e4b-a85d-eda5cc116909;;111111118;Vodacom Life 20260324;;;;;AA;5;2026-05-23 09:23:54+02;system;2026-03-24 09:54:08+02;2026-03-24 09:54:08+02;;;;;;;;;27762191274;;;;;;;;prepaid life;;;;;</t>
  </si>
  <si>
    <t>ID_2197</t>
  </si>
  <si>
    <t>13863255;8c6373b7-42bc-4e16-a925-fecbf4cb5c2c;;111111118;Vodacom Life 20260324;;;;;DNQS;3;2026-04-15</t>
  </si>
  <si>
    <t>13863255;8c6373b7-42bc-4e16-a925-fecbf4cb5c2c;;111111118;Vodacom Life 20260324;;;;;DNQS;3;2026-04-15 11:29:12+02;Musiiwa Mary Mabirimisa;2026-03-24 09:54:08+02;2026-03-24 09:54:08+02;;;;;;;;;27660530356;;;;;;;;prepaid life;;;;;</t>
  </si>
  <si>
    <t>ID_2198</t>
  </si>
  <si>
    <t>13863411;8f4694cb-14e6-4af2-a7d0-35e5fceb9cb7;;111111118;Vodacom Life 20260324;;;;;CU;5;2026-05-23 0</t>
  </si>
  <si>
    <t>13863411;8f4694cb-14e6-4af2-a7d0-35e5fceb9cb7;;111111118;Vodacom Life 20260324;;;;;CU;5;2026-05-23 09:28:35+02;Maureen Ntsoko;2026-03-24 09:54:08+02;2026-03-24 09:54:08+02;;;;;;;;;27796658962;;;;;;;;prepaid life;;;;;</t>
  </si>
  <si>
    <t>ID_2199</t>
  </si>
  <si>
    <t>13863256;080a4fd3-728d-4812-b0e1-27f683bdcb75;;111111118;Vodacom Life 20260324;;;;;AA;5;2026-05-23 0</t>
  </si>
  <si>
    <t>13863256;080a4fd3-728d-4812-b0e1-27f683bdcb75;;111111118;Vodacom Life 20260324;;;;;AA;5;2026-05-23 09:18:03+02;system;2026-03-24 09:54:08+02;2026-03-24 09:54:08+02;;;;;;;;;27661096796;;;;;;;;prepaid life;;;;;</t>
  </si>
  <si>
    <t>ID_2200</t>
  </si>
  <si>
    <t>13863257;8d8b6b3c-db3e-4b09-a4e3-fd50587eb393;;111111118;Vodacom Life 20260324;;;;;AC;1;2026-03-30 1</t>
  </si>
  <si>
    <t>13863257;8d8b6b3c-db3e-4b09-a4e3-fd50587eb393;;111111118;Vodacom Life 20260324;;;;;AC;1;2026-03-30 11:54:57+02;Esther Ramalete;2026-03-24 09:54:08+02;2026-03-24 09:54:08+02;;;;;;;;;27662337518;;;;;;;;prepaid life;;;;;</t>
  </si>
  <si>
    <t>ID_2201</t>
  </si>
  <si>
    <t>13863337;7a2d3e65-ab69-4a67-ac3b-35638d80e745;;111111118;Vodacom Life 20260324;;;;;AA;5;2026-05-23 0</t>
  </si>
  <si>
    <t>13863337;7a2d3e65-ab69-4a67-ac3b-35638d80e745;;111111118;Vodacom Life 20260324;;;;;AA;5;2026-05-23 09:23:54+02;system;2026-03-24 09:54:08+02;2026-03-24 09:54:08+02;;;;;;;;;27762717626;;;;;;;;prepaid life;;;;;</t>
  </si>
  <si>
    <t>ID_2202</t>
  </si>
  <si>
    <t>13863412;aaae7370-7433-41d2-8f95-1692006c39fa;;111111118;Vodacom Life 20260324;;;;;NA;5;2026-05-23 0</t>
  </si>
  <si>
    <t>13863412;aaae7370-7433-41d2-8f95-1692006c39fa;;111111118;Vodacom Life 20260324;;;;;NA;5;2026-05-23 09:28:38+02;system;2026-03-24 09:54:08+02;2026-03-24 09:54:08+02;;;;;;;;;27796794524;;;;;;;;prepaid life;;;;;</t>
  </si>
  <si>
    <t>ID_2203</t>
  </si>
  <si>
    <t>13863338;139e5b9a-7803-482a-959b-ad1b9b3defad;;111111118;Vodacom Life 20260324;;;;;NI;4;2026-05-07 1</t>
  </si>
  <si>
    <t>13863338;139e5b9a-7803-482a-959b-ad1b9b3defad;;111111118;Vodacom Life 20260324;;;;;NI;4;2026-05-07 12:12:36+02;Maureen Ntsoko;2026-03-24 09:54:08+02;2026-03-24 09:54:08+02;;;;;;;;;27763060010;;;;;;;;prepaid life;;;;;</t>
  </si>
  <si>
    <t>ID_2204</t>
  </si>
  <si>
    <t>13863413;8b7b3333-f2bf-4098-bb9b-87e84b2b93bb;;111111118;Vodacom Life 20260324;;;;;U;5;2026-05-23 09</t>
  </si>
  <si>
    <t>13863413;8b7b3333-f2bf-4098-bb9b-87e84b2b93bb;;111111118;Vodacom Life 20260324;;;;;U;5;2026-05-23 09:29:01+02;bongiwe lushaba;2026-03-24 09:54:08+02;2026-03-24 09:54:08+02;;;;;;;;;27797270914;;;;;;;;prepaid life;;;;;</t>
  </si>
  <si>
    <t>ID_2205</t>
  </si>
  <si>
    <t>13863339;ca268597-4e24-434f-9f57-daf5d916ebbe;;111111118;Vodacom Life 20260324;;;;;AA;5;2026-05-23 0</t>
  </si>
  <si>
    <t>13863339;ca268597-4e24-434f-9f57-daf5d916ebbe;;111111118;Vodacom Life 20260324;;;;;AA;5;2026-05-23 09:23:58+02;system;2026-03-24 09:54:08+02;2026-03-24 09:54:08+02;;;;;;;;;27763107670;;;;;;;;prepaid life;;;;;</t>
  </si>
  <si>
    <t>ID_2206</t>
  </si>
  <si>
    <t>13863258;74a189c5-9054-49ba-9815-3f9de9309e4f;;111111118;Vodacom Life 20260324;;;;;NI;1;2026-03-24 1</t>
  </si>
  <si>
    <t>13863258;74a189c5-9054-49ba-9815-3f9de9309e4f;;111111118;Vodacom Life 20260324;;;;;NI;1;2026-03-24 12:41:31+02;Musiiwa Mary Mabirimisa;2026-03-24 09:54:08+02;2026-03-24 09:54:08+02;;;;;;;;;27663732633;;;;;;;;prepaid life;;;;;</t>
  </si>
  <si>
    <t>ID_2207</t>
  </si>
  <si>
    <t>13863414;62df6ec1-8d6a-47ff-ab20-07db56cdd82c;;111111118;Vodacom Life 20260324;;;;;AC;3;2026-04-15 1</t>
  </si>
  <si>
    <t>13863414;62df6ec1-8d6a-47ff-ab20-07db56cdd82c;;111111118;Vodacom Life 20260324;;;;;AC;3;2026-04-15 13:19:13+02;Thandile Nokubeni;2026-03-24 09:54:08+02;2026-03-24 09:54:08+02;;;;;;;;;27797337003;;;;;;;;prepaid life;;;;;</t>
  </si>
  <si>
    <t>ID_2208</t>
  </si>
  <si>
    <t>13863259;abcf3ec1-24b0-4b7d-9a61-c672a9cda3f0;;111111118;Vodacom Life 20260324;;;;;AA;5;2026-05-23 0</t>
  </si>
  <si>
    <t>13863259;abcf3ec1-24b0-4b7d-9a61-c672a9cda3f0;;111111118;Vodacom Life 20260324;;;;;AA;5;2026-05-23 09:18:03+02;system;2026-03-24 09:54:08+02;2026-03-24 09:54:08+02;;;;;;;;;27663921130;;;;;;;;prepaid life;;;;;</t>
  </si>
  <si>
    <t>ID_2209</t>
  </si>
  <si>
    <t>13863340;d32b7be9-52a8-4b04-8373-ec5e4f1e5388;;111111118;Vodacom Life 20260324;;;;;CU;5;2026-05-23 0</t>
  </si>
  <si>
    <t>13863340;d32b7be9-52a8-4b04-8373-ec5e4f1e5388;;111111118;Vodacom Life 20260324;;;;;CU;5;2026-05-23 09:23:58+02;bongiwe lushaba;2026-03-24 09:54:08+02;2026-03-24 09:54:08+02;;;;;;;;;27763332917;;;;;;;;prepaid life;;;;;</t>
  </si>
  <si>
    <t>ID_2210</t>
  </si>
  <si>
    <t>13863415;69308500-1d78-4342-95aa-005851c7af05;;111111118;Vodacom Life 20260324;;;;;DROP;5;2026-05-23</t>
  </si>
  <si>
    <t>13863415;69308500-1d78-4342-95aa-005851c7af05;;111111118;Vodacom Life 20260324;;;;;DROP;5;2026-05-23 09:29:14+02;system;2026-03-24 09:54:08+02;2026-03-24 09:54:08+02;;;;;;;;;27797423542;;;;;;;;prepaid life;;;;;</t>
  </si>
  <si>
    <t>ID_2211</t>
  </si>
  <si>
    <t>13863341;edfe1624-e31a-4e78-9174-85dbe55411fe;;111111118;Vodacom Life 20260324;;;;;AA;5;2026-05-23 0</t>
  </si>
  <si>
    <t>13863341;edfe1624-e31a-4e78-9174-85dbe55411fe;;111111118;Vodacom Life 20260324;;;;;AA;5;2026-05-23 09:23:58+02;system;2026-03-24 09:54:08+02;2026-03-24 09:54:08+02;;;;;;;;;27763638311;;;;;;;;prepaid life;;;;;</t>
  </si>
  <si>
    <t>ID_2212</t>
  </si>
  <si>
    <t xml:space="preserve">13863260;e54c9cab-99e5-4863-b4cb-92f92a93ee5c;;111111118;Vodacom Life 20260324;;;;;ADC;5;2026-05-23 </t>
  </si>
  <si>
    <t>13863260;e54c9cab-99e5-4863-b4cb-92f92a93ee5c;;111111118;Vodacom Life 20260324;;;;;ADC;5;2026-05-23 09:18:10+02;system;2026-03-24 09:54:08+02;2026-03-24 09:54:08+02;;;;;;;;;27665310983;;;;;;;;prepaid life;;;;;</t>
  </si>
  <si>
    <t>ID_2213</t>
  </si>
  <si>
    <t>13863416;a76b8cf2-7c6c-40c6-a86a-8ce0789fda5b;;111111118;Vodacom Life 20260324;;;;;AA;5;2026-05-25 1</t>
  </si>
  <si>
    <t>13863416;a76b8cf2-7c6c-40c6-a86a-8ce0789fda5b;;111111118;Vodacom Life 20260324;;;;;AA;5;2026-05-25 12:05:28+02;system;2026-03-24 09:54:08+02;2026-03-24 09:54:08+02;;;;;;;;;27797801074;;;;;;;;prepaid life;;;;;</t>
  </si>
  <si>
    <t>ID_2214</t>
  </si>
  <si>
    <t>13863261;42193ab0-1780-42d5-8c37-6caf4d9c9130;;111111118;Vodacom Life 20260324;;;27665333699;;IABDN;</t>
  </si>
  <si>
    <t>13863261;42193ab0-1780-42d5-8c37-6caf4d9c9130;;111111118;Vodacom Life 20260324;;;27665333699;;IABDN;5;2026-05-23 09:25:05+02;system;2026-03-24 09:54:08+02;2026-03-24 09:54:08+02;;;;;;;;;27665333699;;;;;;;;prepaid life;;;;;</t>
  </si>
  <si>
    <t>ID_2215</t>
  </si>
  <si>
    <t>13863342;e33ce522-96d9-4ef8-ad57-dc312576b5b9;;111111118;Vodacom Life 20260324;;;;;GTTB;3;2026-04-15</t>
  </si>
  <si>
    <t>13863342;e33ce522-96d9-4ef8-ad57-dc312576b5b9;;111111118;Vodacom Life 20260324;;;;;GTTB;3;2026-04-15 09:33:43+02;Seboifeng Mogola;2026-03-24 09:54:08+02;2026-03-24 09:54:08+02;;;;;;;;;27764545010;;;;;;;;prepaid life;;;;;</t>
  </si>
  <si>
    <t>ID_2216</t>
  </si>
  <si>
    <t xml:space="preserve">13863417;71453f65-fb50-4a07-a5ce-005689ebe16a;;111111118;Vodacom Life 20260324;;;;;ADC;5;2026-05-25 </t>
  </si>
  <si>
    <t>13863417;71453f65-fb50-4a07-a5ce-005689ebe16a;;111111118;Vodacom Life 20260324;;;;;ADC;5;2026-05-25 14:33:01+02;system;2026-03-24 09:54:08+02;2026-03-24 09:54:08+02;;;;;;;;;27797811624;;;;;;;;prepaid life;;;;;</t>
  </si>
  <si>
    <t>ID_2217</t>
  </si>
  <si>
    <t>13863262;2c3157a1-bfb5-4be9-bafd-dac33e3b985e;;111111118;Vodacom Life 20260324;;;;;AA;5;2026-05-23 0</t>
  </si>
  <si>
    <t>13863262;2c3157a1-bfb5-4be9-bafd-dac33e3b985e;;111111118;Vodacom Life 20260324;;;;;AA;5;2026-05-23 09:18:30+02;system;2026-03-24 09:54:08+02;2026-03-24 09:54:08+02;;;;;;;;;27673202724;;;;;;;;prepaid life;;;;;</t>
  </si>
  <si>
    <t>ID_2218</t>
  </si>
  <si>
    <t>13863418;e8a33ed7-d153-44a5-9c70-aa555ab1f764;;111111118;Vodacom Life 20260324;;;;;DROP;5;2026-05-25</t>
  </si>
  <si>
    <t>13863418;e8a33ed7-d153-44a5-9c70-aa555ab1f764;;111111118;Vodacom Life 20260324;;;;;DROP;5;2026-05-25 14:33:01+02;system;2026-03-24 09:54:08+02;2026-03-24 09:54:08+02;;;;;;;;;27798355187;;;;;;;;prepaid life;;;;;</t>
  </si>
  <si>
    <t>ID_2219</t>
  </si>
  <si>
    <t>13863263;356f456f-9290-4742-9207-ee2c2f7b135d;;111111118;Vodacom Life 20260324;;;;;AA;5;2026-05-23 0</t>
  </si>
  <si>
    <t>13863263;356f456f-9290-4742-9207-ee2c2f7b135d;;111111118;Vodacom Life 20260324;;;;;AA;5;2026-05-23 09:19:00+02;system;2026-03-24 09:54:08+02;2026-03-24 09:54:08+02;;;;;;;;;27674457232;;;;;;;;prepaid life;;;;;</t>
  </si>
  <si>
    <t>ID_2220</t>
  </si>
  <si>
    <t>13863343;3f53a6cf-d9a8-4c55-a28e-090a92f6d68a;;111111118;Vodacom Life 20260324;;;;;DROP;5;2026-05-23</t>
  </si>
  <si>
    <t>13863343;3f53a6cf-d9a8-4c55-a28e-090a92f6d68a;;111111118;Vodacom Life 20260324;;;;;DROP;5;2026-05-23 09:24:13+02;system;2026-03-24 09:54:08+02;2026-03-24 09:54:08+02;;;;;;;;;27764578909;;;;;;;;prepaid life;;;;;</t>
  </si>
  <si>
    <t>ID_2221</t>
  </si>
  <si>
    <t>13863419;f6cde940-c91b-4e28-95ca-b989a26ed390;;111111118;Vodacom Life 20260324;;;;;NA;5;2026-05-25 1</t>
  </si>
  <si>
    <t>13863419;f6cde940-c91b-4e28-95ca-b989a26ed390;;111111118;Vodacom Life 20260324;;;;;NA;5;2026-05-25 14:35:57+02;system;2026-03-24 09:54:08+02;2026-03-24 09:54:08+02;;;;;;;;;27798664239;;;;;;;;prepaid life;;;;;</t>
  </si>
  <si>
    <t>ID_2222</t>
  </si>
  <si>
    <t>13863344;a6f71623-40ac-42e1-9e2f-b8690f5f8996;;111111118;Vodacom Life 20260324;;;;;AA;5;2026-05-25 0</t>
  </si>
  <si>
    <t>13863344;a6f71623-40ac-42e1-9e2f-b8690f5f8996;;111111118;Vodacom Life 20260324;;;;;AA;5;2026-05-25 08:29:36+02;system;2026-03-24 09:54:08+02;2026-03-24 09:54:08+02;;;;;;;;;27764688997;;;;;;;;prepaid life;;;;;</t>
  </si>
  <si>
    <t>ID_2223</t>
  </si>
  <si>
    <t>13863264;1f887ef4-62b5-40a0-9e06-132489e5cad7;;111111118;Vodacom Life 20260324;;;;;CB;6;2026-05-26 1</t>
  </si>
  <si>
    <t>13863264;1f887ef4-62b5-40a0-9e06-132489e5cad7;;111111118;Vodacom Life 20260324;;;;;CB;6;2026-05-26 12:11:13+02;Khensane Mabasa;2026-03-24 09:54:08+02;2026-03-24 09:54:08+02;;;;;;;;;27674572902;;;;;;;;prepaid life;;;;;</t>
  </si>
  <si>
    <t>ID_2224</t>
  </si>
  <si>
    <t>13863420;024ca621-3524-4e25-9c9d-7f993a57e067;;111111118;Vodacom Life 20260324;;;;;A;5;2026-05-25 14</t>
  </si>
  <si>
    <t>13863420;024ca621-3524-4e25-9c9d-7f993a57e067;;111111118;Vodacom Life 20260324;;;;;A;5;2026-05-25 14:36:15+02;Khensane Mabasa;2026-03-24 09:54:08+02;2026-03-24 09:54:08+02;;;;;;;;;27799263385;;;;;;;;prepaid life;;;;;</t>
  </si>
  <si>
    <t>ID_2225</t>
  </si>
  <si>
    <t>13863265;d290cfdb-a6c7-4e07-9049-e4a6a12264bc;;111111118;Vodacom Life 20260324;;;;;NIUP;2;2026-04-09</t>
  </si>
  <si>
    <t>13863265;d290cfdb-a6c7-4e07-9049-e4a6a12264bc;;111111118;Vodacom Life 20260324;;;;;NIUP;2;2026-04-09 12:17:53+02;Millicent Motsuku;2026-03-24 09:54:08+02;2026-03-24 09:54:08+02;;;;;;;;;27711992466;;;;;;;;prepaid life;;;;;</t>
  </si>
  <si>
    <t>ID_2226</t>
  </si>
  <si>
    <t>13863345;4dcb4423-7988-4697-8f75-1a7dd4861703;;111111118;Vodacom Life 20260324;;;;;CU;5;2026-05-25 1</t>
  </si>
  <si>
    <t>13863345;4dcb4423-7988-4697-8f75-1a7dd4861703;;111111118;Vodacom Life 20260324;;;;;CU;5;2026-05-25 12:42:01+02;Maureen Ntsoko;2026-03-24 09:54:08+02;2026-03-24 09:54:08+02;;;;;;;;;27764950482;;;;;;;;prepaid life;;;;;</t>
  </si>
  <si>
    <t>ID_2227</t>
  </si>
  <si>
    <t>13863346;183c432e-3243-4847-bf6e-e90b16046e3b;;111111118;Vodacom Life 20260324;;;;;AA;5;2026-05-25 1</t>
  </si>
  <si>
    <t>13863346;183c432e-3243-4847-bf6e-e90b16046e3b;;111111118;Vodacom Life 20260324;;;;;AA;5;2026-05-25 12:42:01+02;system;2026-03-24 09:54:08+02;2026-03-24 09:54:08+02;;;;;;;;;27764951814;;;;;;;;prepaid life;;;;;</t>
  </si>
  <si>
    <t>ID_2228</t>
  </si>
  <si>
    <t>13863347;0ca2bee1-9087-440c-957c-65d7ff4499e3;;111111118;Vodacom Life 20260324;;;;;NI;1;2026-04-01 1</t>
  </si>
  <si>
    <t>13863347;0ca2bee1-9087-440c-957c-65d7ff4499e3;;111111118;Vodacom Life 20260324;;;;;NI;1;2026-04-01 12:43:18+02;Maureen Ntsoko;2026-03-24 09:54:08+02;2026-03-24 09:54:08+02;;;;;;;;;27765118096;;;;;;;;prepaid life;;;;;</t>
  </si>
  <si>
    <t>ID_2229</t>
  </si>
  <si>
    <t>13863266;1e26d599-9935-47c2-9dd4-5ea1862a688f;;111111118;Vodacom Life 20260324;;;;;NI;2;2026-04-09 1</t>
  </si>
  <si>
    <t>13863266;1e26d599-9935-47c2-9dd4-5ea1862a688f;;111111118;Vodacom Life 20260324;;;;;NI;2;2026-04-09 12:17:53+02;Thandile Nokubeni;2026-03-24 09:54:08+02;2026-03-24 09:54:08+02;;;;;;;;;27712132279;;;;;;;;prepaid life;;;;;</t>
  </si>
  <si>
    <t>ID_2230</t>
  </si>
  <si>
    <t>13863422;78a6ad4c-42dc-4d91-87f5-579eccaebb48;;111111118;Vodacom Life 20260324;;;;;NA;5;2026-05-25 1</t>
  </si>
  <si>
    <t>13863422;78a6ad4c-42dc-4d91-87f5-579eccaebb48;;111111118;Vodacom Life 20260324;;;;;NA;5;2026-05-25 14:38:48+02;system;2026-03-24 09:54:08+02;2026-03-24 09:54:08+02;;;;;;;;;27818108250;;;;;;;;prepaid life;;;;;</t>
  </si>
  <si>
    <t>ID_2231</t>
  </si>
  <si>
    <t>13863267;f1274ce8-c711-4c8f-940b-695143690228;;111111118;Vodacom Life 20260324;;;;;CU;6;2026-05-25 0</t>
  </si>
  <si>
    <t>13863267;f1274ce8-c711-4c8f-940b-695143690228;;111111118;Vodacom Life 20260324;;;;;CU;6;2026-05-25 08:25:48+02;bongiwe lushaba;2026-03-24 09:54:08+02;2026-03-24 09:54:08+02;;;;;;;;;27712624668;;;;;;;;prepaid life;;;;;</t>
  </si>
  <si>
    <t>ID_2232</t>
  </si>
  <si>
    <t>13863348;6b670853-62a1-4998-a7df-f9f03792f1c0;;111111118;Vodacom Life 20260324;;;;;AE;5;2026-05-25 1</t>
  </si>
  <si>
    <t>13863348;6b670853-62a1-4998-a7df-f9f03792f1c0;;111111118;Vodacom Life 20260324;;;;;AE;5;2026-05-25 12:42:01+02;system;2026-03-24 09:54:08+02;2026-03-24 09:54:08+02;;;;;;;;;27765924156;;;;;;;;prepaid life;;;;;</t>
  </si>
  <si>
    <t>ID_2233</t>
  </si>
  <si>
    <t xml:space="preserve">13863423;7d5af04d-736d-4d56-af9f-19e2db767435;;111111118;Vodacom Life 20260324;;;;;BLQ;5;2026-05-25 </t>
  </si>
  <si>
    <t>13863423;7d5af04d-736d-4d56-af9f-19e2db767435;;111111118;Vodacom Life 20260324;;;;;BLQ;5;2026-05-25 14:37:36+02;Maureen Ntsoko;2026-03-24 09:54:08+02;2026-03-24 09:54:08+02;;;;;;;;;27818706774;;;;;;;;prepaid life;;;;;</t>
  </si>
  <si>
    <t>ID_2234</t>
  </si>
  <si>
    <t>13863268;b9192f91-b771-4e5d-9c89-8453582fa463;;111111118;Vodacom Life 20260324;;;;;CBACK;1;2026-03-2</t>
  </si>
  <si>
    <t>13863268;b9192f91-b771-4e5d-9c89-8453582fa463;;111111118;Vodacom Life 20260324;;;;;CBACK;1;2026-03-24 12:44:33+02;Maureen Ntsoko;2026-03-24 09:54:08+02;2026-03-24 09:54:08+02;;;;;;;;;27712878696;;;;;;;;prepaid life;;;;;</t>
  </si>
  <si>
    <t>ID_2235</t>
  </si>
  <si>
    <t>13863424;56773169-033e-4823-a732-a7986ddf4d3d;;111111118;Vodacom Life 20260324;;;;;AA;5;2026-05-25 1</t>
  </si>
  <si>
    <t>13863424;56773169-033e-4823-a732-a7986ddf4d3d;;111111118;Vodacom Life 20260324;;;;;AA;5;2026-05-25 14:36:23+02;system;2026-03-24 09:54:08+02;2026-03-24 09:54:08+02;;;;;;;;;27818945205;;;;;;;;prepaid life;;;;;</t>
  </si>
  <si>
    <t>ID_2236</t>
  </si>
  <si>
    <t>13863269;07c1fefb-dbb2-420e-aa4c-bfcc3968fada;;111111118;Vodacom Life 20260324;;;;;DROP;5;2026-05-25</t>
  </si>
  <si>
    <t>13863269;07c1fefb-dbb2-420e-aa4c-bfcc3968fada;;111111118;Vodacom Life 20260324;;;;;DROP;5;2026-05-25 08:23:09+02;system;2026-03-24 09:54:08+02;2026-03-24 09:54:08+02;;;;;;;;;27713002471;;;;;;;;prepaid life;;;;;</t>
  </si>
  <si>
    <t>ID_2237</t>
  </si>
  <si>
    <t>13863349;1c8699e5-6bc0-421c-a598-860d1d594b83;;111111118;Vodacom Life 20260324;;;;;DROP;5;2026-05-25</t>
  </si>
  <si>
    <t>13863349;1c8699e5-6bc0-421c-a598-860d1d594b83;;111111118;Vodacom Life 20260324;;;;;DROP;5;2026-05-25 12:42:10+02;system;2026-03-24 09:54:08+02;2026-03-24 09:54:08+02;;;;;;;;;27766223534;;;;;;;;prepaid life;;;;;</t>
  </si>
  <si>
    <t>ID_2238</t>
  </si>
  <si>
    <t>13863425;8defa719-f9f7-4aa8-b6f8-bc08ed9e2b65;;111111118;Vodacom Life 20260324;;;27822144955;;AE;5;2</t>
  </si>
  <si>
    <t>13863425;8defa719-f9f7-4aa8-b6f8-bc08ed9e2b65;;111111118;Vodacom Life 20260324;;;27822144955;;AE;5;2026-05-25 14:35:51+02;system;2026-03-24 09:54:08+02;2026-03-24 09:54:08+02;;;;;;;;;27822144955;;;;;;;;prepaid life;;;;;</t>
  </si>
  <si>
    <t>ID_2239</t>
  </si>
  <si>
    <t>13863350;8e80e3bf-9e4b-4e5f-96cc-8dde244bac0e;;111111118;Vodacom Life 20260324;;;27766230067;;BLQ;5;</t>
  </si>
  <si>
    <t>13863350;8e80e3bf-9e4b-4e5f-96cc-8dde244bac0e;;111111118;Vodacom Life 20260324;;;27766230067;;BLQ;5;2026-05-25 11:37:01+02;Khensane Mabasa;2026-03-24 09:54:08+02;2026-03-24 09:54:08+02;;;;;;;;;27766230067;;;;;;;;prepaid life;;;;;</t>
  </si>
  <si>
    <t>ID_2240</t>
  </si>
  <si>
    <t>13863270;a6e226f8-6fb7-473c-95b9-e7098bcb78c8;;111111118;Vodacom Life 20260324;;;;;AA;5;2026-05-25 0</t>
  </si>
  <si>
    <t>13863270;a6e226f8-6fb7-473c-95b9-e7098bcb78c8;;111111118;Vodacom Life 20260324;;;;;AA;5;2026-05-25 08:23:09+02;system;2026-03-24 09:54:08+02;2026-03-24 09:54:08+02;;;;;;;;;27713491074;;;;;;;;prepaid life;;;;;</t>
  </si>
  <si>
    <t>ID_2241</t>
  </si>
  <si>
    <t>13863426;f66e1728-55bc-4388-89d7-514721103d11;;111111118;Vodacom Life 20260324;;;;;DROP;5;2026-05-25</t>
  </si>
  <si>
    <t>13863426;f66e1728-55bc-4388-89d7-514721103d11;;111111118;Vodacom Life 20260324;;;;;DROP;5;2026-05-25 14:33:06+02;system;2026-03-24 09:54:08+02;2026-03-24 09:54:08+02;;;;;;;;;27822321015;;;;;;;;prepaid life;;;;;</t>
  </si>
  <si>
    <t>ID_2242</t>
  </si>
  <si>
    <t>13863271;a85f1d4d-9067-44ad-81d8-9add3581d324;;111111118;Vodacom Life 20260324;;;;;CU;5;2026-05-25 0</t>
  </si>
  <si>
    <t>13863271;a85f1d4d-9067-44ad-81d8-9add3581d324;;111111118;Vodacom Life 20260324;;;;;CU;5;2026-05-25 08:20:53+02;Maureen Ntsoko;2026-03-24 09:54:08+02;2026-03-24 09:54:08+02;;;;;;;;;27713569538;;;;;;;;prepaid life;;;;;</t>
  </si>
  <si>
    <t>ID_2243</t>
  </si>
  <si>
    <t>13863351;90dc9fda-ad80-4cf5-9764-d686bc0fd6fa;;111111118;Vodacom Life 20260324;;;;;NI;3;2026-04-15 0</t>
  </si>
  <si>
    <t>13863351;90dc9fda-ad80-4cf5-9764-d686bc0fd6fa;;111111118;Vodacom Life 20260324;;;;;NI;3;2026-04-15 09:14:34+02;Esther Ramalete;2026-03-24 09:54:08+02;2026-03-24 09:54:08+02;;;;;;;;;27766264192;;;;;;;;prepaid life;;;;;</t>
  </si>
  <si>
    <t>ID_2244</t>
  </si>
  <si>
    <t>13863427;64cd6d03-4c16-44d7-b3c7-2d9a7732fc62;;111111118;Vodacom Life 20260324;;;;;NI;4;2026-05-19 1</t>
  </si>
  <si>
    <t>13863427;64cd6d03-4c16-44d7-b3c7-2d9a7732fc62;;111111118;Vodacom Life 20260324;;;;;NI;4;2026-05-19 15:39:36+02;Maureen Ntsoko;2026-03-24 09:54:08+02;2026-03-24 09:54:08+02;;;;;;;;;27822616423;;;;;;;;prepaid life;;;;;</t>
  </si>
  <si>
    <t>ID_2245</t>
  </si>
  <si>
    <t>13863352;b9bca114-6ff4-4d91-a0d9-62d3af96600d;;111111118;Vodacom Life 20260324;;;;;NI;1;2026-03-30 1</t>
  </si>
  <si>
    <t>13863352;b9bca114-6ff4-4d91-a0d9-62d3af96600d;;111111118;Vodacom Life 20260324;;;;;NI;1;2026-03-30 12:18:06+02;Maureen Ntsoko;2026-03-24 09:54:08+02;2026-03-24 09:54:08+02;;;;;;;;;27766382271;;;;;;;;prepaid life;;;;;</t>
  </si>
  <si>
    <t>ID_2246</t>
  </si>
  <si>
    <t>13863428;2861c7d2-7e8b-4e68-a18b-5ddabba4ade7;;111111118;Vodacom Life 20260324;;;;;DC;5;2026-04-07 1</t>
  </si>
  <si>
    <t>13863428;2861c7d2-7e8b-4e68-a18b-5ddabba4ade7;;111111118;Vodacom Life 20260324;;;;;DC;5;2026-04-07 14:29:30+02;Maureen Ntsoko;2026-03-24 09:54:08+02;2026-03-24 09:54:08+02;;;;;;;;;27822936006;;;;;;;;prepaid life;;;;;</t>
  </si>
  <si>
    <t>ID_2247</t>
  </si>
  <si>
    <t>13863353;a0992950-5eab-4bf1-ada1-02bea8c02f48;;111111118;Vodacom Life 20260324;;;;;NIUP;1;2026-03-24</t>
  </si>
  <si>
    <t>13863353;a0992950-5eab-4bf1-ada1-02bea8c02f48;;111111118;Vodacom Life 20260324;;;;;NIUP;1;2026-03-24 13:49:29+02;Maureen Ntsoko;2026-03-24 09:54:08+02;2026-03-24 09:54:08+02;;;;;;;;;27767360657;;;;;;;;prepaid life;;;;;</t>
  </si>
  <si>
    <t>ID_2248</t>
  </si>
  <si>
    <t>13863272;47dc13eb-3b52-443a-9587-fc9f792dc461;;111111118;Vodacom Life 20260324;;;;;AA;5;2026-05-25 0</t>
  </si>
  <si>
    <t>13863272;47dc13eb-3b52-443a-9587-fc9f792dc461;;111111118;Vodacom Life 20260324;;;;;AA;5;2026-05-25 08:20:53+02;system;2026-03-24 09:54:08+02;2026-03-24 09:54:08+02;;;;;;;;;27713829852;;;;;;;;prepaid life;;;;;</t>
  </si>
  <si>
    <t>ID_2249</t>
  </si>
  <si>
    <t>13863429;2e3a7518-a1f4-4477-b2e0-a152e3e003e9;;111111118;Vodacom Life 20260324;;;;;A;5;2026-05-25 09</t>
  </si>
  <si>
    <t>13863429;2e3a7518-a1f4-4477-b2e0-a152e3e003e9;;111111118;Vodacom Life 20260324;;;;;A;5;2026-05-25 09:34:56+02;Khensane Mabasa;2026-03-24 09:54:08+02;2026-03-24 09:54:08+02;;;;;;;;;27822996374;;;;;;;;prepaid life;;;;;</t>
  </si>
  <si>
    <t>ID_2250</t>
  </si>
  <si>
    <t>13863467;6008fbcd-a933-4854-b37c-83edd471b530;;111111118;Vodacom Life 20260324;;;;;NI;1;2026-04-07 1</t>
  </si>
  <si>
    <t>13863467;6008fbcd-a933-4854-b37c-83edd471b530;;111111118;Vodacom Life 20260324;;;;;NI;1;2026-04-07 11:40:40+02;Maureen Ntsoko;2026-03-24 09:54:08+02;2026-03-24 09:54:08+02;;;;;;;;;27637139560;;;;;;;;prepaid life;;;;;</t>
  </si>
  <si>
    <t>ID_2251</t>
  </si>
  <si>
    <t>13863354;29cb1b33-4720-4609-8aa4-ca8fce017a13;;111111118;Vodacom Life 20260324;;;;;NI;5;2026-05-25 1</t>
  </si>
  <si>
    <t>13863354;29cb1b33-4720-4609-8aa4-ca8fce017a13;;111111118;Vodacom Life 20260324;;;;;NI;5;2026-05-25 11:38:56+02;Maureen Ntsoko;2026-03-24 09:54:08+02;2026-03-24 09:54:08+02;;;;;;;;;27767376709;;;;;;;;prepaid life;;;;;</t>
  </si>
  <si>
    <t>ID_2252</t>
  </si>
  <si>
    <t>13863355;38ed23e5-e443-4671-bfc6-b4c79686dc74;;111111118;Vodacom Life 20260324;;;;;DROP;5;2026-05-25</t>
  </si>
  <si>
    <t>13863355;38ed23e5-e443-4671-bfc6-b4c79686dc74;;111111118;Vodacom Life 20260324;;;;;DROP;5;2026-05-25 12:42:11+02;system;2026-03-24 09:54:08+02;2026-03-24 09:54:08+02;;;;;;;;;27767678974;;;;;;;;prepaid life;;;;;</t>
  </si>
  <si>
    <t>ID_2253</t>
  </si>
  <si>
    <t>13863430;390901ad-17c3-44d3-9d8e-54d140fb8427;;111111118;Vodacom Life 20260324;;;;;DROP;5;2026-05-25</t>
  </si>
  <si>
    <t>13863430;390901ad-17c3-44d3-9d8e-54d140fb8427;;111111118;Vodacom Life 20260324;;;;;DROP;5;2026-05-25 11:45:11+02;system;2026-03-24 09:54:08+02;2026-03-24 09:54:08+02;;;;;;;;;27823553483;;;;;;;;prepaid life;;;;;</t>
  </si>
  <si>
    <t>ID_2254</t>
  </si>
  <si>
    <t>13863356;ad937886-4b6b-424d-aa85-96abaa04aaec;;111111118;Vodacom Life 20260324;;;;;SELECTED;5;2026-0</t>
  </si>
  <si>
    <t>13863356;ad937886-4b6b-424d-aa85-96abaa04aaec;;111111118;Vodacom Life 20260324;;;;;SELECTED;5;2026-05-20 10:28:50+02;system;2026-03-24 09:54:08+02;2026-03-24 09:54:08+02;;;;;;;;;27767863939;;;;;;;;prepaid life;;;;;</t>
  </si>
  <si>
    <t>ID_2255</t>
  </si>
  <si>
    <t>13863468;df3a410b-9789-49cb-bc9d-d406c9fa1c3a;;111111118;Vodacom Life 20260324;;;;;CU;5;2026-05-25 1</t>
  </si>
  <si>
    <t>13863468;df3a410b-9789-49cb-bc9d-d406c9fa1c3a;;111111118;Vodacom Life 20260324;;;;;CU;5;2026-05-25 11:58:02+02;bongiwe lushaba;2026-03-24 09:54:08+02;2026-03-24 09:54:08+02;;;;;;;;;27637580458;;;;;;;;prepaid life;;;;;</t>
  </si>
  <si>
    <t>ID_2256</t>
  </si>
  <si>
    <t>13863431;70e5f5b9-d445-4a06-be19-2dcf5ec30b71;;111111118;Vodacom Life 20260324;;;;;DNQS;4;2026-05-19</t>
  </si>
  <si>
    <t>13863431;70e5f5b9-d445-4a06-be19-2dcf5ec30b71;;111111118;Vodacom Life 20260324;;;;;DNQS;4;2026-05-19 10:07:27+02;Maureen Ntsoko;2026-03-24 09:54:08+02;2026-03-24 09:54:08+02;;;;;;;;;27823673180;;;;;;;;prepaid life;;;;;</t>
  </si>
  <si>
    <t>ID_2257</t>
  </si>
  <si>
    <t>13863469;a8ea60ac-3d29-4c63-a5bc-74a8cd2f60d7;;111111118;Vodacom Life 20260324;;;27637617992;;CCB;5;</t>
  </si>
  <si>
    <t>13863469;a8ea60ac-3d29-4c63-a5bc-74a8cd2f60d7;;111111118;Vodacom Life 20260324;;;27637617992;;CCB;5;2026-05-25 14:16:31+02;Khensane Mabasa;2026-03-24 09:54:08+02;2026-03-24 09:54:08+02;;;;;;;;;27637617992;;;;;;;;prepaid life;;;;;</t>
  </si>
  <si>
    <t>ID_2258</t>
  </si>
  <si>
    <t>13863357;ae1606cc-f6d3-47ef-a7be-bfccf5c889af;;111111118;Vodacom Life 20260324;;;27767875462;;CU;5;2</t>
  </si>
  <si>
    <t>13863357;ae1606cc-f6d3-47ef-a7be-bfccf5c889af;;111111118;Vodacom Life 20260324;;;27767875462;;CU;5;2026-05-25 14:16:46+02;Khensane Mabasa;2026-03-24 09:54:08+02;2026-03-24 09:54:08+02;;;;;;;;;27767875462;;;;;;;;prepaid life;;;;;</t>
  </si>
  <si>
    <t>ID_2259</t>
  </si>
  <si>
    <t xml:space="preserve">13863432;33cd38c7-8c7f-4ddf-9be1-6569826e82ae;;111111118;Vodacom Life 20260324;;;;;ADC;5;2026-05-23 </t>
  </si>
  <si>
    <t>13863432;33cd38c7-8c7f-4ddf-9be1-6569826e82ae;;111111118;Vodacom Life 20260324;;;;;ADC;5;2026-05-23 09:30:06+02;system;2026-03-24 09:54:08+02;2026-03-24 09:54:08+02;;;;;;;;;27823751968;;;;;;;;prepaid life;;;;;</t>
  </si>
  <si>
    <t>ID_2260</t>
  </si>
  <si>
    <t>13863358;3bdab7f5-09d3-4646-b9e9-0eef633b38ec;;111111118;Vodacom Life 20260324;;;;;AE;5;2026-05-25 1</t>
  </si>
  <si>
    <t>13863358;3bdab7f5-09d3-4646-b9e9-0eef633b38ec;;111111118;Vodacom Life 20260324;;;;;AE;5;2026-05-25 14:29:22+02;system;2026-03-24 09:54:08+02;2026-03-24 09:54:08+02;;;;;;;;;27768068645;;;;;;;;prepaid life;;;;;</t>
  </si>
  <si>
    <t>ID_2261</t>
  </si>
  <si>
    <t>13863470;db5d4f7b-30dd-4e93-aec2-e5aec1fc4167;;111111118;Vodacom Life 20260324;;;;;NI;1;2026-04-01 1</t>
  </si>
  <si>
    <t>13863470;db5d4f7b-30dd-4e93-aec2-e5aec1fc4167;;111111118;Vodacom Life 20260324;;;;;NI;1;2026-04-01 11:41:24+02;Thandile Nokubeni;2026-03-24 09:54:08+02;2026-03-24 09:54:08+02;;;;;;;;;27637673953;;;;;;;;prepaid life;;;;;</t>
  </si>
  <si>
    <t>ID_2262</t>
  </si>
  <si>
    <t>13863433;61b6a96e-5291-4001-838d-a72c2577057d;;111111118;Vodacom Life 20260324;;;;;NA;5;2026-05-25 0</t>
  </si>
  <si>
    <t>13863433;61b6a96e-5291-4001-838d-a72c2577057d;;111111118;Vodacom Life 20260324;;;;;NA;5;2026-05-25 09:35:06+02;system;2026-03-24 09:54:08+02;2026-03-24 09:54:08+02;;;;;;;;;27823822201;;;;;;;;prepaid life;;;;;</t>
  </si>
  <si>
    <t>ID_2263</t>
  </si>
  <si>
    <t>13863471;60139291-e101-49d1-9dd4-561491d221c3;;111111118;Vodacom Life 20260324;;;;;DROP;5;2026-05-25</t>
  </si>
  <si>
    <t>13863471;60139291-e101-49d1-9dd4-561491d221c3;;111111118;Vodacom Life 20260324;;;;;DROP;5;2026-05-25 11:58:05+02;system;2026-03-24 09:54:08+02;2026-03-24 09:54:08+02;;;;;;;;;27646403390;;;;;;;;prepaid life;;;;;</t>
  </si>
  <si>
    <t>ID_2264</t>
  </si>
  <si>
    <t>13863359;d26cb086-e9b7-4b80-bbe2-16a2e76ad850;;111111118;Vodacom Life 20260324;;;;;AA;5;2026-05-25 0</t>
  </si>
  <si>
    <t>13863359;d26cb086-e9b7-4b80-bbe2-16a2e76ad850;;111111118;Vodacom Life 20260324;;;;;AA;5;2026-05-25 09:32:55+02;system;2026-03-24 09:54:08+02;2026-03-24 09:54:08+02;;;;;;;;;27768188105;;;;;;;;prepaid life;;;;;</t>
  </si>
  <si>
    <t>ID_2265</t>
  </si>
  <si>
    <t>13863434;48235fc0-130b-4414-9bac-9cc5e8c7ccf0;;111111118;Vodacom Life 20260324;;;;;AA;5;2026-05-23 0</t>
  </si>
  <si>
    <t>13863434;48235fc0-130b-4414-9bac-9cc5e8c7ccf0;;111111118;Vodacom Life 20260324;;;;;AA;5;2026-05-23 09:30:06+02;system;2026-03-24 09:54:08+02;2026-03-24 09:54:08+02;;;;;;;;;27824084695;;;;;;;;prepaid life;;;;;</t>
  </si>
  <si>
    <t>ID_2266</t>
  </si>
  <si>
    <t>13863472;d3cd757d-df66-4775-a368-a2f4df8b9490;;111111118;Vodacom Life 20260324;;;;;AA;5;2026-05-23 0</t>
  </si>
  <si>
    <t>13863472;d3cd757d-df66-4775-a368-a2f4df8b9490;;111111118;Vodacom Life 20260324;;;;;AA;5;2026-05-23 09:32:00+02;system;2026-03-24 09:54:08+02;2026-03-24 09:54:08+02;;;;;;;;;27646472177;;;;;;;;prepaid life;;;;;</t>
  </si>
  <si>
    <t>ID_2267</t>
  </si>
  <si>
    <t>13863435;c68885ba-e794-419d-acb0-67a4b9382f6a;;111111118;Vodacom Life 20260324;;;;;AA;5;2026-05-23 0</t>
  </si>
  <si>
    <t>13863435;c68885ba-e794-419d-acb0-67a4b9382f6a;;111111118;Vodacom Life 20260324;;;;;AA;5;2026-05-23 09:30:06+02;system;2026-03-24 09:54:08+02;2026-03-24 09:54:08+02;;;;;;;;;27824118381;;;;;;;;prepaid life;;;;;</t>
  </si>
  <si>
    <t>ID_2268</t>
  </si>
  <si>
    <t xml:space="preserve">13863473;02fd8c1b-30dd-4bc1-9296-bcfca8c35f38;;111111118;Vodacom Life 20260324;;;;;ADC;5;2026-05-25 </t>
  </si>
  <si>
    <t>13863473;02fd8c1b-30dd-4bc1-9296-bcfca8c35f38;;111111118;Vodacom Life 20260324;;;;;ADC;5;2026-05-25 11:58:45+02;system;2026-03-24 09:54:08+02;2026-03-24 09:54:08+02;;;;;;;;;27646691657;;;;;;;;prepaid life;;;;;</t>
  </si>
  <si>
    <t>ID_2269</t>
  </si>
  <si>
    <t>13863360;c23211d3-5197-49fd-a17b-ad9d7cdae8cf;;111111118;Vodacom Life 20260324;;;;;CU;5;2026-05-25 1</t>
  </si>
  <si>
    <t>13863360;c23211d3-5197-49fd-a17b-ad9d7cdae8cf;;111111118;Vodacom Life 20260324;;;;;CU;5;2026-05-25 11:56:41+02;bongiwe lushaba;2026-03-24 09:54:08+02;2026-03-24 09:54:08+02;;;;;;;;;27768347595;;;;;;;;prepaid life;;;;;</t>
  </si>
  <si>
    <t>ID_2270</t>
  </si>
  <si>
    <t>13863436;440ab3a7-9808-48e2-87af-973000751f8e;;111111118;Vodacom Life 20260324;;;;;AA;5;2026-05-23 0</t>
  </si>
  <si>
    <t>13863436;440ab3a7-9808-48e2-87af-973000751f8e;;111111118;Vodacom Life 20260324;;;;;AA;5;2026-05-23 09:30:19+02;system;2026-03-24 09:54:08+02;2026-03-24 09:54:08+02;;;;;;;;;27824187905;;;;;;;;prepaid life;;;;;</t>
  </si>
  <si>
    <t>ID_2271</t>
  </si>
  <si>
    <t>13863361;231101a2-8f7f-471f-9a84-2efaf19342b4;;111111118;Vodacom Life 20260324;;;;;SELECTED;5;2026-0</t>
  </si>
  <si>
    <t>13863361;231101a2-8f7f-471f-9a84-2efaf19342b4;;111111118;Vodacom Life 20260324;;;;;SELECTED;5;2026-05-20 10:57:46+02;bongiwe lushaba;2026-03-24 09:54:08+02;2026-03-24 09:54:08+02;;;;;;;;;27768380800;;;;;;;;prepaid life;;;;;</t>
  </si>
  <si>
    <t>ID_2272</t>
  </si>
  <si>
    <t>13863362;fa5af122-0536-45a3-911c-4f7f3928ea73;;111111118;Vodacom Life 20260324;;;;;NA;5;2026-05-25 0</t>
  </si>
  <si>
    <t>13863362;fa5af122-0536-45a3-911c-4f7f3928ea73;;111111118;Vodacom Life 20260324;;;;;NA;5;2026-05-25 09:32:55+02;system;2026-03-24 09:54:08+02;2026-03-24 09:54:08+02;;;;;;;;;27768879402;;;;;;;;prepaid life;;;;;</t>
  </si>
  <si>
    <t>ID_2273</t>
  </si>
  <si>
    <t>13863474;ab95a75d-367a-41e0-89a7-6990a3a22c16;;111111118;Vodacom Life 20260324;;;;;DROP;5;2026-05-23</t>
  </si>
  <si>
    <t>13863474;ab95a75d-367a-41e0-89a7-6990a3a22c16;;111111118;Vodacom Life 20260324;;;;;DROP;5;2026-05-23 09:32:10+02;system;2026-03-24 09:54:08+02;2026-03-24 09:54:08+02;;;;;;;;;27646797610;;;;;;;;prepaid life;;;;;</t>
  </si>
  <si>
    <t>ID_2274</t>
  </si>
  <si>
    <t>13863475;7f0d6562-5b26-40ba-9726-26e084d49486;;111111118;Vodacom Life 20260324;;;;;DROP;5;2026-05-23</t>
  </si>
  <si>
    <t>13863475;7f0d6562-5b26-40ba-9726-26e084d49486;;111111118;Vodacom Life 20260324;;;;;DROP;5;2026-05-23 09:32:10+02;system;2026-03-24 09:54:08+02;2026-03-24 09:54:08+02;;;;;;;;;27646900663;;;;;;;;prepaid life;;;;;</t>
  </si>
  <si>
    <t>ID_2275</t>
  </si>
  <si>
    <t>13863437;1e1e0079-708b-4cff-ab2e-1ecbc9832f74;;111111118;Vodacom Life 20260324;;;;;NI;2;2026-04-09 1</t>
  </si>
  <si>
    <t>13863437;1e1e0079-708b-4cff-ab2e-1ecbc9832f74;;111111118;Vodacom Life 20260324;;;;;NI;2;2026-04-09 12:04:39+02;Musiiwa Mary Mabirimisa;2026-03-24 09:54:08+02;2026-03-24 09:54:08+02;;;;;;;;;27824531939;;;;;;;;prepaid life;;;;;</t>
  </si>
  <si>
    <t>ID_2276</t>
  </si>
  <si>
    <t>13863363;90df7dc7-8058-4b93-9645-06afe676fd1e;;111111118;Vodacom Life 20260324;;;;;CU;5;2026-05-23 0</t>
  </si>
  <si>
    <t>13863363;90df7dc7-8058-4b93-9645-06afe676fd1e;;111111118;Vodacom Life 20260324;;;;;CU;5;2026-05-23 09:24:46+02;bongiwe lushaba;2026-03-24 09:54:08+02;2026-03-24 09:54:08+02;;;;;;;;;27768942874;;;;;;;;prepaid life;;;;;</t>
  </si>
  <si>
    <t>ID_2277</t>
  </si>
  <si>
    <t>13863438;d04073f7-0f4d-4e10-be17-89c95de00d95;;111111118;Vodacom Life 20260324;;;;;CBACK;5;2026-05-2</t>
  </si>
  <si>
    <t>13863438;d04073f7-0f4d-4e10-be17-89c95de00d95;;111111118;Vodacom Life 20260324;;;;;CBACK;5;2026-05-23 09:30:19+02;Maureen Ntsoko;2026-03-24 09:54:08+02;2026-03-24 09:54:08+02;;;;;;;;;27825131936;;;;;;;;prepaid life;;;;;</t>
  </si>
  <si>
    <t>ID_2278</t>
  </si>
  <si>
    <t>13863364;22e47ddf-2772-4a27-a8e1-bd2385c02a60;;111111118;Vodacom Life 20260324;;;;;DROP;5;2026-05-25</t>
  </si>
  <si>
    <t>13863364;22e47ddf-2772-4a27-a8e1-bd2385c02a60;;111111118;Vodacom Life 20260324;;;;;DROP;5;2026-05-25 09:33:00+02;system;2026-03-24 09:54:08+02;2026-03-24 09:54:08+02;;;;;;;;;27769412613;;;;;;;;prepaid life;;;;;</t>
  </si>
  <si>
    <t>ID_2279</t>
  </si>
  <si>
    <t>13863477;83864f5c-e41b-4614-af46-be9bbf9b082a;;111111118;Vodacom Life 20260324;;;;;AA;5;2026-05-23 0</t>
  </si>
  <si>
    <t>13863477;83864f5c-e41b-4614-af46-be9bbf9b082a;;111111118;Vodacom Life 20260324;;;;;AA;5;2026-05-23 09:32:39+02;system;2026-03-24 09:54:08+02;2026-03-24 09:54:08+02;;;;;;;;;27647430235;;;;;;;;prepaid life;;;;;</t>
  </si>
  <si>
    <t>ID_2280</t>
  </si>
  <si>
    <t>13863439;96abe6c5-9e7c-4f74-abaa-d1b99fc13052;;111111118;Vodacom Life 20260324;;;;;U;4;2026-05-20 09</t>
  </si>
  <si>
    <t>13863439;96abe6c5-9e7c-4f74-abaa-d1b99fc13052;;111111118;Vodacom Life 20260324;;;;;U;4;2026-05-20 09:42:18+02;bongiwe lushaba;2026-03-24 09:54:08+02;2026-03-24 09:54:08+02;;;;;;;;;27825348208;;;;;;;;prepaid life;;;;;</t>
  </si>
  <si>
    <t>ID_2281</t>
  </si>
  <si>
    <t xml:space="preserve">13863478;8fae9a58-8c44-4642-8c2a-a63f7fe2fc3a;;111111118;Vodacom Life 20260324;;;;;OAL;2;2026-04-09 </t>
  </si>
  <si>
    <t>13863478;8fae9a58-8c44-4642-8c2a-a63f7fe2fc3a;;111111118;Vodacom Life 20260324;;;;;OAL;2;2026-04-09 12:01:07+02;Seboifeng Mogola;2026-03-24 09:54:08+02;2026-03-24 09:54:08+02;;;;;;;;;27647460640;;;;;;;;prepaid life;;;;;</t>
  </si>
  <si>
    <t>ID_2282</t>
  </si>
  <si>
    <t>13863365;0535c549-0a3f-49f7-8c6c-f7f999ed4ebe;;111111118;Vodacom Life 20260324;;;;;DROP;5;2026-05-23</t>
  </si>
  <si>
    <t>13863365;0535c549-0a3f-49f7-8c6c-f7f999ed4ebe;;111111118;Vodacom Life 20260324;;;;;DROP;5;2026-05-23 09:24:46+02;system;2026-03-24 09:54:08+02;2026-03-24 09:54:08+02;;;;;;;;;27769415106;;;;;;;;prepaid life;;;;;</t>
  </si>
  <si>
    <t>ID_2283</t>
  </si>
  <si>
    <t>13863440;72ed03da-5a5c-415f-9721-180f206f7663;;111111118;Vodacom Life 20260324;;;;;AA;5;2026-05-23 0</t>
  </si>
  <si>
    <t>13863440;72ed03da-5a5c-415f-9721-180f206f7663;;111111118;Vodacom Life 20260324;;;;;AA;5;2026-05-23 09:30:23+02;system;2026-03-24 09:54:08+02;2026-03-24 09:54:08+02;;;;;;;;;27825607730;;;;;;;;prepaid life;;;;;</t>
  </si>
  <si>
    <t>ID_2284</t>
  </si>
  <si>
    <t>13863366;b05ced4b-9007-4cd3-8dea-dbd7c29ebf41;;111111118;Vodacom Life 20260324;;;;;WN;1;2026-03-26 1</t>
  </si>
  <si>
    <t>13863366;b05ced4b-9007-4cd3-8dea-dbd7c29ebf41;;111111118;Vodacom Life 20260324;;;;;WN;1;2026-03-26 11:15:28+02;Seboifeng Mogola;2026-03-24 09:54:08+02;2026-03-24 09:54:08+02;;;;;;;;;27769514886;;;;;;;;prepaid life;;;;;</t>
  </si>
  <si>
    <t>ID_2285</t>
  </si>
  <si>
    <t>13863479;03e082b2-bb6b-4999-8646-12121b222811;;111111118;Vodacom Life 20260324;;;;;AA;5;2026-05-23 0</t>
  </si>
  <si>
    <t>13863479;03e082b2-bb6b-4999-8646-12121b222811;;111111118;Vodacom Life 20260324;;;;;AA;5;2026-05-23 09:32:39+02;system;2026-03-24 09:54:08+02;2026-03-24 09:54:08+02;;;;;;;;;27647779063;;;;;;;;prepaid life;;;;;</t>
  </si>
  <si>
    <t>ID_2286</t>
  </si>
  <si>
    <t>13863441;06e83ccb-6791-4042-8502-b70fe9a76a98;;111111118;Vodacom Life 20260324;;;;;U;2;2026-04-09 12</t>
  </si>
  <si>
    <t>13863441;06e83ccb-6791-4042-8502-b70fe9a76a98;;111111118;Vodacom Life 20260324;;;;;U;2;2026-04-09 12:06:53+02;Seboifeng Mogola;2026-03-24 09:54:08+02;2026-03-24 09:54:08+02;;;;;;;;;27825945822;;;;;;;;prepaid life;;;;;</t>
  </si>
  <si>
    <t>ID_2287</t>
  </si>
  <si>
    <t>13863480;08f5b130-66e4-4596-bbc0-a47653e91c97;;111111118;Vodacom Life 20260324;;;;;AA;5;2026-05-23 0</t>
  </si>
  <si>
    <t>13863480;08f5b130-66e4-4596-bbc0-a47653e91c97;;111111118;Vodacom Life 20260324;;;;;AA;5;2026-05-23 09:33:59+02;system;2026-03-24 09:54:08+02;2026-03-24 09:54:08+02;;;;;;;;;27648162771;;;;;;;;prepaid life;;;;;</t>
  </si>
  <si>
    <t>ID_2288</t>
  </si>
  <si>
    <t>13863367;200425d8-16a8-4ffe-9781-38aec6c26635;;111111118;Vodacom Life 20260324;;;;;U;5;2026-05-23 09</t>
  </si>
  <si>
    <t>13863367;200425d8-16a8-4ffe-9781-38aec6c26635;;111111118;Vodacom Life 20260324;;;;;U;5;2026-05-23 09:26:06+02;bongiwe lushaba;2026-03-24 09:54:08+02;2026-03-24 09:54:08+02;;;;;;;;;27769572092;;;;;;;;prepaid life;;;;;</t>
  </si>
  <si>
    <t>ID_2289</t>
  </si>
  <si>
    <t>13863442;21b20b1b-1b71-495f-ad4a-35477037802d;;111111118;Vodacom Life 20260324;;;;;SELECTED;4;2026-0</t>
  </si>
  <si>
    <t>13863442;21b20b1b-1b71-495f-ad4a-35477037802d;;111111118;Vodacom Life 20260324;;;;;SELECTED;4;2026-04-15 08:44:16+02;Esther Ramalete;2026-03-24 09:54:08+02;2026-03-24 09:54:08+02;;;;;;;;;27826164807;;;;;;;;prepaid life;;;;;</t>
  </si>
  <si>
    <t>ID_2290</t>
  </si>
  <si>
    <t>13863443;8466c43f-c6e1-4f80-88a8-c1976393f979;;111111118;Vodacom Life 20260324;;;;;NA;5;2026-05-23 0</t>
  </si>
  <si>
    <t>13863443;8466c43f-c6e1-4f80-88a8-c1976393f979;;111111118;Vodacom Life 20260324;;;;;NA;5;2026-05-23 09:30:31+02;system;2026-03-24 09:54:08+02;2026-03-24 09:54:08+02;;;;;;;;;27826313491;;;;;;;;prepaid life;;;;;</t>
  </si>
  <si>
    <t>ID_2291</t>
  </si>
  <si>
    <t>13863368;bab75272-15c0-4ce9-a534-8bf70f155e32;;111111118;Vodacom Life 20260324;;;;;AA;5;2026-05-23 0</t>
  </si>
  <si>
    <t>13863368;bab75272-15c0-4ce9-a534-8bf70f155e32;;111111118;Vodacom Life 20260324;;;;;AA;5;2026-05-23 09:26:06+02;system;2026-03-24 09:54:08+02;2026-03-24 09:54:08+02;;;;;;;;;27772041184;;;;;;;;prepaid life;;;;;</t>
  </si>
  <si>
    <t>ID_2292</t>
  </si>
  <si>
    <t>13863369;7c4437fa-5375-4a33-be06-e4985a23f62a;;111111118;Vodacom Life 20260324;;;;;AA;5;2026-05-23 0</t>
  </si>
  <si>
    <t>13863369;7c4437fa-5375-4a33-be06-e4985a23f62a;;111111118;Vodacom Life 20260324;;;;;AA;5;2026-05-23 09:26:12+02;system;2026-03-24 09:54:08+02;2026-03-24 09:54:08+02;;;;;;;;;27773559894;;;;;;;;prepaid life;;;;;</t>
  </si>
  <si>
    <t>ID_2293</t>
  </si>
  <si>
    <t>13863481;9fcd06e9-0cca-4b78-b70c-5f818ef6ceaf;;111111118;Vodacom Life 20260324;;;;;AA;5;2026-05-25 1</t>
  </si>
  <si>
    <t>13863481;9fcd06e9-0cca-4b78-b70c-5f818ef6ceaf;;111111118;Vodacom Life 20260324;;;;;AA;5;2026-05-25 11:41:27+02;system;2026-03-24 09:54:08+02;2026-03-24 09:54:08+02;;;;;;;;;27648943521;;;;;;;;prepaid life;;;;;</t>
  </si>
  <si>
    <t>ID_2294</t>
  </si>
  <si>
    <t>13863444;04fd791b-1477-479e-b4d7-76d8dc58ac01;;111111118;Vodacom Life 20260324;;;;;CU;5;2026-05-23 0</t>
  </si>
  <si>
    <t>13863444;04fd791b-1477-479e-b4d7-76d8dc58ac01;;111111118;Vodacom Life 20260324;;;;;CU;5;2026-05-23 09:31:43+02;Maureen Ntsoko;2026-03-24 09:54:08+02;2026-03-24 09:54:08+02;;;;;;;;;27826367953;;;;;;;;prepaid life;;;;;</t>
  </si>
  <si>
    <t>ID_2295</t>
  </si>
  <si>
    <t>13863482;1d568e09-e9f7-4951-93c1-91123d848951;;111111118;Vodacom Life 20260324;;;;;DROP;5;2026-05-25</t>
  </si>
  <si>
    <t>13863482;1d568e09-e9f7-4951-93c1-91123d848951;;111111118;Vodacom Life 20260324;;;;;DROP;5;2026-05-25 11:41:33+02;system;2026-03-24 09:54:08+02;2026-03-24 09:54:08+02;;;;;;;;;27660907560;;;;;;;;prepaid life;;;;;</t>
  </si>
  <si>
    <t>ID_2296</t>
  </si>
  <si>
    <t>13863445;6a05b9da-94f5-44d4-a9c8-4f9b312d2601;;111111118;Vodacom Life 20260324;;;;;AA;5;2026-05-25 0</t>
  </si>
  <si>
    <t>13863445;6a05b9da-94f5-44d4-a9c8-4f9b312d2601;;111111118;Vodacom Life 20260324;;;;;AA;5;2026-05-25 09:36:15+02;system;2026-03-24 09:54:08+02;2026-03-24 09:54:08+02;;;;;;;;;27826894253;;;;;;;;prepaid life;;;;;</t>
  </si>
  <si>
    <t>ID_2297</t>
  </si>
  <si>
    <t>13863565;eb43f19d-752d-40e4-9805-6b3688a8c031;;111111118;Vodacom Life 20260324;;;27762774092;;AFTHRS</t>
  </si>
  <si>
    <t>13863565;eb43f19d-752d-40e4-9805-6b3688a8c031;;111111118;Vodacom Life 20260324;;;27762774092;;AFTHRS;5;2026-05-23 15:13:35+02;system;2026-03-24 09:54:08+02;2026-03-24 09:54:08+02;;;;;;;;;27762774092;;;;;;;;prepaid life;;;;;</t>
  </si>
  <si>
    <t>ID_2298</t>
  </si>
  <si>
    <t>13863483;d1d930f5-e50f-44a6-956e-b45619ceddd3;;111111118;Vodacom Life 20260324;;;;;AA;5;2026-05-25 1</t>
  </si>
  <si>
    <t>13863483;d1d930f5-e50f-44a6-956e-b45619ceddd3;;111111118;Vodacom Life 20260324;;;;;AA;5;2026-05-25 11:41:35+02;system;2026-03-24 09:54:08+02;2026-03-24 09:54:08+02;;;;;;;;;27662498256;;;;;;;;prepaid life;;;;;</t>
  </si>
  <si>
    <t>ID_2299</t>
  </si>
  <si>
    <t>13863446;599189c7-57de-4cf4-9326-167ff23c57a9;;111111118;Vodacom Life 20260324;;;;;AA;5;2026-05-25 0</t>
  </si>
  <si>
    <t>13863446;599189c7-57de-4cf4-9326-167ff23c57a9;;111111118;Vodacom Life 20260324;;;;;AA;5;2026-05-25 09:36:25+02;system;2026-03-24 09:54:08+02;2026-03-24 09:54:08+02;;;;;;;;;27826986710;;;;;;;;prepaid life;;;;;</t>
  </si>
  <si>
    <t>ID_2300</t>
  </si>
  <si>
    <t>13863484;c51a58e7-9b8b-4f4a-ae46-6db34a48462b;;111111118;Vodacom Life 20260324;;;;;NA;5;2026-05-25 1</t>
  </si>
  <si>
    <t>13863484;c51a58e7-9b8b-4f4a-ae46-6db34a48462b;;111111118;Vodacom Life 20260324;;;;;NA;5;2026-05-25 11:41:36+02;system;2026-03-24 09:54:08+02;2026-03-24 09:54:08+02;;;;;;;;;27663702557;;;;;;;;prepaid life;;;;;</t>
  </si>
  <si>
    <t>ID_2301</t>
  </si>
  <si>
    <t>13863447;ef6f6cd8-5f40-407f-b26d-20511d4e2b20;;111111118;Vodacom Life 20260324;;;;;NA;5;2026-05-25 0</t>
  </si>
  <si>
    <t>13863447;ef6f6cd8-5f40-407f-b26d-20511d4e2b20;;111111118;Vodacom Life 20260324;;;;;NA;5;2026-05-25 09:36:25+02;system;2026-03-24 09:54:08+02;2026-03-24 09:54:08+02;;;;;;;;;27827056758;;;;;;;;prepaid life;;;;;</t>
  </si>
  <si>
    <t>ID_2302</t>
  </si>
  <si>
    <t>13863485;e0123d09-c2d4-4fac-a5e4-023c065bef40;;111111118;Vodacom Life 20260324;;;;;CBACK;1;2026-03-2</t>
  </si>
  <si>
    <t>13863485;e0123d09-c2d4-4fac-a5e4-023c065bef40;;111111118;Vodacom Life 20260324;;;;;CBACK;1;2026-03-26 12:12:00+02;bongiwe lushaba;2026-03-24 09:54:08+02;2026-03-24 09:54:08+02;;;;;;;;;27663722225;;;;;;;;prepaid life;;;;;</t>
  </si>
  <si>
    <t>ID_2303</t>
  </si>
  <si>
    <t>13863566;f318ac77-ce64-4a6d-a88d-a974119ab90d;;111111118;Vodacom Life 20260324;;;;;NI;1;2026-03-26 1</t>
  </si>
  <si>
    <t>13863566;f318ac77-ce64-4a6d-a88d-a974119ab90d;;111111118;Vodacom Life 20260324;;;;;NI;1;2026-03-26 11:46:27+02;Thandile Nokubeni;2026-03-24 09:54:08+02;2026-03-24 09:54:08+02;;;;;;;;;27763205042;;;;;;;;prepaid life;;;;;</t>
  </si>
  <si>
    <t>ID_2304</t>
  </si>
  <si>
    <t>13863567;826c6563-899f-491b-b1ae-55983bc9648a;;111111118;Vodacom Life 20260324;;;;;CBACK;4;2026-04-1</t>
  </si>
  <si>
    <t>13863567;826c6563-899f-491b-b1ae-55983bc9648a;;111111118;Vodacom Life 20260324;;;;;CBACK;4;2026-04-15 09:49:41+02;Millicent Motsuku;2026-03-24 09:54:08+02;2026-03-24 09:54:08+02;;;;;;;;;27763303908;;;;;;;;prepaid life;;;;;</t>
  </si>
  <si>
    <t>ID_2305</t>
  </si>
  <si>
    <t>13863486;78fe5735-86bc-43ad-af49-3e90093dcde1;;111111118;Vodacom Life 20260324;;;;;NI;1;2026-04-01 1</t>
  </si>
  <si>
    <t>13863486;78fe5735-86bc-43ad-af49-3e90093dcde1;;111111118;Vodacom Life 20260324;;;;;NI;1;2026-04-01 10:57:15+02;Musiiwa Mary Mabirimisa;2026-03-24 09:54:08+02;2026-03-24 09:54:08+02;;;;;;;;;27663774332;;;;;;;;prepaid life;;;;;</t>
  </si>
  <si>
    <t>ID_2306</t>
  </si>
  <si>
    <t>13863449;cdf9549f-c12c-4b34-8ba9-dbddfe3f4491;;111111118;Vodacom Life 20260324;;;;;AE;5;2026-05-25 0</t>
  </si>
  <si>
    <t>13863449;cdf9549f-c12c-4b34-8ba9-dbddfe3f4491;;111111118;Vodacom Life 20260324;;;;;AE;5;2026-05-25 09:36:31+02;system;2026-03-24 09:54:08+02;2026-03-24 09:54:08+02;;;;;;;;;27827360674;;;;;;;;prepaid life;;;;;</t>
  </si>
  <si>
    <t>ID_2307</t>
  </si>
  <si>
    <t>13863568;636aee88-a456-4914-a00a-7fadca6f6620;;111111118;Vodacom Life 20260324;;;;;DROP;5;2026-05-25</t>
  </si>
  <si>
    <t>13863568;636aee88-a456-4914-a00a-7fadca6f6620;;111111118;Vodacom Life 20260324;;;;;DROP;5;2026-05-25 10:51:34+02;system;2026-03-24 09:54:08+02;2026-03-24 09:54:08+02;;;;;;;;;27763432679;;;;;;;;prepaid life;;;;;</t>
  </si>
  <si>
    <t>ID_2308</t>
  </si>
  <si>
    <t>13863569;2aab79fb-715b-4ce1-be49-4e8cf3dc0575;;111111118;Vodacom Life 20260324;;;;;AE;5;2026-05-25 1</t>
  </si>
  <si>
    <t>13863569;2aab79fb-715b-4ce1-be49-4e8cf3dc0575;;111111118;Vodacom Life 20260324;;;;;AE;5;2026-05-25 11:44:01+02;system;2026-03-24 09:54:08+02;2026-03-24 09:54:08+02;;;;;;;;;27763766279;;;;;;;;prepaid life;;;;;</t>
  </si>
  <si>
    <t>ID_2309</t>
  </si>
  <si>
    <t>13863450;64c31625-e3f8-4e00-be73-fdc0f7c144cd;;111111118;Vodacom Life 20260324;;;;;CBACK;5;2026-05-2</t>
  </si>
  <si>
    <t>13863450;64c31625-e3f8-4e00-be73-fdc0f7c144cd;;111111118;Vodacom Life 20260324;;;;;CBACK;5;2026-05-23 09:31:04+02;bongiwe lushaba;2026-03-24 09:54:08+02;2026-03-24 09:54:08+02;;;;;;;;;27827404545;;;;;;;;prepaid life;;;;;</t>
  </si>
  <si>
    <t>ID_2310</t>
  </si>
  <si>
    <t>13863570;006ee2a6-f206-4848-9b7f-07d27fee5ffe;;111111118;Vodacom Life 20260324;;;;;CU;5;2026-05-25 1</t>
  </si>
  <si>
    <t>13863570;006ee2a6-f206-4848-9b7f-07d27fee5ffe;;111111118;Vodacom Life 20260324;;;;;CU;5;2026-05-25 11:44:01+02;bongiwe lushaba;2026-03-24 09:54:08+02;2026-03-24 09:54:08+02;;;;;;;;;27764046122;;;;;;;;prepaid life;;;;;</t>
  </si>
  <si>
    <t>ID_2311</t>
  </si>
  <si>
    <t>13863488;6a7c54bd-e1c0-40dd-bdc8-4da12798eb01;;111111118;Vodacom Life 20260324;;;;;AA;5;2026-05-25 1</t>
  </si>
  <si>
    <t>13863488;6a7c54bd-e1c0-40dd-bdc8-4da12798eb01;;111111118;Vodacom Life 20260324;;;;;AA;5;2026-05-25 11:41:36+02;system;2026-03-24 09:54:08+02;2026-03-24 09:54:08+02;;;;;;;;;27664143789;;;;;;;;prepaid life;;;;;</t>
  </si>
  <si>
    <t>ID_2312</t>
  </si>
  <si>
    <t>13863451;f437f3ac-05af-4070-b242-f717b8dcfb09;;111111118;Vodacom Life 20260324;;;;;NI;2;2026-04-09 1</t>
  </si>
  <si>
    <t>13863451;f437f3ac-05af-4070-b242-f717b8dcfb09;;111111118;Vodacom Life 20260324;;;;;NI;2;2026-04-09 12:07:31+02;Thandile Nokubeni;2026-03-24 09:54:08+02;2026-03-24 09:54:08+02;;;;;;;;;27827501736;;;;;;;;prepaid life;;;;;</t>
  </si>
  <si>
    <t>ID_2313</t>
  </si>
  <si>
    <t>13863489;9ddb98dd-2190-4966-8638-c85c1fecc00f;;111111118;Vodacom Life 20260324;;;27664332597;;CBACK;</t>
  </si>
  <si>
    <t>13863489;9ddb98dd-2190-4966-8638-c85c1fecc00f;;111111118;Vodacom Life 20260324;;;27664332597;;CBACK;6;2026-06-02 11:58:56+02;Khensane Mabasa;2026-03-24 09:54:08+02;2026-03-24 09:54:08+02;;;;;;;;;27664332597;;;;;;;;prepaid life;;;;;</t>
  </si>
  <si>
    <t>ID_2314</t>
  </si>
  <si>
    <t>13863490;2a88bc29-c516-4c1c-aef7-8f7f92c4afc7;;111111118;Vodacom Life 20260324;;;;;AA;5;2026-05-23 0</t>
  </si>
  <si>
    <t>13863490;2a88bc29-c516-4c1c-aef7-8f7f92c4afc7;;111111118;Vodacom Life 20260324;;;;;AA;5;2026-05-23 09:33:26+02;system;2026-03-24 09:54:08+02;2026-03-24 09:54:08+02;;;;;;;;;27664380721;;;;;;;;prepaid life;;;;;</t>
  </si>
  <si>
    <t>ID_2315</t>
  </si>
  <si>
    <t>13863571;9f87f297-771a-442d-9f26-16285a732a33;;111111118;Vodacom Life 20260324;;;;;DROP;5;2026-05-25</t>
  </si>
  <si>
    <t>13863571;9f87f297-771a-442d-9f26-16285a732a33;;111111118;Vodacom Life 20260324;;;;;DROP;5;2026-05-25 14:14:51+02;system;2026-03-24 09:54:08+02;2026-03-24 09:54:08+02;;;;;;;;;27764061733;;;;;;;;prepaid life;;;;;</t>
  </si>
  <si>
    <t>ID_2316</t>
  </si>
  <si>
    <t>13863452;d0038c0c-550a-458a-a744-11df05ed080d;;111111118;Vodacom Life 20260324;;;;;NI;1;2026-03-26 1</t>
  </si>
  <si>
    <t>13863452;d0038c0c-550a-458a-a744-11df05ed080d;;111111118;Vodacom Life 20260324;;;;;NI;1;2026-03-26 11:55:48+02;Thandile Nokubeni;2026-03-24 09:54:08+02;2026-03-24 09:54:08+02;;;;;;;;;27827639346;;;;;;;;prepaid life;;;;;</t>
  </si>
  <si>
    <t>ID_2317</t>
  </si>
  <si>
    <t>13863572;d19c69f4-0852-461e-b511-885545884fe8;;111111118;Vodacom Life 20260324;;;;;AA;5;2026-05-25 1</t>
  </si>
  <si>
    <t>13863572;d19c69f4-0852-461e-b511-885545884fe8;;111111118;Vodacom Life 20260324;;;;;AA;5;2026-05-25 14:14:51+02;system;2026-03-24 09:54:08+02;2026-03-24 09:54:08+02;;;;;;;;;27764241231;;;;;;;;prepaid life;;;;;</t>
  </si>
  <si>
    <t>ID_2318</t>
  </si>
  <si>
    <t xml:space="preserve">13863491;6697804f-95b1-46cb-8035-cf86abc2f6c6;;111111118;Vodacom Life 20260324;;;;;TDN;5;2026-05-23 </t>
  </si>
  <si>
    <t>13863491;6697804f-95b1-46cb-8035-cf86abc2f6c6;;111111118;Vodacom Life 20260324;;;;;TDN;5;2026-05-23 09:33:55+02;system;2026-03-24 09:54:08+02;2026-03-24 09:54:08+02;;;;;;;;;27664551929;;;;;;;;prepaid life;;;;;</t>
  </si>
  <si>
    <t>ID_2319</t>
  </si>
  <si>
    <t xml:space="preserve">13863453;87439d59-48a9-4816-bec9-f166d4103be7;;111111118;Vodacom Life 20260324;;;;;BLQ;5;2026-05-25 </t>
  </si>
  <si>
    <t>13863453;87439d59-48a9-4816-bec9-f166d4103be7;;111111118;Vodacom Life 20260324;;;;;BLQ;5;2026-05-25 09:36:32+02;Maureen Ntsoko;2026-03-24 09:54:08+02;2026-03-24 09:54:08+02;;;;;;;;;27828038076;;;;;;;;prepaid life;;;;;</t>
  </si>
  <si>
    <t>ID_2320</t>
  </si>
  <si>
    <t>13863492;3d7e9da0-93fc-401b-b7f6-61ec81d9412e;;111111118;Vodacom Life 20260324;;;;;A;5;2026-05-23 09</t>
  </si>
  <si>
    <t>13863492;3d7e9da0-93fc-401b-b7f6-61ec81d9412e;;111111118;Vodacom Life 20260324;;;;;A;5;2026-05-23 09:33:55+02;bongiwe lushaba;2026-03-24 09:54:08+02;2026-03-24 09:54:08+02;;;;;;;;;27664577799;;;;;;;;prepaid life;;;;;</t>
  </si>
  <si>
    <t>ID_2321</t>
  </si>
  <si>
    <t>13863573;b2cc60e0-c89d-4ddc-9765-66d78ca072eb;;111111118;Vodacom Life 20260324;;;;;DROP;5;2026-05-25</t>
  </si>
  <si>
    <t>13863573;b2cc60e0-c89d-4ddc-9765-66d78ca072eb;;111111118;Vodacom Life 20260324;;;;;DROP;5;2026-05-25 14:14:52+02;system;2026-03-24 09:54:08+02;2026-03-24 09:54:08+02;;;;;;;;;27764247118;;;;;;;;prepaid life;;;;;</t>
  </si>
  <si>
    <t>ID_2322</t>
  </si>
  <si>
    <t xml:space="preserve">13863454;e3f6e685-549d-432b-8a05-8033dea7e3b3;;111111118;Vodacom Life 20260324;;;;;OAL;4;2026-05-19 </t>
  </si>
  <si>
    <t>13863454;e3f6e685-549d-432b-8a05-8033dea7e3b3;;111111118;Vodacom Life 20260324;;;;;OAL;4;2026-05-19 09:59:34+02;Maureen Ntsoko;2026-03-24 09:54:08+02;2026-03-24 09:54:08+02;;;;;;;;;27828146442;;;;;;;;prepaid life;;;;;</t>
  </si>
  <si>
    <t>ID_2323</t>
  </si>
  <si>
    <t>13863574;672eb8f9-54b0-4418-abb5-7c6cf017fefa;;111111118;Vodacom Life 20260324;;;;;AE;5;2026-05-25 1</t>
  </si>
  <si>
    <t>13863574;672eb8f9-54b0-4418-abb5-7c6cf017fefa;;111111118;Vodacom Life 20260324;;;;;AE;5;2026-05-25 14:33:05+02;system;2026-03-24 09:54:08+02;2026-03-24 09:54:08+02;;;;;;;;;27764417056;;;;;;;;prepaid life;;;;;</t>
  </si>
  <si>
    <t>ID_2324</t>
  </si>
  <si>
    <t>13863493;652091d6-1b41-4a2e-950b-deb3ae1b9c61;;111111118;Vodacom Life 20260324;;;;;U;1;2026-04-01 12</t>
  </si>
  <si>
    <t>13863493;652091d6-1b41-4a2e-950b-deb3ae1b9c61;;111111118;Vodacom Life 20260324;;;;;U;1;2026-04-01 12:46:14+02;Seboifeng Mogola;2026-03-24 09:54:08+02;2026-03-24 09:54:08+02;;;;;;;;;27664606461;;;;;;;;prepaid life;;;;;</t>
  </si>
  <si>
    <t>ID_2325</t>
  </si>
  <si>
    <t>13863455;796ebb0e-1739-425f-9f20-105767fc5e52;;111111118;Vodacom Life 20260324;;;;;CBACK;1;2026-04-0</t>
  </si>
  <si>
    <t>13863455;796ebb0e-1739-425f-9f20-105767fc5e52;;111111118;Vodacom Life 20260324;;;;;CBACK;1;2026-04-01 11:00:20+02;Millicent Motsuku;2026-03-24 09:54:08+02;2026-03-24 09:54:08+02;;;;;;;;;27828337401;;;;;;;;prepaid life;;;;;</t>
  </si>
  <si>
    <t>ID_2326</t>
  </si>
  <si>
    <t>13863494;09a29d8a-21e4-42c8-a3ef-913d0f943c5e;;111111118;Vodacom Life 20260324;;;;;AA;5;2026-05-23 0</t>
  </si>
  <si>
    <t>13863494;09a29d8a-21e4-42c8-a3ef-913d0f943c5e;;111111118;Vodacom Life 20260324;;;;;AA;5;2026-05-23 09:33:43+02;system;2026-03-24 09:54:08+02;2026-03-24 09:54:08+02;;;;;;;;;27673115317;;;;;;;;prepaid life;;;;;</t>
  </si>
  <si>
    <t>ID_2327</t>
  </si>
  <si>
    <t>13863575;3b9c19df-c3a5-4714-b15d-bad40e936854;;111111118;Vodacom Life 20260324;;;;;NA;5;2026-05-25 1</t>
  </si>
  <si>
    <t>13863575;3b9c19df-c3a5-4714-b15d-bad40e936854;;111111118;Vodacom Life 20260324;;;;;NA;5;2026-05-25 11:03:48+02;system;2026-03-24 09:54:08+02;2026-03-24 09:54:08+02;;;;;;;;;27765288263;;;;;;;;prepaid life;;;;;</t>
  </si>
  <si>
    <t>ID_2328</t>
  </si>
  <si>
    <t>13863456;0100dd5b-8f49-4ac5-9652-c95582fab2a7;;111111118;Vodacom Life 20260324;;;;;AA;5;2026-05-23 0</t>
  </si>
  <si>
    <t>13863456;0100dd5b-8f49-4ac5-9652-c95582fab2a7;;111111118;Vodacom Life 20260324;;;;;AA;5;2026-05-23 09:31:04+02;system;2026-03-24 09:54:08+02;2026-03-24 09:54:08+02;;;;;;;;;27828361029;;;;;;;;prepaid life;;;;;</t>
  </si>
  <si>
    <t>ID_2329</t>
  </si>
  <si>
    <t>13863576;ee1ea367-17d0-4c13-bff2-d4f7fc9423db;;111111118;Vodacom Life 20260324;;;;;AA;5;2026-05-25 1</t>
  </si>
  <si>
    <t>13863576;ee1ea367-17d0-4c13-bff2-d4f7fc9423db;;111111118;Vodacom Life 20260324;;;;;AA;5;2026-05-25 12:31:49+02;system;2026-03-24 09:54:08+02;2026-03-24 09:54:08+02;;;;;;;;;27765433896;;;;;;;;prepaid life;;;;;</t>
  </si>
  <si>
    <t>ID_2330</t>
  </si>
  <si>
    <t>13863495;1f3729db-095d-4bad-8fc8-0efc754522d6;;111111118;Vodacom Life 20260324;;;;;AA;5;2026-05-23 0</t>
  </si>
  <si>
    <t>13863495;1f3729db-095d-4bad-8fc8-0efc754522d6;;111111118;Vodacom Life 20260324;;;;;AA;5;2026-05-23 09:41:37+02;system;2026-03-24 09:54:08+02;2026-03-24 09:54:08+02;;;;;;;;;27673910057;;;;;;;;prepaid life;;;;;</t>
  </si>
  <si>
    <t>ID_2331</t>
  </si>
  <si>
    <t>13863496;7c740a45-4617-484b-944b-c45fbaaa37a0;;111111118;Vodacom Life 20260324;;;;;NI;2;2026-04-09 1</t>
  </si>
  <si>
    <t>13863496;7c740a45-4617-484b-944b-c45fbaaa37a0;;111111118;Vodacom Life 20260324;;;;;NI;2;2026-04-09 11:58:02+02;Musiiwa Mary Mabirimisa;2026-03-24 09:54:08+02;2026-03-24 09:54:08+02;;;;;;;;;27674501940;;;;;;;;prepaid life;;;;;</t>
  </si>
  <si>
    <t>ID_2332</t>
  </si>
  <si>
    <t>13863458;d2263423-4878-4f28-981e-fa070f2a3964;;111111118;Vodacom Life 20260324;;;;;DROP;5;2026-05-23</t>
  </si>
  <si>
    <t>13863458;d2263423-4878-4f28-981e-fa070f2a3964;;111111118;Vodacom Life 20260324;;;;;DROP;5;2026-05-23 09:31:12+02;system;2026-03-24 09:54:08+02;2026-03-24 09:54:08+02;;;;;;;;;27829622269;;;;;;;;prepaid life;;;;;</t>
  </si>
  <si>
    <t>ID_2333</t>
  </si>
  <si>
    <t xml:space="preserve">13863497;2408b11d-7daf-4b36-9d9c-6709dcbeeff6;;111111118;Vodacom Life 20260324;;;;;ADC;5;2026-05-23 </t>
  </si>
  <si>
    <t>13863497;2408b11d-7daf-4b36-9d9c-6709dcbeeff6;;111111118;Vodacom Life 20260324;;;;;ADC;5;2026-05-23 09:33:46+02;system;2026-03-24 09:54:08+02;2026-03-24 09:54:08+02;;;;;;;;;27674667127;;;;;;;;prepaid life;;;;;</t>
  </si>
  <si>
    <t>ID_2334</t>
  </si>
  <si>
    <t xml:space="preserve">13863498;49e4f401-1265-4554-92a1-1c5ad4416adb;;111111118;Vodacom Life 20260324;;;;;ADC;5;2026-05-23 </t>
  </si>
  <si>
    <t>13863498;49e4f401-1265-4554-92a1-1c5ad4416adb;;111111118;Vodacom Life 20260324;;;;;ADC;5;2026-05-23 09:33:47+02;system;2026-03-24 09:54:08+02;2026-03-24 09:54:08+02;;;;;;;;;27711176001;;;;;;;;prepaid life;;;;;</t>
  </si>
  <si>
    <t>ID_2335</t>
  </si>
  <si>
    <t>13863578;f737e368-cd6b-4adb-8c1b-4e98fafc3086;;111111118;Vodacom Life 20260324;;;;;SELECTED;5;2026-0</t>
  </si>
  <si>
    <t>13863578;f737e368-cd6b-4adb-8c1b-4e98fafc3086;;111111118;Vodacom Life 20260324;;;;;SELECTED;5;2026-05-20 08:53:32+02;system;2026-03-24 09:54:08+02;2026-03-24 09:54:08+02;;;;;;;;;27765950617;;;;;;;;prepaid life;;;;;</t>
  </si>
  <si>
    <t>ID_2336</t>
  </si>
  <si>
    <t>13863579;ddf40794-0811-43e7-84b5-ad5a6eff32fb;;111111118;Vodacom Life 20260324;;;;;NI;2;2026-04-09 1</t>
  </si>
  <si>
    <t>13863579;ddf40794-0811-43e7-84b5-ad5a6eff32fb;;111111118;Vodacom Life 20260324;;;;;NI;2;2026-04-09 12:04:09+02;Mahlatse Manamela;2026-03-24 09:54:08+02;2026-03-24 09:54:08+02;;;;;;;;;27766171634;;;;;;;;prepaid life;;;;;</t>
  </si>
  <si>
    <t>ID_2337</t>
  </si>
  <si>
    <t>13863499;259562cc-a4d4-4d1e-86a9-18f6ccd87e63;;111111118;Vodacom Life 20260324;;;27711349445;;IABDN;</t>
  </si>
  <si>
    <t>13863499;259562cc-a4d4-4d1e-86a9-18f6ccd87e63;;111111118;Vodacom Life 20260324;;;27711349445;;IABDN;5;2026-05-23 09:39:07+02;system;2026-03-24 09:54:08+02;2026-03-24 09:54:08+02;;;;;;;;;27711349445;;;;;;;;prepaid life;;;;;</t>
  </si>
  <si>
    <t>ID_2338</t>
  </si>
  <si>
    <t>13863461;74858bd7-2b28-4cec-85dc-9e885ca7813b;;111111118;Vodacom Life 20260324;;;;;NA;5;2026-05-23 0</t>
  </si>
  <si>
    <t>13863461;74858bd7-2b28-4cec-85dc-9e885ca7813b;;111111118;Vodacom Life 20260324;;;;;NA;5;2026-05-23 09:31:33+02;system;2026-03-24 09:54:08+02;2026-03-24 09:54:08+02;;;;;;;;;27606699859;;;;;;;;prepaid life;;;;;</t>
  </si>
  <si>
    <t>ID_2339</t>
  </si>
  <si>
    <t>13863580;b5de0601-772b-4ee4-9fff-5ec77bd371dc;;111111118;Vodacom Life 20260324;;;;;AE;5;2026-05-25 1</t>
  </si>
  <si>
    <t>13863580;b5de0601-772b-4ee4-9fff-5ec77bd371dc;;111111118;Vodacom Life 20260324;;;;;AE;5;2026-05-25 14:29:56+02;system;2026-03-24 09:54:08+02;2026-03-24 09:54:08+02;;;;;;;;;27766186005;;;;;;;;prepaid life;;;;;</t>
  </si>
  <si>
    <t>ID_2340</t>
  </si>
  <si>
    <t>13863462;49bca16e-656d-4c55-bed1-9c5957c27da7;;111111118;Vodacom Life 20260324;;;27607320144;;CB;6;2</t>
  </si>
  <si>
    <t>13863462;49bca16e-656d-4c55-bed1-9c5957c27da7;;111111118;Vodacom Life 20260324;;;27607320144;;CB;6;2026-05-21 11:07:12+02;Khensane Mabasa;2026-03-24 09:54:08+02;2026-03-24 09:54:08+02;;;;;;;;;27607320144;;;;;;;;prepaid life;;;;;</t>
  </si>
  <si>
    <t>ID_2341</t>
  </si>
  <si>
    <t>13863581;4ecc9df2-9b14-4c7d-b25a-aadcbdb5ef43;;111111118;Vodacom Life 20260324;;;;;CBACK;4;2026-05-2</t>
  </si>
  <si>
    <t>13863581;4ecc9df2-9b14-4c7d-b25a-aadcbdb5ef43;;111111118;Vodacom Life 20260324;;;;;CBACK;4;2026-05-20 08:07:49+02;Khensane Mabasa;2026-03-24 09:54:08+02;2026-03-24 09:54:08+02;;;;;;;;;27766204048;;;;;;;;prepaid life;;;;;</t>
  </si>
  <si>
    <t>ID_2342</t>
  </si>
  <si>
    <t>13863500;c18a3006-769e-4d45-b9d3-8c77b2e33209;;111111118;Vodacom Life 20260324;;;27712270418;;A;5;20</t>
  </si>
  <si>
    <t>13863500;c18a3006-769e-4d45-b9d3-8c77b2e33209;;111111118;Vodacom Life 20260324;;;27712270418;;A;5;2026-05-23 09:42:14+02;bongiwe lushaba;2026-03-24 09:54:08+02;2026-03-24 09:54:08+02;;;;;;;;;27712270418;;;;;;;;prepaid life;;;;;</t>
  </si>
  <si>
    <t>ID_2343</t>
  </si>
  <si>
    <t>13863463;6845e66c-bde5-4da2-b141-2da38e593a9e;;111111118;Vodacom Life 20260324;;;;;AA;5;2026-05-25 1</t>
  </si>
  <si>
    <t>13863463;6845e66c-bde5-4da2-b141-2da38e593a9e;;111111118;Vodacom Life 20260324;;;;;AA;5;2026-05-25 11:20:13+02;system;2026-03-24 09:54:08+02;2026-03-24 09:54:08+02;;;;;;;;;27608901056;;;;;;;;prepaid life;;;;;</t>
  </si>
  <si>
    <t>ID_2344</t>
  </si>
  <si>
    <t>13863501;24b558d0-674f-4ebd-b7c9-8584b9d5a9b3;;111111118;Vodacom Life 20260324;;;;;NI;1;2026-03-26 1</t>
  </si>
  <si>
    <t>13863501;24b558d0-674f-4ebd-b7c9-8584b9d5a9b3;;111111118;Vodacom Life 20260324;;;;;NI;1;2026-03-26 12:27:40+02;Mahlatse Manamela;2026-03-24 09:54:08+02;2026-03-24 09:54:08+02;;;;;;;;;27712574860;;;;;;;;prepaid life;;;;;</t>
  </si>
  <si>
    <t>ID_2345</t>
  </si>
  <si>
    <t>13863582;4ac54395-78dd-4bed-bb94-8f3eaa91a503;;111111118;Vodacom Life 20260324;;;;;NA;5;2026-05-25 1</t>
  </si>
  <si>
    <t>13863582;4ac54395-78dd-4bed-bb94-8f3eaa91a503;;111111118;Vodacom Life 20260324;;;;;NA;5;2026-05-25 14:30:49+02;system;2026-03-24 09:54:08+02;2026-03-24 09:54:08+02;;;;;;;;;27766455588;;;;;;;;prepaid life;;;;;</t>
  </si>
  <si>
    <t>ID_2346</t>
  </si>
  <si>
    <t>13863464;3dd20ecc-0243-4eea-9345-cf0799fc0649;;111111118;Vodacom Life 20260324;;;;;AA;5;2026-05-25 1</t>
  </si>
  <si>
    <t>13863464;3dd20ecc-0243-4eea-9345-cf0799fc0649;;111111118;Vodacom Life 20260324;;;;;AA;5;2026-05-25 11:20:24+02;system;2026-03-24 09:54:08+02;2026-03-24 09:54:08+02;;;;;;;;;27609119530;;;;;;;;prepaid life;;;;;</t>
  </si>
  <si>
    <t>ID_2347</t>
  </si>
  <si>
    <t>13863583;188fb269-4687-44d8-a0d0-820234514ffc;;111111118;Vodacom Life 20260324;;;;;DROP;5;2026-05-25</t>
  </si>
  <si>
    <t>13863583;188fb269-4687-44d8-a0d0-820234514ffc;;111111118;Vodacom Life 20260324;;;;;DROP;5;2026-05-25 14:08:54+02;system;2026-03-24 09:54:08+02;2026-03-24 09:54:08+02;;;;;;;;;27766570538;;;;;;;;prepaid life;;;;;</t>
  </si>
  <si>
    <t>ID_2348</t>
  </si>
  <si>
    <t>13863502;8fa9ca2f-1fb5-460b-b4ce-74b89172688a;;111111118;Vodacom Life 20260324;;;;;NI;3;2026-04-09 1</t>
  </si>
  <si>
    <t>13863502;8fa9ca2f-1fb5-460b-b4ce-74b89172688a;;111111118;Vodacom Life 20260324;;;;;NI;3;2026-04-09 16:24:43+02;Thandile Nokubeni;2026-03-24 09:54:08+02;2026-03-24 09:54:08+02;;;;;;;;;27712743805;;;;;;;;prepaid life;;;;;</t>
  </si>
  <si>
    <t>ID_2349</t>
  </si>
  <si>
    <t>13863465;bce7b843-5967-420d-94b5-b3c1daf6b829;;111111118;Vodacom Life 20260324;;;;;DROP;5;2026-05-25</t>
  </si>
  <si>
    <t>13863465;bce7b843-5967-420d-94b5-b3c1daf6b829;;111111118;Vodacom Life 20260324;;;;;DROP;5;2026-05-25 14:28:17+02;system;2026-03-24 09:54:08+02;2026-03-24 09:54:08+02;;;;;;;;;27636043066;;;;;;;;prepaid life;;;;;</t>
  </si>
  <si>
    <t>ID_2350</t>
  </si>
  <si>
    <t>13863466;f093589c-52a0-449a-b76e-922bf7e1ce1d;;111111118;Vodacom Life 20260324;;;;;NA;5;2026-05-25 1</t>
  </si>
  <si>
    <t>13863466;f093589c-52a0-449a-b76e-922bf7e1ce1d;;111111118;Vodacom Life 20260324;;;;;NA;5;2026-05-25 14:14:20+02;system;2026-03-24 09:54:08+02;2026-03-24 09:54:08+02;;;;;;;;;27636697603;;;;;;;;prepaid life;;;;;</t>
  </si>
  <si>
    <t>ID_2351</t>
  </si>
  <si>
    <t>13863585;58f7b102-17f1-415a-a9df-8343b7bca492;;111111118;Vodacom Life 20260324;;;27767624457;;IABDN;</t>
  </si>
  <si>
    <t>13863585;58f7b102-17f1-415a-a9df-8343b7bca492;;111111118;Vodacom Life 20260324;;;27767624457;;IABDN;5;2026-05-25 15:15:50+02;system;2026-03-24 09:54:08+02;2026-03-24 09:54:08+02;;;;;;;;;27767624457;;;;;;;;prepaid life;;;;;</t>
  </si>
  <si>
    <t>ID_2352</t>
  </si>
  <si>
    <t>13863504;88b3f84b-79db-4189-aafd-c35257a9eaf2;;111111118;Vodacom Life 20260324;;;;;DROP;5;2026-05-23</t>
  </si>
  <si>
    <t>13863504;88b3f84b-79db-4189-aafd-c35257a9eaf2;;111111118;Vodacom Life 20260324;;;;;DROP;5;2026-05-23 09:33:57+02;system;2026-03-24 09:54:08+02;2026-03-24 09:54:08+02;;;;;;;;;27713571889;;;;;;;;prepaid life;;;;;</t>
  </si>
  <si>
    <t>ID_2353</t>
  </si>
  <si>
    <t>13863662;4b9c1e92-7409-490d-96ad-6880e5bb2514;;111111118;Vodacom Life 20260324;;;;;AE;5;2026-05-25 1</t>
  </si>
  <si>
    <t>13863662;4b9c1e92-7409-490d-96ad-6880e5bb2514;;111111118;Vodacom Life 20260324;;;;;AE;5;2026-05-25 14:09:07+02;system;2026-03-24 09:54:08+02;2026-03-24 09:54:08+02;;;;;;;;;27823853874;;;;;;;;prepaid life;;;;;</t>
  </si>
  <si>
    <t>ID_2354</t>
  </si>
  <si>
    <t>13863505;f3aab51d-37ac-4363-8c76-bdb013e7d337;;111111118;Vodacom Life 20260324;;;;;AA;5;2026-05-23 0</t>
  </si>
  <si>
    <t>13863505;f3aab51d-37ac-4363-8c76-bdb013e7d337;;111111118;Vodacom Life 20260324;;;;;AA;5;2026-05-23 09:41:32+02;system;2026-03-24 09:54:08+02;2026-03-24 09:54:08+02;;;;;;;;;27713824786;;;;;;;;prepaid life;;;;;</t>
  </si>
  <si>
    <t>ID_2355</t>
  </si>
  <si>
    <t>13863586;35bc4a87-432a-46c9-98e1-c649e8d45c7f;;111111118;Vodacom Life 20260324;;;;;CU;5;2026-05-23 0</t>
  </si>
  <si>
    <t>13863586;35bc4a87-432a-46c9-98e1-c649e8d45c7f;;111111118;Vodacom Life 20260324;;;;;CU;5;2026-05-23 09:41:39+02;bongiwe lushaba;2026-03-24 09:54:08+02;2026-03-24 09:54:08+02;;;;;;;;;27767628845;;;;;;;;prepaid life;;;;;</t>
  </si>
  <si>
    <t>ID_2356</t>
  </si>
  <si>
    <t>13863587;726374c6-0581-4a64-b1d7-bfb90727a725;;111111118;Vodacom Life 20260324;;;;;NI;1;2026-03-30 1</t>
  </si>
  <si>
    <t>13863587;726374c6-0581-4a64-b1d7-bfb90727a725;;111111118;Vodacom Life 20260324;;;;;NI;1;2026-03-30 11:44:51+02;Thandile Nokubeni;2026-03-24 09:54:08+02;2026-03-24 09:54:08+02;;;;;;;;;27768002187;;;;;;;;prepaid life;;;;;</t>
  </si>
  <si>
    <t>ID_2357</t>
  </si>
  <si>
    <t>13863663;b6d2cb2e-ca04-41c9-a2bf-89f22e246d6a;;111111118;Vodacom Life 20260324;;;;;AA;5;2026-05-25 1</t>
  </si>
  <si>
    <t>13863663;b6d2cb2e-ca04-41c9-a2bf-89f22e246d6a;;111111118;Vodacom Life 20260324;;;;;AA;5;2026-05-25 12:32:58+02;system;2026-03-24 09:54:08+02;2026-03-24 09:54:08+02;;;;;;;;;27824702926;;;;;;;;prepaid life;;;;;</t>
  </si>
  <si>
    <t>ID_2358</t>
  </si>
  <si>
    <t>13863506;dd1f0db7-4a3a-4037-80f6-f39c79bd0c8e;;111111118;Vodacom Life 20260324;;;27714104863;;IABDN;</t>
  </si>
  <si>
    <t>13863506;dd1f0db7-4a3a-4037-80f6-f39c79bd0c8e;;111111118;Vodacom Life 20260324;;;27714104863;;IABDN;5;2026-05-23 11:41:48+02;system;2026-03-24 09:54:08+02;2026-03-24 09:54:08+02;;;;;;;;;27714104863;;;;;;;;prepaid life;;;;;</t>
  </si>
  <si>
    <t>ID_2359</t>
  </si>
  <si>
    <t>13863664;855c5d76-2361-4855-8f16-ccc62a250913;;111111118;Vodacom Life 20260324;;;;;AA;5;2026-05-25 1</t>
  </si>
  <si>
    <t>13863664;855c5d76-2361-4855-8f16-ccc62a250913;;111111118;Vodacom Life 20260324;;;;;AA;5;2026-05-25 11:54:48+02;system;2026-03-24 09:54:08+02;2026-03-24 09:54:08+02;;;;;;;;;27825185765;;;;;;;;prepaid life;;;;;</t>
  </si>
  <si>
    <t>ID_2360</t>
  </si>
  <si>
    <t>13863507;e5a9c4a9-52b6-4486-8df0-dd7fb43ac4ed;;111111118;Vodacom Life 20260324;;;;;CBACK;1;2026-04-0</t>
  </si>
  <si>
    <t>13863507;e5a9c4a9-52b6-4486-8df0-dd7fb43ac4ed;;111111118;Vodacom Life 20260324;;;;;CBACK;1;2026-04-01 13:59:39+02;Maureen Ntsoko;2026-03-24 09:54:08+02;2026-03-24 09:54:08+02;;;;;;;;;27714195503;;;;;;;;prepaid life;;;;;</t>
  </si>
  <si>
    <t>ID_2361</t>
  </si>
  <si>
    <t>13863588;5189a4e5-46d6-4626-bf3c-b1c7e4058eeb;;111111118;Vodacom Life 20260324;;;27768012154;;IABDN;</t>
  </si>
  <si>
    <t>13863588;5189a4e5-46d6-4626-bf3c-b1c7e4058eeb;;111111118;Vodacom Life 20260324;;;27768012154;;IABDN;5;2026-05-25 13:09:10+02;system;2026-03-24 09:54:08+02;2026-03-24 09:54:08+02;;;;;;;;;27768012154;;;;;;;;prepaid life;;;;;</t>
  </si>
  <si>
    <t>ID_2362</t>
  </si>
  <si>
    <t>13863665;7e90e77a-be4e-49da-9f3b-2873ef78ecd6;;111111118;Vodacom Life 20260324;;;;;AF;4;2026-05-19 0</t>
  </si>
  <si>
    <t>13863665;7e90e77a-be4e-49da-9f3b-2873ef78ecd6;;111111118;Vodacom Life 20260324;;;;;AF;4;2026-05-19 09:19:00+02;Khensane Mabasa;2026-03-24 09:54:08+02;2026-03-24 09:54:08+02;;;;;;;;;27825377011;;;;;;;;prepaid life;;;;;</t>
  </si>
  <si>
    <t>ID_2363</t>
  </si>
  <si>
    <t>13863589;bd3ecf28-95f0-4f93-a2cb-4a3ae3893318;;111111118;Vodacom Life 20260324;;;;;WN;1;2026-03-30 1</t>
  </si>
  <si>
    <t>13863589;bd3ecf28-95f0-4f93-a2cb-4a3ae3893318;;111111118;Vodacom Life 20260324;;;;;WN;1;2026-03-30 12:05:51+02;Thandile Nokubeni;2026-03-24 09:54:08+02;2026-03-24 09:54:08+02;;;;;;;;;27768450913;;;;;;;;prepaid life;;;;;</t>
  </si>
  <si>
    <t>ID_2364</t>
  </si>
  <si>
    <t>13863508;29484056-33a9-45e8-b4c4-4d56c921eccc;;111111118;Vodacom Life 20260324;;;;;DROP;5;2026-05-25</t>
  </si>
  <si>
    <t>13863508;29484056-33a9-45e8-b4c4-4d56c921eccc;;111111118;Vodacom Life 20260324;;;;;DROP;5;2026-05-25 09:37:10+02;system;2026-03-24 09:54:08+02;2026-03-24 09:54:08+02;;;;;;;;;27714223106;;;;;;;;prepaid life;;;;;</t>
  </si>
  <si>
    <t>ID_2365</t>
  </si>
  <si>
    <t>13863666;8cefe0f0-3475-4cb6-b329-f333ceec7640;;111111118;Vodacom Life 20260324;;;;;CU;5;2026-05-25 1</t>
  </si>
  <si>
    <t>13863666;8cefe0f0-3475-4cb6-b329-f333ceec7640;;111111118;Vodacom Life 20260324;;;;;CU;5;2026-05-25 14:09:07+02;Maureen Ntsoko;2026-03-24 09:54:08+02;2026-03-24 09:54:08+02;;;;;;;;;27825536274;;;;;;;;prepaid life;;;;;</t>
  </si>
  <si>
    <t>ID_2366</t>
  </si>
  <si>
    <t>13863509;49a6ae22-41e4-45fd-9787-66708d2034de;;111111118;Vodacom Life 20260324;;;;;AE;5;2026-05-25 0</t>
  </si>
  <si>
    <t>13863509;49a6ae22-41e4-45fd-9787-66708d2034de;;111111118;Vodacom Life 20260324;;;;;AE;5;2026-05-25 09:37:11+02;system;2026-03-24 09:54:08+02;2026-03-24 09:54:08+02;;;;;;;;;27714294279;;;;;;;;prepaid life;;;;;</t>
  </si>
  <si>
    <t>ID_2367</t>
  </si>
  <si>
    <t>13863667;b64d2430-d8d2-404e-8786-1b0b44235776;;111111118;Vodacom Life 20260324;;;;;AA;5;2026-05-25 1</t>
  </si>
  <si>
    <t>13863667;b64d2430-d8d2-404e-8786-1b0b44235776;;111111118;Vodacom Life 20260324;;;;;AA;5;2026-05-25 11:07:37+02;system;2026-03-24 09:54:08+02;2026-03-24 09:54:08+02;;;;;;;;;27825698344;;;;;;;;prepaid life;;;;;</t>
  </si>
  <si>
    <t>ID_2368</t>
  </si>
  <si>
    <t>13863591;d715de63-bef9-45a4-862e-fb0ededc8089;;111111118;Vodacom Life 20260324;;;;;DROP;5;2026-05-23</t>
  </si>
  <si>
    <t>13863591;d715de63-bef9-45a4-862e-fb0ededc8089;;111111118;Vodacom Life 20260324;;;;;DROP;5;2026-05-23 09:41:48+02;system;2026-03-24 09:54:08+02;2026-03-24 09:54:08+02;;;;;;;;;27768760451;;;;;;;;prepaid life;;;;;</t>
  </si>
  <si>
    <t>ID_2369</t>
  </si>
  <si>
    <t>13863510;22285f94-74aa-49df-a1aa-468d173ec698;;111111118;Vodacom Life 20260324;;;;;DROP;5;2026-05-25</t>
  </si>
  <si>
    <t>13863510;22285f94-74aa-49df-a1aa-468d173ec698;;111111118;Vodacom Life 20260324;;;;;DROP;5;2026-05-25 09:37:14+02;system;2026-03-24 09:54:08+02;2026-03-24 09:54:08+02;;;;;;;;;27714777749;;;;;;;;prepaid life;;;;;</t>
  </si>
  <si>
    <t>ID_2370</t>
  </si>
  <si>
    <t>13863668;04732e70-0b06-41f2-be70-46d662d9ec26;;111111118;Vodacom Life 20260324;;;;;CU;5;2026-05-25 1</t>
  </si>
  <si>
    <t>13863668;04732e70-0b06-41f2-be70-46d662d9ec26;;111111118;Vodacom Life 20260324;;;;;CU;5;2026-05-25 14:38:25+02;bongiwe lushaba;2026-03-24 09:54:08+02;2026-03-24 09:54:08+02;;;;;;;;;27825807308;;;;;;;;prepaid life;;;;;</t>
  </si>
  <si>
    <t>ID_2371</t>
  </si>
  <si>
    <t>13863511;927163b4-2ba3-431c-9828-1dd0e99f05c2;;111111118;Vodacom Life 20260324;;;;;AA;5;2026-05-25 0</t>
  </si>
  <si>
    <t>13863511;927163b4-2ba3-431c-9828-1dd0e99f05c2;;111111118;Vodacom Life 20260324;;;;;AA;5;2026-05-25 09:37:15+02;system;2026-03-24 09:54:08+02;2026-03-24 09:54:08+02;;;;;;;;;27714912289;;;;;;;;prepaid life;;;;;</t>
  </si>
  <si>
    <t>ID_2372</t>
  </si>
  <si>
    <t>13863592;d62be681-147a-4774-914b-9c4340d0e2bc;;111111118;Vodacom Life 20260324;;;;;DROP;5;2026-05-23</t>
  </si>
  <si>
    <t>13863592;d62be681-147a-4774-914b-9c4340d0e2bc;;111111118;Vodacom Life 20260324;;;;;DROP;5;2026-05-23 09:41:48+02;system;2026-03-24 09:54:08+02;2026-03-24 09:54:08+02;;;;;;;;;27769989089;;;;;;;;prepaid life;;;;;</t>
  </si>
  <si>
    <t>ID_2373</t>
  </si>
  <si>
    <t>13863669;2cbe760f-d56b-4722-b946-6d61c496d608;;111111118;Vodacom Life 20260324;;;;;AA;5;2026-05-25 1</t>
  </si>
  <si>
    <t>13863669;2cbe760f-d56b-4722-b946-6d61c496d608;;111111118;Vodacom Life 20260324;;;;;AA;5;2026-05-25 14:31:34+02;system;2026-03-24 09:54:08+02;2026-03-24 09:54:08+02;;;;;;;;;27825834931;;;;;;;;prepaid life;;;;;</t>
  </si>
  <si>
    <t>ID_2374</t>
  </si>
  <si>
    <t>13863593;d6200d4d-d2c3-4ef0-9f54-0abb4dc1615a;;111111118;Vodacom Life 20260324;;;;;DROP;5;2026-05-23</t>
  </si>
  <si>
    <t>13863593;d6200d4d-d2c3-4ef0-9f54-0abb4dc1615a;;111111118;Vodacom Life 20260324;;;;;DROP;5;2026-05-23 09:41:49+02;system;2026-03-24 09:54:08+02;2026-03-24 09:54:08+02;;;;;;;;;27773699655;;;;;;;;prepaid life;;;;;</t>
  </si>
  <si>
    <t>ID_2375</t>
  </si>
  <si>
    <t>13863670;1c0f0c45-0dff-455c-a771-6fcecb57d00b;;111111118;Vodacom Life 20260324;;;;;NI;2;2026-04-09 1</t>
  </si>
  <si>
    <t>13863670;1c0f0c45-0dff-455c-a771-6fcecb57d00b;;111111118;Vodacom Life 20260324;;;;;NI;2;2026-04-09 11:44:39+02;Musiiwa Mary Mabirimisa;2026-03-24 09:54:08+02;2026-03-24 09:54:08+02;;;;;;;;;27826393850;;;;;;;;prepaid life;;;;;</t>
  </si>
  <si>
    <t>ID_2376</t>
  </si>
  <si>
    <t>13863513;7b57cab9-91f8-417e-b450-b4c69f0968fa;;111111118;Vodacom Life 20260324;;;27715100649;;IABDN;</t>
  </si>
  <si>
    <t>13863513;7b57cab9-91f8-417e-b450-b4c69f0968fa;;111111118;Vodacom Life 20260324;;;27715100649;;IABDN;5;2026-05-25 09:37:54+02;system;2026-03-24 09:54:08+02;2026-03-24 09:54:08+02;;;;;;;;;27715100649;;;;;;;;prepaid life;;;;;</t>
  </si>
  <si>
    <t>ID_2377</t>
  </si>
  <si>
    <t>13863594;b353903f-3407-4a9a-b0f0-2c1755a9854f;;111111118;Vodacom Life 20260324;;;;;AE;5;2026-05-23 0</t>
  </si>
  <si>
    <t>13863594;b353903f-3407-4a9a-b0f0-2c1755a9854f;;111111118;Vodacom Life 20260324;;;;;AE;5;2026-05-23 09:46:38+02;system;2026-03-24 09:54:08+02;2026-03-24 09:54:08+02;;;;;;;;;27774431895;;;;;;;;prepaid life;;;;;</t>
  </si>
  <si>
    <t>ID_2378</t>
  </si>
  <si>
    <t>13863671;dd622060-c328-4cc1-97ff-8a5013a6ba18;;111111118;Vodacom Life 20260324;;;;;DROP;5;2026-05-25</t>
  </si>
  <si>
    <t>13863671;dd622060-c328-4cc1-97ff-8a5013a6ba18;;111111118;Vodacom Life 20260324;;;;;DROP;5;2026-05-25 14:32:53+02;system;2026-03-24 09:54:08+02;2026-03-24 09:54:08+02;;;;;;;;;27826414838;;;;;;;;prepaid life;;;;;</t>
  </si>
  <si>
    <t>ID_2379</t>
  </si>
  <si>
    <t>13863595;61394592-5784-48ef-b753-5c9a892fc49d;;111111118;Vodacom Life 20260324;;;;;AA;5;2026-05-23 0</t>
  </si>
  <si>
    <t>13863595;61394592-5784-48ef-b753-5c9a892fc49d;;111111118;Vodacom Life 20260324;;;;;AA;5;2026-05-23 09:49:36+02;system;2026-03-24 09:54:08+02;2026-03-24 09:54:08+02;;;;;;;;;27774574155;;;;;;;;prepaid life;;;;;</t>
  </si>
  <si>
    <t>ID_2380</t>
  </si>
  <si>
    <t>13863596;43f34fb4-35be-4a8a-aba8-b7c3b4aabb0b;;111111118;Vodacom Life 20260324;;;;;AA;5;2026-05-25 1</t>
  </si>
  <si>
    <t>13863596;43f34fb4-35be-4a8a-aba8-b7c3b4aabb0b;;111111118;Vodacom Life 20260324;;;;;AA;5;2026-05-25 10:53:51+02;system;2026-03-24 09:54:08+02;2026-03-24 09:54:08+02;;;;;;;;;27774792060;;;;;;;;prepaid life;;;;;</t>
  </si>
  <si>
    <t>ID_2381</t>
  </si>
  <si>
    <t>13863514;80b4db65-cd94-47c3-9b14-87f1ce3b7f84;;111111118;Vodacom Life 20260324;;;;;AE;5;2026-05-25 0</t>
  </si>
  <si>
    <t>13863514;80b4db65-cd94-47c3-9b14-87f1ce3b7f84;;111111118;Vodacom Life 20260324;;;;;AE;5;2026-05-25 09:38:15+02;system;2026-03-24 09:54:08+02;2026-03-24 09:54:08+02;;;;;;;;;27715967997;;;;;;;;prepaid life;;;;;</t>
  </si>
  <si>
    <t>ID_2382</t>
  </si>
  <si>
    <t>13863515;06abba64-5443-4d42-bead-999ee03e6216;;111111118;Vodacom Life 20260324;;;;;NI;3;2026-04-15 0</t>
  </si>
  <si>
    <t>13863515;06abba64-5443-4d42-bead-999ee03e6216;;111111118;Vodacom Life 20260324;;;;;NI;3;2026-04-15 08:40:21+02;Thandile Nokubeni;2026-03-24 09:54:08+02;2026-03-24 09:54:08+02;;;;;;;;;27716160441;;;;;;;;prepaid life;;;;;</t>
  </si>
  <si>
    <t>ID_2383</t>
  </si>
  <si>
    <t>13863672;67796178-18ac-4c5b-be03-bfac1f52f0fc;;111111118;Vodacom Life 20260324;;;;;AA;5;2026-05-25 1</t>
  </si>
  <si>
    <t>13863672;67796178-18ac-4c5b-be03-bfac1f52f0fc;;111111118;Vodacom Life 20260324;;;;;AA;5;2026-05-25 14:31:02+02;system;2026-03-24 09:54:08+02;2026-03-24 09:54:08+02;;;;;;;;;27826469298;;;;;;;;prepaid life;;;;;</t>
  </si>
  <si>
    <t>ID_2384</t>
  </si>
  <si>
    <t>13863516;5ec4baeb-24bb-4f59-a268-7557eb4bf98a;;111111118;Vodacom Life 20260324;;;;;NA;5;2026-05-25 0</t>
  </si>
  <si>
    <t>13863516;5ec4baeb-24bb-4f59-a268-7557eb4bf98a;;111111118;Vodacom Life 20260324;;;;;NA;5;2026-05-25 09:38:15+02;system;2026-03-24 09:54:08+02;2026-03-24 09:54:08+02;;;;;;;;;27716728955;;;;;;;;prepaid life;;;;;</t>
  </si>
  <si>
    <t>ID_2385</t>
  </si>
  <si>
    <t>13863597;d525b1db-0779-4b12-9995-9e87a8c3dec7;;111111118;Vodacom Life 20260324;;;;;AE;5;2026-05-25 1</t>
  </si>
  <si>
    <t>13863597;d525b1db-0779-4b12-9995-9e87a8c3dec7;;111111118;Vodacom Life 20260324;;;;;AE;5;2026-05-25 10:53:51+02;system;2026-03-24 09:54:08+02;2026-03-24 09:54:08+02;;;;;;;;;27782953700;;;;;;;;prepaid life;;;;;</t>
  </si>
  <si>
    <t>ID_2386</t>
  </si>
  <si>
    <t>13863673;a8f5ccc1-5e70-4c3d-9a01-3a08d922c457;;111111118;Vodacom Life 20260324;;;;;AA;5;2026-05-25 1</t>
  </si>
  <si>
    <t>13863673;a8f5ccc1-5e70-4c3d-9a01-3a08d922c457;;111111118;Vodacom Life 20260324;;;;;AA;5;2026-05-25 14:31:23+02;system;2026-03-24 09:54:08+02;2026-03-24 09:54:08+02;;;;;;;;;27826476236;;;;;;;;prepaid life;;;;;</t>
  </si>
  <si>
    <t>ID_2387</t>
  </si>
  <si>
    <t>13863598;1ef469ed-5d58-44e5-b329-1c707660eaa9;;111111118;Vodacom Life 20260324;;;;;NI;1;2026-03-30 1</t>
  </si>
  <si>
    <t>13863598;1ef469ed-5d58-44e5-b329-1c707660eaa9;;111111118;Vodacom Life 20260324;;;;;NI;1;2026-03-30 10:57:10+02;Thandile Nokubeni;2026-03-24 09:54:08+02;2026-03-24 09:54:08+02;;;;;;;;;27785474446;;;;;;;;prepaid life;;;;;</t>
  </si>
  <si>
    <t>ID_2388</t>
  </si>
  <si>
    <t xml:space="preserve">13863517;2924c66f-16a9-43bc-9713-d8451cceda51;;111111118;Vodacom Life 20260324;;;;;ADC;5;2026-05-25 </t>
  </si>
  <si>
    <t>13863517;2924c66f-16a9-43bc-9713-d8451cceda51;;111111118;Vodacom Life 20260324;;;;;ADC;5;2026-05-25 09:38:15+02;system;2026-03-24 09:54:08+02;2026-03-24 09:54:08+02;;;;;;;;;27716774573;;;;;;;;prepaid life;;;;;</t>
  </si>
  <si>
    <t>ID_2389</t>
  </si>
  <si>
    <t>13863518;ba8444df-e6d0-4488-b2b3-b0ed0e4480bc;;111111118;Vodacom Life 20260324;;;;;AA;5;2026-05-23 0</t>
  </si>
  <si>
    <t>13863518;ba8444df-e6d0-4488-b2b3-b0ed0e4480bc;;111111118;Vodacom Life 20260324;;;;;AA;5;2026-05-23 09:34:43+02;system;2026-03-24 09:54:08+02;2026-03-24 09:54:08+02;;;;;;;;;27718763886;;;;;;;;prepaid life;;;;;</t>
  </si>
  <si>
    <t>ID_2390</t>
  </si>
  <si>
    <t>13863674;197d68b3-2b93-48f1-adb7-a2a2af0d66ad;;111111118;Vodacom Life 20260324;;;27827279610;;CB;13;</t>
  </si>
  <si>
    <t>13863674;197d68b3-2b93-48f1-adb7-a2a2af0d66ad;;111111118;Vodacom Life 20260324;;;27827279610;;CB;13;2026-05-25 16:41:30+02;Maureen Ntsoko;2026-03-24 09:54:08+02;2026-03-24 09:54:08+02;;;;;;;;;27827279610;;;;;;;;prepaid life;;;;;</t>
  </si>
  <si>
    <t>ID_2391</t>
  </si>
  <si>
    <t>13863519;897c6bc5-7d10-4d11-a4b4-d2510c5609a4;;111111118;Vodacom Life 20260324;;;;;AA;5;2026-05-25 0</t>
  </si>
  <si>
    <t>13863519;897c6bc5-7d10-4d11-a4b4-d2510c5609a4;;111111118;Vodacom Life 20260324;;;;;AA;5;2026-05-25 09:38:27+02;system;2026-03-24 09:54:08+02;2026-03-24 09:54:08+02;;;;;;;;;27720121032;;;;;;;;prepaid life;;;;;</t>
  </si>
  <si>
    <t>ID_2392</t>
  </si>
  <si>
    <t>13863520;343df9b8-09f9-4b4e-9b59-1c84aa92ee19;;111111118;Vodacom Life 20260324;;;;;DROP;5;2026-05-23</t>
  </si>
  <si>
    <t>13863520;343df9b8-09f9-4b4e-9b59-1c84aa92ee19;;111111118;Vodacom Life 20260324;;;;;DROP;5;2026-05-23 09:34:43+02;system;2026-03-24 09:54:08+02;2026-03-24 09:54:08+02;;;;;;;;;27720205860;;;;;;;;prepaid life;;;;;</t>
  </si>
  <si>
    <t>ID_2393</t>
  </si>
  <si>
    <t>13863599;308fca13-4f5d-4347-8ddd-060f281b2b61;;111111118;Vodacom Life 20260324;;;;;DROP;5;2026-05-23</t>
  </si>
  <si>
    <t>13863599;308fca13-4f5d-4347-8ddd-060f281b2b61;;111111118;Vodacom Life 20260324;;;;;DROP;5;2026-05-23 09:43:00+02;system;2026-03-24 09:54:08+02;2026-03-24 09:54:08+02;;;;;;;;;27787096492;;;;;;;;prepaid life;;;;;</t>
  </si>
  <si>
    <t>ID_2394</t>
  </si>
  <si>
    <t>13863600;9a4163c5-6bf5-48c9-b4c4-04f1186fe414;;111111118;Vodacom Life 20260324;;;;;U;4;2026-05-19 16</t>
  </si>
  <si>
    <t>13863600;9a4163c5-6bf5-48c9-b4c4-04f1186fe414;;111111118;Vodacom Life 20260324;;;;;U;4;2026-05-19 16:17:13+02;Khensane Mabasa;2026-03-24 09:54:08+02;2026-03-24 09:54:08+02;;;;;;;;;27787734743;;;;;;;;prepaid life;;;;;</t>
  </si>
  <si>
    <t>ID_2395</t>
  </si>
  <si>
    <t>13863521;347614ff-1bb7-4cd1-88fb-4cba97d53d23;;111111118;Vodacom Life 20260324;;;;;CU;5;2026-05-23 0</t>
  </si>
  <si>
    <t>13863521;347614ff-1bb7-4cd1-88fb-4cba97d53d23;;111111118;Vodacom Life 20260324;;;;;CU;5;2026-05-23 09:34:43+02;Maureen Ntsoko;2026-03-24 09:54:08+02;2026-03-24 09:54:08+02;;;;;;;;;27720386407;;;;;;;;prepaid life;;;;;</t>
  </si>
  <si>
    <t>ID_2396</t>
  </si>
  <si>
    <t>13863676;829ff257-8a24-49a1-8b45-3f2b895f504f;;111111118;Vodacom Life 20260324;;;;;AA;5;2026-05-25 1</t>
  </si>
  <si>
    <t>13863676;829ff257-8a24-49a1-8b45-3f2b895f504f;;111111118;Vodacom Life 20260324;;;;;AA;5;2026-05-25 10:54:02+02;system;2026-03-24 09:54:08+02;2026-03-24 09:54:08+02;;;;;;;;;27828334401;;;;;;;;prepaid life;;;;;</t>
  </si>
  <si>
    <t>ID_2397</t>
  </si>
  <si>
    <t>13863522;08d082c7-730f-47a9-a07d-e626819fe049;;111111118;Vodacom Life 20260324;;;;;AA;5;2026-05-23 0</t>
  </si>
  <si>
    <t>13863522;08d082c7-730f-47a9-a07d-e626819fe049;;111111118;Vodacom Life 20260324;;;;;AA;5;2026-05-23 09:34:43+02;system;2026-03-24 09:54:08+02;2026-03-24 09:54:08+02;;;;;;;;;27720482403;;;;;;;;prepaid life;;;;;</t>
  </si>
  <si>
    <t>ID_2398</t>
  </si>
  <si>
    <t>13863601;f3ffaba7-3a44-4092-8e7c-e215f4d71e23;;111111118;Vodacom Life 20260324;;;;;AA;5;2026-05-25 1</t>
  </si>
  <si>
    <t>13863601;f3ffaba7-3a44-4092-8e7c-e215f4d71e23;;111111118;Vodacom Life 20260324;;;;;AA;5;2026-05-25 10:53:50+02;system;2026-03-24 09:54:08+02;2026-03-24 09:54:08+02;;;;;;;;;27788288296;;;;;;;;prepaid life;;;;;</t>
  </si>
  <si>
    <t>ID_2399</t>
  </si>
  <si>
    <t>13863677;611d7812-3780-4bc6-89e6-2e95c2ad39d4;;111111118;Vodacom Life 20260324;;;;;NA;5;2026-05-25 1</t>
  </si>
  <si>
    <t>13863677;611d7812-3780-4bc6-89e6-2e95c2ad39d4;;111111118;Vodacom Life 20260324;;;;;NA;5;2026-05-25 14:31:26+02;system;2026-03-24 09:54:08+02;2026-03-24 09:54:08+02;;;;;;;;;27829467576;;;;;;;;prepaid life;;;;;</t>
  </si>
  <si>
    <t>ID_2400</t>
  </si>
  <si>
    <t>13863602;abb4ae1f-fd53-4fbc-a326-657df90ef484;;111111118;Vodacom Life 20260324;;;;;AA;5;2026-05-23 0</t>
  </si>
  <si>
    <t>13863602;abb4ae1f-fd53-4fbc-a326-657df90ef484;;111111118;Vodacom Life 20260324;;;;;AA;5;2026-05-23 09:43:00+02;system;2026-03-24 09:54:08+02;2026-03-24 09:54:08+02;;;;;;;;;27790124997;;;;;;;;prepaid life;;;;;</t>
  </si>
  <si>
    <t>ID_2401</t>
  </si>
  <si>
    <t>13863523;f7c917c5-420e-48ca-8821-a97120fb35d9;;111111118;Vodacom Life 20260324;;;;;NI;2;2026-03-30 1</t>
  </si>
  <si>
    <t>13863523;f7c917c5-420e-48ca-8821-a97120fb35d9;;111111118;Vodacom Life 20260324;;;;;NI;2;2026-03-30 11:58:14+02;Thandile Nokubeni;2026-03-24 09:54:08+02;2026-03-24 09:54:08+02;;;;;;;;;27720539257;;;;;;;;prepaid life;;;;;</t>
  </si>
  <si>
    <t>ID_2402</t>
  </si>
  <si>
    <t>13863678;996baabb-3f6e-431c-92c9-79083e817304;;111111118;Vodacom Life 20260324;;;;;DNCLIFE;1;2026-03</t>
  </si>
  <si>
    <t>13863678;996baabb-3f6e-431c-92c9-79083e817304;;111111118;Vodacom Life 20260324;;;;;DNCLIFE;1;2026-03-26 11:40:26+02;Musiiwa Mary Mabirimisa;2026-03-24 09:54:08+02;2026-03-24 09:54:08+02;;;;;;;;;27838821466;;;;;;;;prepaid life;;;;;</t>
  </si>
  <si>
    <t>ID_2403</t>
  </si>
  <si>
    <t>13863524;efa68d40-8aab-425c-a6b1-03c902db3358;;111111118;Vodacom Life 20260324;;;27720975095;;IABDN;</t>
  </si>
  <si>
    <t>13863524;efa68d40-8aab-425c-a6b1-03c902db3358;;111111118;Vodacom Life 20260324;;;27720975095;;IABDN;5;2026-05-23 09:39:49+02;system;2026-03-24 09:54:08+02;2026-03-24 09:54:08+02;;;;;;;;;27720975095;;;;;;;;prepaid life;;;;;</t>
  </si>
  <si>
    <t>ID_2404</t>
  </si>
  <si>
    <t xml:space="preserve">13863679;3a45a050-5864-4c30-b619-202b93fc85c6;;111111118;Vodacom Life 20260324;;;;;OAL;4;2026-05-07 </t>
  </si>
  <si>
    <t>13863679;3a45a050-5864-4c30-b619-202b93fc85c6;;111111118;Vodacom Life 20260324;;;;;OAL;4;2026-05-07 15:57:41+02;Khensane Mabasa;2026-03-24 09:54:08+02;2026-03-24 09:54:08+02;;;;;;;;;27839785185;;;;;;;;prepaid life;;;;;</t>
  </si>
  <si>
    <t>ID_2405</t>
  </si>
  <si>
    <t>13863603;e10e3fc4-a068-4121-9baa-252ca2cc6d70;;111111118;Vodacom Life 20260324;;;;;AA;5;2026-05-23 0</t>
  </si>
  <si>
    <t>13863603;e10e3fc4-a068-4121-9baa-252ca2cc6d70;;111111118;Vodacom Life 20260324;;;;;AA;5;2026-05-23 09:43:00+02;system;2026-03-24 09:54:08+02;2026-03-24 09:54:08+02;;;;;;;;;27790419592;;;;;;;;prepaid life;;;;;</t>
  </si>
  <si>
    <t>ID_2406</t>
  </si>
  <si>
    <t>13863680;2ccffc0e-550f-4a28-9999-47f372232589;;111111118;Vodacom Life 20260324;;;27844547409;;CU;5;2</t>
  </si>
  <si>
    <t>13863680;2ccffc0e-550f-4a28-9999-47f372232589;;111111118;Vodacom Life 20260324;;;27844547409;;CU;5;2026-05-25 10:54:05+02;bongiwe lushaba;2026-03-24 09:54:08+02;2026-03-24 09:54:08+02;;;;;;;;;27844547409;;;;;;;;prepaid life;;;;;</t>
  </si>
  <si>
    <t>ID_2407</t>
  </si>
  <si>
    <t>13863604;723b1026-7fca-42b3-8650-d7d7afe4ea06;;111111118;Vodacom Life 20260324;;;;;AA;5;2026-05-23 0</t>
  </si>
  <si>
    <t>13863604;723b1026-7fca-42b3-8650-d7d7afe4ea06;;111111118;Vodacom Life 20260324;;;;;AA;5;2026-05-23 09:43:00+02;system;2026-03-24 09:54:08+02;2026-03-24 09:54:08+02;;;;;;;;;27790573075;;;;;;;;prepaid life;;;;;</t>
  </si>
  <si>
    <t>ID_2408</t>
  </si>
  <si>
    <t>13863525;285a6359-86a0-4dfa-94b5-b91c014eb40e;;111111118;Vodacom Life 20260324;;;;;AA;5;2026-05-23 0</t>
  </si>
  <si>
    <t>13863525;285a6359-86a0-4dfa-94b5-b91c014eb40e;;111111118;Vodacom Life 20260324;;;;;AA;5;2026-05-23 09:39:25+02;system;2026-03-24 09:54:08+02;2026-03-24 09:54:08+02;;;;;;;;;27721125430;;;;;;;;prepaid life;;;;;</t>
  </si>
  <si>
    <t>ID_2409</t>
  </si>
  <si>
    <t>13863526;61903a2c-8de1-462f-bd14-1bb5c21a0c20;;111111118;Vodacom Life 20260324;;;;;CBACK;1;2026-04-0</t>
  </si>
  <si>
    <t>13863526;61903a2c-8de1-462f-bd14-1bb5c21a0c20;;111111118;Vodacom Life 20260324;;;;;CBACK;1;2026-04-01 11:16:39+02;Millicent Motsuku;2026-03-24 09:54:08+02;2026-03-24 09:54:08+02;;;;;;;;;27722482342;;;;;;;;prepaid life;;;;;</t>
  </si>
  <si>
    <t>ID_2410</t>
  </si>
  <si>
    <t>13863681;9ffe6e08-0787-41a6-9be4-fcce791c35d0;;111111118;Vodacom Life 20260324;;;;;A;5;2026-04-15 11</t>
  </si>
  <si>
    <t>13863681;9ffe6e08-0787-41a6-9be4-fcce791c35d0;;111111118;Vodacom Life 20260324;;;;;A;5;2026-04-15 11:38:39+02;Musiiwa Mary Mabirimisa;2026-03-24 09:54:08+02;2026-03-24 09:54:08+02;;;;;;;;;27606283792;;;;;;;;prepaid life;;;;;</t>
  </si>
  <si>
    <t>ID_2411</t>
  </si>
  <si>
    <t>13863527;0c4c0848-9c92-4401-aad5-ce945db83a02;;111111118;Vodacom Life 20260324;;;27722540812;;AA;5;2</t>
  </si>
  <si>
    <t>13863527;0c4c0848-9c92-4401-aad5-ce945db83a02;;111111118;Vodacom Life 20260324;;;27722540812;;AA;5;2026-05-23 09:46:55+02;system;2026-03-24 09:54:08+02;2026-03-24 09:54:08+02;;;;;;;;;27722540812;;;;;;;;prepaid life;;;;;</t>
  </si>
  <si>
    <t>ID_2412</t>
  </si>
  <si>
    <t>13863605;6dd0a7f2-f1f1-4d84-a361-984520253dca;;111111118;Vodacom Life 20260324;;;;;U;2;2026-04-09 12</t>
  </si>
  <si>
    <t>13863605;6dd0a7f2-f1f1-4d84-a361-984520253dca;;111111118;Vodacom Life 20260324;;;;;U;2;2026-04-09 12:11:23+02;Seboifeng Mogola;2026-03-24 09:54:08+02;2026-03-24 09:54:08+02;;;;;;;;;27790752322;;;;;;;;prepaid life;;;;;</t>
  </si>
  <si>
    <t>ID_2413</t>
  </si>
  <si>
    <t>13863682;f8962d5a-030b-4655-bc59-fc0ab77a072c;;111111118;Vodacom Life 20260324;;;;;NI;3;2026-04-15 1</t>
  </si>
  <si>
    <t>13863682;f8962d5a-030b-4655-bc59-fc0ab77a072c;;111111118;Vodacom Life 20260324;;;;;NI;3;2026-04-15 11:58:11+02;Thandile Nokubeni;2026-03-24 09:54:08+02;2026-03-24 09:54:08+02;;;;;;;;;27606341075;;;;;;;;prepaid life;;;;;</t>
  </si>
  <si>
    <t>ID_2414</t>
  </si>
  <si>
    <t>13863606;e0f3f4e1-f4f3-4bf9-8b87-05307a1cf1b9;;111111118;Vodacom Life 20260324;;;;;NI;2;2026-04-09 1</t>
  </si>
  <si>
    <t>13863606;e0f3f4e1-f4f3-4bf9-8b87-05307a1cf1b9;;111111118;Vodacom Life 20260324;;;;;NI;2;2026-04-09 12:11:24+02;Thandile Nokubeni;2026-03-24 09:54:08+02;2026-03-24 09:54:08+02;;;;;;;;;27790767930;;;;;;;;prepaid life;;;;;</t>
  </si>
  <si>
    <t>ID_2415</t>
  </si>
  <si>
    <t>13863683;12e12d66-05a5-41fe-8c3b-604bfa52a0f4;;111111118;Vodacom Life 20260324;;;;;AA;5;2026-05-23 0</t>
  </si>
  <si>
    <t>13863683;12e12d66-05a5-41fe-8c3b-604bfa52a0f4;;111111118;Vodacom Life 20260324;;;;;AA;5;2026-05-23 09:49:40+02;system;2026-03-24 09:54:08+02;2026-03-24 09:54:08+02;;;;;;;;;27606633371;;;;;;;;prepaid life;;;;;</t>
  </si>
  <si>
    <t>ID_2416</t>
  </si>
  <si>
    <t>13863607;844f3040-35c9-4b59-a107-8aed1dc2f45f;;111111118;Vodacom Life 20260324;;;;;AE;5;2026-05-23 0</t>
  </si>
  <si>
    <t>13863607;844f3040-35c9-4b59-a107-8aed1dc2f45f;;111111118;Vodacom Life 20260324;;;;;AE;5;2026-05-23 09:43:11+02;system;2026-03-24 09:54:08+02;2026-03-24 09:54:08+02;;;;;;;;;27790775362;;;;;;;;prepaid life;;;;;</t>
  </si>
  <si>
    <t>ID_2417</t>
  </si>
  <si>
    <t>13863528;4bc9b450-548e-4d0d-bff3-f81169131ef6;;111111118;Vodacom Life 20260324;;;;;EC;1;2026-04-01 1</t>
  </si>
  <si>
    <t>13863528;4bc9b450-548e-4d0d-bff3-f81169131ef6;;111111118;Vodacom Life 20260324;;;;;EC;1;2026-04-01 11:43:38+02;Musiiwa Mary Mabirimisa;2026-03-24 09:54:08+02;2026-03-24 09:54:08+02;;;;;;;;;27722805073;;;;;;;;prepaid life;;;;;</t>
  </si>
  <si>
    <t>ID_2418</t>
  </si>
  <si>
    <t>13863684;91ee9216-df92-4424-9808-6223777a6a72;;111111118;Vodacom Life 20260324;;;;;NI;4;2026-05-07 1</t>
  </si>
  <si>
    <t>13863684;91ee9216-df92-4424-9808-6223777a6a72;;111111118;Vodacom Life 20260324;;;;;NI;4;2026-05-07 15:58:19+02;Esther Ramalete;2026-03-24 09:54:08+02;2026-03-24 09:54:08+02;;;;;;;;;27606913707;;;;;;;;prepaid life;;;;;</t>
  </si>
  <si>
    <t>ID_2419</t>
  </si>
  <si>
    <t>13863529;267ef414-414f-49df-8028-0b1b5c057c67;;111111118;Vodacom Life 20260324;;;;;NI;2;2026-04-09 1</t>
  </si>
  <si>
    <t>13863529;267ef414-414f-49df-8028-0b1b5c057c67;;111111118;Vodacom Life 20260324;;;;;NI;2;2026-04-09 11:54:35+02;Mahlatse Manamela;2026-03-24 09:54:08+02;2026-03-24 09:54:08+02;;;;;;;;;27723057686;;;;;;;;prepaid life;;;;;</t>
  </si>
  <si>
    <t>ID_2420</t>
  </si>
  <si>
    <t>13863608;d3195865-9a7b-4e0b-803d-2ccf6c62b6c4;;111111118;Vodacom Life 20260324;;;;;AA;5;2026-05-23 0</t>
  </si>
  <si>
    <t>13863608;d3195865-9a7b-4e0b-803d-2ccf6c62b6c4;;111111118;Vodacom Life 20260324;;;;;AA;5;2026-05-23 09:43:11+02;system;2026-03-24 09:54:08+02;2026-03-24 09:54:08+02;;;;;;;;;27791344584;;;;;;;;prepaid life;;;;;</t>
  </si>
  <si>
    <t>ID_2421</t>
  </si>
  <si>
    <t>13863685;f63ce2fb-d8bf-4850-bfb7-f65ca1fb720d;;111111118;Vodacom Life 20260324;;;;;DROP;5;2026-05-25</t>
  </si>
  <si>
    <t>13863685;f63ce2fb-d8bf-4850-bfb7-f65ca1fb720d;;111111118;Vodacom Life 20260324;;;;;DROP;5;2026-05-25 10:54:20+02;system;2026-03-24 09:54:08+02;2026-03-24 09:54:08+02;;;;;;;;;27607069056;;;;;;;;prepaid life;;;;;</t>
  </si>
  <si>
    <t>ID_2422</t>
  </si>
  <si>
    <t>13863609;1a3813c7-8350-46fd-8d52-a09df5e67e80;;111111118;Vodacom Life 20260324;;;;;AA;5;2026-05-23 0</t>
  </si>
  <si>
    <t>13863609;1a3813c7-8350-46fd-8d52-a09df5e67e80;;111111118;Vodacom Life 20260324;;;;;AA;5;2026-05-23 09:49:46+02;system;2026-03-24 09:54:08+02;2026-03-24 09:54:08+02;;;;;;;;;27791682440;;;;;;;;prepaid life;;;;;</t>
  </si>
  <si>
    <t>ID_2423</t>
  </si>
  <si>
    <t>13863610;e40bdb79-5f6d-44ba-baf9-e9aefc6b4462;;111111118;Vodacom Life 20260324;;;27791729018;;DROP;5</t>
  </si>
  <si>
    <t>13863610;e40bdb79-5f6d-44ba-baf9-e9aefc6b4462;;111111118;Vodacom Life 20260324;;;27791729018;;DROP;5;2026-05-23 09:50:32+02;system;2026-03-24 09:54:08+02;2026-03-24 09:54:08+02;;;;;;;;;27791729018;;;;;;;;prepaid life;;;;;</t>
  </si>
  <si>
    <t>ID_2424</t>
  </si>
  <si>
    <t>13863530;e41be7aa-1c5f-4f64-bc64-37d6d2b14253;;111111118;Vodacom Life 20260324;;;27723695190;;CU;5;2</t>
  </si>
  <si>
    <t>13863530;e41be7aa-1c5f-4f64-bc64-37d6d2b14253;;111111118;Vodacom Life 20260324;;;27723695190;;CU;5;2026-05-25 11:22:52+02;Khensane Mabasa;2026-03-24 09:54:08+02;2026-03-24 09:54:08+02;;;;;;;;;27723695190;;;;;;;;prepaid life;;;;;</t>
  </si>
  <si>
    <t>ID_2425</t>
  </si>
  <si>
    <t>13863531;6214c1d5-d006-427c-b8ff-8de08836b392;;111111118;Vodacom Life 20260324;;;;;NI;3;2026-04-15 0</t>
  </si>
  <si>
    <t>13863531;6214c1d5-d006-427c-b8ff-8de08836b392;;111111118;Vodacom Life 20260324;;;;;NI;3;2026-04-15 09:45:47+02;Thandile Nokubeni;2026-03-24 09:54:08+02;2026-03-24 09:54:08+02;;;;;;;;;27723789699;;;;;;;;prepaid life;;;;;</t>
  </si>
  <si>
    <t>ID_2426</t>
  </si>
  <si>
    <t>13863686;f2501602-8640-492e-baff-c6834b7a8fa1;;111111118;Vodacom Life 20260324;;;;;NI;2;2026-03-26 1</t>
  </si>
  <si>
    <t>13863686;f2501602-8640-492e-baff-c6834b7a8fa1;;111111118;Vodacom Life 20260324;;;;;NI;2;2026-03-26 11:50:35+02;Mahlatse Manamela;2026-03-24 09:54:08+02;2026-03-24 09:54:08+02;;;;;;;;;27607651942;;;;;;;;prepaid life;;;;;</t>
  </si>
  <si>
    <t>ID_2427</t>
  </si>
  <si>
    <t>13863687;eb97dd71-ead1-44a0-922c-0275aa2908fc;;111111118;Vodacom Life 20260324;;;;;AA;5;2026-05-23 0</t>
  </si>
  <si>
    <t>13863687;eb97dd71-ead1-44a0-922c-0275aa2908fc;;111111118;Vodacom Life 20260324;;;;;AA;5;2026-05-23 09:49:40+02;system;2026-03-24 09:54:08+02;2026-03-24 09:54:08+02;;;;;;;;;27607697392;;;;;;;;prepaid life;;;;;</t>
  </si>
  <si>
    <t>ID_2428</t>
  </si>
  <si>
    <t>13863532;de5ad240-1671-44d9-b912-159750e0544d;;111111118;Vodacom Life 20260324;;;;;DROP;5;2026-05-25</t>
  </si>
  <si>
    <t>13863532;de5ad240-1671-44d9-b912-159750e0544d;;111111118;Vodacom Life 20260324;;;;;DROP;5;2026-05-25 11:23:04+02;system;2026-03-24 09:54:08+02;2026-03-24 09:54:08+02;;;;;;;;;27723980373;;;;;;;;prepaid life;;;;;</t>
  </si>
  <si>
    <t>ID_2429</t>
  </si>
  <si>
    <t>13863611;7a3b72ec-f58f-4538-bbe8-2f507f1e2e7f;;111111118;Vodacom Life 20260324;;;;;AE;5;2026-05-25 1</t>
  </si>
  <si>
    <t>13863611;7a3b72ec-f58f-4538-bbe8-2f507f1e2e7f;;111111118;Vodacom Life 20260324;;;;;AE;5;2026-05-25 11:24:00+02;system;2026-03-24 09:54:08+02;2026-03-24 09:54:08+02;;;;;;;;;27791876727;;;;;;;;prepaid life;;;;;</t>
  </si>
  <si>
    <t>ID_2430</t>
  </si>
  <si>
    <t>13863612;efcabeb2-48c3-46fe-a5e5-99758664490b;;111111118;Vodacom Life 20260324;;;;;CBACK;1;2026-04-0</t>
  </si>
  <si>
    <t>13863612;efcabeb2-48c3-46fe-a5e5-99758664490b;;111111118;Vodacom Life 20260324;;;;;CBACK;1;2026-04-01 09:32:46+02;Millicent Motsuku;2026-03-24 09:54:08+02;2026-03-24 09:54:08+02;;;;;;;;;27792341972;;;;;;;;prepaid life;;;;;</t>
  </si>
  <si>
    <t>ID_2431</t>
  </si>
  <si>
    <t>13863688;b4563cd5-c314-4d9b-9770-3f1f785a798a;;111111118;Vodacom Life 20260324;;;;;DROP;5;2026-05-23</t>
  </si>
  <si>
    <t>13863688;b4563cd5-c314-4d9b-9770-3f1f785a798a;;111111118;Vodacom Life 20260324;;;;;DROP;5;2026-05-23 09:49:40+02;system;2026-03-24 09:54:08+02;2026-03-24 09:54:08+02;;;;;;;;;27608060843;;;;;;;;prepaid life;;;;;</t>
  </si>
  <si>
    <t>ID_2432</t>
  </si>
  <si>
    <t xml:space="preserve">13863533;bc8ae5e2-9a2a-43ee-a7db-44b5c9ee3a59;;111111118;Vodacom Life 20260324;;;;;ADC;5;2026-05-25 </t>
  </si>
  <si>
    <t>13863533;bc8ae5e2-9a2a-43ee-a7db-44b5c9ee3a59;;111111118;Vodacom Life 20260324;;;;;ADC;5;2026-05-25 11:23:06+02;system;2026-03-24 09:54:08+02;2026-03-24 09:54:08+02;;;;;;;;;27724539059;;;;;;;;prepaid life;;;;;</t>
  </si>
  <si>
    <t>ID_2433</t>
  </si>
  <si>
    <t>13863689;594d8b12-d8ed-4cc6-81f0-3e6bd034638d;;111111118;Vodacom Life 20260324;;;;;NI;4;2026-05-07 1</t>
  </si>
  <si>
    <t>13863689;594d8b12-d8ed-4cc6-81f0-3e6bd034638d;;111111118;Vodacom Life 20260324;;;;;NI;4;2026-05-07 16:06:28+02;Esther Ramalete;2026-03-24 09:54:08+02;2026-03-24 09:54:08+02;;;;;;;;;27608328579;;;;;;;;prepaid life;;;;;</t>
  </si>
  <si>
    <t>ID_2434</t>
  </si>
  <si>
    <t>13863534;e9f4e4ce-00c1-4261-a844-82e1b94600a3;;111111118;Vodacom Life 20260324;;;;;AA;5;2026-05-25 1</t>
  </si>
  <si>
    <t>13863534;e9f4e4ce-00c1-4261-a844-82e1b94600a3;;111111118;Vodacom Life 20260324;;;;;AA;5;2026-05-25 11:23:08+02;system;2026-03-24 09:54:08+02;2026-03-24 09:54:08+02;;;;;;;;;27724684516;;;;;;;;prepaid life;;;;;</t>
  </si>
  <si>
    <t>ID_2435</t>
  </si>
  <si>
    <t>13863614;a529f724-3173-48f5-860f-238c22fb4ca8;;111111118;Vodacom Life 20260324;;;;;NI;1;2026-04-01 0</t>
  </si>
  <si>
    <t>13863614;a529f724-3173-48f5-860f-238c22fb4ca8;;111111118;Vodacom Life 20260324;;;;;NI;1;2026-04-01 09:32:42+02;Thandile Nokubeni;2026-03-24 09:54:08+02;2026-03-24 09:54:08+02;;;;;;;;;27792881405;;;;;;;;prepaid life;;;;;</t>
  </si>
  <si>
    <t>ID_2436</t>
  </si>
  <si>
    <t>13863690;1067696b-fe21-40b8-8185-3343b351ff72;;111111118;Vodacom Life 20260324;;;;;CU;5;2026-05-23 0</t>
  </si>
  <si>
    <t>13863690;1067696b-fe21-40b8-8185-3343b351ff72;;111111118;Vodacom Life 20260324;;;;;CU;5;2026-05-23 09:49:40+02;Maureen Ntsoko;2026-03-24 09:54:08+02;2026-03-24 09:54:08+02;;;;;;;;;27608344028;;;;;;;;prepaid life;;;;;</t>
  </si>
  <si>
    <t>ID_2437</t>
  </si>
  <si>
    <t>13863615;e09bb6ff-70a7-45d0-b23e-b413fa2be3ef;;111111118;Vodacom Life 20260324;;;;;AA;5;2026-05-25 1</t>
  </si>
  <si>
    <t>13863615;e09bb6ff-70a7-45d0-b23e-b413fa2be3ef;;111111118;Vodacom Life 20260324;;;;;AA;5;2026-05-25 11:24:00+02;system;2026-03-24 09:54:08+02;2026-03-24 09:54:08+02;;;;;;;;;27792943241;;;;;;;;prepaid life;;;;;</t>
  </si>
  <si>
    <t>ID_2438</t>
  </si>
  <si>
    <t>13863616;99474c2c-4c14-4e20-9ab3-533c987b861f;;111111118;Vodacom Life 20260324;;;;;CU;5;2026-05-25 0</t>
  </si>
  <si>
    <t>13863616;99474c2c-4c14-4e20-9ab3-533c987b861f;;111111118;Vodacom Life 20260324;;;;;CU;5;2026-05-25 09:39:52+02;Maureen Ntsoko;2026-03-24 09:54:08+02;2026-03-24 09:54:08+02;;;;;;;;;27793093709;;;;;;;;prepaid life;;;;;</t>
  </si>
  <si>
    <t>ID_2439</t>
  </si>
  <si>
    <t>13863535;d2cb215c-fb03-4088-b7ef-27631d5489a5;;111111118;Vodacom Life 20260324;;;27724764259;;IABDN;</t>
  </si>
  <si>
    <t>13863535;d2cb215c-fb03-4088-b7ef-27631d5489a5;;111111118;Vodacom Life 20260324;;;27724764259;;IABDN;5;2026-05-23 09:39:34+02;system;2026-03-24 09:54:08+02;2026-03-24 09:54:08+02;;;;;;;;;27724764259;;;;;;;;prepaid life;;;;;</t>
  </si>
  <si>
    <t>ID_2440</t>
  </si>
  <si>
    <t>13863691;4b51a4ef-543c-4f60-8c38-d988094c6150;;111111118;Vodacom Life 20260324;;;;;AA;5;2026-05-23 0</t>
  </si>
  <si>
    <t>13863691;4b51a4ef-543c-4f60-8c38-d988094c6150;;111111118;Vodacom Life 20260324;;;;;AA;5;2026-05-23 09:49:41+02;system;2026-03-24 09:54:08+02;2026-03-24 09:54:08+02;;;;;;;;;27608514022;;;;;;;;prepaid life;;;;;</t>
  </si>
  <si>
    <t>ID_2441</t>
  </si>
  <si>
    <t>13863617;4aa405fb-78a1-48d7-b02f-5f6a0c8c6fea;;111111118;Vodacom Life 20260324;;;;;AA;5;2026-05-23 0</t>
  </si>
  <si>
    <t>13863617;4aa405fb-78a1-48d7-b02f-5f6a0c8c6fea;;111111118;Vodacom Life 20260324;;;;;AA;5;2026-05-23 09:43:51+02;system;2026-03-24 09:54:08+02;2026-03-24 09:54:08+02;;;;;;;;;27793133169;;;;;;;;prepaid life;;;;;</t>
  </si>
  <si>
    <t>ID_2442</t>
  </si>
  <si>
    <t>13863692;ecc9b77c-63ff-412a-b1fd-98c275014fe4;;111111118;Vodacom Life 20260324;;;27609077358;;DROP;5</t>
  </si>
  <si>
    <t>13863692;ecc9b77c-63ff-412a-b1fd-98c275014fe4;;111111118;Vodacom Life 20260324;;;27609077358;;DROP;5;2026-05-23 09:49:41+02;system;2026-03-24 09:54:08+02;2026-03-24 09:54:08+02;;;;;;;;;27609077358;;;;;;;;prepaid life;;;;;</t>
  </si>
  <si>
    <t>ID_2443</t>
  </si>
  <si>
    <t>13863693;d78137e1-663f-48bc-9390-3e491edc2f05;;111111118;Vodacom Life 20260324;;;;;AA;5;2026-05-23 0</t>
  </si>
  <si>
    <t>13863693;d78137e1-663f-48bc-9390-3e491edc2f05;;111111118;Vodacom Life 20260324;;;;;AA;5;2026-05-23 09:49:42+02;system;2026-03-24 09:54:08+02;2026-03-24 09:54:08+02;;;;;;;;;27609322584;;;;;;;;prepaid life;;;;;</t>
  </si>
  <si>
    <t>ID_2444</t>
  </si>
  <si>
    <t>13863618;dbd81e57-49dc-40fc-bc59-5cc9ebc90245;;111111118;Vodacom Life 20260324;;;;;CBACK;1;2026-04-0</t>
  </si>
  <si>
    <t>13863618;dbd81e57-49dc-40fc-bc59-5cc9ebc90245;;111111118;Vodacom Life 20260324;;;;;CBACK;1;2026-04-01 10:39:26+02;bongiwe lushaba;2026-03-24 09:54:08+02;2026-03-24 09:54:08+02;;;;;;;;;27793261519;;;;;;;;prepaid life;;;;;</t>
  </si>
  <si>
    <t>ID_2445</t>
  </si>
  <si>
    <t>13863536;08838b02-e417-4aa8-93c1-59e3f5b54f80;;111111118;Vodacom Life 20260324;;;;;AA;5;2026-05-25 1</t>
  </si>
  <si>
    <t>13863536;08838b02-e417-4aa8-93c1-59e3f5b54f80;;111111118;Vodacom Life 20260324;;;;;AA;5;2026-05-25 14:04:46+02;system;2026-03-24 09:54:08+02;2026-03-24 09:54:08+02;;;;;;;;;27725589528;;;;;;;;prepaid life;;;;;</t>
  </si>
  <si>
    <t>ID_2446</t>
  </si>
  <si>
    <t xml:space="preserve">13863694;8ed415b7-4758-4aad-b90a-2d349f50112f;;111111118;Vodacom Life 20260324;;;;;ADC;5;2026-05-25 </t>
  </si>
  <si>
    <t>13863694;8ed415b7-4758-4aad-b90a-2d349f50112f;;111111118;Vodacom Life 20260324;;;;;ADC;5;2026-05-25 09:41:57+02;system;2026-03-24 09:54:08+02;2026-03-24 09:54:08+02;;;;;;;;;27609566966;;;;;;;;prepaid life;;;;;</t>
  </si>
  <si>
    <t>ID_2447</t>
  </si>
  <si>
    <t>13863537;5b3b47ff-c002-4751-ba9d-ff60e7898db4;;111111118;Vodacom Life 20260324;;;;;AA;5;2026-05-23 0</t>
  </si>
  <si>
    <t>13863537;5b3b47ff-c002-4751-ba9d-ff60e7898db4;;111111118;Vodacom Life 20260324;;;;;AA;5;2026-05-23 09:38:47+02;system;2026-03-24 09:54:08+02;2026-03-24 09:54:08+02;;;;;;;;;27725606866;;;;;;;;prepaid life;;;;;</t>
  </si>
  <si>
    <t>ID_2448</t>
  </si>
  <si>
    <t>13863619;2d7177d8-729b-4478-86e1-cab7b91df111;;111111118;Vodacom Life 20260324;;;27793285236;;ADC;5;</t>
  </si>
  <si>
    <t>13863619;2d7177d8-729b-4478-86e1-cab7b91df111;;111111118;Vodacom Life 20260324;;;27793285236;;ADC;5;2026-05-25 09:39:52+02;system;2026-03-24 09:54:08+02;2026-03-24 09:54:08+02;;;;;;;;;27793285236;;;;;;;;prepaid life;;;;;</t>
  </si>
  <si>
    <t>ID_2449</t>
  </si>
  <si>
    <t>13863695;373665fa-b7a0-4782-a431-e4d4da561499;;111111118;Vodacom Life 20260324;;;;;NI;5;2026-05-25 0</t>
  </si>
  <si>
    <t>13863695;373665fa-b7a0-4782-a431-e4d4da561499;;111111118;Vodacom Life 20260324;;;;;NI;5;2026-05-25 09:41:57+02;Maureen Ntsoko;2026-03-24 09:54:08+02;2026-03-24 09:54:08+02;;;;;;;;;27612376400;;;;;;;;prepaid life;;;;;</t>
  </si>
  <si>
    <t>ID_2450</t>
  </si>
  <si>
    <t>13863620;d2af261e-1c04-4b6f-bfc0-f39490f7adcc;;111111118;Vodacom Life 20260324;;;;;NA;5;2026-05-23 0</t>
  </si>
  <si>
    <t>13863620;d2af261e-1c04-4b6f-bfc0-f39490f7adcc;;111111118;Vodacom Life 20260324;;;;;NA;5;2026-05-23 09:43:52+02;system;2026-03-24 09:54:08+02;2026-03-24 09:54:08+02;;;;;;;;;27793767867;;;;;;;;prepaid life;;;;;</t>
  </si>
  <si>
    <t>ID_2451</t>
  </si>
  <si>
    <t xml:space="preserve">13863538;17b341d6-937f-4bcb-9847-2c3394314a53;;111111118;Vodacom Life 20260324;;;;;ADC;5;2026-05-23 </t>
  </si>
  <si>
    <t>13863538;17b341d6-937f-4bcb-9847-2c3394314a53;;111111118;Vodacom Life 20260324;;;;;ADC;5;2026-05-23 09:38:47+02;system;2026-03-24 09:54:08+02;2026-03-24 09:54:08+02;;;;;;;;;27725860865;;;;;;;;prepaid life;;;;;</t>
  </si>
  <si>
    <t>ID_2452</t>
  </si>
  <si>
    <t xml:space="preserve">13863696;d25b8b95-554e-459d-82c6-506ae2323caa;;111111118;Vodacom Life 20260324;;;;;ADC;5;2026-05-25 </t>
  </si>
  <si>
    <t>13863696;d25b8b95-554e-459d-82c6-506ae2323caa;;111111118;Vodacom Life 20260324;;;;;ADC;5;2026-05-25 09:41:57+02;system;2026-03-24 09:54:08+02;2026-03-24 09:54:08+02;;;;;;;;;27635531897;;;;;;;;prepaid life;;;;;</t>
  </si>
  <si>
    <t>ID_2453</t>
  </si>
  <si>
    <t>13863539;b4eadfcb-4674-46a5-94f1-b1b8b73cebe0;;111111118;Vodacom Life 20260324;;;;;CU;5;2026-05-23 0</t>
  </si>
  <si>
    <t>13863539;b4eadfcb-4674-46a5-94f1-b1b8b73cebe0;;111111118;Vodacom Life 20260324;;;;;CU;5;2026-05-23 09:38:48+02;bongiwe lushaba;2026-03-24 09:54:08+02;2026-03-24 09:54:08+02;;;;;;;;;27725934172;;;;;;;;prepaid life;;;;;</t>
  </si>
  <si>
    <t>ID_2454</t>
  </si>
  <si>
    <t>13863621;131289b1-bfb4-4e77-8cde-7a6a54d865ab;;111111118;Vodacom Life 20260324;;;27794114615;;OAL;5;</t>
  </si>
  <si>
    <t>13863621;131289b1-bfb4-4e77-8cde-7a6a54d865ab;;111111118;Vodacom Life 20260324;;;27794114615;;OAL;5;2026-05-23 09:43:52+02;Maureen Ntsoko;2026-03-24 09:54:08+02;2026-03-24 09:54:08+02;;;;;;;;;27794114615;;;;;;;;prepaid life;;;;;</t>
  </si>
  <si>
    <t>ID_2455</t>
  </si>
  <si>
    <t>13863697;d07dbd0b-36dc-4434-999a-324ac26dcc69;;111111118;Vodacom Life 20260324;;;;;AE;5;2026-05-25 0</t>
  </si>
  <si>
    <t>13863697;d07dbd0b-36dc-4434-999a-324ac26dcc69;;111111118;Vodacom Life 20260324;;;;;AE;5;2026-05-25 09:41:59+02;system;2026-03-24 09:54:08+02;2026-03-24 09:54:08+02;;;;;;;;;27636155367;;;;;;;;prepaid life;;;;;</t>
  </si>
  <si>
    <t>ID_2456</t>
  </si>
  <si>
    <t>13863622;8a3644c3-7450-4412-b440-e23758139110;;111111118;Vodacom Life 20260324;;;;;AE;5;2026-05-23 0</t>
  </si>
  <si>
    <t>13863622;8a3644c3-7450-4412-b440-e23758139110;;111111118;Vodacom Life 20260324;;;;;AE;5;2026-05-23 09:43:52+02;system;2026-03-24 09:54:08+02;2026-03-24 09:54:08+02;;;;;;;;;27794400313;;;;;;;;prepaid life;;;;;</t>
  </si>
  <si>
    <t>ID_2457</t>
  </si>
  <si>
    <t>13863540;4be51ced-68d0-4e62-9519-ecef4faac785;;111111118;Vodacom Life 20260324;;;;;AE;5;2026-05-23 0</t>
  </si>
  <si>
    <t>13863540;4be51ced-68d0-4e62-9519-ecef4faac785;;111111118;Vodacom Life 20260324;;;;;AE;5;2026-05-23 09:39:04+02;system;2026-03-24 09:54:08+02;2026-03-24 09:54:08+02;;;;;;;;;27726020099;;;;;;;;prepaid life;;;;;</t>
  </si>
  <si>
    <t>ID_2458</t>
  </si>
  <si>
    <t>13863698;f1a8b791-e3c8-44a0-bdc0-755720481df4;;111111118;Vodacom Life 20260324;;;;;NA;5;2026-05-25 0</t>
  </si>
  <si>
    <t>13863698;f1a8b791-e3c8-44a0-bdc0-755720481df4;;111111118;Vodacom Life 20260324;;;;;NA;5;2026-05-25 09:42:00+02;system;2026-03-24 09:54:08+02;2026-03-24 09:54:08+02;;;;;;;;;27637062898;;;;;;;;prepaid life;;;;;</t>
  </si>
  <si>
    <t>ID_2459</t>
  </si>
  <si>
    <t>13863541;0b8d1d45-8edb-49d3-b2fd-66bf49d67c42;;111111118;Vodacom Life 20260324;;;;;NI;5;2026-05-23 0</t>
  </si>
  <si>
    <t>13863541;0b8d1d45-8edb-49d3-b2fd-66bf49d67c42;;111111118;Vodacom Life 20260324;;;;;NI;5;2026-05-23 09:39:25+02;Maureen Ntsoko;2026-03-24 09:54:08+02;2026-03-24 09:54:08+02;;;;;;;;;27726429052;;;;;;;;prepaid life;;;;;</t>
  </si>
  <si>
    <t>ID_2460</t>
  </si>
  <si>
    <t>13863623;34e22f23-cb00-46e4-b6fc-6e16730013ef;;111111118;Vodacom Life 20260324;;;;;AE;5;2026-05-23 0</t>
  </si>
  <si>
    <t>13863623;34e22f23-cb00-46e4-b6fc-6e16730013ef;;111111118;Vodacom Life 20260324;;;;;AE;5;2026-05-23 09:44:07+02;system;2026-03-24 09:54:08+02;2026-03-24 09:54:08+02;;;;;;;;;27794417249;;;;;;;;prepaid life;;;;;</t>
  </si>
  <si>
    <t>ID_2461</t>
  </si>
  <si>
    <t>13863699;c0a640d7-5aa3-4de0-b2a1-0ba2f6b80248;;111111118;Vodacom Life 20260324;;;27637283343;;ADC;5;</t>
  </si>
  <si>
    <t>13863699;c0a640d7-5aa3-4de0-b2a1-0ba2f6b80248;;111111118;Vodacom Life 20260324;;;27637283343;;ADC;5;2026-05-25 09:42:04+02;system;2026-03-24 09:54:08+02;2026-03-24 09:54:08+02;;;;;;;;;27637283343;;;;;;;;prepaid life;;;;;</t>
  </si>
  <si>
    <t>ID_2462</t>
  </si>
  <si>
    <t>13863624;6db03e47-ce6e-4296-9167-46b24c64fca1;;111111118;Vodacom Life 20260324;;;;;AA;5;2026-05-23 0</t>
  </si>
  <si>
    <t>13863624;6db03e47-ce6e-4296-9167-46b24c64fca1;;111111118;Vodacom Life 20260324;;;;;AA;5;2026-05-23 09:45:39+02;system;2026-03-24 09:54:08+02;2026-03-24 09:54:08+02;;;;;;;;;27794634441;;;;;;;;prepaid life;;;;;</t>
  </si>
  <si>
    <t>ID_2463</t>
  </si>
  <si>
    <t>13863542;69d06ea9-f7f9-4485-b46a-a062389581af;;111111118;Vodacom Life 20260324;;;;;AA;5;2026-05-23 0</t>
  </si>
  <si>
    <t>13863542;69d06ea9-f7f9-4485-b46a-a062389581af;;111111118;Vodacom Life 20260324;;;;;AA;5;2026-05-23 09:46:56+02;system;2026-03-24 09:54:08+02;2026-03-24 09:54:08+02;;;;;;;;;27726496154;;;;;;;;prepaid life;;;;;</t>
  </si>
  <si>
    <t>ID_2464</t>
  </si>
  <si>
    <t>13863700;93b1f2ca-10bb-422a-ac33-09ebcb93c3c9;;111111118;Vodacom Life 20260324;;;;;NI;4;2026-04-21 1</t>
  </si>
  <si>
    <t>13863700;93b1f2ca-10bb-422a-ac33-09ebcb93c3c9;;111111118;Vodacom Life 20260324;;;;;NI;4;2026-04-21 16:11:33+02;Thandile Nokubeni;2026-03-24 09:54:08+02;2026-03-24 09:54:08+02;;;;;;;;;27637617881;;;;;;;;prepaid life;;;;;</t>
  </si>
  <si>
    <t>ID_2465</t>
  </si>
  <si>
    <t>13863543;c8599e9f-e1a9-41a6-82d1-b81e99df9340;;111111118;Vodacom Life 20260324;;;;;NI;2;2026-04-09 1</t>
  </si>
  <si>
    <t>13863543;c8599e9f-e1a9-41a6-82d1-b81e99df9340;;111111118;Vodacom Life 20260324;;;;;NI;2;2026-04-09 11:57:07+02;Esther Ramalete;2026-03-24 09:54:08+02;2026-03-24 09:54:08+02;;;;;;;;;27726736634;;;;;;;;prepaid life;;;;;</t>
  </si>
  <si>
    <t>ID_2466</t>
  </si>
  <si>
    <t>13863544;181b3da4-4fad-440c-9aca-3f30d28c9445;;111111118;Vodacom Life 20260324;;;;;NA;5;2026-05-25 1</t>
  </si>
  <si>
    <t>13863544;181b3da4-4fad-440c-9aca-3f30d28c9445;;111111118;Vodacom Life 20260324;;;;;NA;5;2026-05-25 10:49:51+02;system;2026-03-24 09:54:08+02;2026-03-24 09:54:08+02;;;;;;;;;27726753541;;;;;;;;prepaid life;;;;;</t>
  </si>
  <si>
    <t>ID_2467</t>
  </si>
  <si>
    <t>13863625;ed09073d-9317-4e7a-a8e3-459c73e24fde;;111111118;Vodacom Life 20260324;;;27794666906;;CBACK;</t>
  </si>
  <si>
    <t>13863625;ed09073d-9317-4e7a-a8e3-459c73e24fde;;111111118;Vodacom Life 20260324;;;27794666906;;CBACK;4;2026-05-19 09:32:05+02;Maureen Ntsoko;2026-03-24 09:54:08+02;2026-03-24 09:54:08+02;;;;;;;;;27794666906;;;;;;;;prepaid life;;;;;</t>
  </si>
  <si>
    <t>ID_2468</t>
  </si>
  <si>
    <t>13863701;58085982-fee4-4abb-8c78-053b23f6c989;;111111118;Vodacom Life 20260324;;;;;AA;5;2026-05-25 0</t>
  </si>
  <si>
    <t>13863701;58085982-fee4-4abb-8c78-053b23f6c989;;111111118;Vodacom Life 20260324;;;;;AA;5;2026-05-25 09:42:27+02;system;2026-03-24 09:54:08+02;2026-03-24 09:54:08+02;;;;;;;;;27637653075;;;;;;;;prepaid life;;;;;</t>
  </si>
  <si>
    <t>ID_2469</t>
  </si>
  <si>
    <t>13863626;702222c9-2381-4a56-9e60-aa9b155916f4;;111111118;Vodacom Life 20260324;;;;;NI;3;2026-04-15 0</t>
  </si>
  <si>
    <t>13863626;702222c9-2381-4a56-9e60-aa9b155916f4;;111111118;Vodacom Life 20260324;;;;;NI;3;2026-04-15 08:24:40+02;Esther Ramalete;2026-03-24 09:54:08+02;2026-03-24 09:54:08+02;;;;;;;;;27794800973;;;;;;;;prepaid life;;;;;</t>
  </si>
  <si>
    <t>ID_2470</t>
  </si>
  <si>
    <t>13863702;e8da1107-9cf4-46f2-be82-28f60e705e7d;;111111118;Vodacom Life 20260324;;;;;AA;5;2026-05-25 0</t>
  </si>
  <si>
    <t>13863702;e8da1107-9cf4-46f2-be82-28f60e705e7d;;111111118;Vodacom Life 20260324;;;;;AA;5;2026-05-25 09:42:27+02;system;2026-03-24 09:54:08+02;2026-03-24 09:54:08+02;;;;;;;;;27637939001;;;;;;;;prepaid life;;;;;</t>
  </si>
  <si>
    <t>ID_2471</t>
  </si>
  <si>
    <t>13863546;644da21d-38d9-4ce7-8fd6-97eecab24cc0;;111111118;Vodacom Life 20260324;;;;;U;4;2026-05-19 09</t>
  </si>
  <si>
    <t>13863546;644da21d-38d9-4ce7-8fd6-97eecab24cc0;;111111118;Vodacom Life 20260324;;;;;U;4;2026-05-19 09:29:44+02;bongiwe lushaba;2026-03-24 09:54:08+02;2026-03-24 09:54:08+02;;;;;;;;;27726776918;;;;;;;;prepaid life;;;;;</t>
  </si>
  <si>
    <t>ID_2472</t>
  </si>
  <si>
    <t>13863627;cd122bfe-1066-4821-b79e-f0bcb348bc62;;111111118;Vodacom Life 20260324;;;;;NI;2;2026-04-09 1</t>
  </si>
  <si>
    <t>13863627;cd122bfe-1066-4821-b79e-f0bcb348bc62;;111111118;Vodacom Life 20260324;;;;;NI;2;2026-04-09 15:48:22+02;Musiiwa Mary Mabirimisa;2026-03-24 09:54:08+02;2026-03-24 09:54:08+02;;;;;;;;;27795018639;;;;;;;;prepaid life;;;;;</t>
  </si>
  <si>
    <t>ID_2473</t>
  </si>
  <si>
    <t>13863703;452eba15-40ad-4b26-92ba-9525fbd0b532;;111111118;Vodacom Life 20260324;;;;;A;5;2026-05-25 09</t>
  </si>
  <si>
    <t>13863703;452eba15-40ad-4b26-92ba-9525fbd0b532;;111111118;Vodacom Life 20260324;;;;;A;5;2026-05-25 09:42:32+02;Khensane Mabasa;2026-03-24 09:54:08+02;2026-03-24 09:54:08+02;;;;;;;;;27641967214;;;;;;;;prepaid life;;;;;</t>
  </si>
  <si>
    <t>ID_2474</t>
  </si>
  <si>
    <t>13863628;d7dcecb6-ad8e-485f-995c-a5cb001939f2;;111111118;Vodacom Life 20260324;;;;;AA;5;2026-05-23 0</t>
  </si>
  <si>
    <t>13863628;d7dcecb6-ad8e-485f-995c-a5cb001939f2;;111111118;Vodacom Life 20260324;;;;;AA;5;2026-05-23 09:49:31+02;system;2026-03-24 09:54:08+02;2026-03-24 09:54:08+02;;;;;;;;;27795647243;;;;;;;;prepaid life;;;;;</t>
  </si>
  <si>
    <t>ID_2475</t>
  </si>
  <si>
    <t>13863629;5cf3fa67-114c-4e82-812e-750145b82ca6;;111111118;Vodacom Life 20260324;;;;;U;2;2026-04-01 10</t>
  </si>
  <si>
    <t>13863629;5cf3fa67-114c-4e82-812e-750145b82ca6;;111111118;Vodacom Life 20260324;;;;;U;2;2026-04-01 10:50:39+02;Maureen Ntsoko;2026-03-24 09:54:08+02;2026-03-24 09:54:08+02;;;;;;;;;27795781026;;;;;;;;prepaid life;;;;;</t>
  </si>
  <si>
    <t>ID_2476</t>
  </si>
  <si>
    <t>13863547;5bbb7c80-0c6f-4976-8a27-6e22b688dd96;;111111118;Vodacom Life 20260324;;;;;AE;5;2026-05-25 1</t>
  </si>
  <si>
    <t>13863547;5bbb7c80-0c6f-4976-8a27-6e22b688dd96;;111111118;Vodacom Life 20260324;;;;;AE;5;2026-05-25 10:49:52+02;system;2026-03-24 09:54:08+02;2026-03-24 09:54:08+02;;;;;;;;;27727055157;;;;;;;;prepaid life;;;;;</t>
  </si>
  <si>
    <t>ID_2477</t>
  </si>
  <si>
    <t>13863704;4fff0721-afa3-4ecc-bb20-3260dce6d34a;;111111118;Vodacom Life 20260324;;;27645541037;;AA;5;2</t>
  </si>
  <si>
    <t>13863704;4fff0721-afa3-4ecc-bb20-3260dce6d34a;;111111118;Vodacom Life 20260324;;;27645541037;;AA;5;2026-05-25 09:42:49+02;system;2026-03-24 09:54:08+02;2026-03-24 09:54:08+02;;;;;;;;;27645541037;;;;;;;;prepaid life;;;;;</t>
  </si>
  <si>
    <t>ID_2478</t>
  </si>
  <si>
    <t>13863548;7049ac04-1404-4b4b-9b7c-f89b8d8c1724;;111111118;Vodacom Life 20260324;;;;;NA;5;2026-05-25 1</t>
  </si>
  <si>
    <t>13863548;7049ac04-1404-4b4b-9b7c-f89b8d8c1724;;111111118;Vodacom Life 20260324;;;;;NA;5;2026-05-25 10:49:52+02;system;2026-03-24 09:54:08+02;2026-03-24 09:54:08+02;;;;;;;;;27727199712;;;;;;;;prepaid life;;;;;</t>
  </si>
  <si>
    <t>ID_2479</t>
  </si>
  <si>
    <t>13863705;bbd8ec64-42b5-4656-920a-4834ea917da6;;111111118;Vodacom Life 20260324;;;27646043926;;IABDN;</t>
  </si>
  <si>
    <t>13863705;bbd8ec64-42b5-4656-920a-4834ea917da6;;111111118;Vodacom Life 20260324;;;27646043926;;IABDN;5;2026-05-25 12:04:47+02;system;2026-03-24 09:54:08+02;2026-03-24 09:54:08+02;;;;;;;;;27646043926;;;;;;;;prepaid life;;;;;</t>
  </si>
  <si>
    <t>ID_2480</t>
  </si>
  <si>
    <t>13863630;1e4f4797-4c7c-4795-ba29-08a373f16346;;111111118;Vodacom Life 20260324;;;;;DROP;5;2026-05-23</t>
  </si>
  <si>
    <t>13863630;1e4f4797-4c7c-4795-ba29-08a373f16346;;111111118;Vodacom Life 20260324;;;;;DROP;5;2026-05-23 09:50:33+02;system;2026-03-24 09:54:08+02;2026-03-24 09:54:08+02;;;;;;;;;27795910380;;;;;;;;prepaid life;;;;;</t>
  </si>
  <si>
    <t>ID_2481</t>
  </si>
  <si>
    <t>13863706;73f574ed-3379-4f9f-a84f-2afac68083bc;;111111118;Vodacom Life 20260324;;;;;CU;5;2026-05-25 0</t>
  </si>
  <si>
    <t>13863706;73f574ed-3379-4f9f-a84f-2afac68083bc;;111111118;Vodacom Life 20260324;;;;;CU;5;2026-05-25 09:42:52+02;bongiwe lushaba;2026-03-24 09:54:08+02;2026-03-24 09:54:08+02;;;;;;;;;27646614160;;;;;;;;prepaid life;;;;;</t>
  </si>
  <si>
    <t>ID_2482</t>
  </si>
  <si>
    <t>13863631;cf912d4d-d593-4ec3-b501-dce1e4c6f443;;111111118;Vodacom Life 20260324;;;;;NI;3;2026-04-10 0</t>
  </si>
  <si>
    <t>13863631;cf912d4d-d593-4ec3-b501-dce1e4c6f443;;111111118;Vodacom Life 20260324;;;;;NI;3;2026-04-10 08:22:32+02;Thandile Nokubeni;2026-03-24 09:54:08+02;2026-03-24 09:54:08+02;;;;;;;;;27796090224;;;;;;;;prepaid life;;;;;</t>
  </si>
  <si>
    <t>ID_2483</t>
  </si>
  <si>
    <t>13863549;1bd8ce7d-bcf3-4f73-b3c0-92542926e118;;111111118;Vodacom Life 20260324;;;;;CB;6;2026-05-25 1</t>
  </si>
  <si>
    <t>13863549;1bd8ce7d-bcf3-4f73-b3c0-92542926e118;;111111118;Vodacom Life 20260324;;;;;CB;6;2026-05-25 14:05:00+02;Maureen Ntsoko;2026-03-24 09:54:08+02;2026-03-24 09:54:08+02;;;;;;;;;27727511318;;;;;;;;prepaid life;;;;;</t>
  </si>
  <si>
    <t>ID_2484</t>
  </si>
  <si>
    <t>13863707;b4f86dd6-0192-4a0c-8c0d-a534b3d7f858;;111111118;Vodacom Life 20260324;;;;;NA;5;2026-05-25 0</t>
  </si>
  <si>
    <t>13863707;b4f86dd6-0192-4a0c-8c0d-a534b3d7f858;;111111118;Vodacom Life 20260324;;;;;NA;5;2026-05-25 09:42:52+02;system;2026-03-24 09:54:08+02;2026-03-24 09:54:08+02;;;;;;;;;27646947634;;;;;;;;prepaid life;;;;;</t>
  </si>
  <si>
    <t>ID_2485</t>
  </si>
  <si>
    <t>13863632;8851213a-2fff-4523-8252-8cf1a232aee9;;111111118;Vodacom Life 20260324;;;27796262851;;CU;5;2</t>
  </si>
  <si>
    <t>13863632;8851213a-2fff-4523-8252-8cf1a232aee9;;111111118;Vodacom Life 20260324;;;27796262851;;CU;5;2026-05-25 09:42:06+02;bongiwe lushaba;2026-03-24 09:54:08+02;2026-03-24 09:54:08+02;;;;;;;;;27796262851;;;;;;;;prepaid life;;;;;</t>
  </si>
  <si>
    <t>ID_2486</t>
  </si>
  <si>
    <t>13863708;a181acbc-e642-47b7-afe3-6625a4fff50a;;111111118;Vodacom Life 20260324;;;;;AA;5;2026-05-25 0</t>
  </si>
  <si>
    <t>13863708;a181acbc-e642-47b7-afe3-6625a4fff50a;;111111118;Vodacom Life 20260324;;;;;AA;5;2026-05-25 09:42:52+02;system;2026-03-24 09:54:08+02;2026-03-24 09:54:08+02;;;;;;;;;27647914863;;;;;;;;prepaid life;;;;;</t>
  </si>
  <si>
    <t>ID_2487</t>
  </si>
  <si>
    <t>13863633;a7715690-47b9-448a-b051-f19b9d67d242;;111111118;Vodacom Life 20260324;;;;;AE;5;2026-05-25 0</t>
  </si>
  <si>
    <t>13863633;a7715690-47b9-448a-b051-f19b9d67d242;;111111118;Vodacom Life 20260324;;;;;AE;5;2026-05-25 09:40:21+02;system;2026-03-24 09:54:08+02;2026-03-24 09:54:08+02;;;;;;;;;27796383451;;;;;;;;prepaid life;;;;;</t>
  </si>
  <si>
    <t>ID_2488</t>
  </si>
  <si>
    <t>13863634;1d67baa5-2edc-4b5c-896e-41dd37379834;;111111118;Vodacom Life 20260324;;;27796814470;;IABDN;</t>
  </si>
  <si>
    <t>13863634;1d67baa5-2edc-4b5c-896e-41dd37379834;;111111118;Vodacom Life 20260324;;;27796814470;;IABDN;5;2026-05-25 09:53:08+02;system;2026-03-24 09:54:08+02;2026-03-24 09:54:08+02;;;;;;;;;27796814470;;;;;;;;prepaid life;;;;;</t>
  </si>
  <si>
    <t>ID_2489</t>
  </si>
  <si>
    <t>13863551;5bab3e22-02fd-4d5c-999e-4d415d972bb8;;111111118;Vodacom Life 20260324;;;;;NI;2;2026-04-09 1</t>
  </si>
  <si>
    <t>13863551;5bab3e22-02fd-4d5c-999e-4d415d972bb8;;111111118;Vodacom Life 20260324;;;;;NI;2;2026-04-09 11:59:18+02;Mahlatse Manamela;2026-03-24 09:54:08+02;2026-03-24 09:54:08+02;;;;;;;;;27727681887;;;;;;;;prepaid life;;;;;</t>
  </si>
  <si>
    <t>ID_2490</t>
  </si>
  <si>
    <t>13863709;2946390b-522c-49ee-abc9-a63eccf72d87;;111111118;Vodacom Life 20260324;;;;;AA;5;2026-05-25 0</t>
  </si>
  <si>
    <t>13863709;2946390b-522c-49ee-abc9-a63eccf72d87;;111111118;Vodacom Life 20260324;;;;;AA;5;2026-05-25 09:42:58+02;system;2026-03-24 09:54:08+02;2026-03-24 09:54:08+02;;;;;;;;;27648209449;;;;;;;;prepaid life;;;;;</t>
  </si>
  <si>
    <t>ID_2491</t>
  </si>
  <si>
    <t>13863552;057648f3-e9d8-43d1-9f7b-4c2d796d42ac;;111111118;Vodacom Life 20260324;;;27728072929;;AA;5;2</t>
  </si>
  <si>
    <t>13863552;057648f3-e9d8-43d1-9f7b-4c2d796d42ac;;111111118;Vodacom Life 20260324;;;27728072929;;AA;5;2026-05-25 12:50:34+02;system;2026-03-24 09:54:08+02;2026-03-24 09:54:08+02;;;;;;;;;27728072929;;;;;;;;prepaid life;;;;;</t>
  </si>
  <si>
    <t>ID_2492</t>
  </si>
  <si>
    <t>13863635;158aa97f-2ecf-41ea-94d4-ddfdbbca4ab9;;111111118;Vodacom Life 20260324;;;;;AE;5;2026-05-25 0</t>
  </si>
  <si>
    <t>13863635;158aa97f-2ecf-41ea-94d4-ddfdbbca4ab9;;111111118;Vodacom Life 20260324;;;;;AE;5;2026-05-25 09:40:26+02;system;2026-03-24 09:54:08+02;2026-03-24 09:54:08+02;;;;;;;;;27798022787;;;;;;;;prepaid life;;;;;</t>
  </si>
  <si>
    <t>ID_2493</t>
  </si>
  <si>
    <t>13863710;483bf076-4b96-44e6-a859-8ca72fd4574d;;111111118;Vodacom Life 20260324;;;27648902191;;DROP;5</t>
  </si>
  <si>
    <t>13863710;483bf076-4b96-44e6-a859-8ca72fd4574d;;111111118;Vodacom Life 20260324;;;27648902191;;DROP;5;2026-05-25 09:43:06+02;system;2026-03-24 09:54:08+02;2026-03-24 09:54:08+02;;;;;;;;;27648902191;;;;;;;;prepaid life;;;;;</t>
  </si>
  <si>
    <t>ID_2494</t>
  </si>
  <si>
    <t>13863636;ed9a05b8-641f-4bee-8366-3ca2fd99f962;;111111118;Vodacom Life 20260324;;;;;CBACK;5;2026-05-2</t>
  </si>
  <si>
    <t>13863636;ed9a05b8-641f-4bee-8366-3ca2fd99f962;;111111118;Vodacom Life 20260324;;;;;CBACK;5;2026-05-25 09:40:26+02;Maureen Ntsoko;2026-03-24 09:54:08+02;2026-03-24 09:54:08+02;;;;;;;;;27798411541;;;;;;;;prepaid life;;;;;</t>
  </si>
  <si>
    <t>ID_2495</t>
  </si>
  <si>
    <t>13863553;090ef617-e75a-4163-a22a-9d1261136d61;;111111118;Vodacom Life 20260324;;;27728219543;;N;5;20</t>
  </si>
  <si>
    <t>13863553;090ef617-e75a-4163-a22a-9d1261136d61;;111111118;Vodacom Life 20260324;;;27728219543;;N;5;2026-05-20 11:18:51+02;Maureen Ntsoko;2026-03-24 09:54:08+02;2026-03-24 09:54:08+02;;;;;;;;;27728219543;;;;;;;;prepaid life;;;;;</t>
  </si>
  <si>
    <t>ID_2496</t>
  </si>
  <si>
    <t>13863711;720efbf2-b207-4e29-a0f7-6be0d8d25e94;;111111118;Vodacom Life 20260324;;;27649289748;;IABDN;</t>
  </si>
  <si>
    <t>13863711;720efbf2-b207-4e29-a0f7-6be0d8d25e94;;111111118;Vodacom Life 20260324;;;27649289748;;IABDN;5;2026-05-23 10:42:02+02;system;2026-03-24 09:54:08+02;2026-03-24 09:54:08+02;;;;;;;;;27649289748;;;;;;;;prepaid life;;;;;</t>
  </si>
  <si>
    <t>ID_2497</t>
  </si>
  <si>
    <t>13863554;37d6c111-90a7-4326-a0ac-94eed2cd4419;;111111118;Vodacom Life 20260324;;;;;CU;5;2026-05-25 1</t>
  </si>
  <si>
    <t>13863554;37d6c111-90a7-4326-a0ac-94eed2cd4419;;111111118;Vodacom Life 20260324;;;;;CU;5;2026-05-25 14:11:23+02;bongiwe lushaba;2026-03-24 09:54:08+02;2026-03-24 09:54:08+02;;;;;;;;;27729503787;;;;;;;;prepaid life;;;;;</t>
  </si>
  <si>
    <t>ID_2498</t>
  </si>
  <si>
    <t>13863637;e9b2f437-a040-41d8-b685-024185b33c47;;111111118;Vodacom Life 20260324;;;;;NA;5;2026-05-25 0</t>
  </si>
  <si>
    <t>13863637;e9b2f437-a040-41d8-b685-024185b33c47;;111111118;Vodacom Life 20260324;;;;;NA;5;2026-05-25 09:40:26+02;system;2026-03-24 09:54:08+02;2026-03-24 09:54:08+02;;;;;;;;;27798869235;;;;;;;;prepaid life;;;;;</t>
  </si>
  <si>
    <t>ID_2499</t>
  </si>
  <si>
    <t>13863638;66005ec8-2d01-4b0f-b583-74662b2c9e32;;111111118;Vodacom Life 20260324;;;;;NA;5;2026-05-25 0</t>
  </si>
  <si>
    <t>13863638;66005ec8-2d01-4b0f-b583-74662b2c9e32;;111111118;Vodacom Life 20260324;;;;;NA;5;2026-05-25 09:40:27+02;system;2026-03-24 09:54:08+02;2026-03-24 09:54:08+02;;;;;;;;;27798888975;;;;;;;;prepaid life;;;;;</t>
  </si>
  <si>
    <t>ID_2500</t>
  </si>
  <si>
    <t>13863712;724525d1-f110-4d57-8bf2-d68904c6ef3e;;111111118;Vodacom Life 20260324;;;;;AA;5;2026-05-25 0</t>
  </si>
  <si>
    <t>13863712;724525d1-f110-4d57-8bf2-d68904c6ef3e;;111111118;Vodacom Life 20260324;;;;;AA;5;2026-05-25 09:44:18+02;system;2026-03-24 09:54:08+02;2026-03-24 09:54:08+02;;;;;;;;;27649388509;;;;;;;;prepaid life;;;;;</t>
  </si>
  <si>
    <t>ID_2501</t>
  </si>
  <si>
    <t>13863555;06b59ea0-bc7c-4a41-9023-23b3aeb73d84;;111111118;Vodacom Life 20260324;;;27734910909;;IABDN;</t>
  </si>
  <si>
    <t>13863555;06b59ea0-bc7c-4a41-9023-23b3aeb73d84;;111111118;Vodacom Life 20260324;;;27734910909;;IABDN;5;2026-05-25 13:43:46+02;system;2026-03-24 09:54:08+02;2026-03-24 09:54:08+02;;;;;;;;;27734910909;;;;;;;;prepaid life;;;;;</t>
  </si>
  <si>
    <t>ID_2502</t>
  </si>
  <si>
    <t>13863713;f65ae5ea-b2a5-4e83-a376-0b3de7d13c7c;;111111118;Vodacom Life 20260324;;;;;NA;5;2026-05-23 0</t>
  </si>
  <si>
    <t>13863713;f65ae5ea-b2a5-4e83-a376-0b3de7d13c7c;;111111118;Vodacom Life 20260324;;;;;NA;5;2026-05-23 09:57:23+02;system;2026-03-24 09:54:08+02;2026-03-24 09:54:08+02;;;;;;;;;27649427686;;;;;;;;prepaid life;;;;;</t>
  </si>
  <si>
    <t>ID_2503</t>
  </si>
  <si>
    <t>13863556;97a5faf0-13d0-4e35-9d08-75aa5f10fea8;;111111118;Vodacom Life 20260324;;;;;DROP;5;2026-05-25</t>
  </si>
  <si>
    <t>13863556;97a5faf0-13d0-4e35-9d08-75aa5f10fea8;;111111118;Vodacom Life 20260324;;;;;DROP;5;2026-05-25 12:44:02+02;system;2026-03-24 09:54:08+02;2026-03-24 09:54:08+02;;;;;;;;;27737750699;;;;;;;;prepaid life;;;;;</t>
  </si>
  <si>
    <t>ID_2504</t>
  </si>
  <si>
    <t xml:space="preserve">13863557;bcb55659-5c63-47fa-89a4-5a694b4a70f3;;111111118;Vodacom Life 20260324;;;;;ADC;5;2026-05-23 </t>
  </si>
  <si>
    <t>13863557;bcb55659-5c63-47fa-89a4-5a694b4a70f3;;111111118;Vodacom Life 20260324;;;;;ADC;5;2026-05-23 09:40:22+02;system;2026-03-24 09:54:08+02;2026-03-24 09:54:08+02;;;;;;;;;27741966123;;;;;;;;prepaid life;;;;;</t>
  </si>
  <si>
    <t>ID_2505</t>
  </si>
  <si>
    <t>13863639;811a7373-9d2f-48c7-b087-3c93967acc97;;111111118;Vodacom Life 20260324;;;;;AA;5;2026-05-25 0</t>
  </si>
  <si>
    <t>13863639;811a7373-9d2f-48c7-b087-3c93967acc97;;111111118;Vodacom Life 20260324;;;;;AA;5;2026-05-25 09:40:29+02;system;2026-03-24 09:54:08+02;2026-03-24 09:54:08+02;;;;;;;;;27799064637;;;;;;;;prepaid life;;;;;</t>
  </si>
  <si>
    <t>ID_2506</t>
  </si>
  <si>
    <t>13863640;30b84156-b86b-4885-bf12-2c29012a7856;;111111118;Vodacom Life 20260324;;;;;NA;5;2026-05-25 0</t>
  </si>
  <si>
    <t>13863640;30b84156-b86b-4885-bf12-2c29012a7856;;111111118;Vodacom Life 20260324;;;;;NA;5;2026-05-25 09:41:20+02;system;2026-03-24 09:54:08+02;2026-03-24 09:54:08+02;;;;;;;;;27799128435;;;;;;;;prepaid life;;;;;</t>
  </si>
  <si>
    <t>ID_2507</t>
  </si>
  <si>
    <t>13863714;d9df738e-e7e8-4460-bd1b-57e09bbd3dc8;;111111118;Vodacom Life 20260324;;;;;NI;3;2026-04-15 0</t>
  </si>
  <si>
    <t>13863714;d9df738e-e7e8-4460-bd1b-57e09bbd3dc8;;111111118;Vodacom Life 20260324;;;;;NI;3;2026-04-15 09:55:36+02;Thandile Nokubeni;2026-03-24 09:54:08+02;2026-03-24 09:54:08+02;;;;;;;;;27649676203;;;;;;;;prepaid life;;;;;</t>
  </si>
  <si>
    <t>ID_2508</t>
  </si>
  <si>
    <t>13863641;7d01ff70-cca9-4b20-8fd9-32cf94256fe2;;111111118;Vodacom Life 20260324;;;;;AE;5;2026-05-25 0</t>
  </si>
  <si>
    <t>13863641;7d01ff70-cca9-4b20-8fd9-32cf94256fe2;;111111118;Vodacom Life 20260324;;;;;AE;5;2026-05-25 09:43:05+02;system;2026-03-24 09:54:08+02;2026-03-24 09:54:08+02;;;;;;;;;27799134990;;;;;;;;prepaid life;;;;;</t>
  </si>
  <si>
    <t>ID_2509</t>
  </si>
  <si>
    <t>13863558;3d70b84e-f97d-4fec-98ec-83353e707813;;111111118;Vodacom Life 20260324;;;;;AF;3;2026-04-15 0</t>
  </si>
  <si>
    <t>13863558;3d70b84e-f97d-4fec-98ec-83353e707813;;111111118;Vodacom Life 20260324;;;;;AF;3;2026-04-15 09:46:46+02;Millicent Motsuku;2026-03-24 09:54:08+02;2026-03-24 09:54:08+02;;;;;;;;;27743669189;;;;;;;;prepaid life;;;;;</t>
  </si>
  <si>
    <t>ID_2510</t>
  </si>
  <si>
    <t>13863715;a01f2fc3-5230-4b79-af1d-044d00dd0f3f;;111111118;Vodacom Life 20260324;;;;;NI;2;2026-04-02 1</t>
  </si>
  <si>
    <t>13863715;a01f2fc3-5230-4b79-af1d-044d00dd0f3f;;111111118;Vodacom Life 20260324;;;;;NI;2;2026-04-02 13:45:04+02;Thandile Nokubeni;2026-03-24 09:54:08+02;2026-03-24 09:54:08+02;;;;;;;;;27649910114;;;;;;;;prepaid life;;;;;</t>
  </si>
  <si>
    <t>ID_2511</t>
  </si>
  <si>
    <t>13863559;33a5b364-66f5-4b49-847d-30627f2da4e3;;111111118;Vodacom Life 20260324;;;27760364315;;IABDN;</t>
  </si>
  <si>
    <t>13863559;33a5b364-66f5-4b49-847d-30627f2da4e3;;111111118;Vodacom Life 20260324;;;27760364315;;IABDN;5;2026-05-25 14:11:46+02;system;2026-03-24 09:54:08+02;2026-03-24 09:54:08+02;;;;;;;;;27760364315;;;;;;;;prepaid life;;;;;</t>
  </si>
  <si>
    <t>ID_2512</t>
  </si>
  <si>
    <t>13863642;03a74608-03b0-4772-ab1a-2c19a2b9a6a7;;111111118;Vodacom Life 20260324;;;;;CU;5;2026-05-25 0</t>
  </si>
  <si>
    <t>13863642;03a74608-03b0-4772-ab1a-2c19a2b9a6a7;;111111118;Vodacom Life 20260324;;;;;CU;5;2026-05-25 09:43:30+02;Khensane Mabasa;2026-03-24 09:54:08+02;2026-03-24 09:54:08+02;;;;;;;;;27799142894;;;;;;;;prepaid life;;;;;</t>
  </si>
  <si>
    <t>ID_2513</t>
  </si>
  <si>
    <t>13863716;61d38d6a-bff1-4759-a31d-7c789f857503;;111111118;Vodacom Life 20260324;;;27649978514;;CU;6;2</t>
  </si>
  <si>
    <t>13863716;61d38d6a-bff1-4759-a31d-7c789f857503;;111111118;Vodacom Life 20260324;;;27649978514;;CU;6;2026-05-21 11:33:00+02;bongiwe lushaba;2026-03-24 09:54:08+02;2026-03-24 09:54:08+02;;;;;;;;;27649978514;;;;;;;;prepaid life;;;;;</t>
  </si>
  <si>
    <t>ID_2514</t>
  </si>
  <si>
    <t>13863643;bd9b60d9-a141-4ac0-b161-b486c178138c;;111111118;Vodacom Life 20260324;;;27799160880;;IABDN;</t>
  </si>
  <si>
    <t>13863643;bd9b60d9-a141-4ac0-b161-b486c178138c;;111111118;Vodacom Life 20260324;;;27799160880;;IABDN;5;2026-05-25 09:44:08+02;system;2026-03-24 09:54:08+02;2026-03-24 09:54:08+02;;;;;;;;;27799160880;;;;;;;;prepaid life;;;;;</t>
  </si>
  <si>
    <t>ID_2515</t>
  </si>
  <si>
    <t>13863560;fa24571c-3811-44eb-9e25-0a1c6174e5ae;;111111118;Vodacom Life 20260324;;;;;CU;5;2026-05-23 0</t>
  </si>
  <si>
    <t>13863560;fa24571c-3811-44eb-9e25-0a1c6174e5ae;;111111118;Vodacom Life 20260324;;;;;CU;5;2026-05-23 09:40:22+02;bongiwe lushaba;2026-03-24 09:54:08+02;2026-03-24 09:54:08+02;;;;;;;;;27760404496;;;;;;;;prepaid life;;;;;</t>
  </si>
  <si>
    <t>ID_2516</t>
  </si>
  <si>
    <t>13863717;c100583e-ad8f-4a28-a469-c81d01406b70;;111111118;Vodacom Life 20260324;;;;;NIUP;1;2026-03-26</t>
  </si>
  <si>
    <t>13863717;c100583e-ad8f-4a28-a469-c81d01406b70;;111111118;Vodacom Life 20260324;;;;;NIUP;1;2026-03-26 09:52:19+02;bongiwe lushaba;2026-03-24 09:54:08+02;2026-03-24 09:54:08+02;;;;;;;;;27660020571;;;;;;;;prepaid life;;;;;</t>
  </si>
  <si>
    <t>ID_2517</t>
  </si>
  <si>
    <t>13863561;f90cf362-40a0-4620-8192-2b0039268f42;;111111118;Vodacom Life 20260324;;;;;AA;5;2026-05-23 0</t>
  </si>
  <si>
    <t>13863561;f90cf362-40a0-4620-8192-2b0039268f42;;111111118;Vodacom Life 20260324;;;;;AA;5;2026-05-23 09:40:22+02;system;2026-03-24 09:54:08+02;2026-03-24 09:54:08+02;;;;;;;;;27760943092;;;;;;;;prepaid life;;;;;</t>
  </si>
  <si>
    <t>ID_2518</t>
  </si>
  <si>
    <t>13863718;db4ab156-6653-473d-a39f-e663aeb0b8c2;;111111118;Vodacom Life 20260324;;;;;CU;5;2026-05-23 0</t>
  </si>
  <si>
    <t>13863718;db4ab156-6653-473d-a39f-e663aeb0b8c2;;111111118;Vodacom Life 20260324;;;;;CU;5;2026-05-23 09:57:23+02;bongiwe lushaba;2026-03-24 09:54:08+02;2026-03-24 09:54:08+02;;;;;;;;;27660108185;;;;;;;;prepaid life;;;;;</t>
  </si>
  <si>
    <t>ID_2519</t>
  </si>
  <si>
    <t>13863562;414b87e5-4963-4b7d-9419-9aae42a58715;;111111118;Vodacom Life 20260324;;;;;AE;5;2026-05-23 0</t>
  </si>
  <si>
    <t>13863562;414b87e5-4963-4b7d-9419-9aae42a58715;;111111118;Vodacom Life 20260324;;;;;AE;5;2026-05-23 09:40:55+02;system;2026-03-24 09:54:08+02;2026-03-24 09:54:08+02;;;;;;;;;27761109070;;;;;;;;prepaid life;;;;;</t>
  </si>
  <si>
    <t>ID_2520</t>
  </si>
  <si>
    <t>13863644;334a9afc-d4d2-4489-8548-7b664ee307aa;;111111118;Vodacom Life 20260324;;;;;CBACK;5;2026-05-2</t>
  </si>
  <si>
    <t>13863644;334a9afc-d4d2-4489-8548-7b664ee307aa;;111111118;Vodacom Life 20260324;;;;;CBACK;5;2026-05-25 09:44:18+02;Maureen Ntsoko;2026-03-24 09:54:08+02;2026-03-24 09:54:08+02;;;;;;;;;27799279233;;;;;;;;prepaid life;;;;;</t>
  </si>
  <si>
    <t>ID_2521</t>
  </si>
  <si>
    <t>13863645;fad6273d-699b-4e22-9b9c-e703a23f39d3;;111111118;Vodacom Life 20260324;;;;;DROP;5;2026-05-25</t>
  </si>
  <si>
    <t>13863645;fad6273d-699b-4e22-9b9c-e703a23f39d3;;111111118;Vodacom Life 20260324;;;;;DROP;5;2026-05-25 09:44:21+02;system;2026-03-24 09:54:08+02;2026-03-24 09:54:08+02;;;;;;;;;27799450575;;;;;;;;prepaid life;;;;;</t>
  </si>
  <si>
    <t>ID_2522</t>
  </si>
  <si>
    <t>13863719;02cf21ec-a113-4773-8c7b-a2d3f89bd399;;111111118;Vodacom Life 20260324;;;;;AA;5;2026-05-23 0</t>
  </si>
  <si>
    <t>13863719;02cf21ec-a113-4773-8c7b-a2d3f89bd399;;111111118;Vodacom Life 20260324;;;;;AA;5;2026-05-23 09:59:34+02;system;2026-03-24 09:54:08+02;2026-03-24 09:54:08+02;;;;;;;;;27660274035;;;;;;;;prepaid life;;;;;</t>
  </si>
  <si>
    <t>ID_2523</t>
  </si>
  <si>
    <t>13863646;c7357e71-4453-40dc-808a-face725c630e;;111111118;Vodacom Life 20260324;;;;;DROP;5;2026-05-25</t>
  </si>
  <si>
    <t>13863646;c7357e71-4453-40dc-808a-face725c630e;;111111118;Vodacom Life 20260324;;;;;DROP;5;2026-05-25 09:44:31+02;system;2026-03-24 09:54:08+02;2026-03-24 09:54:08+02;;;;;;;;;27799779529;;;;;;;;prepaid life;;;;;</t>
  </si>
  <si>
    <t>ID_2524</t>
  </si>
  <si>
    <t>13863720;1c641770-45a4-495a-9467-53557a48f2b2;;111111118;Vodacom Life 20260324;;;;;AA;5;2026-05-23 1</t>
  </si>
  <si>
    <t>13863720;1c641770-45a4-495a-9467-53557a48f2b2;;111111118;Vodacom Life 20260324;;;;;AA;5;2026-05-23 10:02:17+02;system;2026-03-24 09:54:08+02;2026-03-24 09:54:08+02;;;;;;;;;27660403379;;;;;;;;prepaid life;;;;;</t>
  </si>
  <si>
    <t>ID_2525</t>
  </si>
  <si>
    <t>13863647;b3483a26-2ee1-49eb-a3fa-3d0e32cf13ff;;111111118;Vodacom Life 20260324;;;;;AA;5;2026-05-25 0</t>
  </si>
  <si>
    <t>13863647;b3483a26-2ee1-49eb-a3fa-3d0e32cf13ff;;111111118;Vodacom Life 20260324;;;;;AA;5;2026-05-25 09:44:31+02;system;2026-03-24 09:54:08+02;2026-03-24 09:54:08+02;;;;;;;;;27799937972;;;;;;;;prepaid life;;;;;</t>
  </si>
  <si>
    <t>ID_2526</t>
  </si>
  <si>
    <t>13863721;6f2f70fd-214c-4b93-99fa-71e183f4352e;;111111118;Vodacom Life 20260324;;;;;CBACK;2;2026-04-0</t>
  </si>
  <si>
    <t>13863721;6f2f70fd-214c-4b93-99fa-71e183f4352e;;111111118;Vodacom Life 20260324;;;;;CBACK;2;2026-04-09 15:51:23+02;Mahlatse Manamela;2026-03-24 09:54:08+02;2026-03-24 09:54:08+02;;;;;;;;;27660622106;;;;;;;;prepaid life;;;;;</t>
  </si>
  <si>
    <t>ID_2527</t>
  </si>
  <si>
    <t>13863648;2175388d-1b73-4b88-9f20-f8de782450ce;;111111118;Vodacom Life 20260324;;;;;AA;5;2026-05-25 1</t>
  </si>
  <si>
    <t>13863648;2175388d-1b73-4b88-9f20-f8de782450ce;;111111118;Vodacom Life 20260324;;;;;AA;5;2026-05-25 12:52:58+02;system;2026-03-24 09:54:08+02;2026-03-24 09:54:08+02;;;;;;;;;27818567445;;;;;;;;prepaid life;;;;;</t>
  </si>
  <si>
    <t>ID_2528</t>
  </si>
  <si>
    <t>13863759;bb1cb373-de97-45eb-b1b5-6f9db5700f00;;111111118;Vodacom Life 20260324;;;27721736935;;CU;5;2</t>
  </si>
  <si>
    <t>13863759;bb1cb373-de97-45eb-b1b5-6f9db5700f00;;111111118;Vodacom Life 20260324;;;27721736935;;CU;5;2026-05-23 10:39:38+02;Maureen Ntsoko;2026-03-24 09:54:08+02;2026-03-24 09:54:08+02;;;;;;;;;27721736935;;;;;;;;prepaid life;;;;;</t>
  </si>
  <si>
    <t>ID_2529</t>
  </si>
  <si>
    <t>13863722;ec5fac1f-517e-4557-9961-40a4a3f37ea3;;111111118;Vodacom Life 20260324;;;;;AE;5;2026-05-25 1</t>
  </si>
  <si>
    <t>13863722;ec5fac1f-517e-4557-9961-40a4a3f37ea3;;111111118;Vodacom Life 20260324;;;;;AE;5;2026-05-25 11:25:55+02;system;2026-03-24 09:54:08+02;2026-03-24 09:54:08+02;;;;;;;;;27660882210;;;;;;;;prepaid life;;;;;</t>
  </si>
  <si>
    <t>ID_2530</t>
  </si>
  <si>
    <t>13863760;304635a3-afa3-4f21-a674-897dd6b96423;;111111118;Vodacom Life 20260324;;;;;NA;5;2026-05-23 1</t>
  </si>
  <si>
    <t>13863760;304635a3-afa3-4f21-a674-897dd6b96423;;111111118;Vodacom Life 20260324;;;;;NA;5;2026-05-23 10:00:30+02;system;2026-03-24 09:54:08+02;2026-03-24 09:54:08+02;;;;;;;;;27721971165;;;;;;;;prepaid life;;;;;</t>
  </si>
  <si>
    <t>ID_2531</t>
  </si>
  <si>
    <t>13863649;6b033fe3-19ff-4df4-8a5b-2ccfc6099280;;111111118;Vodacom Life 20260324;;;;;U;2;2026-04-10 08</t>
  </si>
  <si>
    <t>13863649;6b033fe3-19ff-4df4-8a5b-2ccfc6099280;;111111118;Vodacom Life 20260324;;;;;U;2;2026-04-10 08:30:43+02;Seboifeng Mogola;2026-03-24 09:54:08+02;2026-03-24 09:54:08+02;;;;;;;;;27820643329;;;;;;;;prepaid life;;;;;</t>
  </si>
  <si>
    <t>ID_2532</t>
  </si>
  <si>
    <t>13863723;9ca9d032-ed80-45d1-810e-783d746da49e;;111111118;Vodacom Life 20260324;;;27661328033;;IABDN;</t>
  </si>
  <si>
    <t>13863723;9ca9d032-ed80-45d1-810e-783d746da49e;;111111118;Vodacom Life 20260324;;;27661328033;;IABDN;5;2026-05-23 10:00:21+02;system;2026-03-24 09:54:08+02;2026-03-24 09:54:08+02;;;;;;;;;27661328033;;;;;;;;prepaid life;;;;;</t>
  </si>
  <si>
    <t>ID_2533</t>
  </si>
  <si>
    <t>13863650;f13e0d37-d6dd-4cbf-bce7-9150d298fc9e;;111111118;Vodacom Life 20260324;;;;;A;5;2026-05-25 12</t>
  </si>
  <si>
    <t>13863650;f13e0d37-d6dd-4cbf-bce7-9150d298fc9e;;111111118;Vodacom Life 20260324;;;;;A;5;2026-05-25 12:52:58+02;Maureen Ntsoko;2026-03-24 09:54:08+02;2026-03-24 09:54:08+02;;;;;;;;;27820855325;;;;;;;;prepaid life;;;;;</t>
  </si>
  <si>
    <t>ID_2534</t>
  </si>
  <si>
    <t>13863761;4ba87680-e667-4535-8da5-0f433f3a70d1;;111111118;Vodacom Life 20260324;;;;;CU;5;2026-05-23 1</t>
  </si>
  <si>
    <t>13863761;4ba87680-e667-4535-8da5-0f433f3a70d1;;111111118;Vodacom Life 20260324;;;;;CU;5;2026-05-23 10:00:32+02;bongiwe lushaba;2026-03-24 09:54:08+02;2026-03-24 09:54:08+02;;;;;;;;;27722281054;;;;;;;;prepaid life;;;;;</t>
  </si>
  <si>
    <t>ID_2535</t>
  </si>
  <si>
    <t>13863724;b5f508b0-064c-405a-a43d-ba8880551f37;;111111118;Vodacom Life 20260324;;;;;CBACK;4;2026-05-0</t>
  </si>
  <si>
    <t>13863724;b5f508b0-064c-405a-a43d-ba8880551f37;;111111118;Vodacom Life 20260324;;;;;CBACK;4;2026-05-07 15:56:09+02;Esther Ramalete;2026-03-24 09:54:08+02;2026-03-24 09:54:08+02;;;;;;;;;27661536707;;;;;;;;prepaid life;;;;;</t>
  </si>
  <si>
    <t>ID_2536</t>
  </si>
  <si>
    <t>13863762;67880f0b-5111-413b-9d4c-41225785ac12;;111111118;Vodacom Life 20260324;;;;;NI;3;2026-04-15 0</t>
  </si>
  <si>
    <t>13863762;67880f0b-5111-413b-9d4c-41225785ac12;;111111118;Vodacom Life 20260324;;;;;NI;3;2026-04-15 09:58:20+02;Maureen Ntsoko;2026-03-24 09:54:08+02;2026-03-24 09:54:08+02;;;;;;;;;27723051253;;;;;;;;prepaid life;;;;;</t>
  </si>
  <si>
    <t>ID_2537</t>
  </si>
  <si>
    <t>13863725;83b2aea0-eaf9-4937-b300-50a5c92a09d5;;111111118;Vodacom Life 20260324;;;;;DNQS;2;2026-03-26</t>
  </si>
  <si>
    <t>13863725;83b2aea0-eaf9-4937-b300-50a5c92a09d5;;111111118;Vodacom Life 20260324;;;;;DNQS;2;2026-03-26 12:25:31+02;Seboifeng Mogola;2026-03-24 09:54:08+02;2026-03-24 09:54:08+02;;;;;;;;;27661594816;;;;;;;;prepaid life;;;;;</t>
  </si>
  <si>
    <t>ID_2538</t>
  </si>
  <si>
    <t>13863763;0069e1bd-ff57-4079-9919-c02367c11a11;;111111118;Vodacom Life 20260324;;;;;U;2;2026-04-10 08</t>
  </si>
  <si>
    <t>13863763;0069e1bd-ff57-4079-9919-c02367c11a11;;111111118;Vodacom Life 20260324;;;;;U;2;2026-04-10 08:52:56+02;Musiiwa Mary Mabirimisa;2026-03-24 09:54:08+02;2026-03-24 09:54:08+02;;;;;;;;;27723183138;;;;;;;;prepaid life;;;;;</t>
  </si>
  <si>
    <t>ID_2539</t>
  </si>
  <si>
    <t>13863764;ad7bdb96-38b4-494e-8091-baea95aafa72;;111111118;Vodacom Life 20260324;;;;;CU;8;2026-05-21 1</t>
  </si>
  <si>
    <t>13863764;ad7bdb96-38b4-494e-8091-baea95aafa72;;111111118;Vodacom Life 20260324;;;;;CU;8;2026-05-21 11:07:34+02;Khensane Mabasa;2026-03-24 09:54:08+02;2026-03-24 09:54:08+02;;;;;;;;;27723243497;;;;;;;;prepaid life;;;;;</t>
  </si>
  <si>
    <t>ID_2540</t>
  </si>
  <si>
    <t>13863651;cb50c6e7-b725-4740-8976-a3ade873fd42;;111111118;Vodacom Life 20260324;;;;;NI;1;2026-04-02 1</t>
  </si>
  <si>
    <t>13863651;cb50c6e7-b725-4740-8976-a3ade873fd42;;111111118;Vodacom Life 20260324;;;;;NI;1;2026-04-02 12:15:51+02;Maureen Ntsoko;2026-03-24 09:54:08+02;2026-03-24 09:54:08+02;;;;;;;;;27820934600;;;;;;;;prepaid life;;;;;</t>
  </si>
  <si>
    <t>ID_2541</t>
  </si>
  <si>
    <t>13863652;7c6ffca5-b9a6-4fb4-8077-b19254eafee9;;111111118;Vodacom Life 20260324;;;;;NIUP;1;2026-04-01</t>
  </si>
  <si>
    <t>13863652;7c6ffca5-b9a6-4fb4-8077-b19254eafee9;;111111118;Vodacom Life 20260324;;;;;NIUP;1;2026-04-01 13:40:47+02;Millicent Motsuku;2026-03-24 09:54:08+02;2026-03-24 09:54:08+02;;;;;;;;;27822319332;;;;;;;;prepaid life;;;;;</t>
  </si>
  <si>
    <t>ID_2542</t>
  </si>
  <si>
    <t>13863653;0cb3ad64-a3af-4708-8741-ec71c37612aa;;111111118;Vodacom Life 20260324;;;;;NA;5;2026-05-25 1</t>
  </si>
  <si>
    <t>13863653;0cb3ad64-a3af-4708-8741-ec71c37612aa;;111111118;Vodacom Life 20260324;;;;;NA;5;2026-05-25 12:53:15+02;system;2026-03-24 09:54:08+02;2026-03-24 09:54:08+02;;;;;;;;;27822555396;;;;;;;;prepaid life;;;;;</t>
  </si>
  <si>
    <t>ID_2543</t>
  </si>
  <si>
    <t>13863654;e38e1a89-d11a-42d1-aac2-ca6f7ff2ece4;;111111118;Vodacom Life 20260324;;;;;AA;5;2026-05-25 1</t>
  </si>
  <si>
    <t>13863654;e38e1a89-d11a-42d1-aac2-ca6f7ff2ece4;;111111118;Vodacom Life 20260324;;;;;AA;5;2026-05-25 12:53:18+02;system;2026-03-24 09:54:08+02;2026-03-24 09:54:08+02;;;;;;;;;27822612853;;;;;;;;prepaid life;;;;;</t>
  </si>
  <si>
    <t>ID_2544</t>
  </si>
  <si>
    <t>13863726;da340909-6066-4192-b6eb-49585cf661f1;;111111118;Vodacom Life 20260324;;;;;DROP;5;2026-05-25</t>
  </si>
  <si>
    <t>13863726;da340909-6066-4192-b6eb-49585cf661f1;;111111118;Vodacom Life 20260324;;;;;DROP;5;2026-05-25 14:10:18+02;system;2026-03-24 09:54:08+02;2026-03-24 09:54:08+02;;;;;;;;;27661944535;;;;;;;;prepaid life;;;;;</t>
  </si>
  <si>
    <t>ID_2545</t>
  </si>
  <si>
    <t>13863655;f3b97068-5c86-4fa9-92fa-803ceb2b49c0;;111111118;Vodacom Life 20260324;;;;;NA;5;2026-05-25 1</t>
  </si>
  <si>
    <t>13863655;f3b97068-5c86-4fa9-92fa-803ceb2b49c0;;111111118;Vodacom Life 20260324;;;;;NA;5;2026-05-25 12:53:20+02;system;2026-03-24 09:54:08+02;2026-03-24 09:54:08+02;;;;;;;;;27823224923;;;;;;;;prepaid life;;;;;</t>
  </si>
  <si>
    <t>ID_2546</t>
  </si>
  <si>
    <t>13863727;f7689b7d-1389-4218-9a80-d40757a835b1;;111111118;Vodacom Life 20260324;;;;;NI;1;2026-03-26 1</t>
  </si>
  <si>
    <t>13863727;f7689b7d-1389-4218-9a80-d40757a835b1;;111111118;Vodacom Life 20260324;;;;;NI;1;2026-03-26 11:49:17+02;Mahlatse Manamela;2026-03-24 09:54:08+02;2026-03-24 09:54:08+02;;;;;;;;;27663937411;;;;;;;;prepaid life;;;;;</t>
  </si>
  <si>
    <t>ID_2547</t>
  </si>
  <si>
    <t>13863766;2b7a94c0-fd37-48e1-83d7-703056007eee;;111111118;Vodacom Life 20260324;;;;;AA;5;2026-05-25 1</t>
  </si>
  <si>
    <t>13863766;2b7a94c0-fd37-48e1-83d7-703056007eee;;111111118;Vodacom Life 20260324;;;;;AA;5;2026-05-25 12:48:13+02;system;2026-03-24 09:54:08+02;2026-03-24 09:54:08+02;;;;;;;;;27723737769;;;;;;;;prepaid life;;;;;</t>
  </si>
  <si>
    <t>ID_2548</t>
  </si>
  <si>
    <t>13863656;7bbfcc98-f579-494e-955d-428d77e5ff05;;111111118;Vodacom Life 20260324;;;;;CBACK;2;2026-04-0</t>
  </si>
  <si>
    <t>13863656;7bbfcc98-f579-494e-955d-428d77e5ff05;;111111118;Vodacom Life 20260324;;;;;CBACK;2;2026-04-09 14:21:21+02;Maureen Ntsoko;2026-03-24 09:54:08+02;2026-03-24 09:54:08+02;;;;;;;;;27823354647;;;;;;;;prepaid life;;;;;</t>
  </si>
  <si>
    <t>ID_2549</t>
  </si>
  <si>
    <t>13863728;4aa81512-11ac-480e-bfd1-f8123d440e3f;;111111118;Vodacom Life 20260324;;;;;CBACK;4;2026-04-1</t>
  </si>
  <si>
    <t>13863728;4aa81512-11ac-480e-bfd1-f8123d440e3f;;111111118;Vodacom Life 20260324;;;;;CBACK;4;2026-04-15 10:01:43+02;Maureen Ntsoko;2026-03-24 09:54:08+02;2026-03-24 09:54:08+02;;;;;;;;;27663981650;;;;;;;;prepaid life;;;;;</t>
  </si>
  <si>
    <t>ID_2550</t>
  </si>
  <si>
    <t>13863657;27e6f54a-d4a1-4db1-a72c-e7c6f2cfe297;;111111118;Vodacom Life 20260324;;;;;AA;5;2026-05-25 1</t>
  </si>
  <si>
    <t>13863657;27e6f54a-d4a1-4db1-a72c-e7c6f2cfe297;;111111118;Vodacom Life 20260324;;;;;AA;5;2026-05-25 12:53:43+02;system;2026-03-24 09:54:08+02;2026-03-24 09:54:08+02;;;;;;;;;27823500970;;;;;;;;prepaid life;;;;;</t>
  </si>
  <si>
    <t>ID_2551</t>
  </si>
  <si>
    <t>13863767;cc394e67-458c-4062-a426-a934822e3139;;111111118;Vodacom Life 20260324;;;;;AE;5;2026-05-25 1</t>
  </si>
  <si>
    <t>13863767;cc394e67-458c-4062-a426-a934822e3139;;111111118;Vodacom Life 20260324;;;;;AE;5;2026-05-25 12:48:13+02;system;2026-03-24 09:54:08+02;2026-03-24 09:54:08+02;;;;;;;;;27723765315;;;;;;;;prepaid life;;;;;</t>
  </si>
  <si>
    <t>ID_2552</t>
  </si>
  <si>
    <t>13863729;a1163023-aa7b-4304-b6ce-826a7fb85b33;;111111118;Vodacom Life 20260324;;;;;AA;5;2026-05-23 0</t>
  </si>
  <si>
    <t>13863729;a1163023-aa7b-4304-b6ce-826a7fb85b33;;111111118;Vodacom Life 20260324;;;;;AA;5;2026-05-23 09:58:40+02;system;2026-03-24 09:54:08+02;2026-03-24 09:54:08+02;;;;;;;;;27663991899;;;;;;;;prepaid life;;;;;</t>
  </si>
  <si>
    <t>ID_2553</t>
  </si>
  <si>
    <t>13863768;1f5b2c08-3484-4faa-826e-e0f15fcc6252;;111111118;Vodacom Life 20260324;;;;;AA;5;2026-05-25 1</t>
  </si>
  <si>
    <t>13863768;1f5b2c08-3484-4faa-826e-e0f15fcc6252;;111111118;Vodacom Life 20260324;;;;;AA;5;2026-05-25 12:41:07+02;system;2026-03-24 09:54:08+02;2026-03-24 09:54:08+02;;;;;;;;;27723846696;;;;;;;;prepaid life;;;;;</t>
  </si>
  <si>
    <t>ID_2554</t>
  </si>
  <si>
    <t>13863658;c03cce9e-5a4a-446e-af37-1523a0ae01eb;;111111118;Vodacom Life 20260324;;;;;AE;5;2026-05-25 1</t>
  </si>
  <si>
    <t>13863658;c03cce9e-5a4a-446e-af37-1523a0ae01eb;;111111118;Vodacom Life 20260324;;;;;AE;5;2026-05-25 12:53:43+02;system;2026-03-24 09:54:08+02;2026-03-24 09:54:08+02;;;;;;;;;27823532270;;;;;;;;prepaid life;;;;;</t>
  </si>
  <si>
    <t>ID_2555</t>
  </si>
  <si>
    <t>13863659;f7057d7f-9973-487f-9910-393c331d9b02;;111111118;Vodacom Life 20260324;;;;;U;4;2026-04-17 11</t>
  </si>
  <si>
    <t>13863659;f7057d7f-9973-487f-9910-393c331d9b02;;111111118;Vodacom Life 20260324;;;;;U;4;2026-04-17 11:08:08+02;Seboifeng Mogola;2026-03-24 09:54:08+02;2026-03-24 09:54:08+02;;;;;;;;;27823556855;;;;;;;;prepaid life;;;;;</t>
  </si>
  <si>
    <t>ID_2556</t>
  </si>
  <si>
    <t>13863730;6945f6fd-435f-4517-8614-1dfc1d3bb93e;;111111118;Vodacom Life 20260324;;;;;AA;5;2026-05-23 0</t>
  </si>
  <si>
    <t>13863730;6945f6fd-435f-4517-8614-1dfc1d3bb93e;;111111118;Vodacom Life 20260324;;;;;AA;5;2026-05-23 09:58:54+02;system;2026-03-24 09:54:08+02;2026-03-24 09:54:08+02;;;;;;;;;27664477913;;;;;;;;prepaid life;;;;;</t>
  </si>
  <si>
    <t>ID_2557</t>
  </si>
  <si>
    <t>13863660;576d6a2e-7611-48f6-b38e-61c2b0c9642b;;111111118;Vodacom Life 20260324;;;;;CBACK;2;2026-04-0</t>
  </si>
  <si>
    <t>13863660;576d6a2e-7611-48f6-b38e-61c2b0c9642b;;111111118;Vodacom Life 20260324;;;;;CBACK;2;2026-04-09 15:55:47+02;Mahlatse Manamela;2026-03-24 09:54:08+02;2026-03-24 09:54:08+02;;;;;;;;;27823651994;;;;;;;;prepaid life;;;;;</t>
  </si>
  <si>
    <t>ID_2558</t>
  </si>
  <si>
    <t>13863731;b0416c11-6b63-4f72-8c17-f6ed6d1c35b6;;111111118;Vodacom Life 20260324;;;27664834640;;AA;5;2</t>
  </si>
  <si>
    <t>13863731;b0416c11-6b63-4f72-8c17-f6ed6d1c35b6;;111111118;Vodacom Life 20260324;;;27664834640;;AA;5;2026-05-23 09:58:52+02;system;2026-03-24 09:54:08+02;2026-03-24 09:54:08+02;;;;;;;;;27664834640;;;;;;;;prepaid life;;;;;</t>
  </si>
  <si>
    <t>ID_2559</t>
  </si>
  <si>
    <t xml:space="preserve">13863661;c03444ad-4c2d-4cd0-9e6f-be48ac7e0ad4;;111111118;Vodacom Life 20260324;;;;;CCB;5;2026-05-25 </t>
  </si>
  <si>
    <t>13863661;c03444ad-4c2d-4cd0-9e6f-be48ac7e0ad4;;111111118;Vodacom Life 20260324;;;;;CCB;5;2026-05-25 14:04:27+02;Maureen Ntsoko;2026-03-24 09:54:08+02;2026-03-24 09:54:08+02;;;;;;;;;27823801987;;;;;;;;prepaid life;;;;;</t>
  </si>
  <si>
    <t>ID_2560</t>
  </si>
  <si>
    <t>13863769;bf4b9aae-e00c-40b8-b5b3-b9daddb08889;;111111118;Vodacom Life 20260324;;;;;AA;5;2026-05-25 1</t>
  </si>
  <si>
    <t>13863769;bf4b9aae-e00c-40b8-b5b3-b9daddb08889;;111111118;Vodacom Life 20260324;;;;;AA;5;2026-05-25 12:48:30+02;system;2026-03-24 09:54:08+02;2026-03-24 09:54:08+02;;;;;;;;;27723886403;;;;;;;;prepaid life;;;;;</t>
  </si>
  <si>
    <t>ID_2561</t>
  </si>
  <si>
    <t>13863732;4177b8cd-33a8-4831-bc92-e66dec0a9549;;111111118;Vodacom Life 20260324;;;;;AA;5;2026-05-23 0</t>
  </si>
  <si>
    <t>13863732;4177b8cd-33a8-4831-bc92-e66dec0a9549;;111111118;Vodacom Life 20260324;;;;;AA;5;2026-05-23 09:59:41+02;system;2026-03-24 09:54:08+02;2026-03-24 09:54:08+02;;;;;;;;;27665197136;;;;;;;;prepaid life;;;;;</t>
  </si>
  <si>
    <t>ID_2562</t>
  </si>
  <si>
    <t>13863770;49f17e8d-a51e-410f-bd29-559ad8745e07;;111111118;Vodacom Life 20260324;;;;;AA;5;2026-05-23 1</t>
  </si>
  <si>
    <t>13863770;49f17e8d-a51e-410f-bd29-559ad8745e07;;111111118;Vodacom Life 20260324;;;;;AA;5;2026-05-23 10:01:46+02;system;2026-03-24 09:54:08+02;2026-03-24 09:54:08+02;;;;;;;;;27724336995;;;;;;;;prepaid life;;;;;</t>
  </si>
  <si>
    <t>ID_2563</t>
  </si>
  <si>
    <t>13863856;9b8fe784-e9a3-4677-aff6-7207cc1d8a2e;;111111118;Vodacom Life 20260324;;;;;NA;5;2026-05-23 1</t>
  </si>
  <si>
    <t>13863856;9b8fe784-e9a3-4677-aff6-7207cc1d8a2e;;111111118;Vodacom Life 20260324;;;;;NA;5;2026-05-23 10:39:12+02;system;2026-03-24 09:54:08+02;2026-03-24 09:54:08+02;;;;;;;;;27790316452;;;;;;;;prepaid life;;;;;</t>
  </si>
  <si>
    <t>ID_2564</t>
  </si>
  <si>
    <t>13863733;f0b18fcb-0b48-4b99-a3a3-4a2bcafae541;;111111118;Vodacom Life 20260324;;;;;CBACK;3;2026-04-1</t>
  </si>
  <si>
    <t>13863733;f0b18fcb-0b48-4b99-a3a3-4a2bcafae541;;111111118;Vodacom Life 20260324;;;;;CBACK;3;2026-04-15 09:57:00+02;Millicent Motsuku;2026-03-24 09:54:08+02;2026-03-24 09:54:08+02;;;;;;;;;27665232217;;;;;;;;prepaid life;;;;;</t>
  </si>
  <si>
    <t>ID_2565</t>
  </si>
  <si>
    <t>13863771;ce8423b2-e4e1-4492-9825-ff0d52db1af9;;111111118;Vodacom Life 20260324;;;;;AA;5;2026-05-25 1</t>
  </si>
  <si>
    <t>13863771;ce8423b2-e4e1-4492-9825-ff0d52db1af9;;111111118;Vodacom Life 20260324;;;;;AA;5;2026-05-25 12:48:48+02;system;2026-03-24 09:54:08+02;2026-03-24 09:54:08+02;;;;;;;;;27724540084;;;;;;;;prepaid life;;;;;</t>
  </si>
  <si>
    <t>ID_2566</t>
  </si>
  <si>
    <t>13863734;b814ae08-3788-45a1-8ef7-c1ff6ec6f74d;;111111118;Vodacom Life 20260324;;;27673038386;;IABDN;</t>
  </si>
  <si>
    <t>13863734;b814ae08-3788-45a1-8ef7-c1ff6ec6f74d;;111111118;Vodacom Life 20260324;;;27673038386;;IABDN;5;2026-05-23 10:04:42+02;system;2026-03-24 09:54:08+02;2026-03-24 09:54:08+02;;;;;;;;;27673038386;;;;;;;;prepaid life;;;;;</t>
  </si>
  <si>
    <t>ID_2567</t>
  </si>
  <si>
    <t>13863772;08cf158d-b1f0-439d-9808-d72a71fb9f35;;111111118;Vodacom Life 20260324;;;;;AA;5;2026-05-23 1</t>
  </si>
  <si>
    <t>13863772;08cf158d-b1f0-439d-9808-d72a71fb9f35;;111111118;Vodacom Life 20260324;;;;;AA;5;2026-05-23 10:01:46+02;system;2026-03-24 09:54:08+02;2026-03-24 09:54:08+02;;;;;;;;;27724801689;;;;;;;;prepaid life;;;;;</t>
  </si>
  <si>
    <t>ID_2568</t>
  </si>
  <si>
    <t>13863857;f6fa9b86-f0ed-43c0-8edf-8fd3872b599b;;111111118;Vodacom Life 20260324;;;;;AA;5;2026-05-25 1</t>
  </si>
  <si>
    <t>13863857;f6fa9b86-f0ed-43c0-8edf-8fd3872b599b;;111111118;Vodacom Life 20260324;;;;;AA;5;2026-05-25 14:21:34+02;system;2026-03-24 09:54:08+02;2026-03-24 09:54:08+02;;;;;;;;;27790584382;;;;;;;;prepaid life;;;;;</t>
  </si>
  <si>
    <t>ID_2569</t>
  </si>
  <si>
    <t>13863858;391d47cc-c647-4bae-a5fb-f13afc58cb13;;111111118;Vodacom Life 20260324;;;;;CU;5;2026-05-23 1</t>
  </si>
  <si>
    <t>13863858;391d47cc-c647-4bae-a5fb-f13afc58cb13;;111111118;Vodacom Life 20260324;;;;;CU;5;2026-05-23 10:39:12+02;Maureen Ntsoko;2026-03-24 09:54:08+02;2026-03-24 09:54:08+02;;;;;;;;;27790903897;;;;;;;;prepaid life;;;;;</t>
  </si>
  <si>
    <t>ID_2570</t>
  </si>
  <si>
    <t>13863735;e3fa80e5-bcbf-4545-bf7e-b040037ee8b0;;111111118;Vodacom Life 20260324;;;;;NI;3;2026-04-15 0</t>
  </si>
  <si>
    <t>13863735;e3fa80e5-bcbf-4545-bf7e-b040037ee8b0;;111111118;Vodacom Life 20260324;;;;;NI;3;2026-04-15 08:02:32+02;Musiiwa Mary Mabirimisa;2026-03-24 09:54:08+02;2026-03-24 09:54:08+02;;;;;;;;;27679431424;;;;;;;;prepaid life;;;;;</t>
  </si>
  <si>
    <t>ID_2571</t>
  </si>
  <si>
    <t xml:space="preserve">13863859;aad2d5ab-2be5-4c10-831d-a853a8f6799d;;111111118;Vodacom Life 20260324;;;;;ADC;5;2026-05-23 </t>
  </si>
  <si>
    <t>13863859;aad2d5ab-2be5-4c10-831d-a853a8f6799d;;111111118;Vodacom Life 20260324;;;;;ADC;5;2026-05-23 10:39:12+02;system;2026-03-24 09:54:08+02;2026-03-24 09:54:08+02;;;;;;;;;27790955283;;;;;;;;prepaid life;;;;;</t>
  </si>
  <si>
    <t>ID_2572</t>
  </si>
  <si>
    <t>13863773;2df74b64-c4a8-4c75-a1d6-6bc9dc70b413;;111111118;Vodacom Life 20260324;;;;;A;5;2026-05-23 10</t>
  </si>
  <si>
    <t>13863773;2df74b64-c4a8-4c75-a1d6-6bc9dc70b413;;111111118;Vodacom Life 20260324;;;;;A;5;2026-05-23 10:01:47+02;bongiwe lushaba;2026-03-24 09:54:08+02;2026-03-24 09:54:08+02;;;;;;;;;27724848357;;;;;;;;prepaid life;;;;;</t>
  </si>
  <si>
    <t>ID_2573</t>
  </si>
  <si>
    <t>13863736;886c360a-f0d4-483c-80fb-c96b6f49048a;;111111118;Vodacom Life 20260324;;;;;AA;5;2026-05-23 0</t>
  </si>
  <si>
    <t>13863736;886c360a-f0d4-483c-80fb-c96b6f49048a;;111111118;Vodacom Life 20260324;;;;;AA;5;2026-05-23 09:59:09+02;system;2026-03-24 09:54:08+02;2026-03-24 09:54:08+02;;;;;;;;;27711071361;;;;;;;;prepaid life;;;;;</t>
  </si>
  <si>
    <t>ID_2574</t>
  </si>
  <si>
    <t>13863774;ccdfe97d-9f71-4c6a-b440-91b976839d7e;;111111118;Vodacom Life 20260324;;;;;AC;1;2026-03-30 0</t>
  </si>
  <si>
    <t>13863774;ccdfe97d-9f71-4c6a-b440-91b976839d7e;;111111118;Vodacom Life 20260324;;;;;AC;1;2026-03-30 09:46:08+02;Esther Ramalete;2026-03-24 09:54:08+02;2026-03-24 09:54:08+02;;;;;;;;;27724858636;;;;;;;;prepaid life;;;;;</t>
  </si>
  <si>
    <t>ID_2575</t>
  </si>
  <si>
    <t>13863860;09a04b41-f51e-49cc-b393-7c4df4cdeec2;;111111118;Vodacom Life 20260324;;;;;AA;5;2026-05-23 1</t>
  </si>
  <si>
    <t>13863860;09a04b41-f51e-49cc-b393-7c4df4cdeec2;;111111118;Vodacom Life 20260324;;;;;AA;5;2026-05-23 10:39:28+02;system;2026-03-24 09:54:08+02;2026-03-24 09:54:08+02;;;;;;;;;27791324091;;;;;;;;prepaid life;;;;;</t>
  </si>
  <si>
    <t>ID_2576</t>
  </si>
  <si>
    <t>13863861;10caa0f2-b815-4712-b97b-a8c002bc23d2;;111111118;Vodacom Life 20260324;;;;;NA;5;2026-05-23 1</t>
  </si>
  <si>
    <t>13863861;10caa0f2-b815-4712-b97b-a8c002bc23d2;;111111118;Vodacom Life 20260324;;;;;NA;5;2026-05-23 10:40:36+02;system;2026-03-24 09:54:08+02;2026-03-24 09:54:08+02;;;;;;;;;27791660373;;;;;;;;prepaid life;;;;;</t>
  </si>
  <si>
    <t>ID_2577</t>
  </si>
  <si>
    <t>13863737;2ed0d419-e066-4ea5-a67f-a03f4d6d3c64;;111111118;Vodacom Life 20260324;;;;;AA;5;2026-05-23 0</t>
  </si>
  <si>
    <t>13863737;2ed0d419-e066-4ea5-a67f-a03f4d6d3c64;;111111118;Vodacom Life 20260324;;;;;AA;5;2026-05-23 09:59:13+02;system;2026-03-24 09:54:08+02;2026-03-24 09:54:08+02;;;;;;;;;27711497361;;;;;;;;prepaid life;;;;;</t>
  </si>
  <si>
    <t>ID_2578</t>
  </si>
  <si>
    <t>13863775;92d04a81-b62c-49f2-9d67-c7c9ab34de08;;111111118;Vodacom Life 20260324;;;;;CBACK;5;2026-05-2</t>
  </si>
  <si>
    <t>13863775;92d04a81-b62c-49f2-9d67-c7c9ab34de08;;111111118;Vodacom Life 20260324;;;;;CBACK;5;2026-05-23 10:01:59+02;Maureen Ntsoko;2026-03-24 09:54:08+02;2026-03-24 09:54:08+02;;;;;;;;;27725064561;;;;;;;;prepaid life;;;;;</t>
  </si>
  <si>
    <t>ID_2579</t>
  </si>
  <si>
    <t>13863738;b625c56f-c740-48d1-8180-bb45da1352a9;;111111118;Vodacom Life 20260324;;;;;AE;5;2026-05-23 0</t>
  </si>
  <si>
    <t>13863738;b625c56f-c740-48d1-8180-bb45da1352a9;;111111118;Vodacom Life 20260324;;;;;AE;5;2026-05-23 09:59:24+02;system;2026-03-24 09:54:08+02;2026-03-24 09:54:08+02;;;;;;;;;27712108340;;;;;;;;prepaid life;;;;;</t>
  </si>
  <si>
    <t>ID_2580</t>
  </si>
  <si>
    <t>13863776;c128ba3c-479a-459c-8b57-19308eac8b78;;111111118;Vodacom Life 20260324;;;;;AA;5;2026-05-23 1</t>
  </si>
  <si>
    <t>13863776;c128ba3c-479a-459c-8b57-19308eac8b78;;111111118;Vodacom Life 20260324;;;;;AA;5;2026-05-23 10:01:59+02;system;2026-03-24 09:54:08+02;2026-03-24 09:54:08+02;;;;;;;;;27725131765;;;;;;;;prepaid life;;;;;</t>
  </si>
  <si>
    <t>ID_2581</t>
  </si>
  <si>
    <t>13863862;e16a5879-47dc-4edd-be55-f34260b60062;;111111118;Vodacom Life 20260324;;;;;AA;5;2026-05-25 1</t>
  </si>
  <si>
    <t>13863862;e16a5879-47dc-4edd-be55-f34260b60062;;111111118;Vodacom Life 20260324;;;;;AA;5;2026-05-25 14:35:34+02;system;2026-03-24 09:54:08+02;2026-03-24 09:54:08+02;;;;;;;;;27792196378;;;;;;;;prepaid life;;;;;</t>
  </si>
  <si>
    <t>ID_2582</t>
  </si>
  <si>
    <t>13863739;8fdc876c-62ae-4338-b25a-66cb6d8e2c77;;111111118;Vodacom Life 20260324;;;;;NI;2;2026-04-10 0</t>
  </si>
  <si>
    <t>13863739;8fdc876c-62ae-4338-b25a-66cb6d8e2c77;;111111118;Vodacom Life 20260324;;;;;NI;2;2026-04-10 09:08:17+02;Musiiwa Mary Mabirimisa;2026-03-24 09:54:08+02;2026-03-24 09:54:08+02;;;;;;;;;27712528814;;;;;;;;prepaid life;;;;;</t>
  </si>
  <si>
    <t>ID_2583</t>
  </si>
  <si>
    <t>13863863;297aa5c9-a5c2-4eda-a5ea-54555befaabc;;111111118;Vodacom Life 20260324;;;;;AE;5;2026-05-25 1</t>
  </si>
  <si>
    <t>13863863;297aa5c9-a5c2-4eda-a5ea-54555befaabc;;111111118;Vodacom Life 20260324;;;;;AE;5;2026-05-25 14:06:59+02;system;2026-03-24 09:54:08+02;2026-03-24 09:54:08+02;;;;;;;;;27792224410;;;;;;;;prepaid life;;;;;</t>
  </si>
  <si>
    <t>ID_2584</t>
  </si>
  <si>
    <t>13863777;2f798357-7e26-41fd-a889-17ba9c97e541;;111111118;Vodacom Life 20260324;;;;;NI;5;2026-04-14 1</t>
  </si>
  <si>
    <t>13863777;2f798357-7e26-41fd-a889-17ba9c97e541;;111111118;Vodacom Life 20260324;;;;;NI;5;2026-04-14 11:40:35+02;Musiiwa Mary Mabirimisa;2026-03-24 09:54:08+02;2026-03-24 09:54:08+02;;;;;;;;;27725372220;;;;;;;;prepaid life;;;;;</t>
  </si>
  <si>
    <t>ID_2585</t>
  </si>
  <si>
    <t>13863740;f957b449-feb8-4dcd-9399-5947ea41aaca;;111111118;Vodacom Life 20260324;;;;;A;5;2026-05-23 09</t>
  </si>
  <si>
    <t>13863740;f957b449-feb8-4dcd-9399-5947ea41aaca;;111111118;Vodacom Life 20260324;;;;;A;5;2026-05-23 09:59:45+02;bongiwe lushaba;2026-03-24 09:54:08+02;2026-03-24 09:54:08+02;;;;;;;;;27713080108;;;;;;;;prepaid life;;;;;</t>
  </si>
  <si>
    <t>ID_2586</t>
  </si>
  <si>
    <t>13863778;343642c3-edb6-4e37-8c9c-f6deecf5832c;;111111118;Vodacom Life 20260324;;;27725504789;;AA;5;2</t>
  </si>
  <si>
    <t>13863778;343642c3-edb6-4e37-8c9c-f6deecf5832c;;111111118;Vodacom Life 20260324;;;27725504789;;AA;5;2026-05-23 10:02:15+02;system;2026-03-24 09:54:08+02;2026-03-24 09:54:08+02;;;;;;;;;27725504789;;;;;;;;prepaid life;;;;;</t>
  </si>
  <si>
    <t>ID_2587</t>
  </si>
  <si>
    <t>13863864;da848c63-f6ed-4441-b7b2-258c9e8a932d;;111111118;Vodacom Life 20260324;;;;;CU;5;2026-05-25 1</t>
  </si>
  <si>
    <t>13863864;da848c63-f6ed-4441-b7b2-258c9e8a932d;;111111118;Vodacom Life 20260324;;;;;CU;5;2026-05-25 14:36:07+02;Maureen Ntsoko;2026-03-24 09:54:08+02;2026-03-24 09:54:08+02;;;;;;;;;27792998860;;;;;;;;prepaid life;;;;;</t>
  </si>
  <si>
    <t>ID_2588</t>
  </si>
  <si>
    <t>13863741;f3a54774-8d5e-4242-be59-5c0edc3d4de2;;111111118;Vodacom Life 20260324;;;;;U;1;2026-04-01 11</t>
  </si>
  <si>
    <t>13863741;f3a54774-8d5e-4242-be59-5c0edc3d4de2;;111111118;Vodacom Life 20260324;;;;;U;1;2026-04-01 11:09:06+02;Esther Ramalete;2026-03-24 09:54:08+02;2026-03-24 09:54:08+02;;;;;;;;;27713423496;;;;;;;;prepaid life;;;;;</t>
  </si>
  <si>
    <t>ID_2589</t>
  </si>
  <si>
    <t>13863865;b1093def-fc32-43bf-8181-37369a8d2165;;111111118;Vodacom Life 20260324;;;;;CU;5;2026-05-23 1</t>
  </si>
  <si>
    <t>13863865;b1093def-fc32-43bf-8181-37369a8d2165;;111111118;Vodacom Life 20260324;;;;;CU;5;2026-05-23 10:39:53+02;Maureen Ntsoko;2026-03-24 09:54:08+02;2026-03-24 09:54:08+02;;;;;;;;;27793009155;;;;;;;;prepaid life;;;;;</t>
  </si>
  <si>
    <t>ID_2590</t>
  </si>
  <si>
    <t>13863779;a8d939fd-e8ae-4182-b4ab-e714c35a648a;;111111118;Vodacom Life 20260324;;;;;DROP;5;2026-05-23</t>
  </si>
  <si>
    <t>13863779;a8d939fd-e8ae-4182-b4ab-e714c35a648a;;111111118;Vodacom Life 20260324;;;;;DROP;5;2026-05-23 10:02:24+02;system;2026-03-24 09:54:08+02;2026-03-24 09:54:08+02;;;;;;;;;27725519977;;;;;;;;prepaid life;;;;;</t>
  </si>
  <si>
    <t>ID_2591</t>
  </si>
  <si>
    <t>13863780;4b934d0e-c316-4f37-b9bd-b04efcb8aab6;;111111118;Vodacom Life 20260324;;;27725540391;;AA;5;2</t>
  </si>
  <si>
    <t>13863780;4b934d0e-c316-4f37-b9bd-b04efcb8aab6;;111111118;Vodacom Life 20260324;;;27725540391;;AA;5;2026-05-25 11:09:04+02;system;2026-03-24 09:54:08+02;2026-03-24 09:54:08+02;;;;;;;;;27725540391;;;;;;;;prepaid life;;;;;</t>
  </si>
  <si>
    <t>ID_2592</t>
  </si>
  <si>
    <t>13863742;74029bb1-e62d-4f6f-943d-623c3ba36d6d;;111111118;Vodacom Life 20260324;;;;;EC;4;2026-04-24 1</t>
  </si>
  <si>
    <t>13863742;74029bb1-e62d-4f6f-943d-623c3ba36d6d;;111111118;Vodacom Life 20260324;;;;;EC;4;2026-04-24 13:38:52+02;Seboifeng Mogola;2026-03-24 09:54:08+02;2026-03-24 09:54:08+02;;;;;;;;;27713756298;;;;;;;;prepaid life;;;;;</t>
  </si>
  <si>
    <t>ID_2593</t>
  </si>
  <si>
    <t>13863781;d5a293df-e4b1-46d5-aedc-b97654dbdf45;;111111118;Vodacom Life 20260324;;;;;CU;5;2026-04-15 1</t>
  </si>
  <si>
    <t>13863781;d5a293df-e4b1-46d5-aedc-b97654dbdf45;;111111118;Vodacom Life 20260324;;;;;CU;5;2026-04-15 10:05:42+02;Maureen Ntsoko;2026-03-24 09:54:08+02;2026-03-24 09:54:08+02;;;;;;;;;27725544318;;;;;;;;prepaid life;;;;;</t>
  </si>
  <si>
    <t>ID_2594</t>
  </si>
  <si>
    <t>13863866;fc1dde27-394a-43a6-a2d1-b94d09a61676;;111111118;Vodacom Life 20260324;;;;;AA;5;2026-05-25 1</t>
  </si>
  <si>
    <t>13863866;fc1dde27-394a-43a6-a2d1-b94d09a61676;;111111118;Vodacom Life 20260324;;;;;AA;5;2026-05-25 14:06:59+02;system;2026-03-24 09:54:08+02;2026-03-24 09:54:08+02;;;;;;;;;27793064958;;;;;;;;prepaid life;;;;;</t>
  </si>
  <si>
    <t>ID_2595</t>
  </si>
  <si>
    <t>13863743;5a9682ec-84b4-4299-99be-669d810eb0c8;;111111118;Vodacom Life 20260324;;;27714092706;;AE;5;2</t>
  </si>
  <si>
    <t>13863743;5a9682ec-84b4-4299-99be-669d810eb0c8;;111111118;Vodacom Life 20260324;;;27714092706;;AE;5;2026-05-23 10:02:21+02;system;2026-03-24 09:54:08+02;2026-03-24 09:54:08+02;;;;;;;;;27714092706;;;;;;;;prepaid life;;;;;</t>
  </si>
  <si>
    <t>ID_2596</t>
  </si>
  <si>
    <t>13863867;15aaa686-adc6-4758-ac7c-d2dfc70c2e6c;;111111118;Vodacom Life 20260324;;;;;AA;5;2026-05-23 1</t>
  </si>
  <si>
    <t>13863867;15aaa686-adc6-4758-ac7c-d2dfc70c2e6c;;111111118;Vodacom Life 20260324;;;;;AA;5;2026-05-23 10:39:59+02;system;2026-03-24 09:54:08+02;2026-03-24 09:54:08+02;;;;;;;;;27793203522;;;;;;;;prepaid life;;;;;</t>
  </si>
  <si>
    <t>ID_2597</t>
  </si>
  <si>
    <t>13863782;55dc097f-babd-4c57-8aae-f2c50e0c0900;;111111118;Vodacom Life 20260324;;;;;NIUP;3;2026-04-15</t>
  </si>
  <si>
    <t>13863782;55dc097f-babd-4c57-8aae-f2c50e0c0900;;111111118;Vodacom Life 20260324;;;;;NIUP;3;2026-04-15 10:00:04+02;Seboifeng Mogola;2026-03-24 09:54:08+02;2026-03-24 09:54:08+02;;;;;;;;;27725553735;;;;;;;;prepaid life;;;;;</t>
  </si>
  <si>
    <t>ID_2598</t>
  </si>
  <si>
    <t>13863744;0f8e0289-edc8-488b-9853-67d5f98667a7;;111111118;Vodacom Life 20260324;;;;;AE;5;2026-05-25 1</t>
  </si>
  <si>
    <t>13863744;0f8e0289-edc8-488b-9853-67d5f98667a7;;111111118;Vodacom Life 20260324;;;;;AE;5;2026-05-25 12:01:55+02;system;2026-03-24 09:54:08+02;2026-03-24 09:54:08+02;;;;;;;;;27714213527;;;;;;;;prepaid life;;;;;</t>
  </si>
  <si>
    <t>ID_2599</t>
  </si>
  <si>
    <t>13863783;dbca0435-fc04-41f5-8215-d57f51886eb7;;111111118;Vodacom Life 20260324;;;;;NI;3;2026-04-15 1</t>
  </si>
  <si>
    <t>13863783;dbca0435-fc04-41f5-8215-d57f51886eb7;;111111118;Vodacom Life 20260324;;;;;NI;3;2026-04-15 10:00:04+02;Esther Ramalete;2026-03-24 09:54:08+02;2026-03-24 09:54:08+02;;;;;;;;;27725641217;;;;;;;;prepaid life;;;;;</t>
  </si>
  <si>
    <t>ID_2600</t>
  </si>
  <si>
    <t>13863868;e59c3e9a-8129-437e-8382-5fb7f7293195;;111111118;Vodacom Life 20260324;;;;;CU;5;2026-05-23 1</t>
  </si>
  <si>
    <t>13863868;e59c3e9a-8129-437e-8382-5fb7f7293195;;111111118;Vodacom Life 20260324;;;;;CU;5;2026-05-23 10:40:05+02;Maureen Ntsoko;2026-03-24 09:54:08+02;2026-03-24 09:54:08+02;;;;;;;;;27793252159;;;;;;;;prepaid life;;;;;</t>
  </si>
  <si>
    <t>ID_2601</t>
  </si>
  <si>
    <t>13863745;a20fb258-bd37-4219-8c10-949a9685e72b;;111111118;Vodacom Life 20260324;;;;;AA;5;2026-05-25 1</t>
  </si>
  <si>
    <t>13863745;a20fb258-bd37-4219-8c10-949a9685e72b;;111111118;Vodacom Life 20260324;;;;;AA;5;2026-05-25 11:49:33+02;system;2026-03-24 09:54:08+02;2026-03-24 09:54:08+02;;;;;;;;;27714954688;;;;;;;;prepaid life;;;;;</t>
  </si>
  <si>
    <t>ID_2602</t>
  </si>
  <si>
    <t>13863869;f6785edb-19da-4be6-aa7d-845a145c1baf;;111111118;Vodacom Life 20260324;;;;;NIUP;2;2026-04-09</t>
  </si>
  <si>
    <t>13863869;f6785edb-19da-4be6-aa7d-845a145c1baf;;111111118;Vodacom Life 20260324;;;;;NIUP;2;2026-04-09 11:46:11+02;bongiwe lushaba;2026-03-24 09:54:08+02;2026-03-24 09:54:08+02;;;;;;;;;27793680220;;;;;;;;prepaid life;;;;;</t>
  </si>
  <si>
    <t>ID_2603</t>
  </si>
  <si>
    <t xml:space="preserve">13863784;b0ba4305-caaa-45b9-9ceb-02bf1cb80792;;111111118;Vodacom Life 20260324;;;;;OAL;3;2026-04-15 </t>
  </si>
  <si>
    <t>13863784;b0ba4305-caaa-45b9-9ceb-02bf1cb80792;;111111118;Vodacom Life 20260324;;;;;OAL;3;2026-04-15 10:00:06+02;bongiwe lushaba;2026-03-24 09:54:08+02;2026-03-24 09:54:08+02;;;;;;;;;27725806586;;;;;;;;prepaid life;;;;;</t>
  </si>
  <si>
    <t>ID_2604</t>
  </si>
  <si>
    <t>13863746;2f3cc5b6-ccce-41b2-87a1-46713149fb69;;111111118;Vodacom Life 20260324;;;;;CU;6;2026-05-26 1</t>
  </si>
  <si>
    <t>13863746;2f3cc5b6-ccce-41b2-87a1-46713149fb69;;111111118;Vodacom Life 20260324;;;;;CU;6;2026-05-26 12:20:14+02;Khensane Mabasa;2026-03-24 09:54:08+02;2026-03-24 09:54:08+02;;;;;;;;;27715232181;;;;;;;;prepaid life;;;;;</t>
  </si>
  <si>
    <t>ID_2605</t>
  </si>
  <si>
    <t>13863785;adcac36b-7f05-4511-8888-4ed6479e1a8e;;111111118;Vodacom Life 20260324;;;27725874316;;DROP;5</t>
  </si>
  <si>
    <t>13863785;adcac36b-7f05-4511-8888-4ed6479e1a8e;;111111118;Vodacom Life 20260324;;;27725874316;;DROP;5;2026-05-25 11:10:17+02;system;2026-03-24 09:54:08+02;2026-03-24 09:54:08+02;;;;;;;;;27725874316;;;;;;;;prepaid life;;;;;</t>
  </si>
  <si>
    <t>ID_2606</t>
  </si>
  <si>
    <t>13863870;0cb51568-5d84-4c47-b7a3-c4e28e7aeea5;;111111118;Vodacom Life 20260324;;;;;AA;5;2026-05-23 1</t>
  </si>
  <si>
    <t>13863870;0cb51568-5d84-4c47-b7a3-c4e28e7aeea5;;111111118;Vodacom Life 20260324;;;;;AA;5;2026-05-23 10:40:21+02;system;2026-03-24 09:54:08+02;2026-03-24 09:54:08+02;;;;;;;;;27793780165;;;;;;;;prepaid life;;;;;</t>
  </si>
  <si>
    <t>ID_2607</t>
  </si>
  <si>
    <t>13863747;978f3ae3-b80e-4ec2-a25c-d37976e30605;;111111118;Vodacom Life 20260324;;;;;AA;5;2026-05-25 1</t>
  </si>
  <si>
    <t>13863747;978f3ae3-b80e-4ec2-a25c-d37976e30605;;111111118;Vodacom Life 20260324;;;;;AA;5;2026-05-25 11:49:40+02;system;2026-03-24 09:54:08+02;2026-03-24 09:54:08+02;;;;;;;;;27715256586;;;;;;;;prepaid life;;;;;</t>
  </si>
  <si>
    <t>ID_2608</t>
  </si>
  <si>
    <t>13863871;eb51acf1-b52a-4ead-bf34-28320331c27a;;111111118;Vodacom Life 20260324;;;;;CU;5;2026-05-23 1</t>
  </si>
  <si>
    <t>13863871;eb51acf1-b52a-4ead-bf34-28320331c27a;;111111118;Vodacom Life 20260324;;;;;CU;5;2026-05-23 10:40:36+02;Maureen Ntsoko;2026-03-24 09:54:08+02;2026-03-24 09:54:08+02;;;;;;;;;27794006334;;;;;;;;prepaid life;;;;;</t>
  </si>
  <si>
    <t>ID_2609</t>
  </si>
  <si>
    <t>13863786;0809b965-8f07-45b0-b31c-fd9b0a83b945;;111111118;Vodacom Life 20260324;;;27726072019;;CU;5;2</t>
  </si>
  <si>
    <t>13863786;0809b965-8f07-45b0-b31c-fd9b0a83b945;;111111118;Vodacom Life 20260324;;;27726072019;;CU;5;2026-05-25 12:35:59+02;bongiwe lushaba;2026-03-24 09:54:08+02;2026-03-24 09:54:08+02;;;;;;;;;27726072019;;;;;;;;prepaid life;;;;;</t>
  </si>
  <si>
    <t>ID_2610</t>
  </si>
  <si>
    <t xml:space="preserve">13863748;774b6ce0-0975-4147-8329-64f72b9671af;;111111118;Vodacom Life 20260324;;;;;ADC;5;2026-05-25 </t>
  </si>
  <si>
    <t>13863748;774b6ce0-0975-4147-8329-64f72b9671af;;111111118;Vodacom Life 20260324;;;;;ADC;5;2026-05-25 11:08:46+02;system;2026-03-24 09:54:08+02;2026-03-24 09:54:08+02;;;;;;;;;27715339209;;;;;;;;prepaid life;;;;;</t>
  </si>
  <si>
    <t>ID_2611</t>
  </si>
  <si>
    <t>13863787;387ed2e1-7166-4381-b7ad-d43769b35928;;111111118;Vodacom Life 20260324;;;;;CBACK;2;2026-04-1</t>
  </si>
  <si>
    <t>13863787;387ed2e1-7166-4381-b7ad-d43769b35928;;111111118;Vodacom Life 20260324;;;;;CBACK;2;2026-04-10 08:30:45+02;bongiwe lushaba;2026-03-24 09:54:08+02;2026-03-24 09:54:08+02;;;;;;;;;27726186557;;;;;;;;prepaid life;;;;;</t>
  </si>
  <si>
    <t>ID_2612</t>
  </si>
  <si>
    <t>13863873;4a23a826-6954-4f2f-83d8-e68850d60b10;;111111118;Vodacom Life 20260324;;;;;NA;5;2026-05-25 1</t>
  </si>
  <si>
    <t>13863873;4a23a826-6954-4f2f-83d8-e68850d60b10;;111111118;Vodacom Life 20260324;;;;;NA;5;2026-05-25 12:39:26+02;system;2026-03-24 09:54:08+02;2026-03-24 09:54:08+02;;;;;;;;;27794236154;;;;;;;;prepaid life;;;;;</t>
  </si>
  <si>
    <t>ID_2613</t>
  </si>
  <si>
    <t>13863788;fbba378b-1472-4bb0-8344-3609fbfb7639;;111111118;Vodacom Life 20260324;;;;;CU;5;2026-05-25 1</t>
  </si>
  <si>
    <t>13863788;fbba378b-1472-4bb0-8344-3609fbfb7639;;111111118;Vodacom Life 20260324;;;;;CU;5;2026-05-25 12:35:30+02;bongiwe lushaba;2026-03-24 09:54:08+02;2026-03-24 09:54:08+02;;;;;;;;;27726527739;;;;;;;;prepaid life;;;;;</t>
  </si>
  <si>
    <t>ID_2614</t>
  </si>
  <si>
    <t>13863750;35154bc8-db8b-4b5a-8b42-aff14531ab18;;111111118;Vodacom Life 20260324;;;;;AA;5;2026-05-25 1</t>
  </si>
  <si>
    <t>13863750;35154bc8-db8b-4b5a-8b42-aff14531ab18;;111111118;Vodacom Life 20260324;;;;;AA;5;2026-05-25 11:26:49+02;system;2026-03-24 09:54:08+02;2026-03-24 09:54:08+02;;;;;;;;;27717454398;;;;;;;;prepaid life;;;;;</t>
  </si>
  <si>
    <t>ID_2615</t>
  </si>
  <si>
    <t>13863789;327b3ec2-3d64-4702-b016-d92720c32429;;111111118;Vodacom Life 20260324;;;;;DROP;5;2026-05-25</t>
  </si>
  <si>
    <t>13863789;327b3ec2-3d64-4702-b016-d92720c32429;;111111118;Vodacom Life 20260324;;;;;DROP;5;2026-05-25 12:35:38+02;system;2026-03-24 09:54:08+02;2026-03-24 09:54:08+02;;;;;;;;;27726913945;;;;;;;;prepaid life;;;;;</t>
  </si>
  <si>
    <t>ID_2616</t>
  </si>
  <si>
    <t>13863874;cc5a738f-26b9-4a1c-9c96-3d73bffd22be;;111111118;Vodacom Life 20260324;;;27794395596;;NA;5;2</t>
  </si>
  <si>
    <t>13863874;cc5a738f-26b9-4a1c-9c96-3d73bffd22be;;111111118;Vodacom Life 20260324;;;27794395596;;NA;5;2026-05-25 12:39:30+02;system;2026-03-24 09:54:08+02;2026-03-24 09:54:08+02;;;;;;;;;27794395596;;;;;;;;prepaid life;;;;;</t>
  </si>
  <si>
    <t>ID_2617</t>
  </si>
  <si>
    <t>13863751;eed86c1a-8175-4126-a034-f1215bd6d7fc;;111111118;Vodacom Life 20260324;;;;;AA;5;2026-05-25 1</t>
  </si>
  <si>
    <t>13863751;eed86c1a-8175-4126-a034-f1215bd6d7fc;;111111118;Vodacom Life 20260324;;;;;AA;5;2026-05-25 11:26:49+02;system;2026-03-24 09:54:08+02;2026-03-24 09:54:08+02;;;;;;;;;27718738132;;;;;;;;prepaid life;;;;;</t>
  </si>
  <si>
    <t>ID_2618</t>
  </si>
  <si>
    <t>13863790;5c1774ad-3bd1-4fcb-a914-f11784994d6e;;111111118;Vodacom Life 20260324;;;;;DROP;5;2026-05-25</t>
  </si>
  <si>
    <t>13863790;5c1774ad-3bd1-4fcb-a914-f11784994d6e;;111111118;Vodacom Life 20260324;;;;;DROP;5;2026-05-25 14:06:09+02;system;2026-03-24 09:54:08+02;2026-03-24 09:54:08+02;;;;;;;;;27727341372;;;;;;;;prepaid life;;;;;</t>
  </si>
  <si>
    <t>ID_2619</t>
  </si>
  <si>
    <t xml:space="preserve">13863752;a225d328-c193-4375-abeb-1d7d4aff013d;;111111118;Vodacom Life 20260324;;;;;TDN;5;2026-05-25 </t>
  </si>
  <si>
    <t>13863752;a225d328-c193-4375-abeb-1d7d4aff013d;;111111118;Vodacom Life 20260324;;;;;TDN;5;2026-05-25 11:26:55+02;system;2026-03-24 09:54:08+02;2026-03-24 09:54:08+02;;;;;;;;;27720142975;;;;;;;;prepaid life;;;;;</t>
  </si>
  <si>
    <t>ID_2620</t>
  </si>
  <si>
    <t>13863791;da11689b-63a8-423f-9475-a5b58bbb8bdf;;111111118;Vodacom Life 20260324;;;;;AE;5;2026-05-25 1</t>
  </si>
  <si>
    <t>13863791;da11689b-63a8-423f-9475-a5b58bbb8bdf;;111111118;Vodacom Life 20260324;;;;;AE;5;2026-05-25 11:49:56+02;system;2026-03-24 09:54:08+02;2026-03-24 09:54:08+02;;;;;;;;;27727420899;;;;;;;;prepaid life;;;;;</t>
  </si>
  <si>
    <t>ID_2621</t>
  </si>
  <si>
    <t>13863875;af7e3877-0e39-4d35-9a61-fe1bd93051d7;;111111118;Vodacom Life 20260324;;;;;NI;1;2026-04-01 0</t>
  </si>
  <si>
    <t>13863875;af7e3877-0e39-4d35-9a61-fe1bd93051d7;;111111118;Vodacom Life 20260324;;;;;NI;1;2026-04-01 09:40:36+02;Maureen Ntsoko;2026-03-24 09:54:08+02;2026-03-24 09:54:08+02;;;;;;;;;27794496097;;;;;;;;prepaid life;;;;;</t>
  </si>
  <si>
    <t>ID_2622</t>
  </si>
  <si>
    <t>13863876;95f33650-58ed-4512-8c0b-fa7ff99ef632;;111111118;Vodacom Life 20260324;;;;;NA;5;2026-05-25 1</t>
  </si>
  <si>
    <t>13863876;95f33650-58ed-4512-8c0b-fa7ff99ef632;;111111118;Vodacom Life 20260324;;;;;NA;5;2026-05-25 11:13:35+02;system;2026-03-24 09:54:08+02;2026-03-24 09:54:08+02;;;;;;;;;27795417839;;;;;;;;prepaid life;;;;;</t>
  </si>
  <si>
    <t>ID_2623</t>
  </si>
  <si>
    <t>13863753;570ecde7-829d-4f43-8fe2-1c7ee058679d;;111111118;Vodacom Life 20260324;;;27721078332;;A;7;20</t>
  </si>
  <si>
    <t>13863753;570ecde7-829d-4f43-8fe2-1c7ee058679d;;111111118;Vodacom Life 20260324;;;27721078332;;A;7;2026-05-25 17:17:26+02;Maureen Ntsoko;2026-03-24 09:54:08+02;2026-03-24 09:54:08+02;;;;;;;;;27721078332;;;;;;;;prepaid life;;;;;</t>
  </si>
  <si>
    <t>ID_2624</t>
  </si>
  <si>
    <t>13863877;24de07e7-8cf9-497a-aa18-e78d5a6aff08;;111111118;Vodacom Life 20260324;;;;;DROP;5;2026-05-25</t>
  </si>
  <si>
    <t>13863877;24de07e7-8cf9-497a-aa18-e78d5a6aff08;;111111118;Vodacom Life 20260324;;;;;DROP;5;2026-05-25 11:51:11+02;system;2026-03-24 09:54:08+02;2026-03-24 09:54:08+02;;;;;;;;;27795427138;;;;;;;;prepaid life;;;;;</t>
  </si>
  <si>
    <t>ID_2625</t>
  </si>
  <si>
    <t>13863792;eb179976-2487-4725-814f-27ef504886ce;;111111118;Vodacom Life 20260324;;;;;CU;5;2026-05-25 1</t>
  </si>
  <si>
    <t>13863792;eb179976-2487-4725-814f-27ef504886ce;;111111118;Vodacom Life 20260324;;;;;CU;5;2026-05-25 12:53:48+02;Maureen Ntsoko;2026-03-24 09:54:08+02;2026-03-24 09:54:08+02;;;;;;;;;27727534810;;;;;;;;prepaid life;;;;;</t>
  </si>
  <si>
    <t>ID_2626</t>
  </si>
  <si>
    <t>13863754;2d38ba8a-6b09-470a-852f-474166008200;;111111118;Vodacom Life 20260324;;;;;A;6;2026-05-12 14</t>
  </si>
  <si>
    <t>13863754;2d38ba8a-6b09-470a-852f-474166008200;;111111118;Vodacom Life 20260324;;;;;A;6;2026-05-12 14:10:42+02;Khensane Mabasa;2026-03-24 09:54:08+02;2026-03-24 09:54:08+02;;;;;;;;;27721335839;;;;;;;;prepaid life;;;;;</t>
  </si>
  <si>
    <t>ID_2627</t>
  </si>
  <si>
    <t>13863793;7ddde227-d725-40aa-83de-89b4fc451443;;111111118;Vodacom Life 20260324;;;;;AE;5;2026-05-25 1</t>
  </si>
  <si>
    <t>13863793;7ddde227-d725-40aa-83de-89b4fc451443;;111111118;Vodacom Life 20260324;;;;;AE;5;2026-05-25 11:49:56+02;system;2026-03-24 09:54:08+02;2026-03-24 09:54:08+02;;;;;;;;;27727606867;;;;;;;;prepaid life;;;;;</t>
  </si>
  <si>
    <t>ID_2628</t>
  </si>
  <si>
    <t>13863878;bdcb2dd4-835f-4996-bd4c-055b51193792;;111111118;Vodacom Life 20260324;;;;;NI;2;2026-03-26 1</t>
  </si>
  <si>
    <t>13863878;bdcb2dd4-835f-4996-bd4c-055b51193792;;111111118;Vodacom Life 20260324;;;;;NI;2;2026-03-26 13:42:11+02;Thandile Nokubeni;2026-03-24 09:54:08+02;2026-03-24 09:54:08+02;;;;;;;;;27795506067;;;;;;;;prepaid life;;;;;</t>
  </si>
  <si>
    <t>ID_2629</t>
  </si>
  <si>
    <t>13863755;5139a3a9-4c19-4880-91d1-b9641d28e7ef;;111111118;Vodacom Life 20260324;;;27721396677;;CU;5;2</t>
  </si>
  <si>
    <t>13863755;5139a3a9-4c19-4880-91d1-b9641d28e7ef;;111111118;Vodacom Life 20260324;;;27721396677;;CU;5;2026-05-25 11:38:25+02;Maureen Ntsoko;2026-03-24 09:54:08+02;2026-03-24 09:54:08+02;;;;;;;;;27721396677;;;;;;;;prepaid life;;;;;</t>
  </si>
  <si>
    <t>ID_2630</t>
  </si>
  <si>
    <t>13863756;ed31e515-57ba-4bcc-915a-e1b6969f0ff1;;111111118;Vodacom Life 20260324;;;;;AA;5;2026-05-23 1</t>
  </si>
  <si>
    <t>13863756;ed31e515-57ba-4bcc-915a-e1b6969f0ff1;;111111118;Vodacom Life 20260324;;;;;AA;5;2026-05-23 10:00:06+02;system;2026-03-24 09:54:08+02;2026-03-24 09:54:08+02;;;;;;;;;27721430599;;;;;;;;prepaid life;;;;;</t>
  </si>
  <si>
    <t>ID_2631</t>
  </si>
  <si>
    <t>13863879;ba344758-00d6-4051-b4fb-815306f6322a;;111111118;Vodacom Life 20260324;;;;;CBACK;3;2026-04-1</t>
  </si>
  <si>
    <t>13863879;ba344758-00d6-4051-b4fb-815306f6322a;;111111118;Vodacom Life 20260324;;;;;CBACK;3;2026-04-15 10:29:34+02;Thandile Nokubeni;2026-03-24 09:54:08+02;2026-03-24 09:54:08+02;;;;;;;;;27795561343;;;;;;;;prepaid life;;;;;</t>
  </si>
  <si>
    <t>ID_2632</t>
  </si>
  <si>
    <t>13863794;776de5da-e73d-4403-8547-dbb539692414;;111111118;Vodacom Life 20260324;;;;;AE;5;2026-05-23 1</t>
  </si>
  <si>
    <t>13863794;776de5da-e73d-4403-8547-dbb539692414;;111111118;Vodacom Life 20260324;;;;;AE;5;2026-05-23 10:03:56+02;system;2026-03-24 09:54:08+02;2026-03-24 09:54:08+02;;;;;;;;;27727653935;;;;;;;;prepaid life;;;;;</t>
  </si>
  <si>
    <t>ID_2633</t>
  </si>
  <si>
    <t>13863757;db6d5834-e420-48a3-ba75-b86d5f60bdff;;111111118;Vodacom Life 20260324;;;;;NI;4;2026-05-19 0</t>
  </si>
  <si>
    <t>13863757;db6d5834-e420-48a3-ba75-b86d5f60bdff;;111111118;Vodacom Life 20260324;;;;;NI;4;2026-05-19 09:00:42+02;Maureen Ntsoko;2026-03-24 09:54:08+02;2026-03-24 09:54:08+02;;;;;;;;;27721477965;;;;;;;;prepaid life;;;;;</t>
  </si>
  <si>
    <t>ID_2634</t>
  </si>
  <si>
    <t>13863795;7b83987d-ce03-4ac1-adef-cf43f56b0000;;111111118;Vodacom Life 20260324;;;;;AA;5;2026-05-25 1</t>
  </si>
  <si>
    <t>13863795;7b83987d-ce03-4ac1-adef-cf43f56b0000;;111111118;Vodacom Life 20260324;;;;;AA;5;2026-05-25 10:56:36+02;system;2026-03-24 09:54:08+02;2026-03-24 09:54:08+02;;;;;;;;;27727664359;;;;;;;;prepaid life;;;;;</t>
  </si>
  <si>
    <t>ID_2635</t>
  </si>
  <si>
    <t xml:space="preserve">13863880;c1007d7c-b53a-46ff-bcb4-0dd37b95981a;;111111118;Vodacom Life 20260324;;;;;ADC;5;2026-05-25 </t>
  </si>
  <si>
    <t>13863880;c1007d7c-b53a-46ff-bcb4-0dd37b95981a;;111111118;Vodacom Life 20260324;;;;;ADC;5;2026-05-25 12:43:18+02;system;2026-03-24 09:54:08+02;2026-03-24 09:54:08+02;;;;;;;;;27795668044;;;;;;;;prepaid life;;;;;</t>
  </si>
  <si>
    <t>ID_2636</t>
  </si>
  <si>
    <t>13863758;0a8d03c5-d54c-43a8-9809-d9f84a2846b4;;111111118;Vodacom Life 20260324;;;;;NA;5;2026-05-23 1</t>
  </si>
  <si>
    <t>13863758;0a8d03c5-d54c-43a8-9809-d9f84a2846b4;;111111118;Vodacom Life 20260324;;;;;NA;5;2026-05-23 10:00:18+02;system;2026-03-24 09:54:08+02;2026-03-24 09:54:08+02;;;;;;;;;27721702389;;;;;;;;prepaid life;;;;;</t>
  </si>
  <si>
    <t>ID_2637</t>
  </si>
  <si>
    <t>13863881;3020913d-3851-40f3-88e7-8d676a14930a;;111111118;Vodacom Life 20260324;;;;;DROP;5;2026-05-25</t>
  </si>
  <si>
    <t>13863881;3020913d-3851-40f3-88e7-8d676a14930a;;111111118;Vodacom Life 20260324;;;;;DROP;5;2026-05-25 11:01:08+02;system;2026-03-24 09:54:08+02;2026-03-24 09:54:08+02;;;;;;;;;27795938945;;;;;;;;prepaid life;;;;;</t>
  </si>
  <si>
    <t>ID_2638</t>
  </si>
  <si>
    <t>13863796;240bb73f-912c-4ea9-b967-ddd4f5df1b41;;111111118;Vodacom Life 20260324;;;;;CBACK;3;2026-04-0</t>
  </si>
  <si>
    <t>13863796;240bb73f-912c-4ea9-b967-ddd4f5df1b41;;111111118;Vodacom Life 20260324;;;;;CBACK;3;2026-04-09 16:06:45+02;Mahlatse Manamela;2026-03-24 09:54:08+02;2026-03-24 09:54:08+02;;;;;;;;;27727814129;;;;;;;;prepaid life;;;;;</t>
  </si>
  <si>
    <t>ID_2639</t>
  </si>
  <si>
    <t>13863954;4579dc18-8035-481a-ae2a-b483cfe7daaa;;111111118;Vodacom Life 20260324;;;;;CBACK;4;2026-05-1</t>
  </si>
  <si>
    <t>13863954;4579dc18-8035-481a-ae2a-b483cfe7daaa;;111111118;Vodacom Life 20260324;;;;;CBACK;4;2026-05-19 11:02:55+02;Maureen Ntsoko;2026-03-24 09:54:08+02;2026-03-24 09:54:08+02;;;;;;;;;27606886104;;;;;;;;prepaid life;;;;;</t>
  </si>
  <si>
    <t>ID_2640</t>
  </si>
  <si>
    <t>13863797;6324fadf-6afc-4c9a-83d5-fddf2d986a7c;;111111118;Vodacom Life 20260324;;;;;AA;5;2026-05-23 1</t>
  </si>
  <si>
    <t>13863797;6324fadf-6afc-4c9a-83d5-fddf2d986a7c;;111111118;Vodacom Life 20260324;;;;;AA;5;2026-05-23 10:03:56+02;system;2026-03-24 09:54:08+02;2026-03-24 09:54:08+02;;;;;;;;;27728151357;;;;;;;;prepaid life;;;;;</t>
  </si>
  <si>
    <t>ID_2641</t>
  </si>
  <si>
    <t>13863882;93721a48-9403-4ddc-be35-b55b61f44d13;;111111118;Vodacom Life 20260324;;;;;NA;5;2026-05-25 1</t>
  </si>
  <si>
    <t>13863882;93721a48-9403-4ddc-be35-b55b61f44d13;;111111118;Vodacom Life 20260324;;;;;NA;5;2026-05-25 11:51:11+02;system;2026-03-24 09:54:08+02;2026-03-24 09:54:08+02;;;;;;;;;27796000123;;;;;;;;prepaid life;;;;;</t>
  </si>
  <si>
    <t>ID_2642</t>
  </si>
  <si>
    <t>13863883;87ea7495-5511-4a21-9d5f-92374674c4c3;;111111118;Vodacom Life 20260324;;;;;CBACK;1;2026-04-0</t>
  </si>
  <si>
    <t>13863883;87ea7495-5511-4a21-9d5f-92374674c4c3;;111111118;Vodacom Life 20260324;;;;;CBACK;1;2026-04-01 09:39:35+02;Millicent Motsuku;2026-03-24 09:54:08+02;2026-03-24 09:54:08+02;;;;;;;;;27796133478;;;;;;;;prepaid life;;;;;</t>
  </si>
  <si>
    <t>ID_2643</t>
  </si>
  <si>
    <t>13863955;ff64070f-5e90-4805-84d3-773f07def861;;111111118;Vodacom Life 20260324;;;;;AE;5;2026-05-25 1</t>
  </si>
  <si>
    <t>13863955;ff64070f-5e90-4805-84d3-773f07def861;;111111118;Vodacom Life 20260324;;;;;AE;5;2026-05-25 11:54:41+02;system;2026-03-24 09:54:08+02;2026-03-24 09:54:08+02;;;;;;;;;27607172754;;;;;;;;prepaid life;;;;;</t>
  </si>
  <si>
    <t>ID_2644</t>
  </si>
  <si>
    <t>13863884;7be101ae-5eb9-4591-8c0e-d86b44b72cd3;;111111118;Vodacom Life 20260324;;;;;CU;5;2026-05-25 1</t>
  </si>
  <si>
    <t>13863884;7be101ae-5eb9-4591-8c0e-d86b44b72cd3;;111111118;Vodacom Life 20260324;;;;;CU;5;2026-05-25 11:01:08+02;bongiwe lushaba;2026-03-24 09:54:08+02;2026-03-24 09:54:08+02;;;;;;;;;27796690743;;;;;;;;prepaid life;;;;;</t>
  </si>
  <si>
    <t>ID_2645</t>
  </si>
  <si>
    <t>13863798;5810316a-12e4-4b6b-9314-ae4b2d91990f;;111111118;Vodacom Life 20260324;;;27728161936;;IABDN;</t>
  </si>
  <si>
    <t>13863798;5810316a-12e4-4b6b-9314-ae4b2d91990f;;111111118;Vodacom Life 20260324;;;27728161936;;IABDN;5;2026-05-23 13:48:49+02;system;2026-03-24 09:54:08+02;2026-03-24 09:54:08+02;;;;;;;;;27728161936;;;;;;;;prepaid life;;;;;</t>
  </si>
  <si>
    <t>ID_2646</t>
  </si>
  <si>
    <t>13863799;a0afaa90-b19f-4186-9253-fe2082312faf;;111111118;Vodacom Life 20260324;;;27728490860;;CBACK;</t>
  </si>
  <si>
    <t>13863799;a0afaa90-b19f-4186-9253-fe2082312faf;;111111118;Vodacom Life 20260324;;;27728490860;;CBACK;4;2026-05-19 09:06:59+02;Khensane Mabasa;2026-03-24 09:54:08+02;2026-03-24 09:54:08+02;;;;;;;;;27728490860;;;;;;;;prepaid life;;;;;</t>
  </si>
  <si>
    <t>ID_2647</t>
  </si>
  <si>
    <t>13863800;080f7477-9a19-4a11-9715-6852474001b4;;111111118;Vodacom Life 20260324;;;;;NA;5;2026-05-23 1</t>
  </si>
  <si>
    <t>13863800;080f7477-9a19-4a11-9715-6852474001b4;;111111118;Vodacom Life 20260324;;;;;NA;5;2026-05-23 10:03:56+02;system;2026-03-24 09:54:08+02;2026-03-24 09:54:08+02;;;;;;;;;27728644895;;;;;;;;prepaid life;;;;;</t>
  </si>
  <si>
    <t>ID_2648</t>
  </si>
  <si>
    <t>13863801;6b030038-fff8-44df-a783-359091f702c4;;111111118;Vodacom Life 20260324;;;;;NI;1;2026-04-02 1</t>
  </si>
  <si>
    <t>13863801;6b030038-fff8-44df-a783-359091f702c4;;111111118;Vodacom Life 20260324;;;;;NI;1;2026-04-02 11:25:16+02;Musiiwa Mary Mabirimisa;2026-03-24 09:54:08+02;2026-03-24 09:54:08+02;;;;;;;;;27728655861;;;;;;;;prepaid life;;;;;</t>
  </si>
  <si>
    <t>ID_2649</t>
  </si>
  <si>
    <t>13863885;41ebf512-d049-4462-81da-39fe26f2ea1c;;111111118;Vodacom Life 20260324;;;;;AE;5;2026-05-25 1</t>
  </si>
  <si>
    <t>13863885;41ebf512-d049-4462-81da-39fe26f2ea1c;;111111118;Vodacom Life 20260324;;;;;AE;5;2026-05-25 11:01:08+02;system;2026-03-24 09:54:08+02;2026-03-24 09:54:08+02;;;;;;;;;27796929637;;;;;;;;prepaid life;;;;;</t>
  </si>
  <si>
    <t>ID_2650</t>
  </si>
  <si>
    <t>13863957;4cfcc0a0-3e2f-49bb-9062-2c35f6761393;;111111118;Vodacom Life 20260324;;;;;AA;5;2026-05-25 1</t>
  </si>
  <si>
    <t>13863957;4cfcc0a0-3e2f-49bb-9062-2c35f6761393;;111111118;Vodacom Life 20260324;;;;;AA;5;2026-05-25 11:54:45+02;system;2026-03-24 09:54:08+02;2026-03-24 09:54:08+02;;;;;;;;;27607867750;;;;;;;;prepaid life;;;;;</t>
  </si>
  <si>
    <t>ID_2651</t>
  </si>
  <si>
    <t>13863886;c900ceac-b1a7-45a5-9bf6-b1261d73822c;;111111118;Vodacom Life 20260324;;;;;AA;5;2026-05-25 1</t>
  </si>
  <si>
    <t>13863886;c900ceac-b1a7-45a5-9bf6-b1261d73822c;;111111118;Vodacom Life 20260324;;;;;AA;5;2026-05-25 11:01:08+02;system;2026-03-24 09:54:08+02;2026-03-24 09:54:08+02;;;;;;;;;27797128702;;;;;;;;prepaid life;;;;;</t>
  </si>
  <si>
    <t>ID_2652</t>
  </si>
  <si>
    <t xml:space="preserve">13863802;e129e0cc-6e78-4026-89d6-5a46ab8b4d7b;;111111118;Vodacom Life 20260324;;;;;ADC;5;2026-05-23 </t>
  </si>
  <si>
    <t>13863802;e129e0cc-6e78-4026-89d6-5a46ab8b4d7b;;111111118;Vodacom Life 20260324;;;;;ADC;5;2026-05-23 10:03:58+02;system;2026-03-24 09:54:08+02;2026-03-24 09:54:08+02;;;;;;;;;27728682033;;;;;;;;prepaid life;;;;;</t>
  </si>
  <si>
    <t>ID_2653</t>
  </si>
  <si>
    <t>13863958;2eac4a7d-4631-4704-8ae4-f53b9bc814d5;;111111118;Vodacom Life 20260324;;;;;AA;5;2026-05-23 1</t>
  </si>
  <si>
    <t>13863958;2eac4a7d-4631-4704-8ae4-f53b9bc814d5;;111111118;Vodacom Life 20260324;;;;;AA;5;2026-05-23 10:50:20+02;system;2026-03-24 09:54:08+02;2026-03-24 09:54:08+02;;;;;;;;;27608427640;;;;;;;;prepaid life;;;;;</t>
  </si>
  <si>
    <t>ID_2654</t>
  </si>
  <si>
    <t xml:space="preserve">13863803;56b19d02-5cdf-4879-b2cc-ffc1805269d3;;111111118;Vodacom Life 20260324;;;;;ADC;5;2026-05-23 </t>
  </si>
  <si>
    <t>13863803;56b19d02-5cdf-4879-b2cc-ffc1805269d3;;111111118;Vodacom Life 20260324;;;;;ADC;5;2026-05-23 10:40:40+02;system;2026-03-24 09:54:08+02;2026-03-24 09:54:08+02;;;;;;;;;27728946687;;;;;;;;prepaid life;;;;;</t>
  </si>
  <si>
    <t>ID_2655</t>
  </si>
  <si>
    <t>13863887;3bb0f3c2-628d-4313-9039-5d00ec487a17;;111111118;Vodacom Life 20260324;;;;;NA;5;2026-05-25 1</t>
  </si>
  <si>
    <t>13863887;3bb0f3c2-628d-4313-9039-5d00ec487a17;;111111118;Vodacom Life 20260324;;;;;NA;5;2026-05-25 11:01:11+02;system;2026-03-24 09:54:08+02;2026-03-24 09:54:08+02;;;;;;;;;27797386136;;;;;;;;prepaid life;;;;;</t>
  </si>
  <si>
    <t>ID_2656</t>
  </si>
  <si>
    <t>13863959;775d9e71-689a-4346-9a65-7b3c4ee8ed01;;111111118;Vodacom Life 20260324;;;;;AE;5;2026-05-25 1</t>
  </si>
  <si>
    <t>13863959;775d9e71-689a-4346-9a65-7b3c4ee8ed01;;111111118;Vodacom Life 20260324;;;;;AE;5;2026-05-25 11:20:10+02;system;2026-03-24 09:54:08+02;2026-03-24 09:54:08+02;;;;;;;;;27608628301;;;;;;;;prepaid life;;;;;</t>
  </si>
  <si>
    <t>ID_2657</t>
  </si>
  <si>
    <t>13863888;c184b7d2-ce78-49fe-abd0-665d0ee10554;;111111118;Vodacom Life 20260324;;;;;CBACK;3;2026-04-1</t>
  </si>
  <si>
    <t>13863888;c184b7d2-ce78-49fe-abd0-665d0ee10554;;111111118;Vodacom Life 20260324;;;;;CBACK;3;2026-04-15 10:30:57+02;Maureen Ntsoko;2026-03-24 09:54:08+02;2026-03-24 09:54:08+02;;;;;;;;;27797449430;;;;;;;;prepaid life;;;;;</t>
  </si>
  <si>
    <t>ID_2658</t>
  </si>
  <si>
    <t>13863804;13b50f69-21f5-4c35-a58e-6f0bb5662354;;111111118;Vodacom Life 20260324;;;;;A;5;2026-05-25 10</t>
  </si>
  <si>
    <t>13863804;13b50f69-21f5-4c35-a58e-6f0bb5662354;;111111118;Vodacom Life 20260324;;;;;A;5;2026-05-25 10:57:11+02;Maureen Ntsoko;2026-03-24 09:54:08+02;2026-03-24 09:54:08+02;;;;;;;;;27729211583;;;;;;;;prepaid life;;;;;</t>
  </si>
  <si>
    <t>ID_2659</t>
  </si>
  <si>
    <t>13863960;381b672d-42ee-4981-a011-bb0a35ef89fd;;111111118;Vodacom Life 20260324;;;;;U;3;2026-04-15 10</t>
  </si>
  <si>
    <t>13863960;381b672d-42ee-4981-a011-bb0a35ef89fd;;111111118;Vodacom Life 20260324;;;;;U;3;2026-04-15 10:36:19+02;Thandile Nokubeni;2026-03-24 09:54:08+02;2026-03-24 09:54:08+02;;;;;;;;;27608656539;;;;;;;;prepaid life;;;;;</t>
  </si>
  <si>
    <t>ID_2660</t>
  </si>
  <si>
    <t>13863805;b8a0fbd5-2b46-48a5-85c0-9903204fc309;;111111118;Vodacom Life 20260324;;;;;AA;5;2026-05-25 1</t>
  </si>
  <si>
    <t>13863805;b8a0fbd5-2b46-48a5-85c0-9903204fc309;;111111118;Vodacom Life 20260324;;;;;AA;5;2026-05-25 10:57:11+02;system;2026-03-24 09:54:08+02;2026-03-24 09:54:08+02;;;;;;;;;27729250677;;;;;;;;prepaid life;;;;;</t>
  </si>
  <si>
    <t>ID_2661</t>
  </si>
  <si>
    <t>13863889;f9153c37-5e19-408d-956f-1bd90df13ee4;;111111118;Vodacom Life 20260324;;;27797586065;;AFTHRS</t>
  </si>
  <si>
    <t>13863889;f9153c37-5e19-408d-956f-1bd90df13ee4;;111111118;Vodacom Life 20260324;;;27797586065;;AFTHRS;4;2026-05-24 09:48:53+02;system;2026-03-24 09:54:08+02;2026-03-24 09:54:08+02;;;;;;;;;27797586065;;;;;;;;prepaid life;;;;;</t>
  </si>
  <si>
    <t>ID_2662</t>
  </si>
  <si>
    <t>13863961;be379b09-63ef-4d31-ba12-832f32163fcd;;111111118;Vodacom Life 20260324;;;;;NI;4;2026-05-19 1</t>
  </si>
  <si>
    <t>13863961;be379b09-63ef-4d31-ba12-832f32163fcd;;111111118;Vodacom Life 20260324;;;;;NI;4;2026-05-19 10:45:35+02;Maureen Ntsoko;2026-03-24 09:54:08+02;2026-03-24 09:54:08+02;;;;;;;;;27609078835;;;;;;;;prepaid life;;;;;</t>
  </si>
  <si>
    <t>ID_2663</t>
  </si>
  <si>
    <t>13863806;c6b74c7a-48e6-4468-b52d-d072beb310c5;;111111118;Vodacom Life 20260324;;;;;AE;5;2026-05-23 1</t>
  </si>
  <si>
    <t>13863806;c6b74c7a-48e6-4468-b52d-d072beb310c5;;111111118;Vodacom Life 20260324;;;;;AE;5;2026-05-23 10:05:07+02;system;2026-03-24 09:54:08+02;2026-03-24 09:54:08+02;;;;;;;;;27729367712;;;;;;;;prepaid life;;;;;</t>
  </si>
  <si>
    <t>ID_2664</t>
  </si>
  <si>
    <t>13863962;2ae0701f-d57b-40c1-aa1e-a9681c812b7e;;111111118;Vodacom Life 20260324;;;;;CU;5;2026-05-23 1</t>
  </si>
  <si>
    <t>13863962;2ae0701f-d57b-40c1-aa1e-a9681c812b7e;;111111118;Vodacom Life 20260324;;;;;CU;5;2026-05-23 10:50:20+02;Maureen Ntsoko;2026-03-24 09:54:08+02;2026-03-24 09:54:08+02;;;;;;;;;27609234680;;;;;;;;prepaid life;;;;;</t>
  </si>
  <si>
    <t>ID_2665</t>
  </si>
  <si>
    <t>13863807;5f85428c-28d0-4e04-ab35-6a4108e7b6cd;;111111118;Vodacom Life 20260324;;;27729452270;;CU;6;2</t>
  </si>
  <si>
    <t>13863807;5f85428c-28d0-4e04-ab35-6a4108e7b6cd;;111111118;Vodacom Life 20260324;;;27729452270;;CU;6;2026-05-19 17:01:10+02;bongiwe lushaba;2026-03-24 09:54:08+02;2026-03-24 09:54:08+02;;;;;;;;;27729452270;;;;;;;;prepaid life;;;;;</t>
  </si>
  <si>
    <t>ID_2666</t>
  </si>
  <si>
    <t>13863890;10afe705-809f-4ce1-b15f-b802135013d3;;111111118;Vodacom Life 20260324;;;;;NI;5;2026-04-15 1</t>
  </si>
  <si>
    <t>13863890;10afe705-809f-4ce1-b15f-b802135013d3;;111111118;Vodacom Life 20260324;;;;;NI;5;2026-04-15 11:05:28+02;system;2026-03-24 09:54:08+02;2026-03-24 09:54:08+02;;;;;;;;;27797815308;;;;;;;;prepaid life;;;;;</t>
  </si>
  <si>
    <t>ID_2667</t>
  </si>
  <si>
    <t>13863963;f5cd5412-4977-4db9-b18b-63910e8eb901;;111111118;Vodacom Life 20260324;;;;;A;5;2026-04-08 10</t>
  </si>
  <si>
    <t>13863963;f5cd5412-4977-4db9-b18b-63910e8eb901;;111111118;Vodacom Life 20260324;;;;;A;5;2026-04-08 10:40:24+02;Thandile Nokubeni;2026-03-24 09:54:08+02;2026-03-24 09:54:08+02;;;;;;;;;27609278773;;;;;;;;prepaid life;;;;;</t>
  </si>
  <si>
    <t>ID_2668</t>
  </si>
  <si>
    <t>13863891;0c196d3c-b960-449e-9b9d-223a410d2f70;;111111118;Vodacom Life 20260324;;;;;DROP;5;2026-05-25</t>
  </si>
  <si>
    <t>13863891;0c196d3c-b960-449e-9b9d-223a410d2f70;;111111118;Vodacom Life 20260324;;;;;DROP;5;2026-05-25 11:51:11+02;system;2026-03-24 09:54:08+02;2026-03-24 09:54:08+02;;;;;;;;;27797902611;;;;;;;;prepaid life;;;;;</t>
  </si>
  <si>
    <t>ID_2669</t>
  </si>
  <si>
    <t>13863808;10f086d4-2282-4121-b352-a37dbce75aad;;111111118;Vodacom Life 20260324;;;;;NI;1;2026-04-02 1</t>
  </si>
  <si>
    <t>13863808;10f086d4-2282-4121-b352-a37dbce75aad;;111111118;Vodacom Life 20260324;;;;;NI;1;2026-04-02 10:57:11+02;Maureen Ntsoko;2026-03-24 09:54:08+02;2026-03-24 09:54:08+02;;;;;;;;;27729517874;;;;;;;;prepaid life;;;;;</t>
  </si>
  <si>
    <t>ID_2670</t>
  </si>
  <si>
    <t>13863964;f4441db0-7f24-4dc7-9efb-c3e3d31e1c13;;111111118;Vodacom Life 20260324;;;;;DROP;5;2026-05-23</t>
  </si>
  <si>
    <t>13863964;f4441db0-7f24-4dc7-9efb-c3e3d31e1c13;;111111118;Vodacom Life 20260324;;;;;DROP;5;2026-05-23 10:50:20+02;system;2026-03-24 09:54:08+02;2026-03-24 09:54:08+02;;;;;;;;;27609476350;;;;;;;;prepaid life;;;;;</t>
  </si>
  <si>
    <t>ID_2671</t>
  </si>
  <si>
    <t>13863809;6ab7d1c5-99a3-447a-b8eb-997b7310e871;;111111118;Vodacom Life 20260324;;;;;CBACK;2;2026-04-0</t>
  </si>
  <si>
    <t>13863809;6ab7d1c5-99a3-447a-b8eb-997b7310e871;;111111118;Vodacom Life 20260324;;;;;CBACK;2;2026-04-09 11:53:08+02;Esther Ramalete;2026-03-24 09:54:08+02;2026-03-24 09:54:08+02;;;;;;;;;27729576013;;;;;;;;prepaid life;;;;;</t>
  </si>
  <si>
    <t>ID_2672</t>
  </si>
  <si>
    <t>13863892;905e85b6-7f36-44d5-b77b-736c2e34ef38;;111111118;Vodacom Life 20260324;;;;;NA;5;2026-05-25 1</t>
  </si>
  <si>
    <t>13863892;905e85b6-7f36-44d5-b77b-736c2e34ef38;;111111118;Vodacom Life 20260324;;;;;NA;5;2026-05-25 11:32:27+02;system;2026-03-24 09:54:08+02;2026-03-24 09:54:08+02;;;;;;;;;27797908280;;;;;;;;prepaid life;;;;;</t>
  </si>
  <si>
    <t>ID_2673</t>
  </si>
  <si>
    <t>13863893;fad5c084-8bf5-461d-b939-be48add2c993;;111111118;Vodacom Life 20260324;;;;;NA;5;2026-05-23 1</t>
  </si>
  <si>
    <t>13863893;fad5c084-8bf5-461d-b939-be48add2c993;;111111118;Vodacom Life 20260324;;;;;NA;5;2026-05-23 10:42:36+02;system;2026-03-24 09:54:08+02;2026-03-24 09:54:08+02;;;;;;;;;27797939684;;;;;;;;prepaid life;;;;;</t>
  </si>
  <si>
    <t>ID_2674</t>
  </si>
  <si>
    <t>13863966;09a0b051-a853-4815-9546-b7b726e98bf7;;111111118;Vodacom Life 20260324;;;;;NI;3;2026-04-14 1</t>
  </si>
  <si>
    <t>13863966;09a0b051-a853-4815-9546-b7b726e98bf7;;111111118;Vodacom Life 20260324;;;;;NI;3;2026-04-14 16:41:34+02;Musiiwa Mary Mabirimisa;2026-03-24 09:54:08+02;2026-03-24 09:54:08+02;;;;;;;;;27609552355;;;;;;;;prepaid life;;;;;</t>
  </si>
  <si>
    <t>ID_2675</t>
  </si>
  <si>
    <t>13863894;987547e6-2980-42e7-bb73-178867341bd5;;111111118;Vodacom Life 20260324;;;;;CU;5;2026-05-25 1</t>
  </si>
  <si>
    <t>13863894;987547e6-2980-42e7-bb73-178867341bd5;;111111118;Vodacom Life 20260324;;;;;CU;5;2026-05-25 11:32:28+02;bongiwe lushaba;2026-03-24 09:54:08+02;2026-03-24 09:54:08+02;;;;;;;;;27798086358;;;;;;;;prepaid life;;;;;</t>
  </si>
  <si>
    <t>ID_2676</t>
  </si>
  <si>
    <t>13863895;783e72b5-645f-493e-8293-c1354d0a7a2f;;111111118;Vodacom Life 20260324;;;;;AA;5;2026-05-23 1</t>
  </si>
  <si>
    <t>13863895;783e72b5-645f-493e-8293-c1354d0a7a2f;;111111118;Vodacom Life 20260324;;;;;AA;5;2026-05-23 10:42:36+02;system;2026-03-24 09:54:08+02;2026-03-24 09:54:08+02;;;;;;;;;27798624390;;;;;;;;prepaid life;;;;;</t>
  </si>
  <si>
    <t>ID_2677</t>
  </si>
  <si>
    <t>13863811;c377df57-bb1d-44e7-ba33-53b34738a628;;111111118;Vodacom Life 20260324;;;27729827821;;WN;4;2</t>
  </si>
  <si>
    <t>13863811;c377df57-bb1d-44e7-ba33-53b34738a628;;111111118;Vodacom Life 20260324;;;27729827821;;WN;4;2026-05-07 15:48:40+02;Esther Ramalete;2026-03-24 09:54:08+02;2026-03-24 09:54:08+02;;;;;;;;;27729827821;;;;;;;;prepaid life;;;;;</t>
  </si>
  <si>
    <t>ID_2678</t>
  </si>
  <si>
    <t>13863896;f3379f37-cf07-41e1-9b2a-495ffa46d2e7;;111111118;Vodacom Life 20260324;;;;;AA;5;2026-05-23 1</t>
  </si>
  <si>
    <t>13863896;f3379f37-cf07-41e1-9b2a-495ffa46d2e7;;111111118;Vodacom Life 20260324;;;;;AA;5;2026-05-23 10:42:36+02;system;2026-03-24 09:54:08+02;2026-03-24 09:54:08+02;;;;;;;;;27798783749;;;;;;;;prepaid life;;;;;</t>
  </si>
  <si>
    <t>ID_2679</t>
  </si>
  <si>
    <t>13863968;64c6d8c4-3b24-4384-b685-aca55599e9c6;;111111118;Vodacom Life 20260324;;;27636484791;;IABDN;</t>
  </si>
  <si>
    <t>13863968;64c6d8c4-3b24-4384-b685-aca55599e9c6;;111111118;Vodacom Life 20260324;;;27636484791;;IABDN;5;2026-05-23 13:51:54+02;system;2026-03-24 09:54:08+02;2026-03-24 09:54:08+02;;;;;;;;;27636484791;;;;;;;;prepaid life;;;;;</t>
  </si>
  <si>
    <t>ID_2680</t>
  </si>
  <si>
    <t xml:space="preserve">13863897;f66f7172-0b28-48b3-8df8-6974fcab5453;;111111118;Vodacom Life 20260324;;;;;ADC;5;2026-05-23 </t>
  </si>
  <si>
    <t>13863897;f66f7172-0b28-48b3-8df8-6974fcab5453;;111111118;Vodacom Life 20260324;;;;;ADC;5;2026-05-23 10:42:36+02;system;2026-03-24 09:54:08+02;2026-03-24 09:54:08+02;;;;;;;;;27798933219;;;;;;;;prepaid life;;;;;</t>
  </si>
  <si>
    <t>ID_2681</t>
  </si>
  <si>
    <t>13863812;d975a9f8-7c53-4cc9-8b2f-0ffd31c6ae2c;;111111118;Vodacom Life 20260324;;;;;CU;5;2026-05-23 1</t>
  </si>
  <si>
    <t>13863812;d975a9f8-7c53-4cc9-8b2f-0ffd31c6ae2c;;111111118;Vodacom Life 20260324;;;;;CU;5;2026-05-23 10:05:07+02;bongiwe lushaba;2026-03-24 09:54:08+02;2026-03-24 09:54:08+02;;;;;;;;;27734002144;;;;;;;;prepaid life;;;;;</t>
  </si>
  <si>
    <t>ID_2682</t>
  </si>
  <si>
    <t>13863813;2b9f0f3a-506f-4e1f-8668-9a6c203d2ad1;;111111118;Vodacom Life 20260324;;;;;DROP;5;2026-05-23</t>
  </si>
  <si>
    <t>13863813;2b9f0f3a-506f-4e1f-8668-9a6c203d2ad1;;111111118;Vodacom Life 20260324;;;;;DROP;5;2026-05-23 10:05:23+02;system;2026-03-24 09:54:08+02;2026-03-24 09:54:08+02;;;;;;;;;27744869194;;;;;;;;prepaid life;;;;;</t>
  </si>
  <si>
    <t>ID_2683</t>
  </si>
  <si>
    <t xml:space="preserve">13863969;4f078039-15b2-4df1-ac43-cfd6c6f2675a;;111111118;Vodacom Life 20260324;;;;;ADC;5;2026-05-23 </t>
  </si>
  <si>
    <t>13863969;4f078039-15b2-4df1-ac43-cfd6c6f2675a;;111111118;Vodacom Life 20260324;;;;;ADC;5;2026-05-23 12:53:18+02;system;2026-03-24 09:54:08+02;2026-03-24 09:54:08+02;;;;;;;;;27636856556;;;;;;;;prepaid life;;;;;</t>
  </si>
  <si>
    <t>ID_2684</t>
  </si>
  <si>
    <t>13863814;a78918ce-8b1d-44e7-99d5-9cb84fbfe852;;111111118;Vodacom Life 20260324;;;;;CB;7;2026-04-20 1</t>
  </si>
  <si>
    <t>13863814;a78918ce-8b1d-44e7-99d5-9cb84fbfe852;;111111118;Vodacom Life 20260324;;;;;CB;7;2026-04-20 11:22:08+02;Musiiwa Mary Mabirimisa;2026-03-24 09:54:08+02;2026-03-24 09:54:08+02;;;;;;;;;27760331849;;;;;;;;prepaid life;;;;;</t>
  </si>
  <si>
    <t>ID_2685</t>
  </si>
  <si>
    <t>13863898;3864f343-149c-45e3-8ae3-3f8d75d23f78;;111111118;Vodacom Life 20260324;;;;;AA;5;2026-05-23 1</t>
  </si>
  <si>
    <t>13863898;3864f343-149c-45e3-8ae3-3f8d75d23f78;;111111118;Vodacom Life 20260324;;;;;AA;5;2026-05-23 10:43:11+02;system;2026-03-24 09:54:08+02;2026-03-24 09:54:08+02;;;;;;;;;27799163908;;;;;;;;prepaid life;;;;;</t>
  </si>
  <si>
    <t>ID_2686</t>
  </si>
  <si>
    <t>13863970;c699fb75-4300-4e5d-bee2-105a0d973143;;111111118;Vodacom Life 20260324;;;;;AA;5;2026-05-25 1</t>
  </si>
  <si>
    <t>13863970;c699fb75-4300-4e5d-bee2-105a0d973143;;111111118;Vodacom Life 20260324;;;;;AA;5;2026-05-25 12:56:07+02;system;2026-03-24 09:54:08+02;2026-03-24 09:54:08+02;;;;;;;;;27637198155;;;;;;;;prepaid life;;;;;</t>
  </si>
  <si>
    <t>ID_2687</t>
  </si>
  <si>
    <t>13863899;7285f3b7-f9b8-4353-a8d8-507330b5c1d9;;111111118;Vodacom Life 20260324;;;;;AA;5;2026-05-23 1</t>
  </si>
  <si>
    <t>13863899;7285f3b7-f9b8-4353-a8d8-507330b5c1d9;;111111118;Vodacom Life 20260324;;;;;AA;5;2026-05-23 12:53:08+02;system;2026-03-24 09:54:08+02;2026-03-24 09:54:08+02;;;;;;;;;27799484483;;;;;;;;prepaid life;;;;;</t>
  </si>
  <si>
    <t>ID_2688</t>
  </si>
  <si>
    <t>13863815;b47091ed-c2a7-4030-a33e-221fe8711124;;111111118;Vodacom Life 20260324;;;;;AA;5;2026-05-23 1</t>
  </si>
  <si>
    <t>13863815;b47091ed-c2a7-4030-a33e-221fe8711124;;111111118;Vodacom Life 20260324;;;;;AA;5;2026-05-23 12:53:29+02;system;2026-03-24 09:54:08+02;2026-03-24 09:54:08+02;;;;;;;;;27761137520;;;;;;;;prepaid life;;;;;</t>
  </si>
  <si>
    <t>ID_2689</t>
  </si>
  <si>
    <t>13863971;aea2e205-7623-464d-bfda-29abec130054;;111111118;Vodacom Life 20260324;;;;;AC;2;2026-04-09 1</t>
  </si>
  <si>
    <t>13863971;aea2e205-7623-464d-bfda-29abec130054;;111111118;Vodacom Life 20260324;;;;;AC;2;2026-04-09 13:25:51+02;Esther Ramalete;2026-03-24 09:54:08+02;2026-03-24 09:54:08+02;;;;;;;;;27637643443;;;;;;;;prepaid life;;;;;</t>
  </si>
  <si>
    <t>ID_2690</t>
  </si>
  <si>
    <t>13863816;9151f873-d7cc-410d-b90a-2773ec2c9531;;111111118;Vodacom Life 20260324;;;;;AA;5;2026-05-25 1</t>
  </si>
  <si>
    <t>13863816;9151f873-d7cc-410d-b90a-2773ec2c9531;;111111118;Vodacom Life 20260324;;;;;AA;5;2026-05-25 14:20:40+02;system;2026-03-24 09:54:08+02;2026-03-24 09:54:08+02;;;;;;;;;27761159366;;;;;;;;prepaid life;;;;;</t>
  </si>
  <si>
    <t>ID_2691</t>
  </si>
  <si>
    <t>13863900;dd398b94-71b7-4ba8-99be-27eac8d62eae;;111111118;Vodacom Life 20260324;;;;;NA;5;2026-05-25 0</t>
  </si>
  <si>
    <t>13863900;dd398b94-71b7-4ba8-99be-27eac8d62eae;;111111118;Vodacom Life 20260324;;;;;NA;5;2026-05-25 09:47:38+02;system;2026-03-24 09:54:08+02;2026-03-24 09:54:08+02;;;;;;;;;27799664876;;;;;;;;prepaid life;;;;;</t>
  </si>
  <si>
    <t>ID_2692</t>
  </si>
  <si>
    <t>13863972;d76b4399-dbdf-489c-9d16-858b60bfabe5;;111111118;Vodacom Life 20260324;;;;;DNCLIFE;7;2026-04</t>
  </si>
  <si>
    <t>13863972;d76b4399-dbdf-489c-9d16-858b60bfabe5;;111111118;Vodacom Life 20260324;;;;;DNCLIFE;7;2026-04-10 08:05:06+02;Thandile Nokubeni;2026-03-24 09:54:08+02;2026-03-24 09:54:08+02;;;;;;;;;27637676497;;;;;;;;prepaid life;;;;;</t>
  </si>
  <si>
    <t>ID_2693</t>
  </si>
  <si>
    <t>13863901;2d3a7cc2-2276-43f6-ab01-9d6508019d32;;111111118;Vodacom Life 20260324;;;;;AE;5;2026-05-23 1</t>
  </si>
  <si>
    <t>13863901;2d3a7cc2-2276-43f6-ab01-9d6508019d32;;111111118;Vodacom Life 20260324;;;;;AE;5;2026-05-23 10:42:53+02;system;2026-03-24 09:54:08+02;2026-03-24 09:54:08+02;;;;;;;;;27799869673;;;;;;;;prepaid life;;;;;</t>
  </si>
  <si>
    <t>ID_2694</t>
  </si>
  <si>
    <t>13863817;ce94e7e5-6f54-41d4-850a-6195c489d2f1;;111111118;Vodacom Life 20260324;;;27761498923;;AA;5;2</t>
  </si>
  <si>
    <t>13863817;ce94e7e5-6f54-41d4-850a-6195c489d2f1;;111111118;Vodacom Life 20260324;;;27761498923;;AA;5;2026-05-23 10:31:20+02;system;2026-03-24 09:54:08+02;2026-03-24 09:54:08+02;;;;;;;;;27761498923;;;;;;;;prepaid life;;;;;</t>
  </si>
  <si>
    <t>ID_2695</t>
  </si>
  <si>
    <t>13863973;c27642df-50d3-4bf4-9aa2-bb1d6f9ca778;;111111118;Vodacom Life 20260324;;;;;AA;5;2026-05-25 1</t>
  </si>
  <si>
    <t>13863973;c27642df-50d3-4bf4-9aa2-bb1d6f9ca778;;111111118;Vodacom Life 20260324;;;;;AA;5;2026-05-25 11:04:30+02;system;2026-03-24 09:54:08+02;2026-03-24 09:54:08+02;;;;;;;;;27646175953;;;;;;;;prepaid life;;;;;</t>
  </si>
  <si>
    <t>ID_2696</t>
  </si>
  <si>
    <t>13863818;9efa180e-e087-4d73-ae90-f74fc909ac33;;111111118;Vodacom Life 20260324;;;27761514849;;IABDN;</t>
  </si>
  <si>
    <t>13863818;9efa180e-e087-4d73-ae90-f74fc909ac33;;111111118;Vodacom Life 20260324;;;27761514849;;IABDN;5;2026-05-23 10:31:53+02;system;2026-03-24 09:54:08+02;2026-03-24 09:54:08+02;;;;;;;;;27761514849;;;;;;;;prepaid life;;;;;</t>
  </si>
  <si>
    <t>ID_2697</t>
  </si>
  <si>
    <t>13863902;fc03ec3e-3794-4242-a210-2e8c8083e9b7;;111111118;Vodacom Life 20260324;;;;;AA;5;2026-05-25 0</t>
  </si>
  <si>
    <t>13863902;fc03ec3e-3794-4242-a210-2e8c8083e9b7;;111111118;Vodacom Life 20260324;;;;;AA;5;2026-05-25 09:47:38+02;system;2026-03-24 09:54:08+02;2026-03-24 09:54:08+02;;;;;;;;;27799939631;;;;;;;;prepaid life;;;;;</t>
  </si>
  <si>
    <t>ID_2698</t>
  </si>
  <si>
    <t>13863974;266b65b4-c76e-4d35-b7e8-5259f005471a;;111111118;Vodacom Life 20260324;;;27646257913;;CBACK;</t>
  </si>
  <si>
    <t>13863974;266b65b4-c76e-4d35-b7e8-5259f005471a;;111111118;Vodacom Life 20260324;;;27646257913;;CBACK;5;2026-05-25 17:06:09+02;Maureen Ntsoko;2026-03-24 09:54:08+02;2026-03-24 09:54:08+02;;;;;;;;;27646257913;;;;;;;;prepaid life;;;;;</t>
  </si>
  <si>
    <t>ID_2699</t>
  </si>
  <si>
    <t>13863903;180e83e8-3aa1-436a-9885-bb48d4230736;;111111118;Vodacom Life 20260324;;;;;CU;5;2026-05-23 1</t>
  </si>
  <si>
    <t>13863903;180e83e8-3aa1-436a-9885-bb48d4230736;;111111118;Vodacom Life 20260324;;;;;CU;5;2026-05-23 10:43:05+02;bongiwe lushaba;2026-03-24 09:54:08+02;2026-03-24 09:54:08+02;;;;;;;;;27815544789;;;;;;;;prepaid life;;;;;</t>
  </si>
  <si>
    <t>ID_2700</t>
  </si>
  <si>
    <t>13863819;d3302123-dd24-41b1-b5f6-d65b42e31362;;111111118;Vodacom Life 20260324;;;;;DROP;5;2026-05-23</t>
  </si>
  <si>
    <t>13863819;d3302123-dd24-41b1-b5f6-d65b42e31362;;111111118;Vodacom Life 20260324;;;;;DROP;5;2026-05-23 10:08:09+02;system;2026-03-24 09:54:08+02;2026-03-24 09:54:08+02;;;;;;;;;27761647773;;;;;;;;prepaid life;;;;;</t>
  </si>
  <si>
    <t>ID_2701</t>
  </si>
  <si>
    <t>13863820;d668d914-1db5-4c48-bf97-52205aab7143;;111111118;Vodacom Life 20260324;;;;;NI;1;2026-03-26 1</t>
  </si>
  <si>
    <t>13863820;d668d914-1db5-4c48-bf97-52205aab7143;;111111118;Vodacom Life 20260324;;;;;NI;1;2026-03-26 11:37:04+02;Mahlatse Manamela;2026-03-24 09:54:08+02;2026-03-24 09:54:08+02;;;;;;;;;27762409898;;;;;;;;prepaid life;;;;;</t>
  </si>
  <si>
    <t>ID_2702</t>
  </si>
  <si>
    <t>13863975;ecd67ae5-9b7f-4846-a1e0-7549efa48eed;;111111118;Vodacom Life 20260324;;;;;DNQS;1;2026-03-26</t>
  </si>
  <si>
    <t>13863975;ecd67ae5-9b7f-4846-a1e0-7549efa48eed;;111111118;Vodacom Life 20260324;;;;;DNQS;1;2026-03-26 11:33:53+02;Mahlatse Manamela;2026-03-24 09:54:08+02;2026-03-24 09:54:08+02;;;;;;;;;27646270181;;;;;;;;prepaid life;;;;;</t>
  </si>
  <si>
    <t>ID_2703</t>
  </si>
  <si>
    <t>13863821;44c0dde5-7b44-4214-9952-ec5e387f3961;;111111118;Vodacom Life 20260324;;;;;NA;5;2026-05-23 1</t>
  </si>
  <si>
    <t>13863821;44c0dde5-7b44-4214-9952-ec5e387f3961;;111111118;Vodacom Life 20260324;;;;;NA;5;2026-05-23 10:31:20+02;system;2026-03-24 09:54:08+02;2026-03-24 09:54:08+02;;;;;;;;;27762451020;;;;;;;;prepaid life;;;;;</t>
  </si>
  <si>
    <t>ID_2704</t>
  </si>
  <si>
    <t>13863904;4139c61c-dc1c-4d33-9a0c-d0668641af11;;111111118;Vodacom Life 20260324;;;;;DNCLIFE;2;2026-04</t>
  </si>
  <si>
    <t>13863904;4139c61c-dc1c-4d33-9a0c-d0668641af11;;111111118;Vodacom Life 20260324;;;;;DNCLIFE;2;2026-04-09 11:43:29+02;Esther Ramalete;2026-03-24 09:54:08+02;2026-03-24 09:54:08+02;;;;;;;;;27818196114;;;;;;;;prepaid life;;;;;</t>
  </si>
  <si>
    <t>ID_2705</t>
  </si>
  <si>
    <t>13863976;3b0bcd01-dfc2-4a94-b701-5ab0c630f6d9;;111111118;Vodacom Life 20260324;;;;;AF;1;2026-03-26 1</t>
  </si>
  <si>
    <t>13863976;3b0bcd01-dfc2-4a94-b701-5ab0c630f6d9;;111111118;Vodacom Life 20260324;;;;;AF;1;2026-03-26 11:29:01+02;Seboifeng Mogola;2026-03-24 09:54:08+02;2026-03-24 09:54:08+02;;;;;;;;;27646856891;;;;;;;;prepaid life;;;;;</t>
  </si>
  <si>
    <t>ID_2706</t>
  </si>
  <si>
    <t>13863905;adfb2f44-1f8f-4328-8277-5bba637a55de;;111111118;Vodacom Life 20260324;;;;;AE;5;2026-05-23 1</t>
  </si>
  <si>
    <t>13863905;adfb2f44-1f8f-4328-8277-5bba637a55de;;111111118;Vodacom Life 20260324;;;;;AE;5;2026-05-23 10:43:07+02;system;2026-03-24 09:54:08+02;2026-03-24 09:54:08+02;;;;;;;;;27820454760;;;;;;;;prepaid life;;;;;</t>
  </si>
  <si>
    <t>ID_2707</t>
  </si>
  <si>
    <t>13863822;907a68e9-e199-4fe7-a227-a3fd5e36e347;;111111118;Vodacom Life 20260324;;;;;AA;5;2026-05-23 1</t>
  </si>
  <si>
    <t>13863822;907a68e9-e199-4fe7-a227-a3fd5e36e347;;111111118;Vodacom Life 20260324;;;;;AA;5;2026-05-23 10:08:09+02;system;2026-03-24 09:54:08+02;2026-03-24 09:54:08+02;;;;;;;;;27762725634;;;;;;;;prepaid life;;;;;</t>
  </si>
  <si>
    <t>ID_2708</t>
  </si>
  <si>
    <t xml:space="preserve">13863977;9f47ad20-3988-4b7f-8abf-9c91fb93a75d;;111111118;Vodacom Life 20260324;;;;;OAL;4;2026-05-20 </t>
  </si>
  <si>
    <t>13863977;9f47ad20-3988-4b7f-8abf-9c91fb93a75d;;111111118;Vodacom Life 20260324;;;;;OAL;4;2026-05-20 08:22:21+02;Maureen Ntsoko;2026-03-24 09:54:08+02;2026-03-24 09:54:08+02;;;;;;;;;27646926207;;;;;;;;prepaid life;;;;;</t>
  </si>
  <si>
    <t>ID_2709</t>
  </si>
  <si>
    <t>13863823;663acdf6-d7a9-42c6-96e0-ca34872c4147;;111111118;Vodacom Life 20260324;;;;;DROP;5;2026-05-23</t>
  </si>
  <si>
    <t>13863823;663acdf6-d7a9-42c6-96e0-ca34872c4147;;111111118;Vodacom Life 20260324;;;;;DROP;5;2026-05-23 10:08:09+02;system;2026-03-24 09:54:08+02;2026-03-24 09:54:08+02;;;;;;;;;27762784619;;;;;;;;prepaid life;;;;;</t>
  </si>
  <si>
    <t>ID_2710</t>
  </si>
  <si>
    <t>13863906;47e153b6-b77f-4652-a2a5-1f6323a579b3;;111111118;Vodacom Life 20260324;;;;;SELECTED;4;2026-0</t>
  </si>
  <si>
    <t>13863906;47e153b6-b77f-4652-a2a5-1f6323a579b3;;111111118;Vodacom Life 20260324;;;;;SELECTED;4;2026-04-15 10:32:23+02;Thandile Nokubeni;2026-03-24 09:54:08+02;2026-03-24 09:54:08+02;;;;;;;;;27820477945;;;;;;;;prepaid life;;;;;</t>
  </si>
  <si>
    <t>ID_2711</t>
  </si>
  <si>
    <t>13863978;903164fb-3a37-4dbd-928f-ca97ef5bbbe1;;111111118;Vodacom Life 20260324;;;;;DROP;5;2026-05-23</t>
  </si>
  <si>
    <t>13863978;903164fb-3a37-4dbd-928f-ca97ef5bbbe1;;111111118;Vodacom Life 20260324;;;;;DROP;5;2026-05-23 10:51:33+02;system;2026-03-24 09:54:08+02;2026-03-24 09:54:08+02;;;;;;;;;27646965235;;;;;;;;prepaid life;;;;;</t>
  </si>
  <si>
    <t>ID_2712</t>
  </si>
  <si>
    <t xml:space="preserve">13863907;dba78495-9b5c-4c76-acc5-297eaf8eef7e;;111111118;Vodacom Life 20260324;;;;;ADC;5;2026-05-23 </t>
  </si>
  <si>
    <t>13863907;dba78495-9b5c-4c76-acc5-297eaf8eef7e;;111111118;Vodacom Life 20260324;;;;;ADC;5;2026-05-23 10:43:08+02;system;2026-03-24 09:54:08+02;2026-03-24 09:54:08+02;;;;;;;;;27820542096;;;;;;;;prepaid life;;;;;</t>
  </si>
  <si>
    <t>ID_2713</t>
  </si>
  <si>
    <t>13863824;df682e69-4dcc-41c4-94e6-d15334d1274c;;111111118;Vodacom Life 20260324;;;;;AA;5;2026-05-23 1</t>
  </si>
  <si>
    <t>13863824;df682e69-4dcc-41c4-94e6-d15334d1274c;;111111118;Vodacom Life 20260324;;;;;AA;5;2026-05-23 10:08:09+02;system;2026-03-24 09:54:08+02;2026-03-24 09:54:08+02;;;;;;;;;27763186421;;;;;;;;prepaid life;;;;;</t>
  </si>
  <si>
    <t>ID_2714</t>
  </si>
  <si>
    <t>13863979;263c3dac-bfcf-4814-93ef-e3c080addb4e;;111111118;Vodacom Life 20260324;;;;;AA;5;2026-05-25 1</t>
  </si>
  <si>
    <t>13863979;263c3dac-bfcf-4814-93ef-e3c080addb4e;;111111118;Vodacom Life 20260324;;;;;AA;5;2026-05-25 11:04:31+02;system;2026-03-24 09:54:08+02;2026-03-24 09:54:08+02;;;;;;;;;27647525611;;;;;;;;prepaid life;;;;;</t>
  </si>
  <si>
    <t>ID_2715</t>
  </si>
  <si>
    <t>13863825;c1ca44d0-3529-42e8-ba0e-a8aeae423adf;;111111118;Vodacom Life 20260324;;;;;NA;5;2026-05-23 1</t>
  </si>
  <si>
    <t>13863825;c1ca44d0-3529-42e8-ba0e-a8aeae423adf;;111111118;Vodacom Life 20260324;;;;;NA;5;2026-05-23 10:31:21+02;system;2026-03-24 09:54:08+02;2026-03-24 09:54:08+02;;;;;;;;;27763733816;;;;;;;;prepaid life;;;;;</t>
  </si>
  <si>
    <t>ID_2716</t>
  </si>
  <si>
    <t>13863908;2a9fae36-c170-4e83-924e-b4fa948e3ea7;;111111118;Vodacom Life 20260324;;;;;NA;5;2026-05-23 1</t>
  </si>
  <si>
    <t>13863908;2a9fae36-c170-4e83-924e-b4fa948e3ea7;;111111118;Vodacom Life 20260324;;;;;NA;5;2026-05-23 10:43:16+02;system;2026-03-24 09:54:08+02;2026-03-24 09:54:08+02;;;;;;;;;27820770581;;;;;;;;prepaid life;;;;;</t>
  </si>
  <si>
    <t>ID_2717</t>
  </si>
  <si>
    <t>13863909;ff3b86b4-4398-442c-a502-71f71e52f98b;;111111118;Vodacom Life 20260324;;;;;AE;5;2026-05-23 1</t>
  </si>
  <si>
    <t>13863909;ff3b86b4-4398-442c-a502-71f71e52f98b;;111111118;Vodacom Life 20260324;;;;;AE;5;2026-05-23 11:14:26+02;system;2026-03-24 09:54:08+02;2026-03-24 09:54:08+02;;;;;;;;;27820955524;;;;;;;;prepaid life;;;;;</t>
  </si>
  <si>
    <t>ID_2718</t>
  </si>
  <si>
    <t xml:space="preserve">13863980;0f92ee34-e48f-4809-85e4-0ae9080a3b59;;111111118;Vodacom Life 20260324;;;;;TDN;5;2026-05-23 </t>
  </si>
  <si>
    <t>13863980;0f92ee34-e48f-4809-85e4-0ae9080a3b59;;111111118;Vodacom Life 20260324;;;;;TDN;5;2026-05-23 10:51:33+02;system;2026-03-24 09:54:08+02;2026-03-24 09:54:08+02;;;;;;;;;27647877002;;;;;;;;prepaid life;;;;;</t>
  </si>
  <si>
    <t>ID_2719</t>
  </si>
  <si>
    <t>13863910;d0620da1-f84a-4d18-9430-cb0d467e0475;;111111118;Vodacom Life 20260324;;;27822270537;;AA;5;2</t>
  </si>
  <si>
    <t>13863910;d0620da1-f84a-4d18-9430-cb0d467e0475;;111111118;Vodacom Life 20260324;;;27822270537;;AA;5;2026-05-25 09:47:51+02;system;2026-03-24 09:54:08+02;2026-03-24 09:54:08+02;;;;;;;;;27822270537;;;;;;;;prepaid life;;;;;</t>
  </si>
  <si>
    <t>ID_2720</t>
  </si>
  <si>
    <t>13863826;9dbc2f73-5799-4534-94b7-03156db8af42;;111111118;Vodacom Life 20260324;;;;;NA;5;2026-05-23 1</t>
  </si>
  <si>
    <t>13863826;9dbc2f73-5799-4534-94b7-03156db8af42;;111111118;Vodacom Life 20260324;;;;;NA;5;2026-05-23 10:33:46+02;system;2026-03-24 09:54:08+02;2026-03-24 09:54:08+02;;;;;;;;;27764046995;;;;;;;;prepaid life;;;;;</t>
  </si>
  <si>
    <t>ID_2721</t>
  </si>
  <si>
    <t>13863981;d4208cdd-2a88-4a5b-9598-fa8ebdf39bd2;;111111118;Vodacom Life 20260324;;;27647916466;;IABDN;</t>
  </si>
  <si>
    <t>13863981;d4208cdd-2a88-4a5b-9598-fa8ebdf39bd2;;111111118;Vodacom Life 20260324;;;27647916466;;IABDN;5;2026-05-23 10:54:32+02;system;2026-03-24 09:54:08+02;2026-03-24 09:54:08+02;;;;;;;;;27647916466;;;;;;;;prepaid life;;;;;</t>
  </si>
  <si>
    <t>ID_2722</t>
  </si>
  <si>
    <t>13863827;399e48dc-4883-4108-873a-35546b29ed59;;111111118;Vodacom Life 20260324;;;;;AA;5;2026-05-23 1</t>
  </si>
  <si>
    <t>13863827;399e48dc-4883-4108-873a-35546b29ed59;;111111118;Vodacom Life 20260324;;;;;AA;5;2026-05-23 10:40:33+02;system;2026-03-24 09:54:08+02;2026-03-24 09:54:08+02;;;;;;;;;27764245082;;;;;;;;prepaid life;;;;;</t>
  </si>
  <si>
    <t>ID_2723</t>
  </si>
  <si>
    <t>13863911;a97a4f43-52f8-4d7e-a20b-e48db83988d5;;111111118;Vodacom Life 20260324;;;;;NI;2;2026-04-09 1</t>
  </si>
  <si>
    <t>13863911;a97a4f43-52f8-4d7e-a20b-e48db83988d5;;111111118;Vodacom Life 20260324;;;;;NI;2;2026-04-09 11:43:23+02;Musiiwa Mary Mabirimisa;2026-03-24 09:54:08+02;2026-03-24 09:54:08+02;;;;;;;;;27822354100;;;;;;;;prepaid life;;;;;</t>
  </si>
  <si>
    <t>ID_2724</t>
  </si>
  <si>
    <t>13863912;0e7a1f89-0b61-4f74-8510-96cf44f7f0a3;;111111118;Vodacom Life 20260324;;;;;NA;5;2026-05-25 0</t>
  </si>
  <si>
    <t>13863912;0e7a1f89-0b61-4f74-8510-96cf44f7f0a3;;111111118;Vodacom Life 20260324;;;;;NA;5;2026-05-25 09:47:52+02;system;2026-03-24 09:54:08+02;2026-03-24 09:54:08+02;;;;;;;;;27822361471;;;;;;;;prepaid life;;;;;</t>
  </si>
  <si>
    <t>ID_2725</t>
  </si>
  <si>
    <t>13863982;c7880a2b-58e3-459d-9fd2-18480ac46232;;111111118;Vodacom Life 20260324;;;;;DROP;5;2026-05-23</t>
  </si>
  <si>
    <t>13863982;c7880a2b-58e3-459d-9fd2-18480ac46232;;111111118;Vodacom Life 20260324;;;;;DROP;5;2026-05-23 10:51:33+02;system;2026-03-24 09:54:08+02;2026-03-24 09:54:08+02;;;;;;;;;27649619767;;;;;;;;prepaid life;;;;;</t>
  </si>
  <si>
    <t>ID_2726</t>
  </si>
  <si>
    <t>13863913;8bc8ca55-8b44-43fa-a6de-24edf59a5914;;111111118;Vodacom Life 20260324;;;27822505474;;IABDN;</t>
  </si>
  <si>
    <t>13863913;8bc8ca55-8b44-43fa-a6de-24edf59a5914;;111111118;Vodacom Life 20260324;;;27822505474;;IABDN;5;2026-05-25 09:48:37+02;system;2026-03-24 09:54:08+02;2026-03-24 09:54:08+02;;;;;;;;;27822505474;;;;;;;;prepaid life;;;;;</t>
  </si>
  <si>
    <t>ID_2727</t>
  </si>
  <si>
    <t>13863828;3412deeb-063a-4e82-bef5-184863ddecb7;;111111118;Vodacom Life 20260324;;;;;AE;5;2026-05-23 1</t>
  </si>
  <si>
    <t>13863828;3412deeb-063a-4e82-bef5-184863ddecb7;;111111118;Vodacom Life 20260324;;;;;AE;5;2026-05-23 12:53:26+02;system;2026-03-24 09:54:08+02;2026-03-24 09:54:08+02;;;;;;;;;27764289763;;;;;;;;prepaid life;;;;;</t>
  </si>
  <si>
    <t>ID_2728</t>
  </si>
  <si>
    <t>13863829;17b7007a-eaff-4eff-b3c2-1b6f87738c30;;111111118;Vodacom Life 20260324;;;;;NA;5;2026-05-25 0</t>
  </si>
  <si>
    <t>13863829;17b7007a-eaff-4eff-b3c2-1b6f87738c30;;111111118;Vodacom Life 20260324;;;;;NA;5;2026-05-25 09:46:24+02;system;2026-03-24 09:54:08+02;2026-03-24 09:54:08+02;;;;;;;;;27764435838;;;;;;;;prepaid life;;;;;</t>
  </si>
  <si>
    <t>ID_2729</t>
  </si>
  <si>
    <t>13863914;e2cb28b8-5881-4153-8aa6-678cc582f026;;111111118;Vodacom Life 20260324;;;;;A;5;2026-04-13 09</t>
  </si>
  <si>
    <t>13863914;e2cb28b8-5881-4153-8aa6-678cc582f026;;111111118;Vodacom Life 20260324;;;;;A;5;2026-04-13 09:33:14+02;Musiiwa Mary Mabirimisa;2026-03-24 09:54:08+02;2026-03-24 09:54:08+02;;;;;;;;;27822690491;;;;;;;;prepaid life;;;;;</t>
  </si>
  <si>
    <t>ID_2730</t>
  </si>
  <si>
    <t>13863984;d1b8c11a-7e60-4285-b99b-e4b0274c41a2;;111111118;Vodacom Life 20260324;;;;;U;4;2026-05-19 10</t>
  </si>
  <si>
    <t>13863984;d1b8c11a-7e60-4285-b99b-e4b0274c41a2;;111111118;Vodacom Life 20260324;;;;;U;4;2026-05-19 10:47:18+02;Khensane Mabasa;2026-03-24 09:54:08+02;2026-03-24 09:54:08+02;;;;;;;;;27649808204;;;;;;;;prepaid life;;;;;</t>
  </si>
  <si>
    <t>ID_2731</t>
  </si>
  <si>
    <t>13863915;ffd58d1d-99df-4af1-be93-5512ca24bf3f;;111111118;Vodacom Life 20260324;;;;;SELECTED;5;2026-0</t>
  </si>
  <si>
    <t>13863915;ffd58d1d-99df-4af1-be93-5512ca24bf3f;;111111118;Vodacom Life 20260324;;;;;SELECTED;5;2026-05-19 08:32:47+02;Khensane Mabasa;2026-03-24 09:54:08+02;2026-03-24 09:54:08+02;;;;;;;;;27822949495;;;;;;;;prepaid life;;;;;</t>
  </si>
  <si>
    <t>ID_2732</t>
  </si>
  <si>
    <t>13863830;7a72d707-d832-46b5-a8ee-584d241b7d3e;;111111118;Vodacom Life 20260324;;;;;U;2;2026-04-09 11</t>
  </si>
  <si>
    <t>13863830;7a72d707-d832-46b5-a8ee-584d241b7d3e;;111111118;Vodacom Life 20260324;;;;;U;2;2026-04-09 11:48:38+02;Seboifeng Mogola;2026-03-24 09:54:08+02;2026-03-24 09:54:08+02;;;;;;;;;27764993019;;;;;;;;prepaid life;;;;;</t>
  </si>
  <si>
    <t>ID_2733</t>
  </si>
  <si>
    <t>13863831;b8c3de57-78e5-445a-adec-e07b0b95414f;;111111118;Vodacom Life 20260324;;;27764995683;;CU;5;2</t>
  </si>
  <si>
    <t>13863831;b8c3de57-78e5-445a-adec-e07b0b95414f;;111111118;Vodacom Life 20260324;;;27764995683;;CU;5;2026-05-23 11:05:06+02;Maureen Ntsoko;2026-03-24 09:54:08+02;2026-03-24 09:54:08+02;;;;;;;;;27764995683;;;;;;;;prepaid life;;;;;</t>
  </si>
  <si>
    <t>ID_2734</t>
  </si>
  <si>
    <t>13863985;fc0b43c7-e670-4cb3-bfc5-7e362b811bf5;;111111118;Vodacom Life 20260324;;;27649834651;;DROP;5</t>
  </si>
  <si>
    <t>13863985;fc0b43c7-e670-4cb3-bfc5-7e362b811bf5;;111111118;Vodacom Life 20260324;;;27649834651;;DROP;5;2026-05-23 11:07:17+02;system;2026-03-24 09:54:08+02;2026-03-24 09:54:08+02;;;;;;;;;27649834651;;;;;;;;prepaid life;;;;;</t>
  </si>
  <si>
    <t>ID_2735</t>
  </si>
  <si>
    <t xml:space="preserve">13863832;b7c93623-f744-42d3-87a3-a926ea4831eb;;111111118;Vodacom Life 20260324;;;;;ADC;5;2026-05-25 </t>
  </si>
  <si>
    <t>13863832;b7c93623-f744-42d3-87a3-a926ea4831eb;;111111118;Vodacom Life 20260324;;;;;ADC;5;2026-05-25 09:46:55+02;system;2026-03-24 09:54:08+02;2026-03-24 09:54:08+02;;;;;;;;;27766394444;;;;;;;;prepaid life;;;;;</t>
  </si>
  <si>
    <t>ID_2736</t>
  </si>
  <si>
    <t>13863917;165d8daa-c617-48a6-ba8a-be4517d4713a;;111111118;Vodacom Life 20260324;;;;;DROP;5;2026-05-23</t>
  </si>
  <si>
    <t>13863917;165d8daa-c617-48a6-ba8a-be4517d4713a;;111111118;Vodacom Life 20260324;;;;;DROP;5;2026-05-23 10:43:58+02;system;2026-03-24 09:54:08+02;2026-03-24 09:54:08+02;;;;;;;;;27823016597;;;;;;;;prepaid life;;;;;</t>
  </si>
  <si>
    <t>ID_2737</t>
  </si>
  <si>
    <t>13863986;8028185a-c5dc-4c29-86ed-b4317c14ee82;;111111118;Vodacom Life 20260324;;;;;CBACK;1;2026-03-2</t>
  </si>
  <si>
    <t>13863986;8028185a-c5dc-4c29-86ed-b4317c14ee82;;111111118;Vodacom Life 20260324;;;;;CBACK;1;2026-03-26 12:17:24+02;Thandile Nokubeni;2026-03-24 09:54:08+02;2026-03-24 09:54:08+02;;;;;;;;;27649960596;;;;;;;;prepaid life;;;;;</t>
  </si>
  <si>
    <t>ID_2738</t>
  </si>
  <si>
    <t>13863918;03493ca5-e5a3-440f-bbf9-6eab9013b44b;;111111118;Vodacom Life 20260324;;;;;NA;5;2026-05-25 0</t>
  </si>
  <si>
    <t>13863918;03493ca5-e5a3-440f-bbf9-6eab9013b44b;;111111118;Vodacom Life 20260324;;;;;NA;5;2026-05-25 09:48:15+02;system;2026-03-24 09:54:08+02;2026-03-24 09:54:08+02;;;;;;;;;27823142329;;;;;;;;prepaid life;;;;;</t>
  </si>
  <si>
    <t>ID_2739</t>
  </si>
  <si>
    <t>13863833;172ce3dd-6f1d-4d90-ae5f-0b259413dd6f;;111111118;Vodacom Life 20260324;;;;;CBACK;5;2026-05-2</t>
  </si>
  <si>
    <t>13863833;172ce3dd-6f1d-4d90-ae5f-0b259413dd6f;;111111118;Vodacom Life 20260324;;;;;CBACK;5;2026-05-23 10:33:46+02;Maureen Ntsoko;2026-03-24 09:54:08+02;2026-03-24 09:54:08+02;;;;;;;;;27766560590;;;;;;;;prepaid life;;;;;</t>
  </si>
  <si>
    <t>ID_2740</t>
  </si>
  <si>
    <t>13863987;92201f68-6520-4c38-b9c7-59426b89dbeb;;111111118;Vodacom Life 20260324;;;27649987126;;OAL;5;</t>
  </si>
  <si>
    <t>13863987;92201f68-6520-4c38-b9c7-59426b89dbeb;;111111118;Vodacom Life 20260324;;;27649987126;;OAL;5;2026-05-19 15:05:20+02;Maureen Ntsoko;2026-03-24 09:54:08+02;2026-03-24 09:54:08+02;;;;;;;;;27649987126;;;;;;;;prepaid life;;;;;</t>
  </si>
  <si>
    <t>ID_2741</t>
  </si>
  <si>
    <t>13863834;cecee7ae-0ee6-49bf-b8b9-6ab31859268e;;111111118;Vodacom Life 20260324;;;;;NI;1;2026-04-01 0</t>
  </si>
  <si>
    <t>13863834;cecee7ae-0ee6-49bf-b8b9-6ab31859268e;;111111118;Vodacom Life 20260324;;;;;NI;1;2026-04-01 09:24:57+02;Thandile Nokubeni;2026-03-24 09:54:08+02;2026-03-24 09:54:08+02;;;;;;;;;27766611033;;;;;;;;prepaid life;;;;;</t>
  </si>
  <si>
    <t>ID_2742</t>
  </si>
  <si>
    <t>13863919;067d3cbd-e3de-44cf-ae0b-eeb7c6d90173;;111111118;Vodacom Life 20260324;;;;;DROP;5;2026-05-23</t>
  </si>
  <si>
    <t>13863919;067d3cbd-e3de-44cf-ae0b-eeb7c6d90173;;111111118;Vodacom Life 20260324;;;;;DROP;5;2026-05-23 10:43:58+02;system;2026-03-24 09:54:08+02;2026-03-24 09:54:08+02;;;;;;;;;27823631124;;;;;;;;prepaid life;;;;;</t>
  </si>
  <si>
    <t>ID_2743</t>
  </si>
  <si>
    <t>13863988;139f73cb-a27c-43cf-ba1c-39ad077916c3;;111111118;Vodacom Life 20260324;;;;;CU;5;2026-05-23 1</t>
  </si>
  <si>
    <t>13863988;139f73cb-a27c-43cf-ba1c-39ad077916c3;;111111118;Vodacom Life 20260324;;;;;CU;5;2026-05-23 10:52:02+02;bongiwe lushaba;2026-03-24 09:54:08+02;2026-03-24 09:54:08+02;;;;;;;;;27659629589;;;;;;;;prepaid life;;;;;</t>
  </si>
  <si>
    <t>ID_2744</t>
  </si>
  <si>
    <t>13863920;b3bb8369-e3b7-41c7-b262-780ed94eb649;;111111118;Vodacom Life 20260324;;;;;CU;5;2026-04-15 1</t>
  </si>
  <si>
    <t>13863920;b3bb8369-e3b7-41c7-b262-780ed94eb649;;111111118;Vodacom Life 20260324;;;;;CU;5;2026-04-15 15:06:38+02;Thandile Nokubeni;2026-03-24 09:54:08+02;2026-03-24 09:54:08+02;;;;;;;;;27824120666;;;;;;;;prepaid life;;;;;</t>
  </si>
  <si>
    <t>ID_2745</t>
  </si>
  <si>
    <t>13863835;8842cdef-cea5-4211-befb-cfd742040cbb;;111111118;Vodacom Life 20260324;;;;;AA;5;2026-05-23 1</t>
  </si>
  <si>
    <t>13863835;8842cdef-cea5-4211-befb-cfd742040cbb;;111111118;Vodacom Life 20260324;;;;;AA;5;2026-05-23 10:33:46+02;system;2026-03-24 09:54:08+02;2026-03-24 09:54:08+02;;;;;;;;;27766707536;;;;;;;;prepaid life;;;;;</t>
  </si>
  <si>
    <t>ID_2746</t>
  </si>
  <si>
    <t>13863989;4274a0de-3fe2-489d-93df-258c4112a93b;;111111118;Vodacom Life 20260324;;;;;AA;5;2026-05-25 1</t>
  </si>
  <si>
    <t>13863989;4274a0de-3fe2-489d-93df-258c4112a93b;;111111118;Vodacom Life 20260324;;;;;AA;5;2026-05-25 10:04:57+02;system;2026-03-24 09:54:08+02;2026-03-24 09:54:08+02;;;;;;;;;27660035956;;;;;;;;prepaid life;;;;;</t>
  </si>
  <si>
    <t>ID_2747</t>
  </si>
  <si>
    <t>13863836;800560b5-3208-4c97-99a1-47e009291654;;111111118;Vodacom Life 20260324;;;27766761222;;AE;5;2</t>
  </si>
  <si>
    <t>13863836;800560b5-3208-4c97-99a1-47e009291654;;111111118;Vodacom Life 20260324;;;27766761222;;AE;5;2026-05-23 10:38:30+02;system;2026-03-24 09:54:08+02;2026-03-24 09:54:08+02;;;;;;;;;27766761222;;;;;;;;prepaid life;;;;;</t>
  </si>
  <si>
    <t>ID_2748</t>
  </si>
  <si>
    <t>13863921;79f753fb-ee1f-4c36-97f3-1b50646f465c;;111111118;Vodacom Life 20260324;;;;;DROP;5;2026-05-23</t>
  </si>
  <si>
    <t>13863921;79f753fb-ee1f-4c36-97f3-1b50646f465c;;111111118;Vodacom Life 20260324;;;;;DROP;5;2026-05-23 10:45:20+02;system;2026-03-24 09:54:08+02;2026-03-24 09:54:08+02;;;;;;;;;27824312222;;;;;;;;prepaid life;;;;;</t>
  </si>
  <si>
    <t>ID_2749</t>
  </si>
  <si>
    <t>13863990;ad47fc5f-81a4-4c1d-8a7e-63bbd26386f1;;111111118;Vodacom Life 20260324;;;;;AE;5;2026-05-23 1</t>
  </si>
  <si>
    <t>13863990;ad47fc5f-81a4-4c1d-8a7e-63bbd26386f1;;111111118;Vodacom Life 20260324;;;;;AE;5;2026-05-23 10:52:02+02;system;2026-03-24 09:54:08+02;2026-03-24 09:54:08+02;;;;;;;;;27660484473;;;;;;;;prepaid life;;;;;</t>
  </si>
  <si>
    <t>ID_2750</t>
  </si>
  <si>
    <t>13863922;61327988-6fec-4af5-80ab-3e042ed44fa8;;111111118;Vodacom Life 20260324;;;;;DROP;5;2026-05-23</t>
  </si>
  <si>
    <t>13863922;61327988-6fec-4af5-80ab-3e042ed44fa8;;111111118;Vodacom Life 20260324;;;;;DROP;5;2026-05-23 10:48:10+02;system;2026-03-24 09:54:08+02;2026-03-24 09:54:08+02;;;;;;;;;27824719618;;;;;;;;prepaid life;;;;;</t>
  </si>
  <si>
    <t>ID_2751</t>
  </si>
  <si>
    <t>13863837;1c485d2e-2dde-4ee9-b747-7cab1a954ea2;;111111118;Vodacom Life 20260324;;;;;AE;5;2026-05-23 1</t>
  </si>
  <si>
    <t>13863837;1c485d2e-2dde-4ee9-b747-7cab1a954ea2;;111111118;Vodacom Life 20260324;;;;;AE;5;2026-05-23 10:40:36+02;system;2026-03-24 09:54:08+02;2026-03-24 09:54:08+02;;;;;;;;;27766920057;;;;;;;;prepaid life;;;;;</t>
  </si>
  <si>
    <t>ID_2752</t>
  </si>
  <si>
    <t>13863992;2904d096-f7a8-4cd4-b202-5873d712f61e;;111111118;Vodacom Life 20260324;;;;;AE;5;2026-05-23 1</t>
  </si>
  <si>
    <t>13863992;2904d096-f7a8-4cd4-b202-5873d712f61e;;111111118;Vodacom Life 20260324;;;;;AE;5;2026-05-23 10:52:02+02;system;2026-03-24 09:54:08+02;2026-03-24 09:54:08+02;;;;;;;;;27660708074;;;;;;;;prepaid life;;;;;</t>
  </si>
  <si>
    <t>ID_2753</t>
  </si>
  <si>
    <t>13863838;64ab22cb-d12f-479c-a26d-ded25ca17195;;111111118;Vodacom Life 20260324;;;;;DROP;5;2026-05-23</t>
  </si>
  <si>
    <t>13863838;64ab22cb-d12f-479c-a26d-ded25ca17195;;111111118;Vodacom Life 20260324;;;;;DROP;5;2026-05-23 10:35:09+02;system;2026-03-24 09:54:08+02;2026-03-24 09:54:08+02;;;;;;;;;27766955977;;;;;;;;prepaid life;;;;;</t>
  </si>
  <si>
    <t>ID_2754</t>
  </si>
  <si>
    <t>13863993;5c26e09d-e269-48b8-9228-5ecea87a816f;;111111118;Vodacom Life 20260324;;;;;NI;1;2026-04-02 1</t>
  </si>
  <si>
    <t>13863993;5c26e09d-e269-48b8-9228-5ecea87a816f;;111111118;Vodacom Life 20260324;;;;;NI;1;2026-04-02 11:50:36+02;Thandile Nokubeni;2026-03-24 09:54:08+02;2026-03-24 09:54:08+02;;;;;;;;;27660733975;;;;;;;;prepaid life;;;;;</t>
  </si>
  <si>
    <t>ID_2755</t>
  </si>
  <si>
    <t>13863839;f70e9792-9a49-4857-89c8-fdb87cbae6c9;;111111118;Vodacom Life 20260324;;;;;AA;5;2026-05-25 0</t>
  </si>
  <si>
    <t>13863839;f70e9792-9a49-4857-89c8-fdb87cbae6c9;;111111118;Vodacom Life 20260324;;;;;AA;5;2026-05-25 09:46:58+02;system;2026-03-24 09:54:08+02;2026-03-24 09:54:08+02;;;;;;;;;27767197361;;;;;;;;prepaid life;;;;;</t>
  </si>
  <si>
    <t>ID_2756</t>
  </si>
  <si>
    <t xml:space="preserve">13863840;6ab55021-d5bb-47dc-8c8c-85ac8fd58f94;;111111118;Vodacom Life 20260324;;;;;ADC;5;2026-05-23 </t>
  </si>
  <si>
    <t>13863840;6ab55021-d5bb-47dc-8c8c-85ac8fd58f94;;111111118;Vodacom Life 20260324;;;;;ADC;5;2026-05-23 10:35:09+02;system;2026-03-24 09:54:08+02;2026-03-24 09:54:08+02;;;;;;;;;27767439661;;;;;;;;prepaid life;;;;;</t>
  </si>
  <si>
    <t>ID_2757</t>
  </si>
  <si>
    <t>13863923;b3d0250f-e247-43ed-99f6-aa1d9a819b0c;;111111118;Vodacom Life 20260324;;;27824889388;;ADC;5;</t>
  </si>
  <si>
    <t>13863923;b3d0250f-e247-43ed-99f6-aa1d9a819b0c;;111111118;Vodacom Life 20260324;;;27824889388;;ADC;5;2026-05-23 10:45:02+02;system;2026-03-24 09:54:08+02;2026-03-24 09:54:08+02;;;;;;;;;27824889388;;;;;;;;prepaid life;;;;;</t>
  </si>
  <si>
    <t>ID_2758</t>
  </si>
  <si>
    <t>13863924;e5bca91e-b682-4b33-91e0-23c95e05644b;;111111118;Vodacom Life 20260324;;;;;U;2;2026-04-09 11</t>
  </si>
  <si>
    <t>13863924;e5bca91e-b682-4b33-91e0-23c95e05644b;;111111118;Vodacom Life 20260324;;;;;U;2;2026-04-09 11:42:38+02;Mahlatse Manamela;2026-03-24 09:54:08+02;2026-03-24 09:54:08+02;;;;;;;;;27825002807;;;;;;;;prepaid life;;;;;</t>
  </si>
  <si>
    <t>ID_2759</t>
  </si>
  <si>
    <t>13863994;070342a7-1a41-41bc-bcaf-fa8cc3636c4d;;111111118;Vodacom Life 20260324;;;;;AA;5;2026-05-23 1</t>
  </si>
  <si>
    <t>13863994;070342a7-1a41-41bc-bcaf-fa8cc3636c4d;;111111118;Vodacom Life 20260324;;;;;AA;5;2026-05-23 10:52:05+02;system;2026-03-24 09:54:08+02;2026-03-24 09:54:08+02;;;;;;;;;27660934650;;;;;;;;prepaid life;;;;;</t>
  </si>
  <si>
    <t>ID_2760</t>
  </si>
  <si>
    <t>13863925;0269ebfd-8423-4012-931f-a9885d9c47f4;;111111118;Vodacom Life 20260324;;;;;NIUP;2;2026-04-09</t>
  </si>
  <si>
    <t>13863925;0269ebfd-8423-4012-931f-a9885d9c47f4;;111111118;Vodacom Life 20260324;;;;;NIUP;2;2026-04-09 11:42:38+02;bongiwe lushaba;2026-03-24 09:54:08+02;2026-03-24 09:54:08+02;;;;;;;;;27825186109;;;;;;;;prepaid life;;;;;</t>
  </si>
  <si>
    <t>ID_2761</t>
  </si>
  <si>
    <t>13863841;ac80a806-4188-48da-a4d8-47824e578fd4;;111111118;Vodacom Life 20260324;;;;;AA;5;2026-05-23 1</t>
  </si>
  <si>
    <t>13863841;ac80a806-4188-48da-a4d8-47824e578fd4;;111111118;Vodacom Life 20260324;;;;;AA;5;2026-05-23 10:35:09+02;system;2026-03-24 09:54:08+02;2026-03-24 09:54:08+02;;;;;;;;;27767798354;;;;;;;;prepaid life;;;;;</t>
  </si>
  <si>
    <t>ID_2762</t>
  </si>
  <si>
    <t xml:space="preserve">13863995;a173d380-6d22-4efc-b2fa-5aa1afa4eec9;;111111118;Vodacom Life 20260324;;;;;ADC;5;2026-05-25 </t>
  </si>
  <si>
    <t>13863995;a173d380-6d22-4efc-b2fa-5aa1afa4eec9;;111111118;Vodacom Life 20260324;;;;;ADC;5;2026-05-25 14:12:38+02;system;2026-03-24 09:54:08+02;2026-03-24 09:54:08+02;;;;;;;;;27661140571;;;;;;;;prepaid life;;;;;</t>
  </si>
  <si>
    <t>ID_2763</t>
  </si>
  <si>
    <t>13863842;93102660-c55c-406c-87ae-fd01d12b1e7e;;111111118;Vodacom Life 20260324;;;;;AA;5;2026-05-23 1</t>
  </si>
  <si>
    <t>13863842;93102660-c55c-406c-87ae-fd01d12b1e7e;;111111118;Vodacom Life 20260324;;;;;AA;5;2026-05-23 10:39:42+02;system;2026-03-24 09:54:08+02;2026-03-24 09:54:08+02;;;;;;;;;27767822219;;;;;;;;prepaid life;;;;;</t>
  </si>
  <si>
    <t>ID_2764</t>
  </si>
  <si>
    <t>13863996;7b4cb376-a5f4-49cf-92e6-8145ca5c6363;;111111118;Vodacom Life 20260324;;;;;CBACK;2;2026-04-0</t>
  </si>
  <si>
    <t>13863996;7b4cb376-a5f4-49cf-92e6-8145ca5c6363;;111111118;Vodacom Life 20260324;;;;;CBACK;2;2026-04-09 11:38:43+02;Maureen Ntsoko;2026-03-24 09:54:08+02;2026-03-24 09:54:08+02;;;;;;;;;27661216974;;;;;;;;prepaid life;;;;;</t>
  </si>
  <si>
    <t>ID_2765</t>
  </si>
  <si>
    <t>13863927;8f73a343-a79f-4565-acca-b78c6eaf9ca2;;111111118;Vodacom Life 20260324;;;;;CU;6;2026-05-19 1</t>
  </si>
  <si>
    <t>13863927;8f73a343-a79f-4565-acca-b78c6eaf9ca2;;111111118;Vodacom Life 20260324;;;;;CU;6;2026-05-19 11:11:10+02;Khensane Mabasa;2026-03-24 09:54:08+02;2026-03-24 09:54:08+02;;;;;;;;;27825264225;;;;;;;;prepaid life;;;;;</t>
  </si>
  <si>
    <t>ID_2766</t>
  </si>
  <si>
    <t>13863928;620fb979-540a-447a-ad25-8439c20d0b1d;;111111118;Vodacom Life 20260324;;;;;NI;3;2026-04-15 1</t>
  </si>
  <si>
    <t>13863928;620fb979-540a-447a-ad25-8439c20d0b1d;;111111118;Vodacom Life 20260324;;;;;NI;3;2026-04-15 11:50:58+02;Thandile Nokubeni;2026-03-24 09:54:08+02;2026-03-24 09:54:08+02;;;;;;;;;27826128371;;;;;;;;prepaid life;;;;;</t>
  </si>
  <si>
    <t>ID_2767</t>
  </si>
  <si>
    <t>13863843;85fd95c0-af78-4b35-99f0-a52a2de7b34d;;111111118;Vodacom Life 20260324;;;27768280364;;CU;5;2</t>
  </si>
  <si>
    <t>13863843;85fd95c0-af78-4b35-99f0-a52a2de7b34d;;111111118;Vodacom Life 20260324;;;27768280364;;CU;5;2026-05-20 09:38:39+02;system;2026-03-24 09:54:08+02;2026-03-24 09:54:08+02;;;;;;;;;27768280364;;;;;;;;prepaid life;;;;;</t>
  </si>
  <si>
    <t>ID_2768</t>
  </si>
  <si>
    <t>13863997;7454b96f-7c68-4210-994e-bacf0fe2bb50;;111111118;Vodacom Life 20260324;;;;;NA;5;2026-05-25 1</t>
  </si>
  <si>
    <t>13863997;7454b96f-7c68-4210-994e-bacf0fe2bb50;;111111118;Vodacom Life 20260324;;;;;NA;5;2026-05-25 11:35:12+02;system;2026-03-24 09:54:08+02;2026-03-24 09:54:08+02;;;;;;;;;27661253809;;;;;;;;prepaid life;;;;;</t>
  </si>
  <si>
    <t>ID_2769</t>
  </si>
  <si>
    <t>13863998;2b1446ae-8776-4b11-a2fe-972acacc8e63;;111111118;Vodacom Life 20260324;;;;;NA;5;2026-05-25 1</t>
  </si>
  <si>
    <t>13863998;2b1446ae-8776-4b11-a2fe-972acacc8e63;;111111118;Vodacom Life 20260324;;;;;NA;5;2026-05-25 11:35:12+02;system;2026-03-24 09:54:08+02;2026-03-24 09:54:08+02;;;;;;;;;27661635855;;;;;;;;prepaid life;;;;;</t>
  </si>
  <si>
    <t>ID_2770</t>
  </si>
  <si>
    <t>13863844;d41a20df-f63d-44d6-99e1-61f313e8e7f0;;111111118;Vodacom Life 20260324;;;;;AE;5;2026-05-23 1</t>
  </si>
  <si>
    <t>13863844;d41a20df-f63d-44d6-99e1-61f313e8e7f0;;111111118;Vodacom Life 20260324;;;;;AE;5;2026-05-23 10:38:30+02;system;2026-03-24 09:54:08+02;2026-03-24 09:54:08+02;;;;;;;;;27768319348;;;;;;;;prepaid life;;;;;</t>
  </si>
  <si>
    <t>ID_2771</t>
  </si>
  <si>
    <t>13863929;2f40b337-1e12-4a6f-9bb6-de11e45e3cf1;;111111118;Vodacom Life 20260324;;;;;A;5;2026-05-23 10</t>
  </si>
  <si>
    <t>13863929;2f40b337-1e12-4a6f-9bb6-de11e45e3cf1;;111111118;Vodacom Life 20260324;;;;;A;5;2026-05-23 10:45:02+02;bongiwe lushaba;2026-03-24 09:54:08+02;2026-03-24 09:54:08+02;;;;;;;;;27826372870;;;;;;;;prepaid life;;;;;</t>
  </si>
  <si>
    <t>ID_2772</t>
  </si>
  <si>
    <t>13863930;bab854ec-f101-4bbf-b8f0-91bfa84b95ca;;111111118;Vodacom Life 20260324;;;;;DROP;5;2026-05-23</t>
  </si>
  <si>
    <t>13863930;bab854ec-f101-4bbf-b8f0-91bfa84b95ca;;111111118;Vodacom Life 20260324;;;;;DROP;5;2026-05-23 10:45:03+02;system;2026-03-24 09:54:08+02;2026-03-24 09:54:08+02;;;;;;;;;27826420720;;;;;;;;prepaid life;;;;;</t>
  </si>
  <si>
    <t>ID_2773</t>
  </si>
  <si>
    <t>13863845;3f2866b4-6547-4252-8161-d386e09ecfe9;;111111118;Vodacom Life 20260324;;;;;DROP;5;2026-05-25</t>
  </si>
  <si>
    <t>13863845;3f2866b4-6547-4252-8161-d386e09ecfe9;;111111118;Vodacom Life 20260324;;;;;DROP;5;2026-05-25 12:38:12+02;system;2026-03-24 09:54:08+02;2026-03-24 09:54:08+02;;;;;;;;;27768401661;;;;;;;;prepaid life;;;;;</t>
  </si>
  <si>
    <t>ID_2774</t>
  </si>
  <si>
    <t>13864000;2544efbe-f25a-4cb9-a4d5-965f90068b88;;111111118;Vodacom Life 20260324;;;;;CU;5;2026-05-25 1</t>
  </si>
  <si>
    <t>13864000;2544efbe-f25a-4cb9-a4d5-965f90068b88;;111111118;Vodacom Life 20260324;;;;;CU;5;2026-05-25 11:35:20+02;bongiwe lushaba;2026-03-24 09:54:08+02;2026-03-24 09:54:08+02;;;;;;;;;27662894219;;;;;;;;prepaid life;;;;;</t>
  </si>
  <si>
    <t>ID_2775</t>
  </si>
  <si>
    <t>13863846;8526cae8-ad0c-40c3-853c-d39c65bf1494;;111111118;Vodacom Life 20260324;;;27768599691;;CB;6;2</t>
  </si>
  <si>
    <t>13863846;8526cae8-ad0c-40c3-853c-d39c65bf1494;;111111118;Vodacom Life 20260324;;;27768599691;;CB;6;2026-05-23 10:39:18+02;system;2026-03-24 09:54:08+02;2026-03-24 09:54:08+02;;;;;;;;;27768599691;;;;;;;;prepaid life;;;;;</t>
  </si>
  <si>
    <t>ID_2776</t>
  </si>
  <si>
    <t>13863931;a40adf32-4241-4ece-b109-29ccf5f4c514;;111111118;Vodacom Life 20260324;;;;;NI;2;2026-04-02 1</t>
  </si>
  <si>
    <t>13863931;a40adf32-4241-4ece-b109-29ccf5f4c514;;111111118;Vodacom Life 20260324;;;;;NI;2;2026-04-02 12:54:11+02;Maureen Ntsoko;2026-03-24 09:54:08+02;2026-03-24 09:54:08+02;;;;;;;;;27826699460;;;;;;;;prepaid life;;;;;</t>
  </si>
  <si>
    <t>ID_2777</t>
  </si>
  <si>
    <t>13864001;d61cdb41-cfac-40eb-99b4-b60d48d59f16;;111111118;Vodacom Life 20260324;;;;;AA;5;2026-05-23 1</t>
  </si>
  <si>
    <t>13864001;d61cdb41-cfac-40eb-99b4-b60d48d59f16;;111111118;Vodacom Life 20260324;;;;;AA;5;2026-05-23 10:55:24+02;system;2026-03-24 09:54:08+02;2026-03-24 09:54:08+02;;;;;;;;;27663388218;;;;;;;;prepaid life;;;;;</t>
  </si>
  <si>
    <t>ID_2778</t>
  </si>
  <si>
    <t>13863932;795cf2aa-52b6-4e9c-9961-575d037162eb;;111111118;Vodacom Life 20260324;;;;;NA;5;2026-05-23 1</t>
  </si>
  <si>
    <t>13863932;795cf2aa-52b6-4e9c-9961-575d037162eb;;111111118;Vodacom Life 20260324;;;;;NA;5;2026-05-23 10:45:22+02;system;2026-03-24 09:54:08+02;2026-03-24 09:54:08+02;;;;;;;;;27827207848;;;;;;;;prepaid life;;;;;</t>
  </si>
  <si>
    <t>ID_2779</t>
  </si>
  <si>
    <t>13864002;2d22f139-d400-4062-92c5-3e2dcc4cfb37;;111111118;Vodacom Life 20260324;;;;;AA;5;2026-05-25 0</t>
  </si>
  <si>
    <t>13864002;2d22f139-d400-4062-92c5-3e2dcc4cfb37;;111111118;Vodacom Life 20260324;;;;;AA;5;2026-05-25 08:22:18+02;system;2026-03-24 09:54:08+02;2026-03-24 09:54:08+02;;;;;;;;;27663476680;;;;;;;;prepaid life;;;;;</t>
  </si>
  <si>
    <t>ID_2780</t>
  </si>
  <si>
    <t>13863848;5ffe137f-70dc-4b77-ad02-5d977c8d6df5;;111111118;Vodacom Life 20260324;;;;;DROP;5;2026-05-23</t>
  </si>
  <si>
    <t>13863848;5ffe137f-70dc-4b77-ad02-5d977c8d6df5;;111111118;Vodacom Life 20260324;;;;;DROP;5;2026-05-23 10:38:41+02;system;2026-03-24 09:54:08+02;2026-03-24 09:54:08+02;;;;;;;;;27769166780;;;;;;;;prepaid life;;;;;</t>
  </si>
  <si>
    <t>ID_2781</t>
  </si>
  <si>
    <t>13863933;3b98bb5c-1725-4f63-969e-18764804a0f3;;111111118;Vodacom Life 20260324;;;;;AA;5;2026-05-23 1</t>
  </si>
  <si>
    <t>13863933;3b98bb5c-1725-4f63-969e-18764804a0f3;;111111118;Vodacom Life 20260324;;;;;AA;5;2026-05-23 12:53:18+02;system;2026-03-24 09:54:08+02;2026-03-24 09:54:08+02;;;;;;;;;27827564208;;;;;;;;prepaid life;;;;;</t>
  </si>
  <si>
    <t>ID_2782</t>
  </si>
  <si>
    <t>13864003;0f27d75e-adec-4bbc-b396-6f39c081aae0;;111111118;Vodacom Life 20260324;;;;;AA;5;2026-05-23 1</t>
  </si>
  <si>
    <t>13864003;0f27d75e-adec-4bbc-b396-6f39c081aae0;;111111118;Vodacom Life 20260324;;;;;AA;5;2026-05-23 10:55:24+02;system;2026-03-24 09:54:08+02;2026-03-24 09:54:08+02;;;;;;;;;27663989551;;;;;;;;prepaid life;;;;;</t>
  </si>
  <si>
    <t>ID_2783</t>
  </si>
  <si>
    <t>13863934;c180cd92-1599-4e96-bf4c-45c9ccbac3e3;;111111118;Vodacom Life 20260324;;;;;NI;4;2026-05-19 1</t>
  </si>
  <si>
    <t>13863934;c180cd92-1599-4e96-bf4c-45c9ccbac3e3;;111111118;Vodacom Life 20260324;;;;;NI;4;2026-05-19 10:42:00+02;Maureen Ntsoko;2026-03-24 09:54:08+02;2026-03-24 09:54:08+02;;;;;;;;;27827585757;;;;;;;;prepaid life;;;;;</t>
  </si>
  <si>
    <t>ID_2784</t>
  </si>
  <si>
    <t>13863849;e1e1d2d3-07dd-4a4b-b39f-d942848509dc;;111111118;Vodacom Life 20260324;;;27769175783;;IABDN;</t>
  </si>
  <si>
    <t>13863849;e1e1d2d3-07dd-4a4b-b39f-d942848509dc;;111111118;Vodacom Life 20260324;;;27769175783;;IABDN;5;2026-05-23 10:42:29+02;system;2026-03-24 09:54:08+02;2026-03-24 09:54:08+02;;;;;;;;;27769175783;;;;;;;;prepaid life;;;;;</t>
  </si>
  <si>
    <t>ID_2785</t>
  </si>
  <si>
    <t>13863850;e84edb17-91a1-4805-b44e-45014e2ff6ff;;111111118;Vodacom Life 20260324;;;;;AC;1;2026-03-30 1</t>
  </si>
  <si>
    <t>13863850;e84edb17-91a1-4805-b44e-45014e2ff6ff;;111111118;Vodacom Life 20260324;;;;;AC;1;2026-03-30 12:53:44+02;Esther Ramalete;2026-03-24 09:54:08+02;2026-03-24 09:54:08+02;;;;;;;;;27769481831;;;;;;;;prepaid life;;;;;</t>
  </si>
  <si>
    <t>ID_2786</t>
  </si>
  <si>
    <t>13863851;bd8c6d69-2c93-4faa-95df-2f224b9d1137;;111111118;Vodacom Life 20260324;;;;;AA;5;2026-05-23 1</t>
  </si>
  <si>
    <t>13863851;bd8c6d69-2c93-4faa-95df-2f224b9d1137;;111111118;Vodacom Life 20260324;;;;;AA;5;2026-05-23 10:55:36+02;system;2026-03-24 09:54:08+02;2026-03-24 09:54:08+02;;;;;;;;;27769517485;;;;;;;;prepaid life;;;;;</t>
  </si>
  <si>
    <t>ID_2787</t>
  </si>
  <si>
    <t>13863935;2bea25c2-b8d2-4a3e-beee-5e1ebafa61d3;;111111118;Vodacom Life 20260324;;;;;DROP;5;2026-05-25</t>
  </si>
  <si>
    <t>13863935;2bea25c2-b8d2-4a3e-beee-5e1ebafa61d3;;111111118;Vodacom Life 20260324;;;;;DROP;5;2026-05-25 14:29:59+02;system;2026-03-24 09:54:08+02;2026-03-24 09:54:08+02;;;;;;;;;27827590030;;;;;;;;prepaid life;;;;;</t>
  </si>
  <si>
    <t>ID_2788</t>
  </si>
  <si>
    <t>13863936;8f3c3245-23a6-441b-839a-828186cc4d46;;111111118;Vodacom Life 20260324;;;27827902022;;NI;5;2</t>
  </si>
  <si>
    <t>13863936;8f3c3245-23a6-441b-839a-828186cc4d46;;111111118;Vodacom Life 20260324;;;27827902022;;NI;5;2026-05-25 11:52:27+02;Maureen Ntsoko;2026-03-24 09:54:08+02;2026-03-24 09:54:08+02;;;;;;;;;27827902022;;;;;;;;prepaid life;;;;;</t>
  </si>
  <si>
    <t>ID_2789</t>
  </si>
  <si>
    <t>13864005;f233915a-df75-4dd7-9df1-be480edbb01d;;111111118;Vodacom Life 20260324;;;27664111070;;IABDN;</t>
  </si>
  <si>
    <t>13864005;f233915a-df75-4dd7-9df1-be480edbb01d;;111111118;Vodacom Life 20260324;;;27664111070;;IABDN;5;2026-05-23 10:55:44+02;system;2026-03-24 09:54:08+02;2026-03-24 09:54:08+02;;;;;;;;;27664111070;;;;;;;;prepaid life;;;;;</t>
  </si>
  <si>
    <t>ID_2790</t>
  </si>
  <si>
    <t>13863937;62178db3-8d81-44c4-92e9-590642aaae27;;111111118;Vodacom Life 20260324;;;;;DROP;5;2026-05-25</t>
  </si>
  <si>
    <t>13863937;62178db3-8d81-44c4-92e9-590642aaae27;;111111118;Vodacom Life 20260324;;;;;DROP;5;2026-05-25 14:30:05+02;system;2026-03-24 09:54:08+02;2026-03-24 09:54:08+02;;;;;;;;;27827912922;;;;;;;;prepaid life;;;;;</t>
  </si>
  <si>
    <t>ID_2791</t>
  </si>
  <si>
    <t>13863852;6fe95da9-e299-48f9-8558-8aaa083ade56;;111111118;Vodacom Life 20260324;;;;;AA;5;2026-05-25 0</t>
  </si>
  <si>
    <t>13863852;6fe95da9-e299-48f9-8558-8aaa083ade56;;111111118;Vodacom Life 20260324;;;;;AA;5;2026-05-25 08:35:08+02;system;2026-03-24 09:54:08+02;2026-03-24 09:54:08+02;;;;;;;;;27769745189;;;;;;;;prepaid life;;;;;</t>
  </si>
  <si>
    <t>ID_2792</t>
  </si>
  <si>
    <t>13864006;f0660092-11f3-47be-8af8-67a25b54689e;;111111118;Vodacom Life 20260324;;;;;AA;5;2026-05-23 1</t>
  </si>
  <si>
    <t>13864006;f0660092-11f3-47be-8af8-67a25b54689e;;111111118;Vodacom Life 20260324;;;;;AA;5;2026-05-23 10:55:30+02;system;2026-03-24 09:54:08+02;2026-03-24 09:54:08+02;;;;;;;;;27664572349;;;;;;;;prepaid life;;;;;</t>
  </si>
  <si>
    <t>ID_2793</t>
  </si>
  <si>
    <t>13863853;46be85bd-7e02-457a-a273-ef735fde59c0;;111111118;Vodacom Life 20260324;;;;;AA;5;2026-05-25 1</t>
  </si>
  <si>
    <t>13863853;46be85bd-7e02-457a-a273-ef735fde59c0;;111111118;Vodacom Life 20260324;;;;;AA;5;2026-05-25 14:36:24+02;system;2026-03-24 09:54:08+02;2026-03-24 09:54:08+02;;;;;;;;;27773790123;;;;;;;;prepaid life;;;;;</t>
  </si>
  <si>
    <t>ID_2794</t>
  </si>
  <si>
    <t>13863938;3b8dc445-928c-470f-b9de-76913c21cbfb;;111111118;Vodacom Life 20260324;;;;;NA;5;2026-05-25 1</t>
  </si>
  <si>
    <t>13863938;3b8dc445-928c-470f-b9de-76913c21cbfb;;111111118;Vodacom Life 20260324;;;;;NA;5;2026-05-25 11:52:27+02;system;2026-03-24 09:54:08+02;2026-03-24 09:54:08+02;;;;;;;;;27827947377;;;;;;;;prepaid life;;;;;</t>
  </si>
  <si>
    <t>ID_2795</t>
  </si>
  <si>
    <t>13864007;34a313d0-e9b9-451d-9958-2671699d53a5;;111111118;Vodacom Life 20260324;;;;;AA;5;2026-05-23 0</t>
  </si>
  <si>
    <t>13864007;34a313d0-e9b9-451d-9958-2671699d53a5;;111111118;Vodacom Life 20260324;;;;;AA;5;2026-05-23 09:49:09+02;system;2026-03-24 09:54:08+02;2026-03-24 09:54:08+02;;;;;;;;;27664676533;;;;;;;;prepaid life;;;;;</t>
  </si>
  <si>
    <t>ID_2796</t>
  </si>
  <si>
    <t>13863939;a7fddaaa-03ad-4596-bbbf-e4d8cadf1a82;;111111118;Vodacom Life 20260324;;;;;NA;5;2026-05-25 1</t>
  </si>
  <si>
    <t>13863939;a7fddaaa-03ad-4596-bbbf-e4d8cadf1a82;;111111118;Vodacom Life 20260324;;;;;NA;5;2026-05-25 11:52:27+02;system;2026-03-24 09:54:08+02;2026-03-24 09:54:08+02;;;;;;;;;27827965652;;;;;;;;prepaid life;;;;;</t>
  </si>
  <si>
    <t>ID_2797</t>
  </si>
  <si>
    <t>13863854;da14d6b2-373a-4c99-89fe-4462fd7132fb;;111111118;Vodacom Life 20260324;;;;;NI;3;2026-04-15 1</t>
  </si>
  <si>
    <t>13863854;da14d6b2-373a-4c99-89fe-4462fd7132fb;;111111118;Vodacom Life 20260324;;;;;NI;3;2026-04-15 10:27:20+02;Thandile Nokubeni;2026-03-24 09:54:08+02;2026-03-24 09:54:08+02;;;;;;;;;27774073327;;;;;;;;prepaid life;;;;;</t>
  </si>
  <si>
    <t>ID_2798</t>
  </si>
  <si>
    <t>13864008;0ab24cf3-c32d-4b19-9225-734639164d31;;111111118;Vodacom Life 20260324;;;;;AE;5;2026-05-23 0</t>
  </si>
  <si>
    <t>13864008;0ab24cf3-c32d-4b19-9225-734639164d31;;111111118;Vodacom Life 20260324;;;;;AE;5;2026-05-23 09:49:09+02;system;2026-03-24 09:54:08+02;2026-03-24 09:54:08+02;;;;;;;;;27665027186;;;;;;;;prepaid life;;;;;</t>
  </si>
  <si>
    <t>ID_2799</t>
  </si>
  <si>
    <t>13863855;5ce7982f-fc4c-4fb0-9d3e-c115cab29557;;111111118;Vodacom Life 20260324;;;;;DROP;5;2026-05-25</t>
  </si>
  <si>
    <t>13863855;5ce7982f-fc4c-4fb0-9d3e-c115cab29557;;111111118;Vodacom Life 20260324;;;;;DROP;5;2026-05-25 14:37:36+02;system;2026-03-24 09:54:08+02;2026-03-24 09:54:08+02;;;;;;;;;27783650743;;;;;;;;prepaid life;;;;;</t>
  </si>
  <si>
    <t>ID_2800</t>
  </si>
  <si>
    <t>13863940;f615c434-72a2-46dc-904c-81dbfb4ee636;;111111118;Vodacom Life 20260324;;;27827994626;;CU;5;2</t>
  </si>
  <si>
    <t>13863940;f615c434-72a2-46dc-904c-81dbfb4ee636;;111111118;Vodacom Life 20260324;;;27827994626;;CU;5;2026-05-23 10:47:42+02;bongiwe lushaba;2026-03-24 09:54:08+02;2026-03-24 09:54:08+02;;;;;;;;;27827994626;;;;;;;;prepaid life;;;;;</t>
  </si>
  <si>
    <t>ID_2801</t>
  </si>
  <si>
    <t>13864009;2ef91971-be32-4b79-ba8c-52ff8ebb6a26;;111111118;Vodacom Life 20260324;;;;;NI;1;2026-04-01 1</t>
  </si>
  <si>
    <t>13864009;2ef91971-be32-4b79-ba8c-52ff8ebb6a26;;111111118;Vodacom Life 20260324;;;;;NI;1;2026-04-01 10:29:39+02;Thandile Nokubeni;2026-03-24 09:54:08+02;2026-03-24 09:54:08+02;;;;;;;;;27665111713;;;;;;;;prepaid life;;;;;</t>
  </si>
  <si>
    <t>ID_2802</t>
  </si>
  <si>
    <t>13864010;4ef18ce6-5470-49ac-b43e-f7921ba8b925;;111111118;Vodacom Life 20260324;;;;;A;5;2026-05-23 09</t>
  </si>
  <si>
    <t>13864010;4ef18ce6-5470-49ac-b43e-f7921ba8b925;;111111118;Vodacom Life 20260324;;;;;A;5;2026-05-23 09:49:09+02;bongiwe lushaba;2026-03-24 09:54:08+02;2026-03-24 09:54:08+02;;;;;;;;;27673173268;;;;;;;;prepaid life;;;;;</t>
  </si>
  <si>
    <t>ID_2803</t>
  </si>
  <si>
    <t>13863941;89d68af9-c8c5-4d6e-9ecc-a9ecf2c8980b;;111111118;Vodacom Life 20260324;;;27828317822;;NA;5;2</t>
  </si>
  <si>
    <t>13863941;89d68af9-c8c5-4d6e-9ecc-a9ecf2c8980b;;111111118;Vodacom Life 20260324;;;27828317822;;NA;5;2026-05-25 12:54:28+02;system;2026-03-24 09:54:08+02;2026-03-24 09:54:08+02;;;;;;;;;27828317822;;;;;;;;prepaid life;;;;;</t>
  </si>
  <si>
    <t>ID_2804</t>
  </si>
  <si>
    <t>13863942;84670643-976b-491f-97e1-c15fd69e524c;;111111118;Vodacom Life 20260324;;;;;AE;5;2026-05-23 1</t>
  </si>
  <si>
    <t>13863942;84670643-976b-491f-97e1-c15fd69e524c;;111111118;Vodacom Life 20260324;;;;;AE;5;2026-05-23 10:47:42+02;system;2026-03-24 09:54:08+02;2026-03-24 09:54:08+02;;;;;;;;;27828464625;;;;;;;;prepaid life;;;;;</t>
  </si>
  <si>
    <t>ID_2805</t>
  </si>
  <si>
    <t xml:space="preserve">13864051;9ae3af15-06f1-41b9-9e51-0cd8c69b23d7;;111111118;Vodacom Life 20260324;;;;;ADC;5;2026-05-23 </t>
  </si>
  <si>
    <t>13864051;9ae3af15-06f1-41b9-9e51-0cd8c69b23d7;;111111118;Vodacom Life 20260324;;;;;ADC;5;2026-05-23 11:07:07+02;system;2026-03-24 09:54:08+02;2026-03-24 09:54:08+02;;;;;;;;;27721723131;;;;;;;;prepaid life;;;;;</t>
  </si>
  <si>
    <t>ID_2806</t>
  </si>
  <si>
    <t>13864011;a7828529-acf1-4020-af09-a61fe91e5b6d;;111111118;Vodacom Life 20260324;;;;;AA;5;2026-05-23 0</t>
  </si>
  <si>
    <t>13864011;a7828529-acf1-4020-af09-a61fe91e5b6d;;111111118;Vodacom Life 20260324;;;;;AA;5;2026-05-23 09:49:09+02;system;2026-03-24 09:54:08+02;2026-03-24 09:54:08+02;;;;;;;;;27673529194;;;;;;;;prepaid life;;;;;</t>
  </si>
  <si>
    <t>ID_2807</t>
  </si>
  <si>
    <t>13864052;d829baed-88ce-4ab5-82a3-fedf67b8f3d4;;111111118;Vodacom Life 20260324;;;;;CU;5;2026-05-25 1</t>
  </si>
  <si>
    <t>13864052;d829baed-88ce-4ab5-82a3-fedf67b8f3d4;;111111118;Vodacom Life 20260324;;;;;CU;5;2026-05-25 11:06:33+02;bongiwe lushaba;2026-03-24 09:54:08+02;2026-03-24 09:54:08+02;;;;;;;;;27722122815;;;;;;;;prepaid life;;;;;</t>
  </si>
  <si>
    <t>ID_2808</t>
  </si>
  <si>
    <t>13863943;aba8181c-db13-4e35-8424-a8cf31951696;;111111118;Vodacom Life 20260324;;;;;CU;5;2026-05-23 1</t>
  </si>
  <si>
    <t>13863943;aba8181c-db13-4e35-8424-a8cf31951696;;111111118;Vodacom Life 20260324;;;;;CU;5;2026-05-23 10:47:42+02;bongiwe lushaba;2026-03-24 09:54:08+02;2026-03-24 09:54:08+02;;;;;;;;;27828624496;;;;;;;;prepaid life;;;;;</t>
  </si>
  <si>
    <t>ID_2809</t>
  </si>
  <si>
    <t>13864012;16475324-ba0f-4696-aa46-43e10a21247c;;111111118;Vodacom Life 20260324;;;;;AA;5;2026-05-25 1</t>
  </si>
  <si>
    <t>13864012;16475324-ba0f-4696-aa46-43e10a21247c;;111111118;Vodacom Life 20260324;;;;;AA;5;2026-05-25 11:36:06+02;system;2026-03-24 09:54:08+02;2026-03-24 09:54:08+02;;;;;;;;;27673626772;;;;;;;;prepaid life;;;;;</t>
  </si>
  <si>
    <t>ID_2810</t>
  </si>
  <si>
    <t>13863944;493b3ef2-0f68-49f1-a5b5-b70d2c6b45af;;111111118;Vodacom Life 20260324;;;;;CBACK;3;2026-04-1</t>
  </si>
  <si>
    <t>13863944;493b3ef2-0f68-49f1-a5b5-b70d2c6b45af;;111111118;Vodacom Life 20260324;;;;;CBACK;3;2026-04-15 10:34:59+02;Maureen Ntsoko;2026-03-24 09:54:08+02;2026-03-24 09:54:08+02;;;;;;;;;27828635646;;;;;;;;prepaid life;;;;;</t>
  </si>
  <si>
    <t>ID_2811</t>
  </si>
  <si>
    <t>13864053;ac62d662-b993-47fb-a444-32ba63cb3403;;111111118;Vodacom Life 20260324;;;;;NA;5;2026-05-25 1</t>
  </si>
  <si>
    <t>13864053;ac62d662-b993-47fb-a444-32ba63cb3403;;111111118;Vodacom Life 20260324;;;;;NA;5;2026-05-25 11:06:33+02;system;2026-03-24 09:54:08+02;2026-03-24 09:54:08+02;;;;;;;;;27722358885;;;;;;;;prepaid life;;;;;</t>
  </si>
  <si>
    <t>ID_2812</t>
  </si>
  <si>
    <t>13864013;89acd6b9-ead4-4f2a-a4a3-8bca9c540872;;111111118;Vodacom Life 20260324;;;27711344113;;CU;5;2</t>
  </si>
  <si>
    <t>13864013;89acd6b9-ead4-4f2a-a4a3-8bca9c540872;;111111118;Vodacom Life 20260324;;;27711344113;;CU;5;2026-05-25 10:26:44+02;Maureen Ntsoko;2026-03-24 09:54:08+02;2026-03-24 09:54:08+02;;;;;;;;;27711344113;;;;;;;;prepaid life;;;;;</t>
  </si>
  <si>
    <t>ID_2813</t>
  </si>
  <si>
    <t xml:space="preserve">13864014;c0e887a1-5ce6-4c41-a67b-d59e8950cdbc;;111111118;Vodacom Life 20260324;;;;;OAL;3;2026-04-15 </t>
  </si>
  <si>
    <t>13864014;c0e887a1-5ce6-4c41-a67b-d59e8950cdbc;;111111118;Vodacom Life 20260324;;;;;OAL;3;2026-04-15 10:40:31+02;Millicent Motsuku;2026-03-24 09:54:08+02;2026-03-24 09:54:08+02;;;;;;;;;27711561902;;;;;;;;prepaid life;;;;;</t>
  </si>
  <si>
    <t>ID_2814</t>
  </si>
  <si>
    <t>13863945;1f8517c5-7d0b-4f22-887c-009a9e4afcbd;;111111118;Vodacom Life 20260324;;;;;AA;5;2026-05-23 1</t>
  </si>
  <si>
    <t>13863945;1f8517c5-7d0b-4f22-887c-009a9e4afcbd;;111111118;Vodacom Life 20260324;;;;;AA;5;2026-05-23 10:47:42+02;system;2026-03-24 09:54:08+02;2026-03-24 09:54:08+02;;;;;;;;;27828663960;;;;;;;;prepaid life;;;;;</t>
  </si>
  <si>
    <t>ID_2815</t>
  </si>
  <si>
    <t>13864015;dc87e3f1-0840-4a09-843b-3721eec19615;;111111118;Vodacom Life 20260324;;;;;CU;5;2026-05-19 1</t>
  </si>
  <si>
    <t>13864015;dc87e3f1-0840-4a09-843b-3721eec19615;;111111118;Vodacom Life 20260324;;;;;CU;5;2026-05-19 10:51:53+02;bongiwe lushaba;2026-03-24 09:54:08+02;2026-03-24 09:54:08+02;;;;;;;;;27711579398;;;;;;;;prepaid life;;;;;</t>
  </si>
  <si>
    <t>ID_2816</t>
  </si>
  <si>
    <t>13863946;3a6be011-e543-45fe-8f49-b869cda53dd8;;111111118;Vodacom Life 20260324;;;;;DROP;5;2026-05-23</t>
  </si>
  <si>
    <t>13863946;3a6be011-e543-45fe-8f49-b869cda53dd8;;111111118;Vodacom Life 20260324;;;;;DROP;5;2026-05-23 10:47:47+02;system;2026-03-24 09:54:08+02;2026-03-24 09:54:08+02;;;;;;;;;27828668946;;;;;;;;prepaid life;;;;;</t>
  </si>
  <si>
    <t>ID_2817</t>
  </si>
  <si>
    <t>13864054;6e264bcb-45a0-4d1e-95af-675bdf994224;;111111118;Vodacom Life 20260324;;;;;NIUP;3;2026-04-14</t>
  </si>
  <si>
    <t>13864054;6e264bcb-45a0-4d1e-95af-675bdf994224;;111111118;Vodacom Life 20260324;;;;;NIUP;3;2026-04-14 16:12:39+02;Seboifeng Mogola;2026-03-24 09:54:08+02;2026-03-24 09:54:08+02;;;;;;;;;27722415949;;;;;;;;prepaid life;;;;;</t>
  </si>
  <si>
    <t>ID_2818</t>
  </si>
  <si>
    <t>13864055;082b3cf4-da61-48c2-9915-593292d37eaf;;111111118;Vodacom Life 20260324;;;;;AE;5;2026-05-23 0</t>
  </si>
  <si>
    <t>13864055;082b3cf4-da61-48c2-9915-593292d37eaf;;111111118;Vodacom Life 20260324;;;;;AE;5;2026-05-23 09:09:29+02;system;2026-03-24 09:54:08+02;2026-03-24 09:54:08+02;;;;;;;;;27722473527;;;;;;;;prepaid life;;;;;</t>
  </si>
  <si>
    <t>ID_2819</t>
  </si>
  <si>
    <t>13864016;915b965a-79fc-4962-bf89-7d4b3906f3b6;;111111118;Vodacom Life 20260324;;;;;NI;2;2026-04-09 1</t>
  </si>
  <si>
    <t>13864016;915b965a-79fc-4962-bf89-7d4b3906f3b6;;111111118;Vodacom Life 20260324;;;;;NI;2;2026-04-09 11:37:12+02;Musiiwa Mary Mabirimisa;2026-03-24 09:54:08+02;2026-03-24 09:54:08+02;;;;;;;;;27711602770;;;;;;;;prepaid life;;;;;</t>
  </si>
  <si>
    <t>ID_2820</t>
  </si>
  <si>
    <t>13863947;33289ab1-f37f-4d5d-94af-cb267b86ee2b;;111111118;Vodacom Life 20260324;;;;;AE;5;2026-05-23 1</t>
  </si>
  <si>
    <t>13863947;33289ab1-f37f-4d5d-94af-cb267b86ee2b;;111111118;Vodacom Life 20260324;;;;;AE;5;2026-05-23 10:48:10+02;system;2026-03-24 09:54:08+02;2026-03-24 09:54:08+02;;;;;;;;;27828803181;;;;;;;;prepaid life;;;;;</t>
  </si>
  <si>
    <t>ID_2821</t>
  </si>
  <si>
    <t>13864017;c0f88078-3f5f-426a-805e-0e9b22821dcf;;111111118;Vodacom Life 20260324;;;;;CU;5;2026-05-23 0</t>
  </si>
  <si>
    <t>13864017;c0f88078-3f5f-426a-805e-0e9b22821dcf;;111111118;Vodacom Life 20260324;;;;;CU;5;2026-05-23 09:46:42+02;bongiwe lushaba;2026-03-24 09:54:08+02;2026-03-24 09:54:08+02;;;;;;;;;27711644550;;;;;;;;prepaid life;;;;;</t>
  </si>
  <si>
    <t>ID_2822</t>
  </si>
  <si>
    <t>13863948;a2b0c8fa-90e5-4b67-a907-7ad902ff550d;;111111118;Vodacom Life 20260324;;;;;A;5;2026-05-25 08</t>
  </si>
  <si>
    <t>13863948;a2b0c8fa-90e5-4b67-a907-7ad902ff550d;;111111118;Vodacom Life 20260324;;;;;A;5;2026-05-25 08:13:04+02;bongiwe lushaba;2026-03-24 09:54:08+02;2026-03-24 09:54:08+02;;;;;;;;;27829073014;;;;;;;;prepaid life;;;;;</t>
  </si>
  <si>
    <t>ID_2823</t>
  </si>
  <si>
    <t>13863949;273ce6f2-a61d-4ab2-b2e6-0e0e961f3817;;111111118;Vodacom Life 20260324;;;;;CBACK;3;2026-04-1</t>
  </si>
  <si>
    <t>13863949;273ce6f2-a61d-4ab2-b2e6-0e0e961f3817;;111111118;Vodacom Life 20260324;;;;;CBACK;3;2026-04-14 16:45:49+02;Thandile Nokubeni;2026-03-24 09:54:08+02;2026-03-24 09:54:08+02;;;;;;;;;27835887819;;;;;;;;prepaid life;;;;;</t>
  </si>
  <si>
    <t>ID_2824</t>
  </si>
  <si>
    <t>13864056;8df43766-7d1b-4bd4-abdd-5ed365e5e958;;111111118;Vodacom Life 20260324;;;;;AE;5;2026-05-23 0</t>
  </si>
  <si>
    <t>13864056;8df43766-7d1b-4bd4-abdd-5ed365e5e958;;111111118;Vodacom Life 20260324;;;;;AE;5;2026-05-23 09:09:29+02;system;2026-03-24 09:54:08+02;2026-03-24 09:54:08+02;;;;;;;;;27722574753;;;;;;;;prepaid life;;;;;</t>
  </si>
  <si>
    <t>ID_2825</t>
  </si>
  <si>
    <t>13864018;79dd5f05-abe2-4c78-8d9f-2aba015e10a3;;111111118;Vodacom Life 20260324;;;;;AA;5;2026-05-23 0</t>
  </si>
  <si>
    <t>13864018;79dd5f05-abe2-4c78-8d9f-2aba015e10a3;;111111118;Vodacom Life 20260324;;;;;AA;5;2026-05-23 09:46:42+02;system;2026-03-24 09:54:08+02;2026-03-24 09:54:08+02;;;;;;;;;27711671444;;;;;;;;prepaid life;;;;;</t>
  </si>
  <si>
    <t>ID_2826</t>
  </si>
  <si>
    <t>13864057;d77f2ae7-96ef-4336-9bc0-594b1a40516d;;111111118;Vodacom Life 20260324;;;;;CBACK;3;2026-04-1</t>
  </si>
  <si>
    <t>13864057;d77f2ae7-96ef-4336-9bc0-594b1a40516d;;111111118;Vodacom Life 20260324;;;;;CBACK;3;2026-04-15 10:43:42+02;Maureen Ntsoko;2026-03-24 09:54:08+02;2026-03-24 09:54:08+02;;;;;;;;;27723050902;;;;;;;;prepaid life;;;;;</t>
  </si>
  <si>
    <t>ID_2827</t>
  </si>
  <si>
    <t>13863950;a30ec538-b40b-44e4-bc2f-af2c9925be5e;;111111118;Vodacom Life 20260324;;;;;NA;5;2026-05-25 0</t>
  </si>
  <si>
    <t>13863950;a30ec538-b40b-44e4-bc2f-af2c9925be5e;;111111118;Vodacom Life 20260324;;;;;NA;5;2026-05-25 08:13:07+02;system;2026-03-24 09:54:08+02;2026-03-24 09:54:08+02;;;;;;;;;27845329700;;;;;;;;prepaid life;;;;;</t>
  </si>
  <si>
    <t>ID_2828</t>
  </si>
  <si>
    <t>13864019;049ae369-039e-4c98-9b8f-726189a03fd7;;111111118;Vodacom Life 20260324;;;;;AE;5;2026-05-23 0</t>
  </si>
  <si>
    <t>13864019;049ae369-039e-4c98-9b8f-726189a03fd7;;111111118;Vodacom Life 20260324;;;;;AE;5;2026-05-23 09:46:40+02;system;2026-03-24 09:54:08+02;2026-03-24 09:54:08+02;;;;;;;;;27711696368;;;;;;;;prepaid life;;;;;</t>
  </si>
  <si>
    <t>ID_2829</t>
  </si>
  <si>
    <t>13863951;50b33a1d-d790-4f6e-8db3-5dc3d1d6becc;;111111118;Vodacom Life 20260324;;;;;AA;5;2026-05-25 1</t>
  </si>
  <si>
    <t>13863951;50b33a1d-d790-4f6e-8db3-5dc3d1d6becc;;111111118;Vodacom Life 20260324;;;;;AA;5;2026-05-25 11:54:41+02;system;2026-03-24 09:54:08+02;2026-03-24 09:54:08+02;;;;;;;;;27846977739;;;;;;;;prepaid life;;;;;</t>
  </si>
  <si>
    <t>ID_2830</t>
  </si>
  <si>
    <t>13864058;205691f9-c485-4191-9ec2-0564292acd0f;;111111118;Vodacom Life 20260324;;;;;AA;5;2026-05-23 0</t>
  </si>
  <si>
    <t>13864058;205691f9-c485-4191-9ec2-0564292acd0f;;111111118;Vodacom Life 20260324;;;;;AA;5;2026-05-23 09:09:30+02;system;2026-03-24 09:54:08+02;2026-03-24 09:54:08+02;;;;;;;;;27723064310;;;;;;;;prepaid life;;;;;</t>
  </si>
  <si>
    <t>ID_2831</t>
  </si>
  <si>
    <t>13864020;a755bd5d-0906-4c47-8c76-5ac6ba8048d8;;111111118;Vodacom Life 20260324;;;27711807634;;CU;5;2</t>
  </si>
  <si>
    <t>13864020;a755bd5d-0906-4c47-8c76-5ac6ba8048d8;;111111118;Vodacom Life 20260324;;;27711807634;;CU;5;2026-05-23 09:48:47+02;Maureen Ntsoko;2026-03-24 09:54:08+02;2026-03-24 09:54:08+02;;;;;;;;;27711807634;;;;;;;;prepaid life;;;;;</t>
  </si>
  <si>
    <t>ID_2832</t>
  </si>
  <si>
    <t>13864059;e57efede-bccf-4c3d-ae39-e16431ad680b;;111111118;Vodacom Life 20260324;;;;;NI;2;2026-04-01 1</t>
  </si>
  <si>
    <t>13864059;e57efede-bccf-4c3d-ae39-e16431ad680b;;111111118;Vodacom Life 20260324;;;;;NI;2;2026-04-01 13:51:50+02;Musiiwa Mary Mabirimisa;2026-03-24 09:54:08+02;2026-03-24 09:54:08+02;;;;;;;;;27723780093;;;;;;;;prepaid life;;;;;</t>
  </si>
  <si>
    <t>ID_2833</t>
  </si>
  <si>
    <t>13863952;f0994025-af0e-431c-8e8d-eb07fd36a0a2;;111111118;Vodacom Life 20260324;;;;;U;1;2026-04-01 10</t>
  </si>
  <si>
    <t>13863952;f0994025-af0e-431c-8e8d-eb07fd36a0a2;;111111118;Vodacom Life 20260324;;;;;U;1;2026-04-01 10:39:12+02;Maureen Ntsoko;2026-03-24 09:54:08+02;2026-03-24 09:54:08+02;;;;;;;;;27606397493;;;;;;;;prepaid life;;;;;</t>
  </si>
  <si>
    <t>ID_2834</t>
  </si>
  <si>
    <t>13864021;4d45f33a-3d12-4543-8ce2-71b6307ff9da;;111111118;Vodacom Life 20260324;;;;;U;3;2026-04-15 10</t>
  </si>
  <si>
    <t>13864021;4d45f33a-3d12-4543-8ce2-71b6307ff9da;;111111118;Vodacom Life 20260324;;;;;U;3;2026-04-15 10:41:08+02;Seboifeng Mogola;2026-03-24 09:54:08+02;2026-03-24 09:54:08+02;;;;;;;;;27712091507;;;;;;;;prepaid life;;;;;</t>
  </si>
  <si>
    <t>ID_2835</t>
  </si>
  <si>
    <t>13863953;486cd148-1006-48ad-bc96-aea47b5fa6a4;;111111118;Vodacom Life 20260324;;;;;AE;5;2026-05-25 1</t>
  </si>
  <si>
    <t>13863953;486cd148-1006-48ad-bc96-aea47b5fa6a4;;111111118;Vodacom Life 20260324;;;;;AE;5;2026-05-25 11:54:41+02;system;2026-03-24 09:54:08+02;2026-03-24 09:54:08+02;;;;;;;;;27606649329;;;;;;;;prepaid life;;;;;</t>
  </si>
  <si>
    <t>ID_2836</t>
  </si>
  <si>
    <t>13864022;93ae63ce-6363-4ce5-9bed-94a539a709ee;;111111118;Vodacom Life 20260324;;;;;AA;5;2026-05-23 0</t>
  </si>
  <si>
    <t>13864022;93ae63ce-6363-4ce5-9bed-94a539a709ee;;111111118;Vodacom Life 20260324;;;;;AA;5;2026-05-23 09:46:21+02;system;2026-03-24 09:54:08+02;2026-03-24 09:54:08+02;;;;;;;;;27712470283;;;;;;;;prepaid life;;;;;</t>
  </si>
  <si>
    <t>ID_2837</t>
  </si>
  <si>
    <t>13864148;590a5777-5575-4896-b514-31919bb39213;;111111118;Vodacom Life 20260324;;;;;CU;5;2026-05-23 1</t>
  </si>
  <si>
    <t>13864148;590a5777-5575-4896-b514-31919bb39213;;111111118;Vodacom Life 20260324;;;;;CU;5;2026-05-23 11:11:50+02;bongiwe lushaba;2026-03-24 09:54:08+02;2026-03-24 09:54:08+02;;;;;;;;;27768794322;;;;;;;;prepaid life;;;;;</t>
  </si>
  <si>
    <t>ID_2838</t>
  </si>
  <si>
    <t>13864149;daa5119a-ee3e-4be9-800c-14b32fe6add2;;111111118;Vodacom Life 20260324;;;;;AA;5;2026-05-23 1</t>
  </si>
  <si>
    <t>13864149;daa5119a-ee3e-4be9-800c-14b32fe6add2;;111111118;Vodacom Life 20260324;;;;;AA;5;2026-05-23 11:11:50+02;system;2026-03-24 09:54:08+02;2026-03-24 09:54:08+02;;;;;;;;;27768887742;;;;;;;;prepaid life;;;;;</t>
  </si>
  <si>
    <t>ID_2839</t>
  </si>
  <si>
    <t>13864060;80c8d98d-0f40-4fc3-ac75-a6f18e901af0;;111111118;Vodacom Life 20260324;;;;;CBACK;3;2026-04-1</t>
  </si>
  <si>
    <t>13864060;80c8d98d-0f40-4fc3-ac75-a6f18e901af0;;111111118;Vodacom Life 20260324;;;;;CBACK;3;2026-04-15 10:44:20+02;bongiwe lushaba;2026-03-24 09:54:08+02;2026-03-24 09:54:08+02;;;;;;;;;27723873474;;;;;;;;prepaid life;;;;;</t>
  </si>
  <si>
    <t>ID_2840</t>
  </si>
  <si>
    <t>13864061;de513f1e-dce9-476e-b793-af83708fa46e;;111111118;Vodacom Life 20260324;;;;;A;5;2026-05-23 09</t>
  </si>
  <si>
    <t>13864061;de513f1e-dce9-476e-b793-af83708fa46e;;111111118;Vodacom Life 20260324;;;;;A;5;2026-05-23 09:09:29+02;bongiwe lushaba;2026-03-24 09:54:08+02;2026-03-24 09:54:08+02;;;;;;;;;27723904057;;;;;;;;prepaid life;;;;;</t>
  </si>
  <si>
    <t>ID_2841</t>
  </si>
  <si>
    <t xml:space="preserve">13864023;4591a4a1-5888-4acb-aac7-e99abe594828;;111111118;Vodacom Life 20260324;;;;;ADC;5;2026-05-23 </t>
  </si>
  <si>
    <t>13864023;4591a4a1-5888-4acb-aac7-e99abe594828;;111111118;Vodacom Life 20260324;;;;;ADC;5;2026-05-23 09:46:21+02;system;2026-03-24 09:54:08+02;2026-03-24 09:54:08+02;;;;;;;;;27712550034;;;;;;;;prepaid life;;;;;</t>
  </si>
  <si>
    <t>ID_2842</t>
  </si>
  <si>
    <t>13864062;d4148ce6-190f-4582-a5ad-be6e079ebc4f;;111111118;Vodacom Life 20260324;;;;;DROP;5;2026-05-23</t>
  </si>
  <si>
    <t>13864062;d4148ce6-190f-4582-a5ad-be6e079ebc4f;;111111118;Vodacom Life 20260324;;;;;DROP;5;2026-05-23 09:06:46+02;system;2026-03-24 09:54:08+02;2026-03-24 09:54:08+02;;;;;;;;;27723970795;;;;;;;;prepaid life;;;;;</t>
  </si>
  <si>
    <t>ID_2843</t>
  </si>
  <si>
    <t>13864024;d079432e-538c-4e25-b5e6-71745340007d;;111111118;Vodacom Life 20260324;;;;;NI;1;2026-03-30 1</t>
  </si>
  <si>
    <t>13864024;d079432e-538c-4e25-b5e6-71745340007d;;111111118;Vodacom Life 20260324;;;;;NI;1;2026-03-30 11:59:58+02;Maureen Ntsoko;2026-03-24 09:54:08+02;2026-03-24 09:54:08+02;;;;;;;;;27712604434;;;;;;;;prepaid life;;;;;</t>
  </si>
  <si>
    <t>ID_2844</t>
  </si>
  <si>
    <t xml:space="preserve">13864063;b9be2eb5-c628-42c6-ba87-ff7e94597d35;;111111118;Vodacom Life 20260324;;;;;OAL;5;2026-05-23 </t>
  </si>
  <si>
    <t>13864063;b9be2eb5-c628-42c6-ba87-ff7e94597d35;;111111118;Vodacom Life 20260324;;;;;OAL;5;2026-05-23 09:06:46+02;Maureen Ntsoko;2026-03-24 09:54:08+02;2026-03-24 09:54:08+02;;;;;;;;;27724277448;;;;;;;;prepaid life;;;;;</t>
  </si>
  <si>
    <t>ID_2845</t>
  </si>
  <si>
    <t>13864150;a933581d-fabf-46bd-96a5-6b1cac0e84d1;;111111118;Vodacom Life 20260324;;;;;CU;5;2026-05-23 1</t>
  </si>
  <si>
    <t>13864150;a933581d-fabf-46bd-96a5-6b1cac0e84d1;;111111118;Vodacom Life 20260324;;;;;CU;5;2026-05-23 11:11:50+02;bongiwe lushaba;2026-03-24 09:54:08+02;2026-03-24 09:54:08+02;;;;;;;;;27768940152;;;;;;;;prepaid life;;;;;</t>
  </si>
  <si>
    <t>ID_2846</t>
  </si>
  <si>
    <t>13864025;65b0aa77-da91-4f96-ad16-41aec32a993a;;111111118;Vodacom Life 20260324;;;;;AA;5;2026-05-23 0</t>
  </si>
  <si>
    <t>13864025;65b0aa77-da91-4f96-ad16-41aec32a993a;;111111118;Vodacom Life 20260324;;;;;AA;5;2026-05-23 09:46:21+02;system;2026-03-24 09:54:08+02;2026-03-24 09:54:08+02;;;;;;;;;27712746059;;;;;;;;prepaid life;;;;;</t>
  </si>
  <si>
    <t>ID_2847</t>
  </si>
  <si>
    <t>13864151;99d501a3-fff6-4123-b20a-edf9f92cbe02;;111111118;Vodacom Life 20260324;;;;;DROP;5;2026-05-23</t>
  </si>
  <si>
    <t>13864151;99d501a3-fff6-4123-b20a-edf9f92cbe02;;111111118;Vodacom Life 20260324;;;;;DROP;5;2026-05-23 11:11:56+02;system;2026-03-24 09:54:08+02;2026-03-24 09:54:08+02;;;;;;;;;27769090644;;;;;;;;prepaid life;;;;;</t>
  </si>
  <si>
    <t>ID_2848</t>
  </si>
  <si>
    <t xml:space="preserve">13864064;38a52bb2-0119-4b94-a4bf-e8e1a0d474df;;111111118;Vodacom Life 20260324;;;;;ADC;5;2026-05-23 </t>
  </si>
  <si>
    <t>13864064;38a52bb2-0119-4b94-a4bf-e8e1a0d474df;;111111118;Vodacom Life 20260324;;;;;ADC;5;2026-05-23 09:06:46+02;system;2026-03-24 09:54:08+02;2026-03-24 09:54:08+02;;;;;;;;;27724746906;;;;;;;;prepaid life;;;;;</t>
  </si>
  <si>
    <t>ID_2849</t>
  </si>
  <si>
    <t>13864026;30cd585a-dccb-4747-a9cb-ba8d503fb8a6;;111111118;Vodacom Life 20260324;;;;;U;2;2026-04-09 11</t>
  </si>
  <si>
    <t>13864026;30cd585a-dccb-4747-a9cb-ba8d503fb8a6;;111111118;Vodacom Life 20260324;;;;;U;2;2026-04-09 11:36:33+02;Thandile Nokubeni;2026-03-24 09:54:08+02;2026-03-24 09:54:08+02;;;;;;;;;27713371044;;;;;;;;prepaid life;;;;;</t>
  </si>
  <si>
    <t>ID_2850</t>
  </si>
  <si>
    <t>13864065;bc382d38-8ab8-4212-ab2a-c29338c2d850;;111111118;Vodacom Life 20260324;;;;;DROP;5;2026-05-23</t>
  </si>
  <si>
    <t>13864065;bc382d38-8ab8-4212-ab2a-c29338c2d850;;111111118;Vodacom Life 20260324;;;;;DROP;5;2026-05-23 09:05:41+02;system;2026-03-24 09:54:08+02;2026-03-24 09:54:08+02;;;;;;;;;27724872599;;;;;;;;prepaid life;;;;;</t>
  </si>
  <si>
    <t>ID_2851</t>
  </si>
  <si>
    <t>13864066;5bae17e5-9670-4a6d-88a3-d4a7b0fc021a;;111111118;Vodacom Life 20260324;;;;;DROP;5;2026-05-23</t>
  </si>
  <si>
    <t>13864066;5bae17e5-9670-4a6d-88a3-d4a7b0fc021a;;111111118;Vodacom Life 20260324;;;;;DROP;5;2026-05-23 09:06:46+02;system;2026-03-24 09:54:08+02;2026-03-24 09:54:08+02;;;;;;;;;27724936151;;;;;;;;prepaid life;;;;;</t>
  </si>
  <si>
    <t>ID_2852</t>
  </si>
  <si>
    <t>13864152;fa11c3ca-bccb-4552-99c3-2fbb84826141;;111111118;Vodacom Life 20260324;;;;;NI;2;2026-04-09 1</t>
  </si>
  <si>
    <t>13864152;fa11c3ca-bccb-4552-99c3-2fbb84826141;;111111118;Vodacom Life 20260324;;;;;NI;2;2026-04-09 11:12:12+02;Musiiwa Mary Mabirimisa;2026-03-24 09:54:08+02;2026-03-24 09:54:08+02;;;;;;;;;27769136639;;;;;;;;prepaid life;;;;;</t>
  </si>
  <si>
    <t>ID_2853</t>
  </si>
  <si>
    <t>13864027;8808c383-29cf-4527-9d85-aaf74d2ed439;;111111118;Vodacom Life 20260324;;;;;AA;5;2026-05-23 0</t>
  </si>
  <si>
    <t>13864027;8808c383-29cf-4527-9d85-aaf74d2ed439;;111111118;Vodacom Life 20260324;;;;;AA;5;2026-05-23 09:46:34+02;system;2026-03-24 09:54:08+02;2026-03-24 09:54:08+02;;;;;;;;;27713466926;;;;;;;;prepaid life;;;;;</t>
  </si>
  <si>
    <t>ID_2854</t>
  </si>
  <si>
    <t>13864153;aa005a6d-91fe-48e9-b8a3-4c3544ecdde4;;111111118;Vodacom Life 20260324;;;;;DROP;5;2026-05-25</t>
  </si>
  <si>
    <t>13864153;aa005a6d-91fe-48e9-b8a3-4c3544ecdde4;;111111118;Vodacom Life 20260324;;;;;DROP;5;2026-05-25 10:31:25+02;system;2026-03-24 09:54:08+02;2026-03-24 09:54:08+02;;;;;;;;;27769138684;;;;;;;;prepaid life;;;;;</t>
  </si>
  <si>
    <t>ID_2855</t>
  </si>
  <si>
    <t>13864028;38b0457c-ff00-41cf-af8f-5a41543ce027;;111111118;Vodacom Life 20260324;;;;;NI;3;2026-04-15 1</t>
  </si>
  <si>
    <t>13864028;38b0457c-ff00-41cf-af8f-5a41543ce027;;111111118;Vodacom Life 20260324;;;;;NI;3;2026-04-15 10:41:10+02;Thandile Nokubeni;2026-03-24 09:54:08+02;2026-03-24 09:54:08+02;;;;;;;;;27713481643;;;;;;;;prepaid life;;;;;</t>
  </si>
  <si>
    <t>ID_2856</t>
  </si>
  <si>
    <t xml:space="preserve">13864154;21db86ef-ce8a-4e36-9020-af289ce7d40f;;111111118;Vodacom Life 20260324;;;;;ADC;5;2026-05-25 </t>
  </si>
  <si>
    <t>13864154;21db86ef-ce8a-4e36-9020-af289ce7d40f;;111111118;Vodacom Life 20260324;;;;;ADC;5;2026-05-25 08:24:50+02;system;2026-03-24 09:54:08+02;2026-03-24 09:54:08+02;;;;;;;;;27769425144;;;;;;;;prepaid life;;;;;</t>
  </si>
  <si>
    <t>ID_2857</t>
  </si>
  <si>
    <t>13864067;6a3ddde6-12d9-4c15-af31-77fac9a015ac;;111111118;Vodacom Life 20260324;;;;;AA;5;2026-05-23 1</t>
  </si>
  <si>
    <t>13864067;6a3ddde6-12d9-4c15-af31-77fac9a015ac;;111111118;Vodacom Life 20260324;;;;;AA;5;2026-05-23 11:03:33+02;system;2026-03-24 09:54:08+02;2026-03-24 09:54:08+02;;;;;;;;;27725230020;;;;;;;;prepaid life;;;;;</t>
  </si>
  <si>
    <t>ID_2858</t>
  </si>
  <si>
    <t>13864029;4cfbefd2-9ca1-41f2-bb9f-818d63fb17f6;;111111118;Vodacom Life 20260324;;;;;AA;5;2026-05-25 1</t>
  </si>
  <si>
    <t>13864029;4cfbefd2-9ca1-41f2-bb9f-818d63fb17f6;;111111118;Vodacom Life 20260324;;;;;AA;5;2026-05-25 10:26:26+02;system;2026-03-24 09:54:08+02;2026-03-24 09:54:08+02;;;;;;;;;27714361834;;;;;;;;prepaid life;;;;;</t>
  </si>
  <si>
    <t>ID_2859</t>
  </si>
  <si>
    <t>13864068;b4517e9b-97ff-47a1-928a-9d1e84fe5b5c;;111111118;Vodacom Life 20260324;;;;;N;6;2026-04-09 16</t>
  </si>
  <si>
    <t>13864068;b4517e9b-97ff-47a1-928a-9d1e84fe5b5c;;111111118;Vodacom Life 20260324;;;;;N;6;2026-04-09 16:11:49+02;Musiiwa Mary Mabirimisa;2026-03-24 09:54:08+02;2026-03-24 09:54:08+02;;;;;;;;;27725493588;;;;;;;;prepaid life;;;;;</t>
  </si>
  <si>
    <t>ID_2860</t>
  </si>
  <si>
    <t>13864069;dbb1dc20-5cce-4722-ba66-b97b939e2069;;111111118;Vodacom Life 20260324;;;;;DROP;5;2026-04-16</t>
  </si>
  <si>
    <t>13864069;dbb1dc20-5cce-4722-ba66-b97b939e2069;;111111118;Vodacom Life 20260324;;;;;DROP;5;2026-04-16 13:01:27+02;system;2026-03-24 09:54:08+02;2026-03-24 09:54:08+02;;;;;;;;;27725547403;;;;;;;;prepaid life;;;;;</t>
  </si>
  <si>
    <t>ID_2861</t>
  </si>
  <si>
    <t>13864030;877d9d3f-1cbc-432a-a8d9-0ed05eb9b70c;;111111118;Vodacom Life 20260324;;;;;AA;5;2026-05-25 1</t>
  </si>
  <si>
    <t>13864030;877d9d3f-1cbc-432a-a8d9-0ed05eb9b70c;;111111118;Vodacom Life 20260324;;;;;AA;5;2026-05-25 14:28:10+02;system;2026-03-24 09:54:08+02;2026-03-24 09:54:08+02;;;;;;;;;27714390853;;;;;;;;prepaid life;;;;;</t>
  </si>
  <si>
    <t>ID_2862</t>
  </si>
  <si>
    <t>13864155;df5df55c-56e0-4c86-a24b-e2f1e025d908;;111111118;Vodacom Life 20260324;;;;;DROP;5;2026-05-25</t>
  </si>
  <si>
    <t>13864155;df5df55c-56e0-4c86-a24b-e2f1e025d908;;111111118;Vodacom Life 20260324;;;;;DROP;5;2026-05-25 10:31:25+02;system;2026-03-24 09:54:08+02;2026-03-24 09:54:08+02;;;;;;;;;27769591243;;;;;;;;prepaid life;;;;;</t>
  </si>
  <si>
    <t>ID_2863</t>
  </si>
  <si>
    <t>13864156;a5d978d5-6c95-4e5e-9b5f-97b392871b5a;;111111118;Vodacom Life 20260324;;;;;AA;5;2026-05-25 1</t>
  </si>
  <si>
    <t>13864156;a5d978d5-6c95-4e5e-9b5f-97b392871b5a;;111111118;Vodacom Life 20260324;;;;;AA;5;2026-05-25 10:31:30+02;system;2026-03-24 09:54:08+02;2026-03-24 09:54:08+02;;;;;;;;;27769643312;;;;;;;;prepaid life;;;;;</t>
  </si>
  <si>
    <t>ID_2864</t>
  </si>
  <si>
    <t>13864031;e2c75408-89cf-4c46-941c-0edf6a99e0f2;;111111118;Vodacom Life 20260324;;;;;CU;5;2026-05-23 0</t>
  </si>
  <si>
    <t>13864031;e2c75408-89cf-4c46-941c-0edf6a99e0f2;;111111118;Vodacom Life 20260324;;;;;CU;5;2026-05-23 09:44:39+02;bongiwe lushaba;2026-03-24 09:54:08+02;2026-03-24 09:54:08+02;;;;;;;;;27714398822;;;;;;;;prepaid life;;;;;</t>
  </si>
  <si>
    <t>ID_2865</t>
  </si>
  <si>
    <t>13864157;ad162261-ec20-45cf-9774-26d2c2a07fbd;;111111118;Vodacom Life 20260324;;;;;AE;5;2026-05-23 1</t>
  </si>
  <si>
    <t>13864157;ad162261-ec20-45cf-9774-26d2c2a07fbd;;111111118;Vodacom Life 20260324;;;;;AE;5;2026-05-23 11:14:24+02;system;2026-03-24 09:54:08+02;2026-03-24 09:54:08+02;;;;;;;;;27769713340;;;;;;;;prepaid life;;;;;</t>
  </si>
  <si>
    <t>ID_2866</t>
  </si>
  <si>
    <t>13864158;bcba73f2-51d5-499d-a3d9-4ffc5a61ae30;;111111118;Vodacom Life 20260324;;;;;U;2;2026-04-09 11</t>
  </si>
  <si>
    <t>13864158;bcba73f2-51d5-499d-a3d9-4ffc5a61ae30;;111111118;Vodacom Life 20260324;;;;;U;2;2026-04-09 11:30:08+02;Thandile Nokubeni;2026-03-24 09:54:08+02;2026-03-24 09:54:08+02;;;;;;;;;27772635326;;;;;;;;prepaid life;;;;;</t>
  </si>
  <si>
    <t>ID_2867</t>
  </si>
  <si>
    <t>13864070;d7c8136e-0969-4ecb-b9e9-e9e58e47594f;;111111118;Vodacom Life 20260324;;;;;AA;5;2026-05-23 0</t>
  </si>
  <si>
    <t>13864070;d7c8136e-0969-4ecb-b9e9-e9e58e47594f;;111111118;Vodacom Life 20260324;;;;;AA;5;2026-05-23 09:04:36+02;system;2026-03-24 09:54:08+02;2026-03-24 09:54:08+02;;;;;;;;;27725624598;;;;;;;;prepaid life;;;;;</t>
  </si>
  <si>
    <t>ID_2868</t>
  </si>
  <si>
    <t>13864071;23d415d6-9605-4f17-926d-db8f55a5a645;;111111118;Vodacom Life 20260324;;;;;NA;5;2026-05-23 0</t>
  </si>
  <si>
    <t>13864071;23d415d6-9605-4f17-926d-db8f55a5a645;;111111118;Vodacom Life 20260324;;;;;NA;5;2026-05-23 09:04:36+02;system;2026-03-24 09:54:08+02;2026-03-24 09:54:08+02;;;;;;;;;27725870855;;;;;;;;prepaid life;;;;;</t>
  </si>
  <si>
    <t>ID_2869</t>
  </si>
  <si>
    <t>13864072;d7156829-003b-4897-b50a-e3d1d64d42a4;;111111118;Vodacom Life 20260324;;;;;CU;5;2026-05-23 0</t>
  </si>
  <si>
    <t>13864072;d7156829-003b-4897-b50a-e3d1d64d42a4;;111111118;Vodacom Life 20260324;;;;;CU;5;2026-05-23 09:04:36+02;Maureen Ntsoko;2026-03-24 09:54:08+02;2026-03-24 09:54:08+02;;;;;;;;;27726309225;;;;;;;;prepaid life;;;;;</t>
  </si>
  <si>
    <t>ID_2870</t>
  </si>
  <si>
    <t>13864032;0647fe8d-7416-4af0-8d2c-ea4139bb7f2c;;111111118;Vodacom Life 20260324;;;;;U;2;2026-03-26 14</t>
  </si>
  <si>
    <t>13864032;0647fe8d-7416-4af0-8d2c-ea4139bb7f2c;;111111118;Vodacom Life 20260324;;;;;U;2;2026-03-26 14:20:10+02;Esther Ramalete;2026-03-24 09:54:08+02;2026-03-24 09:54:08+02;;;;;;;;;27714788161;;;;;;;;prepaid life;;;;;</t>
  </si>
  <si>
    <t>ID_2871</t>
  </si>
  <si>
    <t xml:space="preserve">13864159;ae2b60a1-c5f4-48e3-a4c2-46a5da94a995;;111111118;Vodacom Life 20260324;;;;;ADC;5;2026-05-25 </t>
  </si>
  <si>
    <t>13864159;ae2b60a1-c5f4-48e3-a4c2-46a5da94a995;;111111118;Vodacom Life 20260324;;;;;ADC;5;2026-05-25 10:32:40+02;system;2026-03-24 09:54:08+02;2026-03-24 09:54:08+02;;;;;;;;;27772786211;;;;;;;;prepaid life;;;;;</t>
  </si>
  <si>
    <t>ID_2872</t>
  </si>
  <si>
    <t>13864033;5081b306-9b07-45fb-8434-e9adb233df6d;;111111118;Vodacom Life 20260324;;;;;DROP;5;2026-05-23</t>
  </si>
  <si>
    <t>13864033;5081b306-9b07-45fb-8434-e9adb233df6d;;111111118;Vodacom Life 20260324;;;;;DROP;5;2026-05-23 09:44:39+02;system;2026-03-24 09:54:08+02;2026-03-24 09:54:08+02;;;;;;;;;27714811301;;;;;;;;prepaid life;;;;;</t>
  </si>
  <si>
    <t>ID_2873</t>
  </si>
  <si>
    <t>13864034;2fe3c45d-126e-477e-be1e-ab8851413268;;111111118;Vodacom Life 20260324;;;27714822351;;IABDN;</t>
  </si>
  <si>
    <t>13864034;2fe3c45d-126e-477e-be1e-ab8851413268;;111111118;Vodacom Life 20260324;;;27714822351;;IABDN;5;2026-05-23 09:48:02+02;system;2026-03-24 09:54:08+02;2026-03-24 09:54:08+02;;;;;;;;;27714822351;;;;;;;;prepaid life;;;;;</t>
  </si>
  <si>
    <t>ID_2874</t>
  </si>
  <si>
    <t>13864074;c3cb364f-9d43-4b75-a4ac-3663a6bd1e23;;111111118;Vodacom Life 20260324;;;;;AE;5;2026-05-23 1</t>
  </si>
  <si>
    <t>13864074;c3cb364f-9d43-4b75-a4ac-3663a6bd1e23;;111111118;Vodacom Life 20260324;;;;;AE;5;2026-05-23 11:03:33+02;system;2026-03-24 09:54:08+02;2026-03-24 09:54:08+02;;;;;;;;;27727181990;;;;;;;;prepaid life;;;;;</t>
  </si>
  <si>
    <t>ID_2875</t>
  </si>
  <si>
    <t>13864160;785a7276-9570-4844-8fe9-08e5f6d3736d;;111111118;Vodacom Life 20260324;;;;;NI;2;2026-04-09 1</t>
  </si>
  <si>
    <t>13864160;785a7276-9570-4844-8fe9-08e5f6d3736d;;111111118;Vodacom Life 20260324;;;;;NI;2;2026-04-09 11:30:00+02;Maureen Ntsoko;2026-03-24 09:54:08+02;2026-03-24 09:54:08+02;;;;;;;;;27772932338;;;;;;;;prepaid life;;;;;</t>
  </si>
  <si>
    <t>ID_2876</t>
  </si>
  <si>
    <t xml:space="preserve">13864161;2b95df39-bf28-4779-8fc9-7887f0fd2edf;;111111118;Vodacom Life 20260324;;;;;ADC;5;2026-05-23 </t>
  </si>
  <si>
    <t>13864161;2b95df39-bf28-4779-8fc9-7887f0fd2edf;;111111118;Vodacom Life 20260324;;;;;ADC;5;2026-05-23 11:14:24+02;system;2026-03-24 09:54:08+02;2026-03-24 09:54:08+02;;;;;;;;;27773866749;;;;;;;;prepaid life;;;;;</t>
  </si>
  <si>
    <t>ID_2877</t>
  </si>
  <si>
    <t>13864035;aa662b8c-fc0b-4341-a7d2-965ad53c70e5;;111111118;Vodacom Life 20260324;;;;;AA;5;2026-05-23 0</t>
  </si>
  <si>
    <t>13864035;aa662b8c-fc0b-4341-a7d2-965ad53c70e5;;111111118;Vodacom Life 20260324;;;;;AA;5;2026-05-23 09:45:39+02;system;2026-03-24 09:54:08+02;2026-03-24 09:54:08+02;;;;;;;;;27714860329;;;;;;;;prepaid life;;;;;</t>
  </si>
  <si>
    <t>ID_2878</t>
  </si>
  <si>
    <t>13864162;91ac196b-44c2-4e19-83ac-ab85a7ae9021;;111111118;Vodacom Life 20260324;;;;;AA;5;2026-05-23 1</t>
  </si>
  <si>
    <t>13864162;91ac196b-44c2-4e19-83ac-ab85a7ae9021;;111111118;Vodacom Life 20260324;;;;;AA;5;2026-05-23 11:14:24+02;system;2026-03-24 09:54:08+02;2026-03-24 09:54:08+02;;;;;;;;;27786712448;;;;;;;;prepaid life;;;;;</t>
  </si>
  <si>
    <t>ID_2879</t>
  </si>
  <si>
    <t>13864163;343d6b1d-1faf-4965-9625-7b233b5ac2b6;;111111118;Vodacom Life 20260324;;;;;AA;5;2026-05-23 1</t>
  </si>
  <si>
    <t>13864163;343d6b1d-1faf-4965-9625-7b233b5ac2b6;;111111118;Vodacom Life 20260324;;;;;AA;5;2026-05-23 11:14:24+02;system;2026-03-24 09:54:08+02;2026-03-24 09:54:08+02;;;;;;;;;27790221699;;;;;;;;prepaid life;;;;;</t>
  </si>
  <si>
    <t>ID_2880</t>
  </si>
  <si>
    <t>13864075;6dc049af-846d-49ab-a474-59a4bf9da86c;;111111118;Vodacom Life 20260324;;;;;NIUP;1;2026-03-30</t>
  </si>
  <si>
    <t>13864075;6dc049af-846d-49ab-a474-59a4bf9da86c;;111111118;Vodacom Life 20260324;;;;;NIUP;1;2026-03-30 12:03:36+02;Thandile Nokubeni;2026-03-24 09:54:08+02;2026-03-24 09:54:08+02;;;;;;;;;27727433204;;;;;;;;prepaid life;;;;;</t>
  </si>
  <si>
    <t>ID_2881</t>
  </si>
  <si>
    <t>13864036;8f1ca32c-8d1d-4a2b-8611-1e1ed517c03f;;111111118;Vodacom Life 20260324;;;27715071730;;IABDN;</t>
  </si>
  <si>
    <t>13864036;8f1ca32c-8d1d-4a2b-8611-1e1ed517c03f;;111111118;Vodacom Life 20260324;;;27715071730;;IABDN;5;2026-05-23 10:56:42+02;system;2026-03-24 09:54:08+02;2026-03-24 09:54:08+02;;;;;;;;;27715071730;;;;;;;;prepaid life;;;;;</t>
  </si>
  <si>
    <t>ID_2882</t>
  </si>
  <si>
    <t>13864076;cef743a9-64e2-4abe-aec3-d4889fc19cc7;;111111118;Vodacom Life 20260324;;;;;AA;5;2026-05-23 0</t>
  </si>
  <si>
    <t>13864076;cef743a9-64e2-4abe-aec3-d4889fc19cc7;;111111118;Vodacom Life 20260324;;;;;AA;5;2026-05-23 09:03:03+02;system;2026-03-24 09:54:08+02;2026-03-24 09:54:08+02;;;;;;;;;27727542988;;;;;;;;prepaid life;;;;;</t>
  </si>
  <si>
    <t>ID_2883</t>
  </si>
  <si>
    <t>13864037;d73d17ef-00ae-4c6b-8ade-a14c981dcaa5;;111111118;Vodacom Life 20260324;;;;;AE;5;2026-05-25 1</t>
  </si>
  <si>
    <t>13864037;d73d17ef-00ae-4c6b-8ade-a14c981dcaa5;;111111118;Vodacom Life 20260324;;;;;AE;5;2026-05-25 10:27:40+02;system;2026-03-24 09:54:08+02;2026-03-24 09:54:08+02;;;;;;;;;27715197826;;;;;;;;prepaid life;;;;;</t>
  </si>
  <si>
    <t>ID_2884</t>
  </si>
  <si>
    <t xml:space="preserve">13864077;b5c914b1-53ef-4802-bacb-e3c7e81ead2f;;111111118;Vodacom Life 20260324;;;;;ADC;5;2026-05-23 </t>
  </si>
  <si>
    <t>13864077;b5c914b1-53ef-4802-bacb-e3c7e81ead2f;;111111118;Vodacom Life 20260324;;;;;ADC;5;2026-05-23 09:03:03+02;system;2026-03-24 09:54:08+02;2026-03-24 09:54:08+02;;;;;;;;;27727574700;;;;;;;;prepaid life;;;;;</t>
  </si>
  <si>
    <t>ID_2885</t>
  </si>
  <si>
    <t>13864164;e5e8e81f-ab60-43d5-93d9-910465cf289e;;111111118;Vodacom Life 20260324;;;;;DROP;5;2026-05-23</t>
  </si>
  <si>
    <t>13864164;e5e8e81f-ab60-43d5-93d9-910465cf289e;;111111118;Vodacom Life 20260324;;;;;DROP;5;2026-05-23 11:14:25+02;system;2026-03-24 09:54:08+02;2026-03-24 09:54:08+02;;;;;;;;;27790585537;;;;;;;;prepaid life;;;;;</t>
  </si>
  <si>
    <t>ID_2886</t>
  </si>
  <si>
    <t>13864165;72f124e8-21aa-43c3-945b-08c88812f87b;;111111118;Vodacom Life 20260324;;;;;AA;5;2026-05-25 1</t>
  </si>
  <si>
    <t>13864165;72f124e8-21aa-43c3-945b-08c88812f87b;;111111118;Vodacom Life 20260324;;;;;AA;5;2026-05-25 10:33:17+02;system;2026-03-24 09:54:08+02;2026-03-24 09:54:08+02;;;;;;;;;27790661667;;;;;;;;prepaid life;;;;;</t>
  </si>
  <si>
    <t>ID_2887</t>
  </si>
  <si>
    <t>13864038;94165d14-029d-46a0-ac9c-8ef17a967a58;;111111118;Vodacom Life 20260324;;;;;AE;5;2026-05-23 1</t>
  </si>
  <si>
    <t>13864038;94165d14-029d-46a0-ac9c-8ef17a967a58;;111111118;Vodacom Life 20260324;;;;;AE;5;2026-05-23 10:56:16+02;system;2026-03-24 09:54:08+02;2026-03-24 09:54:08+02;;;;;;;;;27715209944;;;;;;;;prepaid life;;;;;</t>
  </si>
  <si>
    <t>ID_2888</t>
  </si>
  <si>
    <t>13864166;cc3aa336-1dfc-4b9e-bf8b-de0be616a5f5;;111111118;Vodacom Life 20260324;;;;;CU;5;2026-05-25 1</t>
  </si>
  <si>
    <t>13864166;cc3aa336-1dfc-4b9e-bf8b-de0be616a5f5;;111111118;Vodacom Life 20260324;;;;;CU;5;2026-05-25 10:33:17+02;bongiwe lushaba;2026-03-24 09:54:08+02;2026-03-24 09:54:08+02;;;;;;;;;27790676521;;;;;;;;prepaid life;;;;;</t>
  </si>
  <si>
    <t>ID_2889</t>
  </si>
  <si>
    <t>13864078;7847f98b-1330-4073-9891-a5e4085a8d6d;;111111118;Vodacom Life 20260324;;;;;NA;5;2026-05-23 0</t>
  </si>
  <si>
    <t>13864078;7847f98b-1330-4073-9891-a5e4085a8d6d;;111111118;Vodacom Life 20260324;;;;;NA;5;2026-05-23 09:03:03+02;system;2026-03-24 09:54:08+02;2026-03-24 09:54:08+02;;;;;;;;;27727870914;;;;;;;;prepaid life;;;;;</t>
  </si>
  <si>
    <t>ID_2890</t>
  </si>
  <si>
    <t>13864039;fbf0a53e-391b-4277-9b02-6d25370b1499;;111111118;Vodacom Life 20260324;;;;;U;3;2026-04-15 10</t>
  </si>
  <si>
    <t>13864039;fbf0a53e-391b-4277-9b02-6d25370b1499;;111111118;Vodacom Life 20260324;;;;;U;3;2026-04-15 10:42:11+02;Seboifeng Mogola;2026-03-24 09:54:08+02;2026-03-24 09:54:08+02;;;;;;;;;27715469973;;;;;;;;prepaid life;;;;;</t>
  </si>
  <si>
    <t>ID_2891</t>
  </si>
  <si>
    <t>13864079;d8042cbd-03da-4124-aed6-3d5afe5f1959;;111111118;Vodacom Life 20260324;;;;;CBACK;3;2026-04-1</t>
  </si>
  <si>
    <t>13864079;d8042cbd-03da-4124-aed6-3d5afe5f1959;;111111118;Vodacom Life 20260324;;;;;CBACK;3;2026-04-15 10:45:28+02;Thandile Nokubeni;2026-03-24 09:54:08+02;2026-03-24 09:54:08+02;;;;;;;;;27727918932;;;;;;;;prepaid life;;;;;</t>
  </si>
  <si>
    <t>ID_2892</t>
  </si>
  <si>
    <t>13864167;8112cfaa-a76a-4306-8f70-003154183267;;111111118;Vodacom Life 20260324;;;;;CBACK;4;2026-05-2</t>
  </si>
  <si>
    <t>13864167;8112cfaa-a76a-4306-8f70-003154183267;;111111118;Vodacom Life 20260324;;;;;CBACK;4;2026-05-20 10:22:06+02;Maureen Ntsoko;2026-03-24 09:54:08+02;2026-03-24 09:54:08+02;;;;;;;;;27791294602;;;;;;;;prepaid life;;;;;</t>
  </si>
  <si>
    <t>ID_2893</t>
  </si>
  <si>
    <t>13864040;a4e0b0af-6bc2-4f41-8e6f-937bc6180e23;;111111118;Vodacom Life 20260324;;;;;AE;5;2026-05-23 0</t>
  </si>
  <si>
    <t>13864040;a4e0b0af-6bc2-4f41-8e6f-937bc6180e23;;111111118;Vodacom Life 20260324;;;;;AE;5;2026-05-23 09:40:54+02;system;2026-03-24 09:54:08+02;2026-03-24 09:54:08+02;;;;;;;;;27715707152;;;;;;;;prepaid life;;;;;</t>
  </si>
  <si>
    <t>ID_2894</t>
  </si>
  <si>
    <t>13864168;ff62aad2-ca18-4828-97a1-b4f65c9bf640;;111111118;Vodacom Life 20260324;;;;;NA;5;2026-05-25 1</t>
  </si>
  <si>
    <t>13864168;ff62aad2-ca18-4828-97a1-b4f65c9bf640;;111111118;Vodacom Life 20260324;;;;;NA;5;2026-05-25 10:33:17+02;system;2026-03-24 09:54:08+02;2026-03-24 09:54:08+02;;;;;;;;;27791445261;;;;;;;;prepaid life;;;;;</t>
  </si>
  <si>
    <t>ID_2895</t>
  </si>
  <si>
    <t>13864080;2398b71c-d414-421a-a4cc-6d32b7483ce8;;111111118;Vodacom Life 20260324;;;;;AA;5;2026-05-23 0</t>
  </si>
  <si>
    <t>13864080;2398b71c-d414-421a-a4cc-6d32b7483ce8;;111111118;Vodacom Life 20260324;;;;;AA;5;2026-05-23 09:03:03+02;system;2026-03-24 09:54:08+02;2026-03-24 09:54:08+02;;;;;;;;;27728197864;;;;;;;;prepaid life;;;;;</t>
  </si>
  <si>
    <t>ID_2896</t>
  </si>
  <si>
    <t>13864041;3e0a3bc2-c32c-4344-9eb3-125b5848de0a;;111111118;Vodacom Life 20260324;;;27715819034;;N;9;20</t>
  </si>
  <si>
    <t>13864041;3e0a3bc2-c32c-4344-9eb3-125b5848de0a;;111111118;Vodacom Life 20260324;;;27715819034;;N;9;2026-05-21 11:31:43+02;bongiwe lushaba;2026-03-24 09:54:08+02;2026-03-24 09:54:08+02;;;;;;;;;27715819034;;;;;;;;prepaid life;;;;;</t>
  </si>
  <si>
    <t>ID_2897</t>
  </si>
  <si>
    <t>13864081;ba2308d5-75c8-4bea-83c7-2fee77a013d1;;111111118;Vodacom Life 20260324;;;;;NI;1;2026-04-01 1</t>
  </si>
  <si>
    <t>13864081;ba2308d5-75c8-4bea-83c7-2fee77a013d1;;111111118;Vodacom Life 20260324;;;;;NI;1;2026-04-01 12:47:55+02;Maureen Ntsoko;2026-03-24 09:54:08+02;2026-03-24 09:54:08+02;;;;;;;;;27728521368;;;;;;;;prepaid life;;;;;</t>
  </si>
  <si>
    <t>ID_2898</t>
  </si>
  <si>
    <t>13864169;a6c8c9bd-1bbc-4ea6-8284-04243e5633c7;;111111118;Vodacom Life 20260324;;;;;NI;3;2026-04-15 0</t>
  </si>
  <si>
    <t>13864169;a6c8c9bd-1bbc-4ea6-8284-04243e5633c7;;111111118;Vodacom Life 20260324;;;;;NI;3;2026-04-15 08:43:32+02;Maureen Ntsoko;2026-03-24 09:54:08+02;2026-03-24 09:54:08+02;;;;;;;;;27791525256;;;;;;;;prepaid life;;;;;</t>
  </si>
  <si>
    <t>ID_2899</t>
  </si>
  <si>
    <t>13864042;6611d986-09f4-4745-8fe3-ba2922846a8c;;111111118;Vodacom Life 20260324;;;;;NA;5;2026-05-23 0</t>
  </si>
  <si>
    <t>13864042;6611d986-09f4-4745-8fe3-ba2922846a8c;;111111118;Vodacom Life 20260324;;;;;NA;5;2026-05-23 09:40:54+02;system;2026-03-24 09:54:08+02;2026-03-24 09:54:08+02;;;;;;;;;27716356203;;;;;;;;prepaid life;;;;;</t>
  </si>
  <si>
    <t>ID_2900</t>
  </si>
  <si>
    <t>13864170;d8e00080-9e85-49ed-8d6c-155a9c032782;;111111118;Vodacom Life 20260324;;;;;NA;5;2026-05-25 1</t>
  </si>
  <si>
    <t>13864170;d8e00080-9e85-49ed-8d6c-155a9c032782;;111111118;Vodacom Life 20260324;;;;;NA;5;2026-05-25 10:33:21+02;system;2026-03-24 09:54:08+02;2026-03-24 09:54:08+02;;;;;;;;;27791556474;;;;;;;;prepaid life;;;;;</t>
  </si>
  <si>
    <t>ID_2901</t>
  </si>
  <si>
    <t>13864082;e5de62b3-c2fa-4d24-86ec-4d10d9cb98af;;111111118;Vodacom Life 20260324;;;;;AE;5;2026-05-23 1</t>
  </si>
  <si>
    <t>13864082;e5de62b3-c2fa-4d24-86ec-4d10d9cb98af;;111111118;Vodacom Life 20260324;;;;;AE;5;2026-05-23 11:03:35+02;system;2026-03-24 09:54:08+02;2026-03-24 09:54:08+02;;;;;;;;;27728582493;;;;;;;;prepaid life;;;;;</t>
  </si>
  <si>
    <t>ID_2902</t>
  </si>
  <si>
    <t>13864043;829915ae-f954-4b75-9180-c0eb8bfae3db;;111111118;Vodacom Life 20260324;;;;;AA;5;2026-05-23 0</t>
  </si>
  <si>
    <t>13864043;829915ae-f954-4b75-9180-c0eb8bfae3db;;111111118;Vodacom Life 20260324;;;;;AA;5;2026-05-23 09:40:54+02;system;2026-03-24 09:54:08+02;2026-03-24 09:54:08+02;;;;;;;;;27716860536;;;;;;;;prepaid life;;;;;</t>
  </si>
  <si>
    <t>ID_2903</t>
  </si>
  <si>
    <t>13864083;925215eb-77ea-4a90-8d4d-19f53f3ed391;;111111118;Vodacom Life 20260324;;;;;DNQS;1;2026-03-26</t>
  </si>
  <si>
    <t>13864083;925215eb-77ea-4a90-8d4d-19f53f3ed391;;111111118;Vodacom Life 20260324;;;;;DNQS;1;2026-03-26 12:31:19+02;Seboifeng Mogola;2026-03-24 09:54:08+02;2026-03-24 09:54:08+02;;;;;;;;;27729002920;;;;;;;;prepaid life;;;;;</t>
  </si>
  <si>
    <t>ID_2904</t>
  </si>
  <si>
    <t>13864171;00c1936d-65c5-4133-8a6c-d49efdb55318;;111111118;Vodacom Life 20260324;;;;;NI;4;2026-05-20 0</t>
  </si>
  <si>
    <t>13864171;00c1936d-65c5-4133-8a6c-d49efdb55318;;111111118;Vodacom Life 20260324;;;;;NI;4;2026-05-20 09:36:02+02;Maureen Ntsoko;2026-03-24 09:54:08+02;2026-03-24 09:54:08+02;;;;;;;;;27791632770;;;;;;;;prepaid life;;;;;</t>
  </si>
  <si>
    <t>ID_2905</t>
  </si>
  <si>
    <t>13864044;dcee786d-7e42-4323-a152-b430b1019806;;111111118;Vodacom Life 20260324;;;27720164642;;A;5;20</t>
  </si>
  <si>
    <t>13864044;dcee786d-7e42-4323-a152-b430b1019806;;111111118;Vodacom Life 20260324;;;27720164642;;A;5;2026-05-23 09:45:58+02;bongiwe lushaba;2026-03-24 09:54:08+02;2026-03-24 09:54:08+02;;;;;;;;;27720164642;;;;;;;;prepaid life;;;;;</t>
  </si>
  <si>
    <t>ID_2906</t>
  </si>
  <si>
    <t>13864172;fac0283c-bccf-4ea4-94ab-2093a678fc04;;111111118;Vodacom Life 20260324;;;;;DROP;5;2026-05-23</t>
  </si>
  <si>
    <t>13864172;fac0283c-bccf-4ea4-94ab-2093a678fc04;;111111118;Vodacom Life 20260324;;;;;DROP;5;2026-05-23 12:03:11+02;system;2026-03-24 09:54:08+02;2026-03-24 09:54:08+02;;;;;;;;;27792152820;;;;;;;;prepaid life;;;;;</t>
  </si>
  <si>
    <t>ID_2907</t>
  </si>
  <si>
    <t>13864173;e6ac2540-f5e4-4297-acc6-87cdc7790cb8;;111111118;Vodacom Life 20260324;;;;;CBACK;1;2026-04-0</t>
  </si>
  <si>
    <t>13864173;e6ac2540-f5e4-4297-acc6-87cdc7790cb8;;111111118;Vodacom Life 20260324;;;;;CBACK;1;2026-04-01 12:45:27+02;Maureen Ntsoko;2026-03-24 09:54:08+02;2026-03-24 09:54:08+02;;;;;;;;;27792466047;;;;;;;;prepaid life;;;;;</t>
  </si>
  <si>
    <t>ID_2908</t>
  </si>
  <si>
    <t>13864084;e3d317f4-0e16-4cbc-8380-24d079cdf333;;111111118;Vodacom Life 20260324;;;;;AE;5;2026-05-25 1</t>
  </si>
  <si>
    <t>13864084;e3d317f4-0e16-4cbc-8380-24d079cdf333;;111111118;Vodacom Life 20260324;;;;;AE;5;2026-05-25 10:28:14+02;system;2026-03-24 09:54:08+02;2026-03-24 09:54:08+02;;;;;;;;;27729118454;;;;;;;;prepaid life;;;;;</t>
  </si>
  <si>
    <t>ID_2909</t>
  </si>
  <si>
    <t>13864085;599c5371-9445-4763-987c-68b6c3fbf70b;;111111118;Vodacom Life 20260324;;;;;AA;5;2026-05-25 1</t>
  </si>
  <si>
    <t>13864085;599c5371-9445-4763-987c-68b6c3fbf70b;;111111118;Vodacom Life 20260324;;;;;AA;5;2026-05-25 10:28:15+02;system;2026-03-24 09:54:08+02;2026-03-24 09:54:08+02;;;;;;;;;27729218276;;;;;;;;prepaid life;;;;;</t>
  </si>
  <si>
    <t>ID_2910</t>
  </si>
  <si>
    <t>13864045;d4bf6dc8-068a-4d22-ad15-1cf45bbb2c5f;;111111118;Vodacom Life 20260324;;;;;DROP;5;2026-05-23</t>
  </si>
  <si>
    <t>13864045;d4bf6dc8-068a-4d22-ad15-1cf45bbb2c5f;;111111118;Vodacom Life 20260324;;;;;DROP;5;2026-05-23 10:56:17+02;system;2026-03-24 09:54:08+02;2026-03-24 09:54:08+02;;;;;;;;;27720282676;;;;;;;;prepaid life;;;;;</t>
  </si>
  <si>
    <t>ID_2911</t>
  </si>
  <si>
    <t>13864174;60d30f4b-7fb4-4213-9316-9f50dcbe13b7;;111111118;Vodacom Life 20260324;;;;;DROP;5;2026-05-23</t>
  </si>
  <si>
    <t>13864174;60d30f4b-7fb4-4213-9316-9f50dcbe13b7;;111111118;Vodacom Life 20260324;;;;;DROP;5;2026-05-23 12:03:11+02;system;2026-03-24 09:54:08+02;2026-03-24 09:54:08+02;;;;;;;;;27793584736;;;;;;;;prepaid life;;;;;</t>
  </si>
  <si>
    <t>ID_2912</t>
  </si>
  <si>
    <t>13864046;36181fb8-9852-45ed-b023-0ad02ef25860;;111111118;Vodacom Life 20260324;;;27720346453;;DROP;5</t>
  </si>
  <si>
    <t>13864046;36181fb8-9852-45ed-b023-0ad02ef25860;;111111118;Vodacom Life 20260324;;;27720346453;;DROP;5;2026-05-23 09:36:07+02;system;2026-03-24 09:54:08+02;2026-03-24 09:54:08+02;;;;;;;;;27720346453;;;;;;;;prepaid life;;;;;</t>
  </si>
  <si>
    <t>ID_2913</t>
  </si>
  <si>
    <t>13864175;a1c1fb21-e2a9-466a-bb58-7d8b4fb056ae;;111111118;Vodacom Life 20260324;;;;;CBACK;1;2026-04-0</t>
  </si>
  <si>
    <t>13864175;a1c1fb21-e2a9-466a-bb58-7d8b4fb056ae;;111111118;Vodacom Life 20260324;;;;;CBACK;1;2026-04-01 11:51:54+02;Esther Ramalete;2026-03-24 09:54:08+02;2026-03-24 09:54:08+02;;;;;;;;;27793744567;;;;;;;;prepaid life;;;;;</t>
  </si>
  <si>
    <t>ID_2914</t>
  </si>
  <si>
    <t>13864086;fc52d575-d322-4d86-9cd9-1e889028deda;;111111118;Vodacom Life 20260324;;;;;CBACK;5;2026-05-2</t>
  </si>
  <si>
    <t>13864086;fc52d575-d322-4d86-9cd9-1e889028deda;;111111118;Vodacom Life 20260324;;;;;CBACK;5;2026-05-25 10:28:21+02;Maureen Ntsoko;2026-03-24 09:54:08+02;2026-03-24 09:54:08+02;;;;;;;;;27729225793;;;;;;;;prepaid life;;;;;</t>
  </si>
  <si>
    <t>ID_2915</t>
  </si>
  <si>
    <t>13864047;08c3fca2-41ba-42d0-b62b-9f0f3e6fc700;;111111118;Vodacom Life 20260324;;;27721046445;;AE;5;2</t>
  </si>
  <si>
    <t>13864047;08c3fca2-41ba-42d0-b62b-9f0f3e6fc700;;111111118;Vodacom Life 20260324;;;27721046445;;AE;5;2026-05-26 08:03:49+02;system;2026-03-24 09:54:08+02;2026-03-24 09:54:08+02;;;;;;;;;27721046445;;;;;;;;prepaid life;;;;;</t>
  </si>
  <si>
    <t>ID_2916</t>
  </si>
  <si>
    <t>13864087;fa5290bf-6be3-48ff-b6f2-6e821dae9a8f;;111111118;Vodacom Life 20260324;;;27729277577;;A;5;20</t>
  </si>
  <si>
    <t>13864087;fa5290bf-6be3-48ff-b6f2-6e821dae9a8f;;111111118;Vodacom Life 20260324;;;27729277577;;A;5;2026-05-25 11:55:23+02;bongiwe lushaba;2026-03-24 09:54:08+02;2026-03-24 09:54:08+02;;;;;;;;;27729277577;;;;;;;;prepaid life;;;;;</t>
  </si>
  <si>
    <t>ID_2917</t>
  </si>
  <si>
    <t>13864176;28ec7e23-2d8f-4c0a-a5f0-6a42c0da2b0c;;111111118;Vodacom Life 20260324;;;;;NA;5;2026-05-23 1</t>
  </si>
  <si>
    <t>13864176;28ec7e23-2d8f-4c0a-a5f0-6a42c0da2b0c;;111111118;Vodacom Life 20260324;;;;;NA;5;2026-05-23 11:14:54+02;system;2026-03-24 09:54:08+02;2026-03-24 09:54:08+02;;;;;;;;;27793840541;;;;;;;;prepaid life;;;;;</t>
  </si>
  <si>
    <t>ID_2918</t>
  </si>
  <si>
    <t>13864048;85a7f4d8-c770-42c9-af9e-82a4bf997cb2;;111111118;Vodacom Life 20260324;;;;;NA;5;2026-05-23 0</t>
  </si>
  <si>
    <t>13864048;85a7f4d8-c770-42c9-af9e-82a4bf997cb2;;111111118;Vodacom Life 20260324;;;;;NA;5;2026-05-23 09:36:07+02;system;2026-03-24 09:54:08+02;2026-03-24 09:54:08+02;;;;;;;;;27721232138;;;;;;;;prepaid life;;;;;</t>
  </si>
  <si>
    <t>ID_2919</t>
  </si>
  <si>
    <t xml:space="preserve">13864177;eebb1e8a-5941-40a5-afe4-b3cbca430e58;;111111118;Vodacom Life 20260324;;;;;ADC;5;2026-05-23 </t>
  </si>
  <si>
    <t>13864177;eebb1e8a-5941-40a5-afe4-b3cbca430e58;;111111118;Vodacom Life 20260324;;;;;ADC;5;2026-05-23 12:03:11+02;system;2026-03-24 09:54:08+02;2026-03-24 09:54:08+02;;;;;;;;;27793885383;;;;;;;;prepaid life;;;;;</t>
  </si>
  <si>
    <t>ID_2920</t>
  </si>
  <si>
    <t>13864049;dc0e28d9-69e3-41d6-856a-5c4aaeb86b2c;;111111118;Vodacom Life 20260324;;;;;AA;5;2026-05-23 0</t>
  </si>
  <si>
    <t>13864049;dc0e28d9-69e3-41d6-856a-5c4aaeb86b2c;;111111118;Vodacom Life 20260324;;;;;AA;5;2026-05-23 09:36:07+02;system;2026-03-24 09:54:08+02;2026-03-24 09:54:08+02;;;;;;;;;27721352234;;;;;;;;prepaid life;;;;;</t>
  </si>
  <si>
    <t>ID_2921</t>
  </si>
  <si>
    <t>13864088;a84c5cec-fda7-477c-aac2-c67671baab72;;111111118;Vodacom Life 20260324;;;;;A;5;2026-04-02 14</t>
  </si>
  <si>
    <t>13864088;a84c5cec-fda7-477c-aac2-c67671baab72;;111111118;Vodacom Life 20260324;;;;;A;5;2026-04-02 14:08:21+02;Thandile Nokubeni;2026-03-24 09:54:08+02;2026-03-24 09:54:08+02;;;;;;;;;27729640008;;;;;;;;prepaid life;;;;;</t>
  </si>
  <si>
    <t>ID_2922</t>
  </si>
  <si>
    <t>13864050;334a6fb5-e8f5-487b-b917-56c91bc0da1e;;111111118;Vodacom Life 20260324;;;;;CU;5;2026-05-23 0</t>
  </si>
  <si>
    <t>13864050;334a6fb5-e8f5-487b-b917-56c91bc0da1e;;111111118;Vodacom Life 20260324;;;;;CU;5;2026-05-23 09:36:07+02;bongiwe lushaba;2026-03-24 09:54:08+02;2026-03-24 09:54:08+02;;;;;;;;;27721397500;;;;;;;;prepaid life;;;;;</t>
  </si>
  <si>
    <t>ID_2923</t>
  </si>
  <si>
    <t>13864089;44058a6c-94bd-4b29-bd0f-cb77a36ff424;;111111118;Vodacom Life 20260324;;;27729671570;;IABDN;</t>
  </si>
  <si>
    <t>13864089;44058a6c-94bd-4b29-bd0f-cb77a36ff424;;111111118;Vodacom Life 20260324;;;27729671570;;IABDN;5;2026-05-25 10:35:51+02;system;2026-03-24 09:54:08+02;2026-03-24 09:54:08+02;;;;;;;;;27729671570;;;;;;;;prepaid life;;;;;</t>
  </si>
  <si>
    <t>ID_2924</t>
  </si>
  <si>
    <t>13864178;15ed8384-e02d-4416-aae5-b545db8f12eb;;111111118;Vodacom Life 20260324;;;;;AA;5;2026-05-23 1</t>
  </si>
  <si>
    <t>13864178;15ed8384-e02d-4416-aae5-b545db8f12eb;;111111118;Vodacom Life 20260324;;;;;AA;5;2026-05-23 11:14:54+02;system;2026-03-24 09:54:08+02;2026-03-24 09:54:08+02;;;;;;;;;27793961742;;;;;;;;prepaid life;;;;;</t>
  </si>
  <si>
    <t>ID_2925</t>
  </si>
  <si>
    <t>13864245;4c729ee1-56dd-4159-97ab-848d42221a9e;;111111118;Vodacom Life 20260324;;;;;DROP;5;2026-05-25</t>
  </si>
  <si>
    <t>13864245;4c729ee1-56dd-4159-97ab-848d42221a9e;;111111118;Vodacom Life 20260324;;;;;DROP;5;2026-05-25 11:10:08+02;system;2026-03-24 09:54:08+02;2026-03-24 09:54:08+02;;;;;;;;;27606910169;;;;;;;;prepaid life;;;;;</t>
  </si>
  <si>
    <t>ID_2926</t>
  </si>
  <si>
    <t>13864246;5b575737-a789-4778-9bd4-85b458e9a0db;;111111118;Vodacom Life 20260324;;;;;NI;3;2026-04-15 0</t>
  </si>
  <si>
    <t>13864246;5b575737-a789-4778-9bd4-85b458e9a0db;;111111118;Vodacom Life 20260324;;;;;NI;3;2026-04-15 08:43:48+02;Thandile Nokubeni;2026-03-24 09:54:08+02;2026-03-24 09:54:08+02;;;;;;;;;27607258076;;;;;;;;prepaid life;;;;;</t>
  </si>
  <si>
    <t>ID_2927</t>
  </si>
  <si>
    <t>13864179;b0114e27-cc48-45c7-8cd7-3f9b2e87202b;;111111118;Vodacom Life 20260324;;;;;AA;5;2026-05-23 1</t>
  </si>
  <si>
    <t>13864179;b0114e27-cc48-45c7-8cd7-3f9b2e87202b;;111111118;Vodacom Life 20260324;;;;;AA;5;2026-05-23 11:14:54+02;system;2026-03-24 09:54:08+02;2026-03-24 09:54:08+02;;;;;;;;;27794064333;;;;;;;;prepaid life;;;;;</t>
  </si>
  <si>
    <t>ID_2928</t>
  </si>
  <si>
    <t>13864090;e86a26d7-11cb-4a08-870c-0b1343487aed;;111111118;Vodacom Life 20260324;;;27733238455;;CU;5;2</t>
  </si>
  <si>
    <t>13864090;e86a26d7-11cb-4a08-870c-0b1343487aed;;111111118;Vodacom Life 20260324;;;27733238455;;CU;5;2026-05-23 11:04:59+02;Maureen Ntsoko;2026-03-24 09:54:08+02;2026-03-24 09:54:08+02;;;;;;;;;27733238455;;;;;;;;prepaid life;;;;;</t>
  </si>
  <si>
    <t>ID_2929</t>
  </si>
  <si>
    <t>13864247;df1ee85e-80c5-4400-a2c7-47a003e9893a;;111111118;Vodacom Life 20260324;;;;;AA;5;2026-05-25 1</t>
  </si>
  <si>
    <t>13864247;df1ee85e-80c5-4400-a2c7-47a003e9893a;;111111118;Vodacom Life 20260324;;;;;AA;5;2026-05-25 11:10:08+02;system;2026-03-24 09:54:08+02;2026-03-24 09:54:08+02;;;;;;;;;27607326687;;;;;;;;prepaid life;;;;;</t>
  </si>
  <si>
    <t>ID_2930</t>
  </si>
  <si>
    <t>13864091;9744ff6e-95a0-49f7-986a-acb9c01d6c50;;111111118;Vodacom Life 20260324;;;;;NA;5;2026-05-23 1</t>
  </si>
  <si>
    <t>13864091;9744ff6e-95a0-49f7-986a-acb9c01d6c50;;111111118;Vodacom Life 20260324;;;;;NA;5;2026-05-23 11:04:35+02;system;2026-03-24 09:54:08+02;2026-03-24 09:54:08+02;;;;;;;;;27735648090;;;;;;;;prepaid life;;;;;</t>
  </si>
  <si>
    <t>ID_2931</t>
  </si>
  <si>
    <t>13864092;ab71a596-87df-4d01-9aa9-3942a2c5d6c5;;111111118;Vodacom Life 20260324;;;;;CBACK;1;2026-04-0</t>
  </si>
  <si>
    <t>13864092;ab71a596-87df-4d01-9aa9-3942a2c5d6c5;;111111118;Vodacom Life 20260324;;;;;CBACK;1;2026-04-01 11:07:31+02;Millicent Motsuku;2026-03-24 09:54:08+02;2026-03-24 09:54:08+02;;;;;;;;;27736149035;;;;;;;;prepaid life;;;;;</t>
  </si>
  <si>
    <t>ID_2932</t>
  </si>
  <si>
    <t>13864248;c0c2902f-eaab-4437-b7fb-5a0f1119579a;;111111118;Vodacom Life 20260324;;;;;AA;5;2026-05-25 0</t>
  </si>
  <si>
    <t>13864248;c0c2902f-eaab-4437-b7fb-5a0f1119579a;;111111118;Vodacom Life 20260324;;;;;AA;5;2026-05-25 08:48:11+02;system;2026-03-24 09:54:08+02;2026-03-24 09:54:08+02;;;;;;;;;27607397038;;;;;;;;prepaid life;;;;;</t>
  </si>
  <si>
    <t>ID_2933</t>
  </si>
  <si>
    <t>13864181;08ef373c-09c7-490d-aba8-37fb403bf423;;111111118;Vodacom Life 20260324;;;;;AA;5;2026-05-23 1</t>
  </si>
  <si>
    <t>13864181;08ef373c-09c7-490d-aba8-37fb403bf423;;111111118;Vodacom Life 20260324;;;;;AA;5;2026-05-23 12:03:12+02;system;2026-03-24 09:54:08+02;2026-03-24 09:54:08+02;;;;;;;;;27794234758;;;;;;;;prepaid life;;;;;</t>
  </si>
  <si>
    <t>ID_2934</t>
  </si>
  <si>
    <t>13864249;e90af162-40f1-4620-8b1b-e66d53e5507e;;111111118;Vodacom Life 20260324;;;;;NIUP;1;2026-04-01</t>
  </si>
  <si>
    <t>13864249;e90af162-40f1-4620-8b1b-e66d53e5507e;;111111118;Vodacom Life 20260324;;;;;NIUP;1;2026-04-01 11:08:15+02;Seboifeng Mogola;2026-03-24 09:54:08+02;2026-03-24 09:54:08+02;;;;;;;;;27607404852;;;;;;;;prepaid life;;;;;</t>
  </si>
  <si>
    <t>ID_2935</t>
  </si>
  <si>
    <t>13864182;7f675ebb-20b6-40ff-9d8c-cc41acc6052b;;111111118;Vodacom Life 20260324;;;27794325208;;IABDN;</t>
  </si>
  <si>
    <t>13864182;7f675ebb-20b6-40ff-9d8c-cc41acc6052b;;111111118;Vodacom Life 20260324;;;27794325208;;IABDN;5;2026-05-23 12:20:25+02;system;2026-03-24 09:54:08+02;2026-03-24 09:54:08+02;;;;;;;;;27794325208;;;;;;;;prepaid life;;;;;</t>
  </si>
  <si>
    <t>ID_2936</t>
  </si>
  <si>
    <t>13864093;5ed327bd-f546-4bf4-8695-1b1bbc8e9884;;111111118;Vodacom Life 20260324;;;;;AA;5;2026-05-23 1</t>
  </si>
  <si>
    <t>13864093;5ed327bd-f546-4bf4-8695-1b1bbc8e9884;;111111118;Vodacom Life 20260324;;;;;AA;5;2026-05-23 11:04:35+02;system;2026-03-24 09:54:08+02;2026-03-24 09:54:08+02;;;;;;;;;27741067606;;;;;;;;prepaid life;;;;;</t>
  </si>
  <si>
    <t>ID_2937</t>
  </si>
  <si>
    <t>13864250;bf5d8ba6-48fd-43c4-9148-6f597679249e;;111111118;Vodacom Life 20260324;;;;;CBACK;4;2026-05-1</t>
  </si>
  <si>
    <t>13864250;bf5d8ba6-48fd-43c4-9148-6f597679249e;;111111118;Vodacom Life 20260324;;;;;CBACK;4;2026-05-19 11:10:35+02;Maureen Ntsoko;2026-03-24 09:54:08+02;2026-03-24 09:54:08+02;;;;;;;;;27607699166;;;;;;;;prepaid life;;;;;</t>
  </si>
  <si>
    <t>ID_2938</t>
  </si>
  <si>
    <t>13864094;d71fb9fc-09cc-47ae-87e5-0f0a54358a61;;111111118;Vodacom Life 20260324;;;;;AA;5;2026-05-23 1</t>
  </si>
  <si>
    <t>13864094;d71fb9fc-09cc-47ae-87e5-0f0a54358a61;;111111118;Vodacom Life 20260324;;;;;AA;5;2026-05-23 11:04:35+02;system;2026-03-24 09:54:08+02;2026-03-24 09:54:08+02;;;;;;;;;27747310975;;;;;;;;prepaid life;;;;;</t>
  </si>
  <si>
    <t>ID_2939</t>
  </si>
  <si>
    <t>13864183;6e90f915-1cb2-43d7-ba1f-7385d233e210;;111111118;Vodacom Life 20260324;;;;;AA;5;2026-05-23 1</t>
  </si>
  <si>
    <t>13864183;6e90f915-1cb2-43d7-ba1f-7385d233e210;;111111118;Vodacom Life 20260324;;;;;AA;5;2026-05-23 12:12:25+02;system;2026-03-24 09:54:08+02;2026-03-24 09:54:08+02;;;;;;;;;27794584969;;;;;;;;prepaid life;;;;;</t>
  </si>
  <si>
    <t>ID_2940</t>
  </si>
  <si>
    <t>13864251;1eab8e9f-49e0-43e7-96c6-efb58555d421;;111111118;Vodacom Life 20260324;;;;;U;3;2026-04-01 14</t>
  </si>
  <si>
    <t>13864251;1eab8e9f-49e0-43e7-96c6-efb58555d421;;111111118;Vodacom Life 20260324;;;;;U;3;2026-04-01 14:31:05+02;Seboifeng Mogola;2026-03-24 09:54:08+02;2026-03-24 09:54:08+02;;;;;;;;;27608016272;;;;;;;;prepaid life;;;;;</t>
  </si>
  <si>
    <t>ID_2941</t>
  </si>
  <si>
    <t>13864184;3eb135ee-cdfa-47d1-a373-392d08ac4e95;;111111118;Vodacom Life 20260324;;;;;U;2;2026-04-09 11</t>
  </si>
  <si>
    <t>13864184;3eb135ee-cdfa-47d1-a373-392d08ac4e95;;111111118;Vodacom Life 20260324;;;;;U;2;2026-04-09 11:26:42+02;Thandile Nokubeni;2026-03-24 09:54:08+02;2026-03-24 09:54:08+02;;;;;;;;;27795429518;;;;;;;;prepaid life;;;;;</t>
  </si>
  <si>
    <t>ID_2942</t>
  </si>
  <si>
    <t>13864095;1fb346c5-7592-4842-ae3c-614151861800;;111111118;Vodacom Life 20260324;;;;;CBACK;2;2026-04-0</t>
  </si>
  <si>
    <t>13864095;1fb346c5-7592-4842-ae3c-614151861800;;111111118;Vodacom Life 20260324;;;;;CBACK;2;2026-04-09 11:33:44+02;bongiwe lushaba;2026-03-24 09:54:08+02;2026-03-24 09:54:08+02;;;;;;;;;27760305915;;;;;;;;prepaid life;;;;;</t>
  </si>
  <si>
    <t>ID_2943</t>
  </si>
  <si>
    <t>13864252;0b7e0a86-efe0-4067-8412-82b484b3e280;;111111118;Vodacom Life 20260324;;;;;NA;5;2026-05-25 1</t>
  </si>
  <si>
    <t>13864252;0b7e0a86-efe0-4067-8412-82b484b3e280;;111111118;Vodacom Life 20260324;;;;;NA;5;2026-05-25 11:10:08+02;system;2026-03-24 09:54:08+02;2026-03-24 09:54:08+02;;;;;;;;;27608349749;;;;;;;;prepaid life;;;;;</t>
  </si>
  <si>
    <t>ID_2944</t>
  </si>
  <si>
    <t>13864096;45107f67-35f6-41e6-b7ec-19242c1a0b7e;;111111118;Vodacom Life 20260324;;;;;AA;5;2026-05-23 1</t>
  </si>
  <si>
    <t>13864096;45107f67-35f6-41e6-b7ec-19242c1a0b7e;;111111118;Vodacom Life 20260324;;;;;AA;5;2026-05-23 12:53:24+02;system;2026-03-24 09:54:08+02;2026-03-24 09:54:08+02;;;;;;;;;27760473975;;;;;;;;prepaid life;;;;;</t>
  </si>
  <si>
    <t>ID_2945</t>
  </si>
  <si>
    <t>13864185;27a0dadd-09f6-47b8-9788-ba64b4be8b75;;111111118;Vodacom Life 20260324;;;27795925312;;CU;5;2</t>
  </si>
  <si>
    <t>13864185;27a0dadd-09f6-47b8-9788-ba64b4be8b75;;111111118;Vodacom Life 20260324;;;27795925312;;CU;5;2026-05-23 12:53:56+02;bongiwe lushaba;2026-03-24 09:54:08+02;2026-03-24 09:54:08+02;;;;;;;;;27795925312;;;;;;;;prepaid life;;;;;</t>
  </si>
  <si>
    <t>ID_2946</t>
  </si>
  <si>
    <t>13864253;cb9e3be3-5b68-4488-9a8f-25a19038f2cf;;111111118;Vodacom Life 20260324;;;27608502598;;CBACK;</t>
  </si>
  <si>
    <t>13864253;cb9e3be3-5b68-4488-9a8f-25a19038f2cf;;111111118;Vodacom Life 20260324;;;27608502598;;CBACK;4;2026-05-07 15:39:28+02;bongiwe lushaba;2026-03-24 09:54:08+02;2026-03-24 09:54:08+02;;;;;;;;;27608502598;;;;;;;;prepaid life;;;;;</t>
  </si>
  <si>
    <t>ID_2947</t>
  </si>
  <si>
    <t>13864186;4aad5a19-c7f9-49a7-859f-a4233c790af7;;111111118;Vodacom Life 20260324;;;;;AA;5;2026-05-23 1</t>
  </si>
  <si>
    <t>13864186;4aad5a19-c7f9-49a7-859f-a4233c790af7;;111111118;Vodacom Life 20260324;;;;;AA;5;2026-05-23 12:04:46+02;system;2026-03-24 09:54:08+02;2026-03-24 09:54:08+02;;;;;;;;;27796519705;;;;;;;;prepaid life;;;;;</t>
  </si>
  <si>
    <t>ID_2948</t>
  </si>
  <si>
    <t>13864097;8967df5b-2ff8-4f4d-a44f-14322ed79afc;;111111118;Vodacom Life 20260324;;;;;NA;5;2026-05-25 1</t>
  </si>
  <si>
    <t>13864097;8967df5b-2ff8-4f4d-a44f-14322ed79afc;;111111118;Vodacom Life 20260324;;;;;NA;5;2026-05-25 11:27:08+02;system;2026-03-24 09:54:08+02;2026-03-24 09:54:08+02;;;;;;;;;27760603371;;;;;;;;prepaid life;;;;;</t>
  </si>
  <si>
    <t>ID_2949</t>
  </si>
  <si>
    <t>13864254;df00f816-c743-4c65-9a20-94aa90c1bd1e;;111111118;Vodacom Life 20260324;;;;;CBACK;5;2026-05-2</t>
  </si>
  <si>
    <t>13864254;df00f816-c743-4c65-9a20-94aa90c1bd1e;;111111118;Vodacom Life 20260324;;;;;CBACK;5;2026-05-23 12:17:39+02;Maureen Ntsoko;2026-03-24 09:54:08+02;2026-03-24 09:54:08+02;;;;;;;;;27608758921;;;;;;;;prepaid life;;;;;</t>
  </si>
  <si>
    <t>ID_2950</t>
  </si>
  <si>
    <t>13864098;39f5b662-e9d4-48b5-aa2d-f0fe2c7a8c24;;111111118;Vodacom Life 20260324;;;;;AE;5;2026-05-25 1</t>
  </si>
  <si>
    <t>13864098;39f5b662-e9d4-48b5-aa2d-f0fe2c7a8c24;;111111118;Vodacom Life 20260324;;;;;AE;5;2026-05-25 12:50:35+02;system;2026-03-24 09:54:08+02;2026-03-24 09:54:08+02;;;;;;;;;27760676394;;;;;;;;prepaid life;;;;;</t>
  </si>
  <si>
    <t>ID_2951</t>
  </si>
  <si>
    <t>13864187;166eb1ea-9653-4a43-9c4e-4b1abb2f0c57;;111111118;Vodacom Life 20260324;;;;;AA;5;2026-05-23 1</t>
  </si>
  <si>
    <t>13864187;166eb1ea-9653-4a43-9c4e-4b1abb2f0c57;;111111118;Vodacom Life 20260324;;;;;AA;5;2026-05-23 12:04:46+02;system;2026-03-24 09:54:08+02;2026-03-24 09:54:08+02;;;;;;;;;27796956709;;;;;;;;prepaid life;;;;;</t>
  </si>
  <si>
    <t>ID_2952</t>
  </si>
  <si>
    <t>13864188;112f9cd4-61e6-4dcd-94f2-2e620ffd36df;;111111118;Vodacom Life 20260324;;;;;CU;5;2026-05-23 1</t>
  </si>
  <si>
    <t>13864188;112f9cd4-61e6-4dcd-94f2-2e620ffd36df;;111111118;Vodacom Life 20260324;;;;;CU;5;2026-05-23 12:04:46+02;bongiwe lushaba;2026-03-24 09:54:08+02;2026-03-24 09:54:08+02;;;;;;;;;27797243939;;;;;;;;prepaid life;;;;;</t>
  </si>
  <si>
    <t>ID_2953</t>
  </si>
  <si>
    <t xml:space="preserve">13864255;7da9dfb8-f6af-4821-85e5-f7a95fa040f2;;111111118;Vodacom Life 20260324;;;;;OAL;2;2026-04-09 </t>
  </si>
  <si>
    <t>13864255;7da9dfb8-f6af-4821-85e5-f7a95fa040f2;;111111118;Vodacom Life 20260324;;;;;OAL;2;2026-04-09 11:21:38+02;Thandile Nokubeni;2026-03-24 09:54:08+02;2026-03-24 09:54:08+02;;;;;;;;;27609018176;;;;;;;;prepaid life;;;;;</t>
  </si>
  <si>
    <t>ID_2954</t>
  </si>
  <si>
    <t>13864189;62eb66e1-48a6-4f0a-acda-d38dfe4254d9;;111111118;Vodacom Life 20260324;;;;;SELECTED;4;2026-0</t>
  </si>
  <si>
    <t>13864189;62eb66e1-48a6-4f0a-acda-d38dfe4254d9;;111111118;Vodacom Life 20260324;;;;;SELECTED;4;2026-04-15 08:42:35+02;system;2026-03-24 09:54:08+02;2026-03-24 09:54:08+02;;;;;;;;;27797481547;;;;;;;;prepaid life;;;;;</t>
  </si>
  <si>
    <t>ID_2955</t>
  </si>
  <si>
    <t>13864190;87cfcce4-1d34-45d4-a82f-838c1986feeb;;111111118;Vodacom Life 20260324;;;;;NA;5;2026-05-23 1</t>
  </si>
  <si>
    <t>13864190;87cfcce4-1d34-45d4-a82f-838c1986feeb;;111111118;Vodacom Life 20260324;;;;;NA;5;2026-05-23 12:04:46+02;system;2026-03-24 09:54:08+02;2026-03-24 09:54:08+02;;;;;;;;;27798014914;;;;;;;;prepaid life;;;;;</t>
  </si>
  <si>
    <t>ID_2956</t>
  </si>
  <si>
    <t>13864191;c40ff0d7-65a1-49ea-96b9-41381a506fef;;111111118;Vodacom Life 20260324;;;;;NA;5;2026-05-23 1</t>
  </si>
  <si>
    <t>13864191;c40ff0d7-65a1-49ea-96b9-41381a506fef;;111111118;Vodacom Life 20260324;;;;;NA;5;2026-05-23 12:05:04+02;system;2026-03-24 09:54:08+02;2026-03-24 09:54:08+02;;;;;;;;;27798048584;;;;;;;;prepaid life;;;;;</t>
  </si>
  <si>
    <t>ID_2957</t>
  </si>
  <si>
    <t>13864099;a6ac0533-55d2-4d7d-ac77-b7ddd206181a;;111111118;Vodacom Life 20260324;;;;;NA;5;2026-05-23 1</t>
  </si>
  <si>
    <t>13864099;a6ac0533-55d2-4d7d-ac77-b7ddd206181a;;111111118;Vodacom Life 20260324;;;;;NA;5;2026-05-23 11:04:41+02;system;2026-03-24 09:54:08+02;2026-03-24 09:54:08+02;;;;;;;;;27760743571;;;;;;;;prepaid life;;;;;</t>
  </si>
  <si>
    <t>ID_2958</t>
  </si>
  <si>
    <t>13864256;f857bba1-611d-478e-8055-dd32e2260347;;111111118;Vodacom Life 20260324;;;;;NIUP;3;2026-04-15</t>
  </si>
  <si>
    <t>13864256;f857bba1-611d-478e-8055-dd32e2260347;;111111118;Vodacom Life 20260324;;;;;NIUP;3;2026-04-15 08:33:32+02;bongiwe lushaba;2026-03-24 09:54:08+02;2026-03-24 09:54:08+02;;;;;;;;;27609439929;;;;;;;;prepaid life;;;;;</t>
  </si>
  <si>
    <t>ID_2959</t>
  </si>
  <si>
    <t>13864100;026e20b5-5fe7-46f1-a54c-2c4024d672a6;;111111118;Vodacom Life 20260324;;;;;U;5;2026-05-25 12</t>
  </si>
  <si>
    <t>13864100;026e20b5-5fe7-46f1-a54c-2c4024d672a6;;111111118;Vodacom Life 20260324;;;;;U;5;2026-05-25 12:43:12+02;Maureen Ntsoko;2026-03-24 09:54:08+02;2026-03-24 09:54:08+02;;;;;;;;;27761060376;;;;;;;;prepaid life;;;;;</t>
  </si>
  <si>
    <t>ID_2960</t>
  </si>
  <si>
    <t xml:space="preserve">13864192;8f752cc9-5ab4-401c-a9c8-c06809b8b798;;111111118;Vodacom Life 20260324;;;;;ADC;5;2026-05-23 </t>
  </si>
  <si>
    <t>13864192;8f752cc9-5ab4-401c-a9c8-c06809b8b798;;111111118;Vodacom Life 20260324;;;;;ADC;5;2026-05-23 12:17:14+02;system;2026-03-24 09:54:08+02;2026-03-24 09:54:08+02;;;;;;;;;27798130625;;;;;;;;prepaid life;;;;;</t>
  </si>
  <si>
    <t>ID_2961</t>
  </si>
  <si>
    <t>13864257;cd9f5a5a-722c-410a-9793-cbbcc81c7c37;;111111118;Vodacom Life 20260324;;;;;AA;5;2026-05-23 1</t>
  </si>
  <si>
    <t>13864257;cd9f5a5a-722c-410a-9793-cbbcc81c7c37;;111111118;Vodacom Life 20260324;;;;;AA;5;2026-05-23 12:31:43+02;system;2026-03-24 09:54:08+02;2026-03-24 09:54:08+02;;;;;;;;;27617238353;;;;;;;;prepaid life;;;;;</t>
  </si>
  <si>
    <t>ID_2962</t>
  </si>
  <si>
    <t>13864193;0d65d8b3-d169-4816-bb11-c8f4ef2f8bd0;;111111118;Vodacom Life 20260324;;;;;CU;5;2026-05-25 0</t>
  </si>
  <si>
    <t>13864193;0d65d8b3-d169-4816-bb11-c8f4ef2f8bd0;;111111118;Vodacom Life 20260324;;;;;CU;5;2026-05-25 08:43:29+02;bongiwe lushaba;2026-03-24 09:54:08+02;2026-03-24 09:54:08+02;;;;;;;;;27798184103;;;;;;;;prepaid life;;;;;</t>
  </si>
  <si>
    <t>ID_2963</t>
  </si>
  <si>
    <t>13864101;620821be-6f38-4224-82f9-9d7946c52d1f;;111111118;Vodacom Life 20260324;;;;;DROP;5;2026-05-23</t>
  </si>
  <si>
    <t>13864101;620821be-6f38-4224-82f9-9d7946c52d1f;;111111118;Vodacom Life 20260324;;;;;DROP;5;2026-05-23 11:05:21+02;system;2026-03-24 09:54:08+02;2026-03-24 09:54:08+02;;;;;;;;;27761156053;;;;;;;;prepaid life;;;;;</t>
  </si>
  <si>
    <t>ID_2964</t>
  </si>
  <si>
    <t>13864258;82c4a524-f686-4a20-ac1f-de76e1c9049a;;111111118;Vodacom Life 20260324;;;27632281950;;IABDN;</t>
  </si>
  <si>
    <t>13864258;82c4a524-f686-4a20-ac1f-de76e1c9049a;;111111118;Vodacom Life 20260324;;;27632281950;;IABDN;5;2026-05-23 12:19:13+02;system;2026-03-24 09:54:08+02;2026-03-24 09:54:08+02;;;;;;;;;27632281950;;;;;;;;prepaid life;;;;;</t>
  </si>
  <si>
    <t>ID_2965</t>
  </si>
  <si>
    <t>13864259;67fe745b-c8b0-448e-ae56-bae55773c68e;;111111118;Vodacom Life 20260324;;;;;DROP;5;2026-05-23</t>
  </si>
  <si>
    <t>13864259;67fe745b-c8b0-448e-ae56-bae55773c68e;;111111118;Vodacom Life 20260324;;;;;DROP;5;2026-05-23 12:17:45+02;system;2026-03-24 09:54:08+02;2026-03-24 09:54:08+02;;;;;;;;;27637001057;;;;;;;;prepaid life;;;;;</t>
  </si>
  <si>
    <t>ID_2966</t>
  </si>
  <si>
    <t>13864102;88d99c7b-fbae-4762-b9b3-71a76565f796;;111111118;Vodacom Life 20260324;;;;;DROP;5;2026-05-23</t>
  </si>
  <si>
    <t>13864102;88d99c7b-fbae-4762-b9b3-71a76565f796;;111111118;Vodacom Life 20260324;;;;;DROP;5;2026-05-23 11:05:21+02;system;2026-03-24 09:54:08+02;2026-03-24 09:54:08+02;;;;;;;;;27761443391;;;;;;;;prepaid life;;;;;</t>
  </si>
  <si>
    <t>ID_2967</t>
  </si>
  <si>
    <t>13864194;06368b10-963f-4802-8099-eda9c29de538;;111111118;Vodacom Life 20260324;;;;;AE;5;2026-05-25 0</t>
  </si>
  <si>
    <t>13864194;06368b10-963f-4802-8099-eda9c29de538;;111111118;Vodacom Life 20260324;;;;;AE;5;2026-05-25 08:43:43+02;system;2026-03-24 09:54:08+02;2026-03-24 09:54:08+02;;;;;;;;;27798421070;;;;;;;;prepaid life;;;;;</t>
  </si>
  <si>
    <t>ID_2968</t>
  </si>
  <si>
    <t>13864260;2d31a21b-5628-41c7-b58d-297f54c774b4;;111111118;Vodacom Life 20260324;;;;;NA;5;2026-05-22 1</t>
  </si>
  <si>
    <t>13864260;2d31a21b-5628-41c7-b58d-297f54c774b4;;111111118;Vodacom Life 20260324;;;;;NA;5;2026-05-22 14:25:21+02;system;2026-03-24 09:54:08+02;2026-03-24 09:54:08+02;;;;;;;;;27637053205;;;;;;;;prepaid life;;;;;</t>
  </si>
  <si>
    <t>ID_2969</t>
  </si>
  <si>
    <t>13864195;ebf8e558-9629-4095-b3ec-e0b4add9c8ac;;111111118;Vodacom Life 20260324;;;27799112897;;DROP;5</t>
  </si>
  <si>
    <t>13864195;ebf8e558-9629-4095-b3ec-e0b4add9c8ac;;111111118;Vodacom Life 20260324;;;27799112897;;DROP;5;2026-05-25 08:43:43+02;system;2026-03-24 09:54:08+02;2026-03-24 09:54:08+02;;;;;;;;;27799112897;;;;;;;;prepaid life;;;;;</t>
  </si>
  <si>
    <t>ID_2970</t>
  </si>
  <si>
    <t>13864196;b38f5ba4-c4c1-4faa-82f6-d75a76f3a2fc;;111111118;Vodacom Life 20260324;;;;;DROP;5;2026-05-25</t>
  </si>
  <si>
    <t>13864196;b38f5ba4-c4c1-4faa-82f6-d75a76f3a2fc;;111111118;Vodacom Life 20260324;;;;;DROP;5;2026-05-25 08:43:44+02;system;2026-03-24 09:54:08+02;2026-03-24 09:54:08+02;;;;;;;;;27799151024;;;;;;;;prepaid life;;;;;</t>
  </si>
  <si>
    <t>ID_2971</t>
  </si>
  <si>
    <t>13864103;1c3a11b9-50e7-4e04-bec2-87afc8a5339b;;111111118;Vodacom Life 20260324;;;;;AE;5;2026-05-23 1</t>
  </si>
  <si>
    <t>13864103;1c3a11b9-50e7-4e04-bec2-87afc8a5339b;;111111118;Vodacom Life 20260324;;;;;AE;5;2026-05-23 11:07:06+02;system;2026-03-24 09:54:08+02;2026-03-24 09:54:08+02;;;;;;;;;27761470649;;;;;;;;prepaid life;;;;;</t>
  </si>
  <si>
    <t>ID_2972</t>
  </si>
  <si>
    <t>13864104;d120421a-1841-49ea-a31e-b05c1dc83356;;111111118;Vodacom Life 20260324;;;;;AA;5;2026-05-23 1</t>
  </si>
  <si>
    <t>13864104;d120421a-1841-49ea-a31e-b05c1dc83356;;111111118;Vodacom Life 20260324;;;;;AA;5;2026-05-23 11:07:09+02;system;2026-03-24 09:54:08+02;2026-03-24 09:54:08+02;;;;;;;;;27761687455;;;;;;;;prepaid life;;;;;</t>
  </si>
  <si>
    <t>ID_2973</t>
  </si>
  <si>
    <t>13864197;717e18c8-4edc-4963-9b24-ff2c1ab4eb7d;;111111118;Vodacom Life 20260324;;;;;NA;5;2026-05-25 0</t>
  </si>
  <si>
    <t>13864197;717e18c8-4edc-4963-9b24-ff2c1ab4eb7d;;111111118;Vodacom Life 20260324;;;;;NA;5;2026-05-25 08:43:45+02;system;2026-03-24 09:54:08+02;2026-03-24 09:54:08+02;;;;;;;;;27799410462;;;;;;;;prepaid life;;;;;</t>
  </si>
  <si>
    <t>ID_2974</t>
  </si>
  <si>
    <t>13864262;afb7a93d-ea7d-4f5f-b9d9-8b75687ede2f;;111111118;Vodacom Life 20260324;;;;;NI;3;2026-04-15 0</t>
  </si>
  <si>
    <t>13864262;afb7a93d-ea7d-4f5f-b9d9-8b75687ede2f;;111111118;Vodacom Life 20260324;;;;;NI;3;2026-04-15 08:33:07+02;Maureen Ntsoko;2026-03-24 09:54:08+02;2026-03-24 09:54:08+02;;;;;;;;;27637970870;;;;;;;;prepaid life;;;;;</t>
  </si>
  <si>
    <t>ID_2975</t>
  </si>
  <si>
    <t>13864105;9ae0b0b7-6271-47d5-9147-2cbe60406a59;;111111118;Vodacom Life 20260324;;;;;AE;5;2026-05-23 1</t>
  </si>
  <si>
    <t>13864105;9ae0b0b7-6271-47d5-9147-2cbe60406a59;;111111118;Vodacom Life 20260324;;;;;AE;5;2026-05-23 11:05:37+02;system;2026-03-24 09:54:08+02;2026-03-24 09:54:08+02;;;;;;;;;27761817296;;;;;;;;prepaid life;;;;;</t>
  </si>
  <si>
    <t>ID_2976</t>
  </si>
  <si>
    <t>13864263;449e99b0-8c8c-4381-9d21-29070e8b3563;;111111118;Vodacom Life 20260324;;;;;AA;5;2026-05-22 1</t>
  </si>
  <si>
    <t>13864263;449e99b0-8c8c-4381-9d21-29070e8b3563;;111111118;Vodacom Life 20260324;;;;;AA;5;2026-05-22 14:25:21+02;system;2026-03-24 09:54:08+02;2026-03-24 09:54:08+02;;;;;;;;;27646013082;;;;;;;;prepaid life;;;;;</t>
  </si>
  <si>
    <t>ID_2977</t>
  </si>
  <si>
    <t>13864198;77d486e2-a682-4e2c-9193-00da99d222c0;;111111118;Vodacom Life 20260324;;;;;NI;3;2026-04-14 1</t>
  </si>
  <si>
    <t>13864198;77d486e2-a682-4e2c-9193-00da99d222c0;;111111118;Vodacom Life 20260324;;;;;NI;3;2026-04-14 15:37:33+02;Thandile Nokubeni;2026-03-24 09:54:08+02;2026-03-24 09:54:08+02;;;;;;;;;27799469965;;;;;;;;prepaid life;;;;;</t>
  </si>
  <si>
    <t>ID_2978</t>
  </si>
  <si>
    <t>13864264;38eac205-ab08-40a0-b6a4-17e8e8f3fcd1;;111111118;Vodacom Life 20260324;;;;;AE;5;2026-05-22 1</t>
  </si>
  <si>
    <t>13864264;38eac205-ab08-40a0-b6a4-17e8e8f3fcd1;;111111118;Vodacom Life 20260324;;;;;AE;5;2026-05-22 14:25:22+02;system;2026-03-24 09:54:08+02;2026-03-24 09:54:08+02;;;;;;;;;27646147951;;;;;;;;prepaid life;;;;;</t>
  </si>
  <si>
    <t>ID_2979</t>
  </si>
  <si>
    <t>13864199;0c081553-4acb-46ef-b0bb-d96a8dfc162a;;111111118;Vodacom Life 20260324;;;;;NI;3;2026-03-30 1</t>
  </si>
  <si>
    <t>13864199;0c081553-4acb-46ef-b0bb-d96a8dfc162a;;111111118;Vodacom Life 20260324;;;;;NI;3;2026-03-30 14:48:20+02;Thandile Nokubeni;2026-03-24 09:54:08+02;2026-03-24 09:54:08+02;;;;;;;;;27799689228;;;;;;;;prepaid life;;;;;</t>
  </si>
  <si>
    <t>ID_2980</t>
  </si>
  <si>
    <t>13864265;b51c22cd-486e-42da-b1ee-7d3a779ce65a;;111111118;Vodacom Life 20260324;;;;;AA;5;2026-05-23 1</t>
  </si>
  <si>
    <t>13864265;b51c22cd-486e-42da-b1ee-7d3a779ce65a;;111111118;Vodacom Life 20260324;;;;;AA;5;2026-05-23 12:42:30+02;system;2026-03-24 09:54:08+02;2026-03-24 09:54:08+02;;;;;;;;;27646316583;;;;;;;;prepaid life;;;;;</t>
  </si>
  <si>
    <t>ID_2981</t>
  </si>
  <si>
    <t>13864106;cd3fd848-93dd-472c-a02f-6ccd8286700f;;111111118;Vodacom Life 20260324;;;;;DROP;5;2026-05-25</t>
  </si>
  <si>
    <t>13864106;cd3fd848-93dd-472c-a02f-6ccd8286700f;;111111118;Vodacom Life 20260324;;;;;DROP;5;2026-05-25 10:30:04+02;system;2026-03-24 09:54:08+02;2026-03-24 09:54:08+02;;;;;;;;;27761825074;;;;;;;;prepaid life;;;;;</t>
  </si>
  <si>
    <t>ID_2982</t>
  </si>
  <si>
    <t>13864266;5e69cbb8-57fe-472e-9d42-3f5aed1233d0;;111111118;Vodacom Life 20260324;;;27646675083;;IABDN;</t>
  </si>
  <si>
    <t>13864266;5e69cbb8-57fe-472e-9d42-3f5aed1233d0;;111111118;Vodacom Life 20260324;;;27646675083;;IABDN;5;2026-05-23 13:08:47+02;system;2026-03-24 09:54:08+02;2026-03-24 09:54:08+02;;;;;;;;;27646675083;;;;;;;;prepaid life;;;;;</t>
  </si>
  <si>
    <t>ID_2983</t>
  </si>
  <si>
    <t>13864200;342fee1d-100a-4124-a8ab-4efe987faea9;;111111118;Vodacom Life 20260324;;;;;NA;5;2026-05-23 1</t>
  </si>
  <si>
    <t>13864200;342fee1d-100a-4124-a8ab-4efe987faea9;;111111118;Vodacom Life 20260324;;;;;NA;5;2026-05-23 12:06:14+02;system;2026-03-24 09:54:08+02;2026-03-24 09:54:08+02;;;;;;;;;27799829108;;;;;;;;prepaid life;;;;;</t>
  </si>
  <si>
    <t>ID_2984</t>
  </si>
  <si>
    <t>13864267;9b61f4a0-7caa-45e5-ad6c-8f4fe94367e3;;111111118;Vodacom Life 20260324;;;;;AA;5;2026-05-25 0</t>
  </si>
  <si>
    <t>13864267;9b61f4a0-7caa-45e5-ad6c-8f4fe94367e3;;111111118;Vodacom Life 20260324;;;;;AA;5;2026-05-25 08:49:20+02;system;2026-03-24 09:54:08+02;2026-03-24 09:54:08+02;;;;;;;;;27646792875;;;;;;;;prepaid life;;;;;</t>
  </si>
  <si>
    <t>ID_2985</t>
  </si>
  <si>
    <t>13864201;c075333d-10cf-4a55-89eb-6ae5404e4f61;;111111118;Vodacom Life 20260324;;;;;DROP;5;2026-05-22</t>
  </si>
  <si>
    <t>13864201;c075333d-10cf-4a55-89eb-6ae5404e4f61;;111111118;Vodacom Life 20260324;;;;;DROP;5;2026-05-22 14:48:44+02;system;2026-03-24 09:54:08+02;2026-03-24 09:54:08+02;;;;;;;;;27818048887;;;;;;;;prepaid life;;;;;</t>
  </si>
  <si>
    <t>ID_2986</t>
  </si>
  <si>
    <t>13864107;3fabd119-e385-4175-bb2e-816939e58b9c;;111111118;Vodacom Life 20260324;;;;;AA;5;2026-05-23 1</t>
  </si>
  <si>
    <t>13864107;3fabd119-e385-4175-bb2e-816939e58b9c;;111111118;Vodacom Life 20260324;;;;;AA;5;2026-05-23 11:06:45+02;system;2026-03-24 09:54:08+02;2026-03-24 09:54:08+02;;;;;;;;;27762965051;;;;;;;;prepaid life;;;;;</t>
  </si>
  <si>
    <t>ID_2987</t>
  </si>
  <si>
    <t>13864108;56ecf0ce-ef5b-4186-92b2-549c7ec31495;;111111118;Vodacom Life 20260324;;;;;DROP;5;2026-05-23</t>
  </si>
  <si>
    <t>13864108;56ecf0ce-ef5b-4186-92b2-549c7ec31495;;111111118;Vodacom Life 20260324;;;;;DROP;5;2026-05-23 11:06:45+02;system;2026-03-24 09:54:08+02;2026-03-24 09:54:08+02;;;;;;;;;27763600917;;;;;;;;prepaid life;;;;;</t>
  </si>
  <si>
    <t>ID_2988</t>
  </si>
  <si>
    <t>13864268;6bd987d1-291a-4bb3-9608-860660ad164a;;111111118;Vodacom Life 20260324;;;;;AA;5;2026-05-22 1</t>
  </si>
  <si>
    <t>13864268;6bd987d1-291a-4bb3-9608-860660ad164a;;111111118;Vodacom Life 20260324;;;;;AA;5;2026-05-22 14:24:24+02;system;2026-03-24 09:54:08+02;2026-03-24 09:54:08+02;;;;;;;;;27647057419;;;;;;;;prepaid life;;;;;</t>
  </si>
  <si>
    <t>ID_2989</t>
  </si>
  <si>
    <t>13864109;878b0f91-dd0e-40ca-82cf-fa97cf3cd5a1;;111111118;Vodacom Life 20260324;;;;;AF;1;2026-03-30 1</t>
  </si>
  <si>
    <t>13864109;878b0f91-dd0e-40ca-82cf-fa97cf3cd5a1;;111111118;Vodacom Life 20260324;;;;;AF;1;2026-03-30 12:06:07+02;Seboifeng Mogola;2026-03-24 09:54:08+02;2026-03-24 09:54:08+02;;;;;;;;;27763736728;;;;;;;;prepaid life;;;;;</t>
  </si>
  <si>
    <t>ID_2990</t>
  </si>
  <si>
    <t>13864202;9c860e4b-62ae-4015-afbe-26b6e44cad87;;111111118;Vodacom Life 20260324;;;;;QAVET;5;2026-04-1</t>
  </si>
  <si>
    <t>13864202;9c860e4b-62ae-4015-afbe-26b6e44cad87;;111111118;Vodacom Life 20260324;;;;;QAVET;5;2026-04-10 14:24:06+02;Seboifeng Mogola;2026-03-24 09:54:08+02;2026-03-24 09:54:08+02;;;;;;;;;27818480557;;;;;;;;prepaid life;;;;;</t>
  </si>
  <si>
    <t>ID_2991</t>
  </si>
  <si>
    <t>13864203;c1ebe22e-cb36-477c-af19-10c9e2090b06;;111111118;Vodacom Life 20260324;;;;;AA;5;2026-05-22 1</t>
  </si>
  <si>
    <t>13864203;c1ebe22e-cb36-477c-af19-10c9e2090b06;;111111118;Vodacom Life 20260324;;;;;AA;5;2026-05-22 14:48:44+02;system;2026-03-24 09:54:08+02;2026-03-24 09:54:08+02;;;;;;;;;27818642879;;;;;;;;prepaid life;;;;;</t>
  </si>
  <si>
    <t>ID_2992</t>
  </si>
  <si>
    <t>13864269;2fb5c383-20a5-40c9-9dc7-efb0eca97931;;111111118;Vodacom Life 20260324;;;;;AA;5;2026-05-22 1</t>
  </si>
  <si>
    <t>13864269;2fb5c383-20a5-40c9-9dc7-efb0eca97931;;111111118;Vodacom Life 20260324;;;;;AA;5;2026-05-22 14:24:24+02;system;2026-03-24 09:54:08+02;2026-03-24 09:54:08+02;;;;;;;;;27647234482;;;;;;;;prepaid life;;;;;</t>
  </si>
  <si>
    <t>ID_2993</t>
  </si>
  <si>
    <t>13864204;18fc75bc-3567-4ec8-b778-47cf80f3538c;;111111118;Vodacom Life 20260324;;;;;NI;2;2026-03-26 1</t>
  </si>
  <si>
    <t>13864204;18fc75bc-3567-4ec8-b778-47cf80f3538c;;111111118;Vodacom Life 20260324;;;;;NI;2;2026-03-26 13:56:47+02;Thandile Nokubeni;2026-03-24 09:54:08+02;2026-03-24 09:54:08+02;;;;;;;;;27818737868;;;;;;;;prepaid life;;;;;</t>
  </si>
  <si>
    <t>ID_2994</t>
  </si>
  <si>
    <t>13864110;dc6dc6e7-7dec-410b-88dd-d62806d20437;;111111118;Vodacom Life 20260324;;;;;A;5;2026-05-23 11</t>
  </si>
  <si>
    <t>13864110;dc6dc6e7-7dec-410b-88dd-d62806d20437;;111111118;Vodacom Life 20260324;;;;;A;5;2026-05-23 11:06:45+02;bongiwe lushaba;2026-03-24 09:54:08+02;2026-03-24 09:54:08+02;;;;;;;;;27763850443;;;;;;;;prepaid life;;;;;</t>
  </si>
  <si>
    <t>ID_2995</t>
  </si>
  <si>
    <t>13864270;7750f81b-5fbe-4c45-ae9c-ac14196442e3;;111111118;Vodacom Life 20260324;;;;;AA;5;2026-05-22 1</t>
  </si>
  <si>
    <t>13864270;7750f81b-5fbe-4c45-ae9c-ac14196442e3;;111111118;Vodacom Life 20260324;;;;;AA;5;2026-05-22 14:24:24+02;system;2026-03-24 09:54:08+02;2026-03-24 09:54:08+02;;;;;;;;;27648144070;;;;;;;;prepaid life;;;;;</t>
  </si>
  <si>
    <t>ID_2996</t>
  </si>
  <si>
    <t>13864111;11c47382-e027-4b62-97d9-39e0c6d65243;;111111118;Vodacom Life 20260324;;;;;DROP;5;2026-05-23</t>
  </si>
  <si>
    <t>13864111;11c47382-e027-4b62-97d9-39e0c6d65243;;111111118;Vodacom Life 20260324;;;;;DROP;5;2026-05-23 11:06:45+02;system;2026-03-24 09:54:08+02;2026-03-24 09:54:08+02;;;;;;;;;27764035854;;;;;;;;prepaid life;;;;;</t>
  </si>
  <si>
    <t>ID_2997</t>
  </si>
  <si>
    <t>13864205;0df5b99a-ecec-47d7-a0ba-7fdb2d84edf2;;111111118;Vodacom Life 20260324;;;;;AE;5;2026-05-22 1</t>
  </si>
  <si>
    <t>13864205;0df5b99a-ecec-47d7-a0ba-7fdb2d84edf2;;111111118;Vodacom Life 20260324;;;;;AE;5;2026-05-22 14:48:44+02;system;2026-03-24 09:54:08+02;2026-03-24 09:54:08+02;;;;;;;;;27818766245;;;;;;;;prepaid life;;;;;</t>
  </si>
  <si>
    <t>ID_2998</t>
  </si>
  <si>
    <t>13864271;b9e28f84-5762-4741-9e49-7c3a9e9f0d3a;;111111118;Vodacom Life 20260324;;;;;AA;5;2026-05-22 1</t>
  </si>
  <si>
    <t>13864271;b9e28f84-5762-4741-9e49-7c3a9e9f0d3a;;111111118;Vodacom Life 20260324;;;;;AA;5;2026-05-22 14:24:57+02;system;2026-03-24 09:54:08+02;2026-03-24 09:54:08+02;;;;;;;;;27648225763;;;;;;;;prepaid life;;;;;</t>
  </si>
  <si>
    <t>ID_2999</t>
  </si>
  <si>
    <t>13864206;704f9859-05e5-4b4a-952e-5ea7b48c5aab;;111111118;Vodacom Life 20260324;;;;;NA;5;2026-05-23 1</t>
  </si>
  <si>
    <t>13864206;704f9859-05e5-4b4a-952e-5ea7b48c5aab;;111111118;Vodacom Life 20260324;;;;;NA;5;2026-05-23 12:06:18+02;system;2026-03-24 09:54:08+02;2026-03-24 09:54:08+02;;;;;;;;;27820563387;;;;;;;;prepaid life;;;;;</t>
  </si>
  <si>
    <t>ID_3000</t>
  </si>
  <si>
    <t>13864112;1cf3a199-61d9-4ee7-805d-c8d270411553;;111111118;Vodacom Life 20260324;;;27764159323;;A;5;20</t>
  </si>
  <si>
    <t>13864112;1cf3a199-61d9-4ee7-805d-c8d270411553;;111111118;Vodacom Life 20260324;;;27764159323;;A;5;2026-05-23 11:07:23+02;bongiwe lushaba;2026-03-24 09:54:08+02;2026-03-24 09:54:08+02;;;;;;;;;27764159323;;;;;;;;prepaid life;;;;;</t>
  </si>
  <si>
    <t>ID_3001</t>
  </si>
  <si>
    <t>13864272;b1ab3ee4-6b38-4109-b3b2-ed831a76bae9;;111111118;Vodacom Life 20260324;;;;;AA;5;2026-05-25 0</t>
  </si>
  <si>
    <t>13864272;b1ab3ee4-6b38-4109-b3b2-ed831a76bae9;;111111118;Vodacom Life 20260324;;;;;AA;5;2026-05-25 08:56:09+02;system;2026-03-24 09:54:08+02;2026-03-24 09:54:08+02;;;;;;;;;27649665769;;;;;;;;prepaid life;;;;;</t>
  </si>
  <si>
    <t>ID_3002</t>
  </si>
  <si>
    <t>13864207;897bb645-baa5-4cc7-a2d0-beed4399552f;;111111118;Vodacom Life 20260324;;;;;DROP;5;2026-05-22</t>
  </si>
  <si>
    <t>13864207;897bb645-baa5-4cc7-a2d0-beed4399552f;;111111118;Vodacom Life 20260324;;;;;DROP;5;2026-05-22 14:39:19+02;system;2026-03-24 09:54:08+02;2026-03-24 09:54:08+02;;;;;;;;;27820636728;;;;;;;;prepaid life;;;;;</t>
  </si>
  <si>
    <t>ID_3003</t>
  </si>
  <si>
    <t>13864208;29d42e9e-40fd-4579-a74a-2f57d9420b32;;111111118;Vodacom Life 20260324;;;27822150441;;IABDN;</t>
  </si>
  <si>
    <t>13864208;29d42e9e-40fd-4579-a74a-2f57d9420b32;;111111118;Vodacom Life 20260324;;;27822150441;;IABDN;5;2026-05-23 12:59:24+02;system;2026-03-24 09:54:08+02;2026-03-24 09:54:08+02;;;;;;;;;27822150441;;;;;;;;prepaid life;;;;;</t>
  </si>
  <si>
    <t>ID_3004</t>
  </si>
  <si>
    <t>13864273;1ccb7e58-c519-4c41-a15a-d7e9bb9d1e41;;111111118;Vodacom Life 20260324;;;;;AF;1;2026-04-01 1</t>
  </si>
  <si>
    <t>13864273;1ccb7e58-c519-4c41-a15a-d7e9bb9d1e41;;111111118;Vodacom Life 20260324;;;;;AF;1;2026-04-01 11:26:23+02;Thandile Nokubeni;2026-03-24 09:54:08+02;2026-03-24 09:54:08+02;;;;;;;;;27649902648;;;;;;;;prepaid life;;;;;</t>
  </si>
  <si>
    <t>ID_3005</t>
  </si>
  <si>
    <t>13864209;07ffcd25-93fd-430e-9f80-8c9b259c3be9;;111111118;Vodacom Life 20260324;;;;;AE;5;2026-05-23 1</t>
  </si>
  <si>
    <t>13864209;07ffcd25-93fd-430e-9f80-8c9b259c3be9;;111111118;Vodacom Life 20260324;;;;;AE;5;2026-05-23 12:06:33+02;system;2026-03-24 09:54:08+02;2026-03-24 09:54:08+02;;;;;;;;;27822259925;;;;;;;;prepaid life;;;;;</t>
  </si>
  <si>
    <t>ID_3006</t>
  </si>
  <si>
    <t>13864114;988ee9f9-bac1-43e3-81b9-4e7257cf2505;;111111118;Vodacom Life 20260324;;;;;NIUP;3;2026-04-15</t>
  </si>
  <si>
    <t>13864114;988ee9f9-bac1-43e3-81b9-4e7257cf2505;;111111118;Vodacom Life 20260324;;;;;NIUP;3;2026-04-15 10:49:59+02;Seboifeng Mogola;2026-03-24 09:54:08+02;2026-03-24 09:54:08+02;;;;;;;;;27764666407;;;;;;;;prepaid life;;;;;</t>
  </si>
  <si>
    <t>ID_3007</t>
  </si>
  <si>
    <t>13864274;12a60c02-87fc-4a0e-8a57-66f610f12680;;111111118;Vodacom Life 20260324;;;;;NI;3;2026-04-15 0</t>
  </si>
  <si>
    <t>13864274;12a60c02-87fc-4a0e-8a57-66f610f12680;;111111118;Vodacom Life 20260324;;;;;NI;3;2026-04-15 08:32:01+02;Esther Ramalete;2026-03-24 09:54:08+02;2026-03-24 09:54:08+02;;;;;;;;;27649923579;;;;;;;;prepaid life;;;;;</t>
  </si>
  <si>
    <t>ID_3008</t>
  </si>
  <si>
    <t>13864115;ea256e9d-108d-48e4-a9ef-4f73b44700e2;;111111118;Vodacom Life 20260324;;;;;AE;5;2026-05-23 1</t>
  </si>
  <si>
    <t>13864115;ea256e9d-108d-48e4-a9ef-4f73b44700e2;;111111118;Vodacom Life 20260324;;;;;AE;5;2026-05-23 11:07:24+02;system;2026-03-24 09:54:08+02;2026-03-24 09:54:08+02;;;;;;;;;27764827171;;;;;;;;prepaid life;;;;;</t>
  </si>
  <si>
    <t>ID_3009</t>
  </si>
  <si>
    <t>13864210;46b375e5-cc4b-4988-81ac-32595bfebbbf;;111111118;Vodacom Life 20260324;;;;;AA;5;2026-05-25 0</t>
  </si>
  <si>
    <t>13864210;46b375e5-cc4b-4988-81ac-32595bfebbbf;;111111118;Vodacom Life 20260324;;;;;AA;5;2026-05-25 09:10:59+02;system;2026-03-24 09:54:08+02;2026-03-24 09:54:08+02;;;;;;;;;27822672736;;;;;;;;prepaid life;;;;;</t>
  </si>
  <si>
    <t>ID_3010</t>
  </si>
  <si>
    <t>13864211;efca9b53-41d3-40e5-9a4f-c8e12bc0f4c6;;111111118;Vodacom Life 20260324;;;;;DROP;5;2026-05-22</t>
  </si>
  <si>
    <t>13864211;efca9b53-41d3-40e5-9a4f-c8e12bc0f4c6;;111111118;Vodacom Life 20260324;;;;;DROP;5;2026-05-22 14:38:56+02;system;2026-03-24 09:54:08+02;2026-03-24 09:54:08+02;;;;;;;;;27823285621;;;;;;;;prepaid life;;;;;</t>
  </si>
  <si>
    <t>ID_3011</t>
  </si>
  <si>
    <t>13864275;b5637619-0231-496e-9058-9b32707ae309;;111111118;Vodacom Life 20260324;;;;;AA;5;2026-05-23 1</t>
  </si>
  <si>
    <t>13864275;b5637619-0231-496e-9058-9b32707ae309;;111111118;Vodacom Life 20260324;;;;;AA;5;2026-05-23 12:18:43+02;system;2026-03-24 09:54:08+02;2026-03-24 09:54:08+02;;;;;;;;;27660217868;;;;;;;;prepaid life;;;;;</t>
  </si>
  <si>
    <t>ID_3012</t>
  </si>
  <si>
    <t xml:space="preserve">13864212;066a2cd5-a4be-49f3-bef8-1bc79068541b;;111111118;Vodacom Life 20260324;;;;;CCB;5;2026-05-22 </t>
  </si>
  <si>
    <t>13864212;066a2cd5-a4be-49f3-bef8-1bc79068541b;;111111118;Vodacom Life 20260324;;;;;CCB;5;2026-05-22 14:38:56+02;Khensane Mabasa;2026-03-24 09:54:08+02;2026-03-24 09:54:08+02;;;;;;;;;27823487254;;;;;;;;prepaid life;;;;;</t>
  </si>
  <si>
    <t>ID_3013</t>
  </si>
  <si>
    <t>13864116;d5b28c7a-537f-4a7a-8160-6a9f75c82dd3;;111111118;Vodacom Life 20260324;;;;;AA;5;2026-05-25 1</t>
  </si>
  <si>
    <t>13864116;d5b28c7a-537f-4a7a-8160-6a9f75c82dd3;;111111118;Vodacom Life 20260324;;;;;AA;5;2026-05-25 10:31:11+02;system;2026-03-24 09:54:08+02;2026-03-24 09:54:08+02;;;;;;;;;27765309859;;;;;;;;prepaid life;;;;;</t>
  </si>
  <si>
    <t>ID_3014</t>
  </si>
  <si>
    <t xml:space="preserve">13864117;0bcadae8-2170-4bd6-8793-16ada0f11f5b;;111111118;Vodacom Life 20260324;;;;;ADC;5;2026-05-25 </t>
  </si>
  <si>
    <t>13864117;0bcadae8-2170-4bd6-8793-16ada0f11f5b;;111111118;Vodacom Life 20260324;;;;;ADC;5;2026-05-25 10:31:11+02;system;2026-03-24 09:54:08+02;2026-03-24 09:54:08+02;;;;;;;;;27765412259;;;;;;;;prepaid life;;;;;</t>
  </si>
  <si>
    <t>ID_3015</t>
  </si>
  <si>
    <t>13864276;669405bd-67bb-4f21-8e93-86d13b792979;;111111118;Vodacom Life 20260324;;;;;DROP;5;2026-05-23</t>
  </si>
  <si>
    <t>13864276;669405bd-67bb-4f21-8e93-86d13b792979;;111111118;Vodacom Life 20260324;;;;;DROP;5;2026-05-23 12:18:43+02;system;2026-03-24 09:54:08+02;2026-03-24 09:54:08+02;;;;;;;;;27660881214;;;;;;;;prepaid life;;;;;</t>
  </si>
  <si>
    <t>ID_3016</t>
  </si>
  <si>
    <t>13864213;27630000-1d0e-42f3-b95c-3ab81823a323;;111111118;Vodacom Life 20260324;;;27823955021;;IABDN;</t>
  </si>
  <si>
    <t>13864213;27630000-1d0e-42f3-b95c-3ab81823a323;;111111118;Vodacom Life 20260324;;;27823955021;;IABDN;5;2026-05-22 14:40:32+02;system;2026-03-24 09:54:08+02;2026-03-24 09:54:08+02;;;;;;;;;27823955021;;;;;;;;prepaid life;;;;;</t>
  </si>
  <si>
    <t>ID_3017</t>
  </si>
  <si>
    <t>13864277;9db4bf98-7260-46db-9850-2cec14d11cc7;;111111118;Vodacom Life 20260324;;;;;U;3;2026-04-15 09</t>
  </si>
  <si>
    <t>13864277;9db4bf98-7260-46db-9850-2cec14d11cc7;;111111118;Vodacom Life 20260324;;;;;U;3;2026-04-15 09:00:34+02;Musiiwa Mary Mabirimisa;2026-03-24 09:54:08+02;2026-03-24 09:54:08+02;;;;;;;;;27660994575;;;;;;;;prepaid life;;;;;</t>
  </si>
  <si>
    <t>ID_3018</t>
  </si>
  <si>
    <t>13864214;b5f08f0d-0b02-46d8-a4b3-290b86a70aa1;;111111118;Vodacom Life 20260324;;;;;AA;5;2026-05-22 1</t>
  </si>
  <si>
    <t>13864214;b5f08f0d-0b02-46d8-a4b3-290b86a70aa1;;111111118;Vodacom Life 20260324;;;;;AA;5;2026-05-22 14:36:11+02;system;2026-03-24 09:54:08+02;2026-03-24 09:54:08+02;;;;;;;;;27824097808;;;;;;;;prepaid life;;;;;</t>
  </si>
  <si>
    <t>ID_3019</t>
  </si>
  <si>
    <t xml:space="preserve">13864118;0b882b3e-e825-43c2-87c9-7dbba0a320bc;;111111118;Vodacom Life 20260324;;;;;OAL;3;2026-04-14 </t>
  </si>
  <si>
    <t>13864118;0b882b3e-e825-43c2-87c9-7dbba0a320bc;;111111118;Vodacom Life 20260324;;;;;OAL;3;2026-04-14 14:09:26+02;Maureen Ntsoko;2026-03-24 09:54:08+02;2026-03-24 09:54:08+02;;;;;;;;;27765508506;;;;;;;;prepaid life;;;;;</t>
  </si>
  <si>
    <t>ID_3020</t>
  </si>
  <si>
    <t>13864278;838f6b7f-c9ad-48e4-855e-1fb9930e4716;;111111118;Vodacom Life 20260324;;;27662702872;;NI;5;2</t>
  </si>
  <si>
    <t>13864278;838f6b7f-c9ad-48e4-855e-1fb9930e4716;;111111118;Vodacom Life 20260324;;;27662702872;;NI;5;2026-05-23 12:32:54+02;Maureen Ntsoko;2026-03-24 09:54:08+02;2026-03-24 09:54:08+02;;;;;;;;;27662702872;;;;;;;;prepaid life;;;;;</t>
  </si>
  <si>
    <t>ID_3021</t>
  </si>
  <si>
    <t>13864119;5ebd690d-f4ce-4ef3-a293-275051773a00;;111111118;Vodacom Life 20260324;;;27765578708;;AA;5;2</t>
  </si>
  <si>
    <t>13864119;5ebd690d-f4ce-4ef3-a293-275051773a00;;111111118;Vodacom Life 20260324;;;27765578708;;AA;5;2026-05-25 10:31:11+02;system;2026-03-24 09:54:08+02;2026-03-24 09:54:08+02;;;;;;;;;27765578708;;;;;;;;prepaid life;;;;;</t>
  </si>
  <si>
    <t>ID_3022</t>
  </si>
  <si>
    <t>13864215;83db751d-cc61-4740-9b0c-6e2087e860a6;;111111118;Vodacom Life 20260324;;;;;NI;4;2026-05-20 1</t>
  </si>
  <si>
    <t>13864215;83db751d-cc61-4740-9b0c-6e2087e860a6;;111111118;Vodacom Life 20260324;;;;;NI;4;2026-05-20 11:02:35+02;Khensane Mabasa;2026-03-24 09:54:08+02;2026-03-24 09:54:08+02;;;;;;;;;27824476746;;;;;;;;prepaid life;;;;;</t>
  </si>
  <si>
    <t>ID_3023</t>
  </si>
  <si>
    <t>13864216;210cfcac-de5f-464d-9da4-38362dc2a9c6;;111111118;Vodacom Life 20260324;;;;;DROP;5;2026-05-22</t>
  </si>
  <si>
    <t>13864216;210cfcac-de5f-464d-9da4-38362dc2a9c6;;111111118;Vodacom Life 20260324;;;;;DROP;5;2026-05-22 14:36:17+02;system;2026-03-24 09:54:08+02;2026-03-24 09:54:08+02;;;;;;;;;27825114865;;;;;;;;prepaid life;;;;;</t>
  </si>
  <si>
    <t>ID_3024</t>
  </si>
  <si>
    <t>13864217;da04c385-f11f-4316-b925-c3987b9a17ea;;111111118;Vodacom Life 20260324;;;;;NI;3;2026-04-15 0</t>
  </si>
  <si>
    <t>13864217;da04c385-f11f-4316-b925-c3987b9a17ea;;111111118;Vodacom Life 20260324;;;;;NI;3;2026-04-15 08:38:01+02;Esther Ramalete;2026-03-24 09:54:08+02;2026-03-24 09:54:08+02;;;;;;;;;27825191373;;;;;;;;prepaid life;;;;;</t>
  </si>
  <si>
    <t>ID_3025</t>
  </si>
  <si>
    <t>13864120;62204079-ef4a-4869-8891-26527e1a2de7;;111111118;Vodacom Life 20260324;;;;;CBACK;5;2026-05-2</t>
  </si>
  <si>
    <t>13864120;62204079-ef4a-4869-8891-26527e1a2de7;;111111118;Vodacom Life 20260324;;;;;CBACK;5;2026-05-25 10:31:13+02;Maureen Ntsoko;2026-03-24 09:54:08+02;2026-03-24 09:54:08+02;;;;;;;;;27765859188;;;;;;;;prepaid life;;;;;</t>
  </si>
  <si>
    <t>ID_3026</t>
  </si>
  <si>
    <t>13864280;261480a5-247a-4d8b-9243-8f4d02ded82b;;111111118;Vodacom Life 20260324;;;;;NA;5;2026-05-22 1</t>
  </si>
  <si>
    <t>13864280;261480a5-247a-4d8b-9243-8f4d02ded82b;;111111118;Vodacom Life 20260324;;;;;NA;5;2026-05-22 14:23:15+02;system;2026-03-24 09:54:08+02;2026-03-24 09:54:08+02;;;;;;;;;27663312409;;;;;;;;prepaid life;;;;;</t>
  </si>
  <si>
    <t>ID_3027</t>
  </si>
  <si>
    <t>13864121;2cec4b61-f63c-4774-aa5c-7f3732be2396;;111111118;Vodacom Life 20260324;;;;;AA;5;2026-05-25 1</t>
  </si>
  <si>
    <t>13864121;2cec4b61-f63c-4774-aa5c-7f3732be2396;;111111118;Vodacom Life 20260324;;;;;AA;5;2026-05-25 14:29:32+02;system;2026-03-24 09:54:08+02;2026-03-24 09:54:08+02;;;;;;;;;27765957387;;;;;;;;prepaid life;;;;;</t>
  </si>
  <si>
    <t>ID_3028</t>
  </si>
  <si>
    <t>13864122;bd83d3dc-43b7-4a3b-b1f1-749ee9f1d5b3;;111111118;Vodacom Life 20260324;;;;;NI;3;2026-04-14 1</t>
  </si>
  <si>
    <t>13864122;bd83d3dc-43b7-4a3b-b1f1-749ee9f1d5b3;;111111118;Vodacom Life 20260324;;;;;NI;3;2026-04-14 14:48:26+02;Esther Ramalete;2026-03-24 09:54:08+02;2026-03-24 09:54:08+02;;;;;;;;;27766073582;;;;;;;;prepaid life;;;;;</t>
  </si>
  <si>
    <t>ID_3029</t>
  </si>
  <si>
    <t>13864218;d681a133-ff88-4036-8bd3-10020b6b465b;;111111118;Vodacom Life 20260324;;;;;NA;5;2026-05-22 1</t>
  </si>
  <si>
    <t>13864218;d681a133-ff88-4036-8bd3-10020b6b465b;;111111118;Vodacom Life 20260324;;;;;NA;5;2026-05-22 14:36:11+02;system;2026-03-24 09:54:08+02;2026-03-24 09:54:08+02;;;;;;;;;27825484000;;;;;;;;prepaid life;;;;;</t>
  </si>
  <si>
    <t>ID_3030</t>
  </si>
  <si>
    <t>13864281;720437f9-e082-48a7-8587-6d281f8b1a72;;111111118;Vodacom Life 20260324;;;;;N;8;2026-05-13 15</t>
  </si>
  <si>
    <t>13864281;720437f9-e082-48a7-8587-6d281f8b1a72;;111111118;Vodacom Life 20260324;;;;;N;8;2026-05-13 15:22:28+02;Maureen Ntsoko;2026-03-24 09:54:08+02;2026-03-24 09:54:08+02;;;;;;;;;27663768614;;;;;;;;prepaid life;;;;;</t>
  </si>
  <si>
    <t>ID_3031</t>
  </si>
  <si>
    <t>13864219;3b1af68e-31a9-4bf0-a6f0-abe86b97ffb2;;111111118;Vodacom Life 20260324;;;;;DNQS;3;2026-04-10</t>
  </si>
  <si>
    <t>13864219;3b1af68e-31a9-4bf0-a6f0-abe86b97ffb2;;111111118;Vodacom Life 20260324;;;;;DNQS;3;2026-04-10 08:50:49+02;Musiiwa Mary Mabirimisa;2026-03-24 09:54:08+02;2026-03-24 09:54:08+02;;;;;;;;;27825601281;;;;;;;;prepaid life;;;;;</t>
  </si>
  <si>
    <t>ID_3032</t>
  </si>
  <si>
    <t>13864123;e123fc91-5a78-4bfa-bce9-562678b1b557;;111111118;Vodacom Life 20260324;;;;;DROP;5;2026-05-25</t>
  </si>
  <si>
    <t>13864123;e123fc91-5a78-4bfa-bce9-562678b1b557;;111111118;Vodacom Life 20260324;;;;;DROP;5;2026-05-25 12:21:20+02;system;2026-03-24 09:54:08+02;2026-03-24 09:54:08+02;;;;;;;;;27766244796;;;;;;;;prepaid life;;;;;</t>
  </si>
  <si>
    <t>ID_3033</t>
  </si>
  <si>
    <t>13864282;0f49b1c2-2627-4d7e-b322-e80eb20f64e8;;111111118;Vodacom Life 20260324;;;27664352804;;A;5;20</t>
  </si>
  <si>
    <t>13864282;0f49b1c2-2627-4d7e-b322-e80eb20f64e8;;111111118;Vodacom Life 20260324;;;27664352804;;A;5;2026-05-22 14:23:44+02;bongiwe lushaba;2026-03-24 09:54:08+02;2026-03-24 09:54:08+02;;;;;;;;;27664352804;;;;;;;;prepaid life;;;;;</t>
  </si>
  <si>
    <t>ID_3034</t>
  </si>
  <si>
    <t>13864124;9935fe44-a596-47f1-af01-40377a23412d;;111111118;Vodacom Life 20260324;;;;;N;6;2026-05-19 14</t>
  </si>
  <si>
    <t>13864124;9935fe44-a596-47f1-af01-40377a23412d;;111111118;Vodacom Life 20260324;;;;;N;6;2026-05-19 14:00:38+02;Khensane Mabasa;2026-03-24 09:54:08+02;2026-03-24 09:54:08+02;;;;;;;;;27766385085;;;;;;;;prepaid life;;;;;</t>
  </si>
  <si>
    <t>ID_3035</t>
  </si>
  <si>
    <t>13864220;d89ded42-aa89-45af-b494-9db5b4b5ed31;;111111118;Vodacom Life 20260324;;;27825729082;;IABDN;</t>
  </si>
  <si>
    <t>13864220;d89ded42-aa89-45af-b494-9db5b4b5ed31;;111111118;Vodacom Life 20260324;;;27825729082;;IABDN;5;2026-05-22 14:39:46+02;system;2026-03-24 09:54:08+02;2026-03-24 09:54:08+02;;;;;;;;;27825729082;;;;;;;;prepaid life;;;;;</t>
  </si>
  <si>
    <t>ID_3036</t>
  </si>
  <si>
    <t>13864283;11ac9d95-a33b-4cc7-a6f9-f88726f1df09;;111111118;Vodacom Life 20260324;;;;;DROP;5;2026-05-22</t>
  </si>
  <si>
    <t>13864283;11ac9d95-a33b-4cc7-a6f9-f88726f1df09;;111111118;Vodacom Life 20260324;;;;;DROP;5;2026-05-22 14:23:31+02;system;2026-03-24 09:54:08+02;2026-03-24 09:54:08+02;;;;;;;;;27665365702;;;;;;;;prepaid life;;;;;</t>
  </si>
  <si>
    <t>ID_3037</t>
  </si>
  <si>
    <t>13864221;5a55f920-87c0-4b22-84d4-f7a8f5658b5a;;111111118;Vodacom Life 20260324;;;;;NI;1;2026-04-01 1</t>
  </si>
  <si>
    <t>13864221;5a55f920-87c0-4b22-84d4-f7a8f5658b5a;;111111118;Vodacom Life 20260324;;;;;NI;1;2026-04-01 10:58:45+02;Thandile Nokubeni;2026-03-24 09:54:08+02;2026-03-24 09:54:08+02;;;;;;;;;27825733528;;;;;;;;prepaid life;;;;;</t>
  </si>
  <si>
    <t>ID_3038</t>
  </si>
  <si>
    <t>13864222;174689bc-138a-4c41-bb45-3b477b028ba7;;111111118;Vodacom Life 20260324;;;;;NA;5;2026-05-22 1</t>
  </si>
  <si>
    <t>13864222;174689bc-138a-4c41-bb45-3b477b028ba7;;111111118;Vodacom Life 20260324;;;;;NA;5;2026-05-22 14:34:57+02;system;2026-03-24 09:54:08+02;2026-03-24 09:54:08+02;;;;;;;;;27825940694;;;;;;;;prepaid life;;;;;</t>
  </si>
  <si>
    <t>ID_3039</t>
  </si>
  <si>
    <t>13864125;f9ba6497-6b7d-4ccc-9a33-4c8f73347196;;111111118;Vodacom Life 20260324;;;;;AE;5;2026-05-25 1</t>
  </si>
  <si>
    <t>13864125;f9ba6497-6b7d-4ccc-9a33-4c8f73347196;;111111118;Vodacom Life 20260324;;;;;AE;5;2026-05-25 12:21:19+02;system;2026-03-24 09:54:08+02;2026-03-24 09:54:08+02;;;;;;;;;27766444287;;;;;;;;prepaid life;;;;;</t>
  </si>
  <si>
    <t>ID_3040</t>
  </si>
  <si>
    <t>13864284;d5751a61-1a2d-44b2-9cf2-7ace2b5d1fc8;;111111118;Vodacom Life 20260324;;;;;AA;5;2026-05-22 1</t>
  </si>
  <si>
    <t>13864284;d5751a61-1a2d-44b2-9cf2-7ace2b5d1fc8;;111111118;Vodacom Life 20260324;;;;;AA;5;2026-05-22 14:23:18+02;system;2026-03-24 09:54:08+02;2026-03-24 09:54:08+02;;;;;;;;;27665601419;;;;;;;;prepaid life;;;;;</t>
  </si>
  <si>
    <t>ID_3041</t>
  </si>
  <si>
    <t>13864126;3437d8f0-8e23-4aab-a2b8-e76e31857580;;111111118;Vodacom Life 20260324;;;;;NI;3;2026-04-15 1</t>
  </si>
  <si>
    <t>13864126;3437d8f0-8e23-4aab-a2b8-e76e31857580;;111111118;Vodacom Life 20260324;;;;;NI;3;2026-04-15 10:51:12+02;Thandile Nokubeni;2026-03-24 09:54:08+02;2026-03-24 09:54:08+02;;;;;;;;;27766448910;;;;;;;;prepaid life;;;;;</t>
  </si>
  <si>
    <t>ID_3042</t>
  </si>
  <si>
    <t>13864223;6d9ba513-2263-42f9-a374-c2527b9a7286;;111111118;Vodacom Life 20260324;;;;;CU;5;2026-05-22 1</t>
  </si>
  <si>
    <t>13864223;6d9ba513-2263-42f9-a374-c2527b9a7286;;111111118;Vodacom Life 20260324;;;;;CU;5;2026-05-22 14:34:57+02;Khensane Mabasa;2026-03-24 09:54:08+02;2026-03-24 09:54:08+02;;;;;;;;;27826409105;;;;;;;;prepaid life;;;;;</t>
  </si>
  <si>
    <t>ID_3043</t>
  </si>
  <si>
    <t>13864285;7ffbdbde-7630-44d7-b139-b06470977271;;111111118;Vodacom Life 20260324;;;;;CBACK;4;2026-05-1</t>
  </si>
  <si>
    <t>13864285;7ffbdbde-7630-44d7-b139-b06470977271;;111111118;Vodacom Life 20260324;;;;;CBACK;4;2026-05-19 11:21:08+02;Maureen Ntsoko;2026-03-24 09:54:08+02;2026-03-24 09:54:08+02;;;;;;;;;27671698468;;;;;;;;prepaid life;;;;;</t>
  </si>
  <si>
    <t>ID_3044</t>
  </si>
  <si>
    <t>13864224;01e4b0e3-0412-4063-9b3a-e04dd8f41493;;111111118;Vodacom Life 20260324;;;;;AA;5;2026-05-22 1</t>
  </si>
  <si>
    <t>13864224;01e4b0e3-0412-4063-9b3a-e04dd8f41493;;111111118;Vodacom Life 20260324;;;;;AA;5;2026-05-22 14:34:57+02;system;2026-03-24 09:54:08+02;2026-03-24 09:54:08+02;;;;;;;;;27826431348;;;;;;;;prepaid life;;;;;</t>
  </si>
  <si>
    <t>ID_3045</t>
  </si>
  <si>
    <t>13864127;ac9a5f55-3d2c-40c7-bb5f-55b0c9734d8c;;111111118;Vodacom Life 20260324;;;;;NA;5;2026-05-25 1</t>
  </si>
  <si>
    <t>13864127;ac9a5f55-3d2c-40c7-bb5f-55b0c9734d8c;;111111118;Vodacom Life 20260324;;;;;NA;5;2026-05-25 11:37:01+02;system;2026-03-24 09:54:08+02;2026-03-24 09:54:08+02;;;;;;;;;27766500426;;;;;;;;prepaid life;;;;;</t>
  </si>
  <si>
    <t>ID_3046</t>
  </si>
  <si>
    <t>13864128;5a4b3cfa-7b8a-4eee-a4d8-0e2e50004881;;111111118;Vodacom Life 20260324;;;27766520591;;IABDN;</t>
  </si>
  <si>
    <t>13864128;5a4b3cfa-7b8a-4eee-a4d8-0e2e50004881;;111111118;Vodacom Life 20260324;;;27766520591;;IABDN;5;2026-05-25 12:51:20+02;system;2026-03-24 09:54:08+02;2026-03-24 09:54:08+02;;;;;;;;;27766520591;;;;;;;;prepaid life;;;;;</t>
  </si>
  <si>
    <t>ID_3047</t>
  </si>
  <si>
    <t>13864286;373cab8d-4f07-4894-904e-70465a64c8f4;;111111118;Vodacom Life 20260324;;;;;NA;5;2026-05-23 1</t>
  </si>
  <si>
    <t>13864286;373cab8d-4f07-4894-904e-70465a64c8f4;;111111118;Vodacom Life 20260324;;;;;NA;5;2026-05-23 12:34:12+02;system;2026-03-24 09:54:08+02;2026-03-24 09:54:08+02;;;;;;;;;27673199566;;;;;;;;prepaid life;;;;;</t>
  </si>
  <si>
    <t>ID_3048</t>
  </si>
  <si>
    <t>13864129;2b5bf1b6-3768-4fa9-8e4b-431b99b6e59a;;111111118;Vodacom Life 20260324;;;;;AA;5;2026-05-25 1</t>
  </si>
  <si>
    <t>13864129;2b5bf1b6-3768-4fa9-8e4b-431b99b6e59a;;111111118;Vodacom Life 20260324;;;;;AA;5;2026-05-25 11:37:01+02;system;2026-03-24 09:54:08+02;2026-03-24 09:54:08+02;;;;;;;;;27766539303;;;;;;;;prepaid life;;;;;</t>
  </si>
  <si>
    <t>ID_3049</t>
  </si>
  <si>
    <t>13864225;c1ccc301-47b5-4ba9-a495-1e56ed5b1a6e;;111111118;Vodacom Life 20260324;;;27826643043;;CU;5;2</t>
  </si>
  <si>
    <t>13864225;c1ccc301-47b5-4ba9-a495-1e56ed5b1a6e;;111111118;Vodacom Life 20260324;;;27826643043;;CU;5;2026-05-22 14:36:15+02;Khensane Mabasa;2026-03-24 09:54:08+02;2026-03-24 09:54:08+02;;;;;;;;;27826643043;;;;;;;;prepaid life;;;;;</t>
  </si>
  <si>
    <t>ID_3050</t>
  </si>
  <si>
    <t>13864287;45208122-c348-4a39-82de-9d0524945bd8;;111111118;Vodacom Life 20260324;;;;;AA;5;2026-05-23 1</t>
  </si>
  <si>
    <t>13864287;45208122-c348-4a39-82de-9d0524945bd8;;111111118;Vodacom Life 20260324;;;;;AA;5;2026-05-23 12:34:13+02;system;2026-03-24 09:54:08+02;2026-03-24 09:54:08+02;;;;;;;;;27673726853;;;;;;;;prepaid life;;;;;</t>
  </si>
  <si>
    <t>ID_3051</t>
  </si>
  <si>
    <t>13864226;ef45f9c2-1caf-4aaa-961c-ec0fb058b96f;;111111118;Vodacom Life 20260324;;;;;A;5;2026-05-23 12</t>
  </si>
  <si>
    <t>13864226;ef45f9c2-1caf-4aaa-961c-ec0fb058b96f;;111111118;Vodacom Life 20260324;;;;;A;5;2026-05-23 12:16:50+02;bongiwe lushaba;2026-03-24 09:54:08+02;2026-03-24 09:54:08+02;;;;;;;;;27826731559;;;;;;;;prepaid life;;;;;</t>
  </si>
  <si>
    <t>ID_3052</t>
  </si>
  <si>
    <t>13864288;22937ec9-5f5f-42d5-87bc-5c2d96b09d96;;111111118;Vodacom Life 20260324;;;;;CBACK;5;2026-05-2</t>
  </si>
  <si>
    <t>13864288;22937ec9-5f5f-42d5-87bc-5c2d96b09d96;;111111118;Vodacom Life 20260324;;;;;CBACK;5;2026-05-23 12:34:14+02;Maureen Ntsoko;2026-03-24 09:54:08+02;2026-03-24 09:54:08+02;;;;;;;;;27673785745;;;;;;;;prepaid life;;;;;</t>
  </si>
  <si>
    <t>ID_3053</t>
  </si>
  <si>
    <t>13864227;fc9b4e63-b8ff-4bda-958e-a8bdc961fd2f;;111111118;Vodacom Life 20260324;;;;;CBACK;4;2026-05-1</t>
  </si>
  <si>
    <t>13864227;fc9b4e63-b8ff-4bda-958e-a8bdc961fd2f;;111111118;Vodacom Life 20260324;;;;;CBACK;4;2026-05-19 11:07:58+02;Maureen Ntsoko;2026-03-24 09:54:08+02;2026-03-24 09:54:08+02;;;;;;;;;27826947967;;;;;;;;prepaid life;;;;;</t>
  </si>
  <si>
    <t>ID_3054</t>
  </si>
  <si>
    <t>13864289;f74dc63e-de8a-4222-a0c7-136d8c9903b9;;111111118;Vodacom Life 20260324;;;;;NI;4;2026-04-02 1</t>
  </si>
  <si>
    <t>13864289;f74dc63e-de8a-4222-a0c7-136d8c9903b9;;111111118;Vodacom Life 20260324;;;;;NI;4;2026-04-02 12:19:10+02;Thandile Nokubeni;2026-03-24 09:54:08+02;2026-03-24 09:54:08+02;;;;;;;;;27711263100;;;;;;;;prepaid life;;;;;</t>
  </si>
  <si>
    <t>ID_3055</t>
  </si>
  <si>
    <t>13864130;b14f3968-1ba8-4ebe-895a-b95f521fc826;;111111118;Vodacom Life 20260324;;;27766690955;;AE;5;2</t>
  </si>
  <si>
    <t>13864130;b14f3968-1ba8-4ebe-895a-b95f521fc826;;111111118;Vodacom Life 20260324;;;27766690955;;AE;5;2026-05-25 11:37:01+02;system;2026-03-24 09:54:08+02;2026-03-24 09:54:08+02;;;;;;;;;27766690955;;;;;;;;prepaid life;;;;;</t>
  </si>
  <si>
    <t>ID_3056</t>
  </si>
  <si>
    <t>13864290;bcd02a40-e6d1-4dce-9be1-99565b53b8b6;;111111118;Vodacom Life 20260324;;;;;DROP;5;2026-05-22</t>
  </si>
  <si>
    <t>13864290;bcd02a40-e6d1-4dce-9be1-99565b53b8b6;;111111118;Vodacom Life 20260324;;;;;DROP;5;2026-05-22 14:21:55+02;system;2026-03-24 09:54:08+02;2026-03-24 09:54:08+02;;;;;;;;;27711325345;;;;;;;;prepaid life;;;;;</t>
  </si>
  <si>
    <t>ID_3057</t>
  </si>
  <si>
    <t>13864131;018f4150-e447-4021-b8a4-a81dc3866bc2;;111111118;Vodacom Life 20260324;;;;;CB;7;2026-05-21 1</t>
  </si>
  <si>
    <t>13864131;018f4150-e447-4021-b8a4-a81dc3866bc2;;111111118;Vodacom Life 20260324;;;;;CB;7;2026-05-21 11:05:41+02;Maureen Ntsoko;2026-03-24 09:54:08+02;2026-03-24 09:54:08+02;;;;;;;;;27766714447;;;;;;;;prepaid life;;;;;</t>
  </si>
  <si>
    <t>ID_3058</t>
  </si>
  <si>
    <t>13864228;7e6a0fbd-69e6-4a2b-8c42-2c318004004a;;111111118;Vodacom Life 20260324;;;;;AA;5;2026-05-23 1</t>
  </si>
  <si>
    <t>13864228;7e6a0fbd-69e6-4a2b-8c42-2c318004004a;;111111118;Vodacom Life 20260324;;;;;AA;5;2026-05-23 12:16:50+02;system;2026-03-24 09:54:08+02;2026-03-24 09:54:08+02;;;;;;;;;27827445410;;;;;;;;prepaid life;;;;;</t>
  </si>
  <si>
    <t>ID_3059</t>
  </si>
  <si>
    <t>13864229;d71893d6-b359-4da3-8d1a-fe4558f21511;;111111118;Vodacom Life 20260324;;;;;CBACK;3;2026-04-1</t>
  </si>
  <si>
    <t>13864229;d71893d6-b359-4da3-8d1a-fe4558f21511;;111111118;Vodacom Life 20260324;;;;;CBACK;3;2026-04-15 08:37:52+02;Maureen Ntsoko;2026-03-24 09:54:08+02;2026-03-24 09:54:08+02;;;;;;;;;27827667770;;;;;;;;prepaid life;;;;;</t>
  </si>
  <si>
    <t>ID_3060</t>
  </si>
  <si>
    <t xml:space="preserve">13864291;985944ed-47c9-47af-ba61-962ed196a373;;111111118;Vodacom Life 20260324;;;;;CCB;5;2026-05-22 </t>
  </si>
  <si>
    <t>13864291;985944ed-47c9-47af-ba61-962ed196a373;;111111118;Vodacom Life 20260324;;;;;CCB;5;2026-05-22 14:21:55+02;Khensane Mabasa;2026-03-24 09:54:08+02;2026-03-24 09:54:08+02;;;;;;;;;27711500648;;;;;;;;prepaid life;;;;;</t>
  </si>
  <si>
    <t>ID_3061</t>
  </si>
  <si>
    <t>13864230;cd08db00-3de9-423e-b7d2-c4cec1371e7e;;111111118;Vodacom Life 20260324;;;;;NA;5;2026-05-23 1</t>
  </si>
  <si>
    <t>13864230;cd08db00-3de9-423e-b7d2-c4cec1371e7e;;111111118;Vodacom Life 20260324;;;;;NA;5;2026-05-23 12:17:02+02;system;2026-03-24 09:54:08+02;2026-03-24 09:54:08+02;;;;;;;;;27827674044;;;;;;;;prepaid life;;;;;</t>
  </si>
  <si>
    <t>ID_3062</t>
  </si>
  <si>
    <t>13864132;4bef5828-fb18-466a-8c56-aaa9eecba9b3;;111111118;Vodacom Life 20260324;;;;;AE;5;2026-05-25 1</t>
  </si>
  <si>
    <t>13864132;4bef5828-fb18-466a-8c56-aaa9eecba9b3;;111111118;Vodacom Life 20260324;;;;;AE;5;2026-05-25 11:37:01+02;system;2026-03-24 09:54:08+02;2026-03-24 09:54:08+02;;;;;;;;;27766752273;;;;;;;;prepaid life;;;;;</t>
  </si>
  <si>
    <t>ID_3063</t>
  </si>
  <si>
    <t>13864292;e04d9622-8106-4295-8bd7-dde7835a247d;;111111118;Vodacom Life 20260324;;;;;AA;5;2026-05-22 1</t>
  </si>
  <si>
    <t>13864292;e04d9622-8106-4295-8bd7-dde7835a247d;;111111118;Vodacom Life 20260324;;;;;AA;5;2026-05-22 14:21:55+02;system;2026-03-24 09:54:08+02;2026-03-24 09:54:08+02;;;;;;;;;27711653810;;;;;;;;prepaid life;;;;;</t>
  </si>
  <si>
    <t>ID_3064</t>
  </si>
  <si>
    <t>13864133;2477c51f-9b15-4dd0-a3da-36ffe0a2f759;;111111118;Vodacom Life 20260324;;;;;CBACK;5;2026-05-2</t>
  </si>
  <si>
    <t>13864133;2477c51f-9b15-4dd0-a3da-36ffe0a2f759;;111111118;Vodacom Life 20260324;;;;;CBACK;5;2026-05-25 11:37:04+02;Maureen Ntsoko;2026-03-24 09:54:08+02;2026-03-24 09:54:08+02;;;;;;;;;27766781663;;;;;;;;prepaid life;;;;;</t>
  </si>
  <si>
    <t>ID_3065</t>
  </si>
  <si>
    <t>13864293;1d894114-3b60-40db-b2c0-c9e8fc67232c;;111111118;Vodacom Life 20260324;;;;;AA;5;2026-05-22 1</t>
  </si>
  <si>
    <t>13864293;1d894114-3b60-40db-b2c0-c9e8fc67232c;;111111118;Vodacom Life 20260324;;;;;AA;5;2026-05-22 14:21:56+02;system;2026-03-24 09:54:08+02;2026-03-24 09:54:08+02;;;;;;;;;27711819729;;;;;;;;prepaid life;;;;;</t>
  </si>
  <si>
    <t>ID_3066</t>
  </si>
  <si>
    <t>13864134;2d9c8beb-1799-4ca0-825a-dc081bf5d2b4;;111111118;Vodacom Life 20260324;;;;;CBACK;4;2026-05-1</t>
  </si>
  <si>
    <t>13864134;2d9c8beb-1799-4ca0-825a-dc081bf5d2b4;;111111118;Vodacom Life 20260324;;;;;CBACK;4;2026-05-19 11:00:41+02;Maureen Ntsoko;2026-03-24 09:54:08+02;2026-03-24 09:54:08+02;;;;;;;;;27766986381;;;;;;;;prepaid life;;;;;</t>
  </si>
  <si>
    <t>ID_3067</t>
  </si>
  <si>
    <t>13864135;0828d914-d55a-4309-b288-1164ad4b354a;;111111118;Vodacom Life 20260324;;;;;CBACK;2;2026-04-0</t>
  </si>
  <si>
    <t>13864135;0828d914-d55a-4309-b288-1164ad4b354a;;111111118;Vodacom Life 20260324;;;;;CBACK;2;2026-04-09 11:32:00+02;Maureen Ntsoko;2026-03-24 09:54:08+02;2026-03-24 09:54:08+02;;;;;;;;;27767146165;;;;;;;;prepaid life;;;;;</t>
  </si>
  <si>
    <t>ID_3068</t>
  </si>
  <si>
    <t>13864231;b43730be-a68e-47ea-b5c9-c50c66b7a7c6;;111111118;Vodacom Life 20260324;;;;;AE;5;2026-05-22 1</t>
  </si>
  <si>
    <t>13864231;b43730be-a68e-47ea-b5c9-c50c66b7a7c6;;111111118;Vodacom Life 20260324;;;;;AE;5;2026-05-22 14:33:17+02;system;2026-03-24 09:54:08+02;2026-03-24 09:54:08+02;;;;;;;;;27827988243;;;;;;;;prepaid life;;;;;</t>
  </si>
  <si>
    <t>ID_3069</t>
  </si>
  <si>
    <t>13864294;a8ef98a9-c2d4-4226-9fe4-f1e225bcda4b;;111111118;Vodacom Life 20260324;;;;;NI;4;2026-05-19 1</t>
  </si>
  <si>
    <t>13864294;a8ef98a9-c2d4-4226-9fe4-f1e225bcda4b;;111111118;Vodacom Life 20260324;;;;;NI;4;2026-05-19 11:13:39+02;Maureen Ntsoko;2026-03-24 09:54:08+02;2026-03-24 09:54:08+02;;;;;;;;;27711861462;;;;;;;;prepaid life;;;;;</t>
  </si>
  <si>
    <t>ID_3070</t>
  </si>
  <si>
    <t>13864232;28a4c9d2-e83a-4dfd-8f01-9b228ebc72cc;;111111118;Vodacom Life 20260324;;;;;NA;5;2026-05-22 1</t>
  </si>
  <si>
    <t>13864232;28a4c9d2-e83a-4dfd-8f01-9b228ebc72cc;;111111118;Vodacom Life 20260324;;;;;NA;5;2026-05-22 14:33:17+02;system;2026-03-24 09:54:08+02;2026-03-24 09:54:08+02;;;;;;;;;27828401802;;;;;;;;prepaid life;;;;;</t>
  </si>
  <si>
    <t>ID_3071</t>
  </si>
  <si>
    <t>13864295;4316418f-6b02-412e-ba7e-7ae0144ea6f9;;111111118;Vodacom Life 20260324;;;;;NI;1;2026-04-01 1</t>
  </si>
  <si>
    <t>13864295;4316418f-6b02-412e-ba7e-7ae0144ea6f9;;111111118;Vodacom Life 20260324;;;;;NI;1;2026-04-01 13:02:31+02;Esther Ramalete;2026-03-24 09:54:08+02;2026-03-24 09:54:08+02;;;;;;;;;27712291527;;;;;;;;prepaid life;;;;;</t>
  </si>
  <si>
    <t>ID_3072</t>
  </si>
  <si>
    <t>13864233;a54738ef-aba2-48f2-9053-d71999186cae;;111111118;Vodacom Life 20260324;;;;;CBACK;1;2026-04-0</t>
  </si>
  <si>
    <t>13864233;a54738ef-aba2-48f2-9053-d71999186cae;;111111118;Vodacom Life 20260324;;;;;CBACK;1;2026-04-01 12:52:19+02;Millicent Motsuku;2026-03-24 09:54:08+02;2026-03-24 09:54:08+02;;;;;;;;;27828461965;;;;;;;;prepaid life;;;;;</t>
  </si>
  <si>
    <t>ID_3073</t>
  </si>
  <si>
    <t>13864136;6b69f2a0-db47-4aee-9d09-ccbf68f1c5a9;;111111118;Vodacom Life 20260324;;;;;AE;5;2026-05-23 1</t>
  </si>
  <si>
    <t>13864136;6b69f2a0-db47-4aee-9d09-ccbf68f1c5a9;;111111118;Vodacom Life 20260324;;;;;AE;5;2026-05-23 11:07:39+02;system;2026-03-24 09:54:08+02;2026-03-24 09:54:08+02;;;;;;;;;27767234824;;;;;;;;prepaid life;;;;;</t>
  </si>
  <si>
    <t>ID_3074</t>
  </si>
  <si>
    <t>13864137;05db6295-50cd-401b-93ff-b61c20a82dd5;;111111118;Vodacom Life 20260324;;;;;CU;5;2026-05-25 1</t>
  </si>
  <si>
    <t>13864137;05db6295-50cd-401b-93ff-b61c20a82dd5;;111111118;Vodacom Life 20260324;;;;;CU;5;2026-05-25 11:37:19+02;bongiwe lushaba;2026-03-24 09:54:08+02;2026-03-24 09:54:08+02;;;;;;;;;27767271717;;;;;;;;prepaid life;;;;;</t>
  </si>
  <si>
    <t>ID_3075</t>
  </si>
  <si>
    <t>13864296;18fba7cd-5c26-447b-932e-ad11b62f825e;;111111118;Vodacom Life 20260324;;;;;AA;5;2026-05-22 1</t>
  </si>
  <si>
    <t>13864296;18fba7cd-5c26-447b-932e-ad11b62f825e;;111111118;Vodacom Life 20260324;;;;;AA;5;2026-05-22 14:22:46+02;system;2026-03-24 09:54:08+02;2026-03-24 09:54:08+02;;;;;;;;;27712601468;;;;;;;;prepaid life;;;;;</t>
  </si>
  <si>
    <t>ID_3076</t>
  </si>
  <si>
    <t>13864234;bc81a4ff-5068-44da-bf6b-71466a4d72ba;;111111118;Vodacom Life 20260324;;;;;NA;5;2026-05-22 1</t>
  </si>
  <si>
    <t>13864234;bc81a4ff-5068-44da-bf6b-71466a4d72ba;;111111118;Vodacom Life 20260324;;;;;NA;5;2026-05-22 14:33:17+02;system;2026-03-24 09:54:08+02;2026-03-24 09:54:08+02;;;;;;;;;27828699527;;;;;;;;prepaid life;;;;;</t>
  </si>
  <si>
    <t>ID_3077</t>
  </si>
  <si>
    <t>13864297;2827a078-77d8-486c-b78f-5f047c672d1b;;111111118;Vodacom Life 20260324;;;;;NA;5;2026-05-23 1</t>
  </si>
  <si>
    <t>13864297;2827a078-77d8-486c-b78f-5f047c672d1b;;111111118;Vodacom Life 20260324;;;;;NA;5;2026-05-23 12:35:15+02;system;2026-03-24 09:54:08+02;2026-03-24 09:54:08+02;;;;;;;;;27712731856;;;;;;;;prepaid life;;;;;</t>
  </si>
  <si>
    <t>ID_3078</t>
  </si>
  <si>
    <t>13864235;6d82a6ba-feeb-4f1b-b523-8112dfaebeec;;111111118;Vodacom Life 20260324;;;;;A;5;2026-05-22 14</t>
  </si>
  <si>
    <t>13864235;6d82a6ba-feeb-4f1b-b523-8112dfaebeec;;111111118;Vodacom Life 20260324;;;;;A;5;2026-05-22 14:33:30+02;Khensane Mabasa;2026-03-24 09:54:08+02;2026-03-24 09:54:08+02;;;;;;;;;27828822279;;;;;;;;prepaid life;;;;;</t>
  </si>
  <si>
    <t>ID_3079</t>
  </si>
  <si>
    <t>13864236;68bcd5b7-971d-44ac-89ff-eb502047e23c;;111111118;Vodacom Life 20260324;;;;;AA;5;2026-05-22 1</t>
  </si>
  <si>
    <t>13864236;68bcd5b7-971d-44ac-89ff-eb502047e23c;;111111118;Vodacom Life 20260324;;;;;AA;5;2026-05-22 14:33:17+02;system;2026-03-24 09:54:08+02;2026-03-24 09:54:08+02;;;;;;;;;27828878484;;;;;;;;prepaid life;;;;;</t>
  </si>
  <si>
    <t>ID_3080</t>
  </si>
  <si>
    <t>13864139;4c003ab9-2079-4f2c-adc9-95b90d2d1a06;;111111118;Vodacom Life 20260324;;;;;NA;5;2026-05-23 1</t>
  </si>
  <si>
    <t>13864139;4c003ab9-2079-4f2c-adc9-95b90d2d1a06;;111111118;Vodacom Life 20260324;;;;;NA;5;2026-05-23 11:07:39+02;system;2026-03-24 09:54:08+02;2026-03-24 09:54:08+02;;;;;;;;;27767518014;;;;;;;;prepaid life;;;;;</t>
  </si>
  <si>
    <t>ID_3081</t>
  </si>
  <si>
    <t>13864298;e44e41e0-0511-4130-b56e-4fe10eb2ebe8;;111111118;Vodacom Life 20260324;;;;;AA;5;2026-05-23 1</t>
  </si>
  <si>
    <t>13864298;e44e41e0-0511-4130-b56e-4fe10eb2ebe8;;111111118;Vodacom Life 20260324;;;;;AA;5;2026-05-23 12:40:50+02;system;2026-03-24 09:54:08+02;2026-03-24 09:54:08+02;;;;;;;;;27712797955;;;;;;;;prepaid life;;;;;</t>
  </si>
  <si>
    <t>ID_3082</t>
  </si>
  <si>
    <t>13864299;d1f9f5d9-e10b-43d4-aa4f-4b66f4033f9d;;111111118;Vodacom Life 20260324;;;;;AA;5;2026-05-23 1</t>
  </si>
  <si>
    <t>13864299;d1f9f5d9-e10b-43d4-aa4f-4b66f4033f9d;;111111118;Vodacom Life 20260324;;;;;AA;5;2026-05-23 12:35:15+02;system;2026-03-24 09:54:08+02;2026-03-24 09:54:08+02;;;;;;;;;27712977164;;;;;;;;prepaid life;;;;;</t>
  </si>
  <si>
    <t>ID_3083</t>
  </si>
  <si>
    <t>13864140;6d41f958-0b89-4a66-999c-7061c54f01b7;;111111118;Vodacom Life 20260324;;;;;CU;5;2026-05-23 1</t>
  </si>
  <si>
    <t>13864140;6d41f958-0b89-4a66-999c-7061c54f01b7;;111111118;Vodacom Life 20260324;;;;;CU;5;2026-05-23 11:07:40+02;bongiwe lushaba;2026-03-24 09:54:08+02;2026-03-24 09:54:08+02;;;;;;;;;27767868372;;;;;;;;prepaid life;;;;;</t>
  </si>
  <si>
    <t>ID_3084</t>
  </si>
  <si>
    <t>13864237;936d6e06-0543-4f55-a402-56f279d907d4;;111111118;Vodacom Life 20260324;;;;;AE;5;2026-05-22 1</t>
  </si>
  <si>
    <t>13864237;936d6e06-0543-4f55-a402-56f279d907d4;;111111118;Vodacom Life 20260324;;;;;AE;5;2026-05-22 14:33:28+02;system;2026-03-24 09:54:08+02;2026-03-24 09:54:08+02;;;;;;;;;27835266630;;;;;;;;prepaid life;;;;;</t>
  </si>
  <si>
    <t>ID_3085</t>
  </si>
  <si>
    <t>13864300;1132850d-72cf-4cef-8fef-4457e370edce;;111111118;Vodacom Life 20260324;;;;;DROP;5;2026-05-23</t>
  </si>
  <si>
    <t>13864300;1132850d-72cf-4cef-8fef-4457e370edce;;111111118;Vodacom Life 20260324;;;;;DROP;5;2026-05-23 12:35:16+02;system;2026-03-24 09:54:08+02;2026-03-24 09:54:08+02;;;;;;;;;27713004191;;;;;;;;prepaid life;;;;;</t>
  </si>
  <si>
    <t>ID_3086</t>
  </si>
  <si>
    <t>13864238;97cd5a40-2d0b-4ed2-8bfe-be5bf6a77e36;;111111118;Vodacom Life 20260324;;;;;CBACK;5;2026-05-2</t>
  </si>
  <si>
    <t>13864238;97cd5a40-2d0b-4ed2-8bfe-be5bf6a77e36;;111111118;Vodacom Life 20260324;;;;;CBACK;5;2026-05-20 09:49:38+02;Maureen Ntsoko;2026-03-24 09:54:08+02;2026-03-24 09:54:08+02;;;;;;;;;27836331754;;;;;;;;prepaid life;;;;;</t>
  </si>
  <si>
    <t>ID_3087</t>
  </si>
  <si>
    <t>13864141;132eb802-73e2-4109-a051-69b7db5a0385;;111111118;Vodacom Life 20260324;;;;;DROP;5;2026-05-23</t>
  </si>
  <si>
    <t>13864141;132eb802-73e2-4109-a051-69b7db5a0385;;111111118;Vodacom Life 20260324;;;;;DROP;5;2026-05-23 11:07:40+02;system;2026-03-24 09:54:08+02;2026-03-24 09:54:08+02;;;;;;;;;27767920501;;;;;;;;prepaid life;;;;;</t>
  </si>
  <si>
    <t>ID_3088</t>
  </si>
  <si>
    <t>13864301;b9460701-4682-4b0a-85fe-37e6e9df7adf;;111111118;Vodacom Life 20260324;;;;;NI;2;2026-04-09 1</t>
  </si>
  <si>
    <t>13864301;b9460701-4682-4b0a-85fe-37e6e9df7adf;;111111118;Vodacom Life 20260324;;;;;NI;2;2026-04-09 11:19:52+02;Mahlatse Manamela;2026-03-24 09:54:08+02;2026-03-24 09:54:08+02;;;;;;;;;27713198571;;;;;;;;prepaid life;;;;;</t>
  </si>
  <si>
    <t>ID_3089</t>
  </si>
  <si>
    <t>13864142;40f49c3a-8e6a-4108-9462-058f414e0f94;;111111118;Vodacom Life 20260324;;;;;AA;5;2026-05-23 1</t>
  </si>
  <si>
    <t>13864142;40f49c3a-8e6a-4108-9462-058f414e0f94;;111111118;Vodacom Life 20260324;;;;;AA;5;2026-05-23 12:53:31+02;system;2026-03-24 09:54:08+02;2026-03-24 09:54:08+02;;;;;;;;;27768081124;;;;;;;;prepaid life;;;;;</t>
  </si>
  <si>
    <t>ID_3090</t>
  </si>
  <si>
    <t>13864239;5d33872d-d41d-4a80-b19e-625c44fa2e37;;111111118;Vodacom Life 20260324;;;;;AE;5;2026-05-25 0</t>
  </si>
  <si>
    <t>13864239;5d33872d-d41d-4a80-b19e-625c44fa2e37;;111111118;Vodacom Life 20260324;;;;;AE;5;2026-05-25 08:54:06+02;system;2026-03-24 09:54:08+02;2026-03-24 09:54:08+02;;;;;;;;;27840860907;;;;;;;;prepaid life;;;;;</t>
  </si>
  <si>
    <t>ID_3091</t>
  </si>
  <si>
    <t>13864302;e6a0f5c5-ba70-4ab3-879a-7254545a892c;;111111118;Vodacom Life 20260324;;;;;DROP;5;2026-05-23</t>
  </si>
  <si>
    <t>13864302;e6a0f5c5-ba70-4ab3-879a-7254545a892c;;111111118;Vodacom Life 20260324;;;;;DROP;5;2026-05-23 12:41:22+02;system;2026-03-24 09:54:08+02;2026-03-24 09:54:08+02;;;;;;;;;27713583300;;;;;;;;prepaid life;;;;;</t>
  </si>
  <si>
    <t>ID_3092</t>
  </si>
  <si>
    <t>13864240;7bb1cdb2-ba1f-43c0-b1d4-8bab3d7312f9;;111111118;Vodacom Life 20260324;;;;;A;5;2026-05-25 08</t>
  </si>
  <si>
    <t>13864240;7bb1cdb2-ba1f-43c0-b1d4-8bab3d7312f9;;111111118;Vodacom Life 20260324;;;;;A;5;2026-05-25 08:56:05+02;bongiwe lushaba;2026-03-24 09:54:08+02;2026-03-24 09:54:08+02;;;;;;;;;27842539736;;;;;;;;prepaid life;;;;;</t>
  </si>
  <si>
    <t>ID_3093</t>
  </si>
  <si>
    <t>13864241;9310a348-b531-4aac-bedd-c6089304bf1a;;111111118;Vodacom Life 20260324;;;27605082185;;IABDN;</t>
  </si>
  <si>
    <t>13864241;9310a348-b531-4aac-bedd-c6089304bf1a;;111111118;Vodacom Life 20260324;;;27605082185;;IABDN;5;2026-05-22 14:29:55+02;system;2026-03-24 09:54:08+02;2026-03-24 09:54:08+02;;;;;;;;;27605082185;;;;;;;;prepaid life;;;;;</t>
  </si>
  <si>
    <t>ID_3094</t>
  </si>
  <si>
    <t>13864143;6e1e8a17-1150-4d1f-9f3d-d76633f0a8ed;;111111118;Vodacom Life 20260324;;;;;DROP;5;2026-05-25</t>
  </si>
  <si>
    <t>13864143;6e1e8a17-1150-4d1f-9f3d-d76633f0a8ed;;111111118;Vodacom Life 20260324;;;;;DROP;5;2026-05-25 08:35:08+02;system;2026-03-24 09:54:08+02;2026-03-24 09:54:08+02;;;;;;;;;27768275527;;;;;;;;prepaid life;;;;;</t>
  </si>
  <si>
    <t>ID_3095</t>
  </si>
  <si>
    <t>13864303;28474166-d085-44b6-8cc9-034d01865671;;111111118;Vodacom Life 20260324;;;;;DROP;5;2026-05-23</t>
  </si>
  <si>
    <t>13864303;28474166-d085-44b6-8cc9-034d01865671;;111111118;Vodacom Life 20260324;;;;;DROP;5;2026-05-23 12:36:08+02;system;2026-03-24 09:54:08+02;2026-03-24 09:54:08+02;;;;;;;;;27713597884;;;;;;;;prepaid life;;;;;</t>
  </si>
  <si>
    <t>ID_3096</t>
  </si>
  <si>
    <t>13864242;066b93eb-0c5c-486e-89fc-f1d6054bf697;;111111118;Vodacom Life 20260324;;;;;AA;5;2026-05-22 1</t>
  </si>
  <si>
    <t>13864242;066b93eb-0c5c-486e-89fc-f1d6054bf697;;111111118;Vodacom Life 20260324;;;;;AA;5;2026-05-22 14:29:31+02;system;2026-03-24 09:54:08+02;2026-03-24 09:54:08+02;;;;;;;;;27606041158;;;;;;;;prepaid life;;;;;</t>
  </si>
  <si>
    <t>ID_3097</t>
  </si>
  <si>
    <t>13864304;4775c3a1-7bc7-4766-9e11-f9c3ece67c45;;111111118;Vodacom Life 20260324;;;;;A;5;2026-05-23 12</t>
  </si>
  <si>
    <t>13864304;4775c3a1-7bc7-4766-9e11-f9c3ece67c45;;111111118;Vodacom Life 20260324;;;;;A;5;2026-05-23 12:42:26+02;Maureen Ntsoko;2026-03-24 09:54:08+02;2026-03-24 09:54:08+02;;;;;;;;;27713627016;;;;;;;;prepaid life;;;;;</t>
  </si>
  <si>
    <t>ID_3098</t>
  </si>
  <si>
    <t>13864243;ea9460c5-029d-4110-a0cd-113c1210bdc1;;111111118;Vodacom Life 20260324;;;;;CU;5;2026-05-22 1</t>
  </si>
  <si>
    <t>13864243;ea9460c5-029d-4110-a0cd-113c1210bdc1;;111111118;Vodacom Life 20260324;;;;;CU;5;2026-05-22 14:29:30+02;Khensane Mabasa;2026-03-24 09:54:08+02;2026-03-24 09:54:08+02;;;;;;;;;27606559364;;;;;;;;prepaid life;;;;;</t>
  </si>
  <si>
    <t>ID_3099</t>
  </si>
  <si>
    <t>13864244;10af73b2-4151-44af-9fea-cbee72f5179b;;111111118;Vodacom Life 20260324;;;;;NA;5;2026-05-22 1</t>
  </si>
  <si>
    <t>13864244;10af73b2-4151-44af-9fea-cbee72f5179b;;111111118;Vodacom Life 20260324;;;;;NA;5;2026-05-22 14:29:37+02;system;2026-03-24 09:54:08+02;2026-03-24 09:54:08+02;;;;;;;;;27606798618;;;;;;;;prepaid life;;;;;</t>
  </si>
  <si>
    <t>ID_3100</t>
  </si>
  <si>
    <t>13864144;773afb9a-62fc-4d1d-9e43-7074939342c1;;111111118;Vodacom Life 20260324;;;;;CU;9;2026-04-09 1</t>
  </si>
  <si>
    <t>13864144;773afb9a-62fc-4d1d-9e43-7074939342c1;;111111118;Vodacom Life 20260324;;;;;CU;9;2026-04-09 12:09:41+02;Seboifeng Mogola;2026-03-24 09:54:08+02;2026-03-24 09:54:08+02;;;;;;;;;27768384574;;;;;;;;prepaid life;;;;;</t>
  </si>
  <si>
    <t>ID_3101</t>
  </si>
  <si>
    <t>13864305;963781a2-092f-4f1f-86cb-32ab34aec051;;111111118;Vodacom Life 20260324;;;;;DROP;5;2026-05-23</t>
  </si>
  <si>
    <t>13864305;963781a2-092f-4f1f-86cb-32ab34aec051;;111111118;Vodacom Life 20260324;;;;;DROP;5;2026-05-23 12:36:08+02;system;2026-03-24 09:54:08+02;2026-03-24 09:54:08+02;;;;;;;;;27713954028;;;;;;;;prepaid life;;;;;</t>
  </si>
  <si>
    <t>ID_3102</t>
  </si>
  <si>
    <t>13864145;c6ba6ea8-5ac1-4a84-b641-478d5cd8333f;;111111118;Vodacom Life 20260324;;;;;DROP;5;2026-05-25</t>
  </si>
  <si>
    <t>13864145;c6ba6ea8-5ac1-4a84-b641-478d5cd8333f;;111111118;Vodacom Life 20260324;;;;;DROP;5;2026-05-25 08:35:09+02;system;2026-03-24 09:54:08+02;2026-03-24 09:54:08+02;;;;;;;;;27768485899;;;;;;;;prepaid life;;;;;</t>
  </si>
  <si>
    <t>ID_3103</t>
  </si>
  <si>
    <t>13864342;df434240-b667-4a4a-b30a-be152cd3f335;;111111118;Vodacom Life 20260324;;;;;DROP;5;2026-05-23</t>
  </si>
  <si>
    <t>13864342;df434240-b667-4a4a-b30a-be152cd3f335;;111111118;Vodacom Life 20260324;;;;;DROP;5;2026-05-23 12:43:08+02;system;2026-03-24 09:54:08+02;2026-03-24 09:54:08+02;;;;;;;;;27724064973;;;;;;;;prepaid life;;;;;</t>
  </si>
  <si>
    <t>ID_3104</t>
  </si>
  <si>
    <t>13864306;16e3bad5-4841-4851-84e8-685226dfa4a2;;111111118;Vodacom Life 20260324;;;;;CBACK;1;2026-03-3</t>
  </si>
  <si>
    <t>13864306;16e3bad5-4841-4851-84e8-685226dfa4a2;;111111118;Vodacom Life 20260324;;;;;CBACK;1;2026-03-31 11:19:11+02;Thandile Nokubeni;2026-03-24 09:54:08+02;2026-03-24 09:54:08+02;;;;;;;;;27714096809;;;;;;;;prepaid life;;;;;</t>
  </si>
  <si>
    <t>ID_3105</t>
  </si>
  <si>
    <t>13864343;7aa62403-0fb5-4680-a4fd-c9fe591f4c3e;;111111118;Vodacom Life 20260324;;;;;AA;5;2026-05-23 1</t>
  </si>
  <si>
    <t>13864343;7aa62403-0fb5-4680-a4fd-c9fe591f4c3e;;111111118;Vodacom Life 20260324;;;;;AA;5;2026-05-23 12:46:00+02;system;2026-03-24 09:54:08+02;2026-03-24 09:54:08+02;;;;;;;;;27724161180;;;;;;;;prepaid life;;;;;</t>
  </si>
  <si>
    <t>ID_3106</t>
  </si>
  <si>
    <t>13864146;f9138dd3-4c17-49d8-887e-e392bf9153e5;;111111118;Vodacom Life 20260324;;;;;DROP;5;2026-05-23</t>
  </si>
  <si>
    <t>13864146;f9138dd3-4c17-49d8-887e-e392bf9153e5;;111111118;Vodacom Life 20260324;;;;;DROP;5;2026-05-23 11:11:50+02;system;2026-03-24 09:54:08+02;2026-03-24 09:54:08+02;;;;;;;;;27768650715;;;;;;;;prepaid life;;;;;</t>
  </si>
  <si>
    <t>ID_3107</t>
  </si>
  <si>
    <t>13864307;f97118c7-9d86-4f82-ac2c-cbd5d9d5e180;;111111118;Vodacom Life 20260324;;;;;AE;5;2026-05-23 1</t>
  </si>
  <si>
    <t>13864307;f97118c7-9d86-4f82-ac2c-cbd5d9d5e180;;111111118;Vodacom Life 20260324;;;;;AE;5;2026-05-23 12:36:08+02;system;2026-03-24 09:54:08+02;2026-03-24 09:54:08+02;;;;;;;;;27714183166;;;;;;;;prepaid life;;;;;</t>
  </si>
  <si>
    <t>ID_3108</t>
  </si>
  <si>
    <t>13864147;4ace7468-2ff5-4f31-9729-5679cb51ff40;;111111118;Vodacom Life 20260324;;;;;DROP;5;2026-05-25</t>
  </si>
  <si>
    <t>13864147;4ace7468-2ff5-4f31-9729-5679cb51ff40;;111111118;Vodacom Life 20260324;;;;;DROP;5;2026-05-25 11:39:02+02;system;2026-03-24 09:54:08+02;2026-03-24 09:54:08+02;;;;;;;;;27768734837;;;;;;;;prepaid life;;;;;</t>
  </si>
  <si>
    <t>ID_3109</t>
  </si>
  <si>
    <t>13864344;9b5f175e-5b22-468f-b1b7-e791419055a9;;111111118;Vodacom Life 20260324;;;;;AA;5;2026-05-23 1</t>
  </si>
  <si>
    <t>13864344;9b5f175e-5b22-468f-b1b7-e791419055a9;;111111118;Vodacom Life 20260324;;;;;AA;5;2026-05-23 12:46:00+02;system;2026-03-24 09:54:08+02;2026-03-24 09:54:08+02;;;;;;;;;27724519920;;;;;;;;prepaid life;;;;;</t>
  </si>
  <si>
    <t>ID_3110</t>
  </si>
  <si>
    <t>13864308;df66b404-193f-4d6f-b684-d2b8f68c6eab;;111111118;Vodacom Life 20260324;;;;;SELECTED;3;2026-0</t>
  </si>
  <si>
    <t>13864308;df66b404-193f-4d6f-b684-d2b8f68c6eab;;111111118;Vodacom Life 20260324;;;;;SELECTED;3;2026-04-09 11:18:37+02;system;2026-03-24 09:54:08+02;2026-03-24 09:54:08+02;;;;;;;;;27714310958;;;;;;;;prepaid life;;;;;</t>
  </si>
  <si>
    <t>ID_3111</t>
  </si>
  <si>
    <t>13864345;ca355951-f5dc-461a-82bd-5ffc034446db;;111111118;Vodacom Life 20260324;;;;;CBACK;4;2026-05-2</t>
  </si>
  <si>
    <t>13864345;ca355951-f5dc-461a-82bd-5ffc034446db;;111111118;Vodacom Life 20260324;;;;;CBACK;4;2026-05-20 09:06:18+02;Maureen Ntsoko;2026-03-24 09:54:08+02;2026-03-24 09:54:08+02;;;;;;;;;27724563551;;;;;;;;prepaid life;;;;;</t>
  </si>
  <si>
    <t>ID_3112</t>
  </si>
  <si>
    <t>13864439;346a37d6-73e0-4d56-af0a-d0094a8dce6a;;111111118;Vodacom Life 20260324;;;27791937357;;IABDN;</t>
  </si>
  <si>
    <t>13864439;346a37d6-73e0-4d56-af0a-d0094a8dce6a;;111111118;Vodacom Life 20260324;;;27791937357;;IABDN;5;2026-05-22 16:55:23+02;system;2026-03-24 09:54:08+02;2026-03-24 09:54:08+02;;;;;;;;;27791937357;;;;;;;;prepaid life;;;;;</t>
  </si>
  <si>
    <t>ID_3113</t>
  </si>
  <si>
    <t>13864309;315390a2-74cb-4d71-acfa-f909074282a5;;111111118;Vodacom Life 20260324;;;;;NI;4;2026-05-20 0</t>
  </si>
  <si>
    <t>13864309;315390a2-74cb-4d71-acfa-f909074282a5;;111111118;Vodacom Life 20260324;;;;;NI;4;2026-05-20 08:40:32+02;Khensane Mabasa;2026-03-24 09:54:08+02;2026-03-24 09:54:08+02;;;;;;;;;27714464594;;;;;;;;prepaid life;;;;;</t>
  </si>
  <si>
    <t>ID_3114</t>
  </si>
  <si>
    <t>13864440;d2e98aec-2f2a-4300-a0ed-09611eba5b66;;111111118;Vodacom Life 20260324;;;;;CBACK;1;2026-04-0</t>
  </si>
  <si>
    <t>13864440;d2e98aec-2f2a-4300-a0ed-09611eba5b66;;111111118;Vodacom Life 20260324;;;;;CBACK;1;2026-04-02 12:08:58+02;Millicent Motsuku;2026-03-24 09:54:08+02;2026-03-24 09:54:08+02;;;;;;;;;27791946062;;;;;;;;prepaid life;;;;;</t>
  </si>
  <si>
    <t>ID_3115</t>
  </si>
  <si>
    <t>13864346;ccbcf72d-1070-4323-8364-d269e7b32277;;111111118;Vodacom Life 20260324;;;;;A;5;2026-05-25 08</t>
  </si>
  <si>
    <t>13864346;ccbcf72d-1070-4323-8364-d269e7b32277;;111111118;Vodacom Life 20260324;;;;;A;5;2026-05-25 08:54:19+02;Maureen Ntsoko;2026-03-24 09:54:08+02;2026-03-24 09:54:08+02;;;;;;;;;27724724573;;;;;;;;prepaid life;;;;;</t>
  </si>
  <si>
    <t>ID_3116</t>
  </si>
  <si>
    <t>13864310;699f311d-08da-4ba7-90ad-820ac802c0f5;;111111118;Vodacom Life 20260324;;;;;AF;1;2026-04-01 1</t>
  </si>
  <si>
    <t>13864310;699f311d-08da-4ba7-90ad-820ac802c0f5;;111111118;Vodacom Life 20260324;;;;;AF;1;2026-04-01 11:28:07+02;Seboifeng Mogola;2026-03-24 09:54:08+02;2026-03-24 09:54:08+02;;;;;;;;;27714667581;;;;;;;;prepaid life;;;;;</t>
  </si>
  <si>
    <t>ID_3117</t>
  </si>
  <si>
    <t xml:space="preserve">13864347;5fe7c8d3-3e83-4343-a04f-6de5f0648d39;;111111118;Vodacom Life 20260324;;;;;ADC;5;2026-05-22 </t>
  </si>
  <si>
    <t>13864347;5fe7c8d3-3e83-4343-a04f-6de5f0648d39;;111111118;Vodacom Life 20260324;;;;;ADC;5;2026-05-22 14:06:06+02;system;2026-03-24 09:54:08+02;2026-03-24 09:54:08+02;;;;;;;;;27724788889;;;;;;;;prepaid life;;;;;</t>
  </si>
  <si>
    <t>ID_3118</t>
  </si>
  <si>
    <t>13864311;5b26157a-cef9-4db4-8dc8-0c05f404bd0f;;111111118;Vodacom Life 20260324;;;;;DROP;5;2026-05-23</t>
  </si>
  <si>
    <t>13864311;5b26157a-cef9-4db4-8dc8-0c05f404bd0f;;111111118;Vodacom Life 20260324;;;;;DROP;5;2026-05-23 12:50:24+02;system;2026-03-24 09:54:08+02;2026-03-24 09:54:08+02;;;;;;;;;27714683806;;;;;;;;prepaid life;;;;;</t>
  </si>
  <si>
    <t>ID_3119</t>
  </si>
  <si>
    <t>13864348;12690f3c-9c47-428a-9256-240af1122712;;111111118;Vodacom Life 20260324;;;;;AA;5;2026-05-22 1</t>
  </si>
  <si>
    <t>13864348;12690f3c-9c47-428a-9256-240af1122712;;111111118;Vodacom Life 20260324;;;;;AA;5;2026-05-22 14:06:06+02;system;2026-03-24 09:54:08+02;2026-03-24 09:54:08+02;;;;;;;;;27724971304;;;;;;;;prepaid life;;;;;</t>
  </si>
  <si>
    <t>ID_3120</t>
  </si>
  <si>
    <t>13864441;3389c4be-28b2-4d21-a1c7-08a50ebcd760;;111111118;Vodacom Life 20260324;;;;;AA;5;2026-05-22 1</t>
  </si>
  <si>
    <t>13864441;3389c4be-28b2-4d21-a1c7-08a50ebcd760;;111111118;Vodacom Life 20260324;;;;;AA;5;2026-05-22 13:50:36+02;system;2026-03-24 09:54:08+02;2026-03-24 09:54:08+02;;;;;;;;;27792106919;;;;;;;;prepaid life;;;;;</t>
  </si>
  <si>
    <t>ID_3121</t>
  </si>
  <si>
    <t>13864312;421bccb2-aaf3-4560-8dd0-f370bdb8c6db;;111111118;Vodacom Life 20260324;;;;;AE;5;2026-05-25 0</t>
  </si>
  <si>
    <t>13864312;421bccb2-aaf3-4560-8dd0-f370bdb8c6db;;111111118;Vodacom Life 20260324;;;;;AE;5;2026-05-25 08:53:53+02;system;2026-03-24 09:54:08+02;2026-03-24 09:54:08+02;;;;;;;;;27714736547;;;;;;;;prepaid life;;;;;</t>
  </si>
  <si>
    <t>ID_3122</t>
  </si>
  <si>
    <t>13864442;8ae0b42b-1b4d-4872-a0bd-6f9f4c9d8fe5;;111111118;Vodacom Life 20260324;;;27792403612;;CU;5;2</t>
  </si>
  <si>
    <t>13864442;8ae0b42b-1b4d-4872-a0bd-6f9f4c9d8fe5;;111111118;Vodacom Life 20260324;;;27792403612;;CU;5;2026-05-22 13:50:36+02;bongiwe lushaba;2026-03-24 09:54:08+02;2026-03-24 09:54:08+02;;;;;;;;;27792403612;;;;;;;;prepaid life;;;;;</t>
  </si>
  <si>
    <t>ID_3123</t>
  </si>
  <si>
    <t>13864349;89237153-4d6b-4f72-84b4-a61a1059ab3a;;111111118;Vodacom Life 20260324;;;;;U;1;2026-04-01 11</t>
  </si>
  <si>
    <t>13864349;89237153-4d6b-4f72-84b4-a61a1059ab3a;;111111118;Vodacom Life 20260324;;;;;U;1;2026-04-01 11:32:53+02;Seboifeng Mogola;2026-03-24 09:54:08+02;2026-03-24 09:54:08+02;;;;;;;;;27725120077;;;;;;;;prepaid life;;;;;</t>
  </si>
  <si>
    <t>ID_3124</t>
  </si>
  <si>
    <t xml:space="preserve">13864313;02385380-bfc0-492a-a8c7-905cf6523a74;;111111118;Vodacom Life 20260324;;;;;ADC;5;2026-05-25 </t>
  </si>
  <si>
    <t>13864313;02385380-bfc0-492a-a8c7-905cf6523a74;;111111118;Vodacom Life 20260324;;;;;ADC;5;2026-05-25 08:54:02+02;system;2026-03-24 09:54:08+02;2026-03-24 09:54:08+02;;;;;;;;;27715062133;;;;;;;;prepaid life;;;;;</t>
  </si>
  <si>
    <t>ID_3125</t>
  </si>
  <si>
    <t>13864350;b01a82b7-8c69-4d9b-8f45-3c9e546ed1c0;;111111118;Vodacom Life 20260324;;;;;AA;5;2026-05-22 1</t>
  </si>
  <si>
    <t>13864350;b01a82b7-8c69-4d9b-8f45-3c9e546ed1c0;;111111118;Vodacom Life 20260324;;;;;AA;5;2026-05-22 14:06:06+02;system;2026-03-24 09:54:08+02;2026-03-24 09:54:08+02;;;;;;;;;27725205311;;;;;;;;prepaid life;;;;;</t>
  </si>
  <si>
    <t>ID_3126</t>
  </si>
  <si>
    <t>13864443;33f5746d-99fb-472e-b8db-18ccee3fe1d1;;111111118;Vodacom Life 20260324;;;;;AE;5;2026-05-22 1</t>
  </si>
  <si>
    <t>13864443;33f5746d-99fb-472e-b8db-18ccee3fe1d1;;111111118;Vodacom Life 20260324;;;;;AE;5;2026-05-22 13:50:36+02;system;2026-03-24 09:54:08+02;2026-03-24 09:54:08+02;;;;;;;;;27793000962;;;;;;;;prepaid life;;;;;</t>
  </si>
  <si>
    <t>ID_3127</t>
  </si>
  <si>
    <t>13864314;f65d81bf-97bc-482c-acf4-ca41b8d68fc0;;111111118;Vodacom Life 20260324;;;;;AA;5;2026-05-22 1</t>
  </si>
  <si>
    <t>13864314;f65d81bf-97bc-482c-acf4-ca41b8d68fc0;;111111118;Vodacom Life 20260324;;;;;AA;5;2026-05-22 14:19:25+02;system;2026-03-24 09:54:08+02;2026-03-24 09:54:08+02;;;;;;;;;27715394625;;;;;;;;prepaid life;;;;;</t>
  </si>
  <si>
    <t>ID_3128</t>
  </si>
  <si>
    <t>13864444;2b3b77a9-eb09-4971-bf90-de4740ce85bc;;111111118;Vodacom Life 20260324;;;27793702436;;DROP;5</t>
  </si>
  <si>
    <t>13864444;2b3b77a9-eb09-4971-bf90-de4740ce85bc;;111111118;Vodacom Life 20260324;;;27793702436;;DROP;5;2026-05-25 11:15:13+02;system;2026-03-24 09:54:08+02;2026-03-24 09:54:08+02;;;;;;;;;27793702436;;;;;;;;prepaid life;;;;;</t>
  </si>
  <si>
    <t>ID_3129</t>
  </si>
  <si>
    <t>13864445;0379e8fb-6cef-45e3-8e9b-0475334126a6;;111111118;Vodacom Life 20260324;;;;;CBACK;6;2026-05-2</t>
  </si>
  <si>
    <t>13864445;0379e8fb-6cef-45e3-8e9b-0475334126a6;;111111118;Vodacom Life 20260324;;;;;CBACK;6;2026-05-27 12:00:02+02;Khensane Mabasa;2026-03-24 09:54:08+02;2026-03-24 09:54:08+02;;;;;;;;;27793707222;;;;;;;;prepaid life;;;;;</t>
  </si>
  <si>
    <t>ID_3130</t>
  </si>
  <si>
    <t>13864351;129802eb-b1cb-4814-9463-2f8976d17c8d;;111111118;Vodacom Life 20260324;;;;;AA;5;2026-05-22 1</t>
  </si>
  <si>
    <t>13864351;129802eb-b1cb-4814-9463-2f8976d17c8d;;111111118;Vodacom Life 20260324;;;;;AA;5;2026-05-22 14:06:06+02;system;2026-03-24 09:54:08+02;2026-03-24 09:54:08+02;;;;;;;;;27725280640;;;;;;;;prepaid life;;;;;</t>
  </si>
  <si>
    <t>ID_3131</t>
  </si>
  <si>
    <t>13864315;956860bd-1e47-4ec2-b983-ce6a34837c54;;111111118;Vodacom Life 20260324;;;;;AA;5;2026-05-22 1</t>
  </si>
  <si>
    <t>13864315;956860bd-1e47-4ec2-b983-ce6a34837c54;;111111118;Vodacom Life 20260324;;;;;AA;5;2026-05-22 14:19:25+02;system;2026-03-24 09:54:08+02;2026-03-24 09:54:08+02;;;;;;;;;27715507201;;;;;;;;prepaid life;;;;;</t>
  </si>
  <si>
    <t>ID_3132</t>
  </si>
  <si>
    <t>13864352;77526e59-2d2f-4511-aeac-9132f6a99c6f;;111111118;Vodacom Life 20260324;;;;;AA;5;2026-05-23 1</t>
  </si>
  <si>
    <t>13864352;77526e59-2d2f-4511-aeac-9132f6a99c6f;;111111118;Vodacom Life 20260324;;;;;AA;5;2026-05-23 12:49:20+02;system;2026-03-24 09:54:08+02;2026-03-24 09:54:08+02;;;;;;;;;27725417670;;;;;;;;prepaid life;;;;;</t>
  </si>
  <si>
    <t>ID_3133</t>
  </si>
  <si>
    <t>13864446;68953708-84ac-4d71-8bca-edbf572138b8;;111111118;Vodacom Life 20260324;;;;;AA;5;2026-05-22 1</t>
  </si>
  <si>
    <t>13864446;68953708-84ac-4d71-8bca-edbf572138b8;;111111118;Vodacom Life 20260324;;;;;AA;5;2026-05-22 13:48:26+02;system;2026-03-24 09:54:08+02;2026-03-24 09:54:08+02;;;;;;;;;27793897040;;;;;;;;prepaid life;;;;;</t>
  </si>
  <si>
    <t>ID_3134</t>
  </si>
  <si>
    <t>13864316;a6eba745-3daa-4117-bb5b-14a0e51287fd;;111111118;Vodacom Life 20260324;;;;;AA;5;2026-05-22 1</t>
  </si>
  <si>
    <t>13864316;a6eba745-3daa-4117-bb5b-14a0e51287fd;;111111118;Vodacom Life 20260324;;;;;AA;5;2026-05-22 14:19:25+02;system;2026-03-24 09:54:08+02;2026-03-24 09:54:08+02;;;;;;;;;27715643562;;;;;;;;prepaid life;;;;;</t>
  </si>
  <si>
    <t>ID_3135</t>
  </si>
  <si>
    <t>13864447;b8977cca-31a2-464b-9c16-301301a9fd69;;111111118;Vodacom Life 20260324;;;;;AA;5;2026-05-22 1</t>
  </si>
  <si>
    <t>13864447;b8977cca-31a2-464b-9c16-301301a9fd69;;111111118;Vodacom Life 20260324;;;;;AA;5;2026-05-22 13:49:13+02;system;2026-03-24 09:54:08+02;2026-03-24 09:54:08+02;;;;;;;;;27793957464;;;;;;;;prepaid life;;;;;</t>
  </si>
  <si>
    <t>ID_3136</t>
  </si>
  <si>
    <t>13864353;5dbcf394-8201-47ff-b33c-81d3d1b2f533;;111111118;Vodacom Life 20260324;;;;;NA;5;2026-05-25 0</t>
  </si>
  <si>
    <t>13864353;5dbcf394-8201-47ff-b33c-81d3d1b2f533;;111111118;Vodacom Life 20260324;;;;;NA;5;2026-05-25 08:55:03+02;system;2026-03-24 09:54:08+02;2026-03-24 09:54:08+02;;;;;;;;;27725477094;;;;;;;;prepaid life;;;;;</t>
  </si>
  <si>
    <t>ID_3137</t>
  </si>
  <si>
    <t>13864317;d963091a-5914-451e-8490-4a55e99513c6;;111111118;Vodacom Life 20260324;;;;;CBACK;4;2026-05-1</t>
  </si>
  <si>
    <t>13864317;d963091a-5914-451e-8490-4a55e99513c6;;111111118;Vodacom Life 20260324;;;;;CBACK;4;2026-05-19 11:19:24+02;Maureen Ntsoko;2026-03-24 09:54:08+02;2026-03-24 09:54:08+02;;;;;;;;;27715830798;;;;;;;;prepaid life;;;;;</t>
  </si>
  <si>
    <t>ID_3138</t>
  </si>
  <si>
    <t>13864354;4b8a8cc4-f613-46d1-8a6e-2e4d0b0589ae;;111111118;Vodacom Life 20260324;;;;;NI;3;2026-04-15 0</t>
  </si>
  <si>
    <t>13864354;4b8a8cc4-f613-46d1-8a6e-2e4d0b0589ae;;111111118;Vodacom Life 20260324;;;;;NI;3;2026-04-15 08:19:42+02;Thandile Nokubeni;2026-03-24 09:54:08+02;2026-03-24 09:54:08+02;;;;;;;;;27725480460;;;;;;;;prepaid life;;;;;</t>
  </si>
  <si>
    <t>ID_3139</t>
  </si>
  <si>
    <t>13864318;0737a4d8-1cfb-47d4-9101-aeab783910ed;;111111118;Vodacom Life 20260324;;;;;AF;3;2026-04-15 0</t>
  </si>
  <si>
    <t>13864318;0737a4d8-1cfb-47d4-9101-aeab783910ed;;111111118;Vodacom Life 20260324;;;;;AF;3;2026-04-15 08:27:12+02;bongiwe lushaba;2026-03-24 09:54:08+02;2026-03-24 09:54:08+02;;;;;;;;;27716232806;;;;;;;;prepaid life;;;;;</t>
  </si>
  <si>
    <t>ID_3140</t>
  </si>
  <si>
    <t>13864355;41ce5502-f0c4-48b5-bc4b-8cab4fb700e6;;111111118;Vodacom Life 20260324;;;;;U;5;2026-05-25 08</t>
  </si>
  <si>
    <t>13864355;41ce5502-f0c4-48b5-bc4b-8cab4fb700e6;;111111118;Vodacom Life 20260324;;;;;U;5;2026-05-25 08:55:04+02;bongiwe lushaba;2026-03-24 09:54:08+02;2026-03-24 09:54:08+02;;;;;;;;;27725517599;;;;;;;;prepaid life;;;;;</t>
  </si>
  <si>
    <t>ID_3141</t>
  </si>
  <si>
    <t>13864448;3b5a49ec-c819-4f16-b2c7-32eef0843d43;;111111118;Vodacom Life 20260324;;;;;NA;5;2026-05-22 1</t>
  </si>
  <si>
    <t>13864448;3b5a49ec-c819-4f16-b2c7-32eef0843d43;;111111118;Vodacom Life 20260324;;;;;NA;5;2026-05-22 13:48:26+02;system;2026-03-24 09:54:08+02;2026-03-24 09:54:08+02;;;;;;;;;27794058080;;;;;;;;prepaid life;;;;;</t>
  </si>
  <si>
    <t>ID_3142</t>
  </si>
  <si>
    <t>13864319;534629c8-6268-488f-808a-27ff8f1ed262;;111111118;Vodacom Life 20260324;;;27720167266;;AA;5;2</t>
  </si>
  <si>
    <t>13864319;534629c8-6268-488f-808a-27ff8f1ed262;;111111118;Vodacom Life 20260324;;;27720167266;;AA;5;2026-05-22 14:19:26+02;system;2026-03-24 09:54:08+02;2026-03-24 09:54:08+02;;;;;;;;;27720167266;;;;;;;;prepaid life;;;;;</t>
  </si>
  <si>
    <t>ID_3143</t>
  </si>
  <si>
    <t>13864449;25ec99ff-b449-47fc-a076-aaa4828a1b46;;111111118;Vodacom Life 20260324;;;;;AE;5;2026-05-22 1</t>
  </si>
  <si>
    <t>13864449;25ec99ff-b449-47fc-a076-aaa4828a1b46;;111111118;Vodacom Life 20260324;;;;;AE;5;2026-05-22 13:49:13+02;system;2026-03-24 09:54:08+02;2026-03-24 09:54:08+02;;;;;;;;;27794061088;;;;;;;;prepaid life;;;;;</t>
  </si>
  <si>
    <t>ID_3144</t>
  </si>
  <si>
    <t>13864320;378aa083-5084-404f-8fbd-3832e2ab9a96;;111111118;Vodacom Life 20260324;;;;;AA;5;2026-05-25 0</t>
  </si>
  <si>
    <t>13864320;378aa083-5084-404f-8fbd-3832e2ab9a96;;111111118;Vodacom Life 20260324;;;;;AA;5;2026-05-25 09:11:35+02;system;2026-03-24 09:54:08+02;2026-03-24 09:54:08+02;;;;;;;;;27720263597;;;;;;;;prepaid life;;;;;</t>
  </si>
  <si>
    <t>ID_3145</t>
  </si>
  <si>
    <t>13864356;540b902e-0e28-4ac5-81a8-dfd41673f772;;111111118;Vodacom Life 20260324;;;;;AA;5;2026-05-25 0</t>
  </si>
  <si>
    <t>13864356;540b902e-0e28-4ac5-81a8-dfd41673f772;;111111118;Vodacom Life 20260324;;;;;AA;5;2026-05-25 08:55:04+02;system;2026-03-24 09:54:08+02;2026-03-24 09:54:08+02;;;;;;;;;27725652194;;;;;;;;prepaid life;;;;;</t>
  </si>
  <si>
    <t>ID_3146</t>
  </si>
  <si>
    <t>13864321;2dd9bb46-7358-425e-b277-38267be27b5f;;111111118;Vodacom Life 20260324;;;;;AA;5;2026-05-22 1</t>
  </si>
  <si>
    <t>13864321;2dd9bb46-7358-425e-b277-38267be27b5f;;111111118;Vodacom Life 20260324;;;;;AA;5;2026-05-22 14:15:08+02;system;2026-03-24 09:54:08+02;2026-03-24 09:54:08+02;;;;;;;;;27720381339;;;;;;;;prepaid life;;;;;</t>
  </si>
  <si>
    <t>ID_3147</t>
  </si>
  <si>
    <t>13864357;aa9d2249-4036-4b1a-90fa-c7dcc99da697;;111111118;Vodacom Life 20260324;;;;;AA;5;2026-05-25 0</t>
  </si>
  <si>
    <t>13864357;aa9d2249-4036-4b1a-90fa-c7dcc99da697;;111111118;Vodacom Life 20260324;;;;;AA;5;2026-05-25 08:55:04+02;system;2026-03-24 09:54:08+02;2026-03-24 09:54:08+02;;;;;;;;;27725812878;;;;;;;;prepaid life;;;;;</t>
  </si>
  <si>
    <t>ID_3148</t>
  </si>
  <si>
    <t>13864450;ab0327e0-37d7-457f-8ad0-e96f0d7d3fb4;;111111118;Vodacom Life 20260324;;;27794064785;;IABDN;</t>
  </si>
  <si>
    <t>13864450;ab0327e0-37d7-457f-8ad0-e96f0d7d3fb4;;111111118;Vodacom Life 20260324;;;27794064785;;IABDN;5;2026-05-23 12:54:52+02;system;2026-03-24 09:54:08+02;2026-03-24 09:54:08+02;;;;;;;;;27794064785;;;;;;;;prepaid life;;;;;</t>
  </si>
  <si>
    <t>ID_3149</t>
  </si>
  <si>
    <t>13864451;384b3b9a-aa74-4e2b-8385-a42e43c134f7;;111111118;Vodacom Life 20260324;;;27794150304;;AFTHRS</t>
  </si>
  <si>
    <t>13864451;384b3b9a-aa74-4e2b-8385-a42e43c134f7;;111111118;Vodacom Life 20260324;;;27794150304;;AFTHRS;5;2026-05-30 15:03:26+02;system;2026-03-24 09:54:08+02;2026-03-24 09:54:08+02;;;;;;;;;27794150304;;;;;;;;prepaid life;;;;;</t>
  </si>
  <si>
    <t>ID_3150</t>
  </si>
  <si>
    <t>13864358;b17a405e-d63b-4765-b191-01afa0d1cd12;;111111118;Vodacom Life 20260324;;;;;CU;5;2026-05-25 0</t>
  </si>
  <si>
    <t>13864358;b17a405e-d63b-4765-b191-01afa0d1cd12;;111111118;Vodacom Life 20260324;;;;;CU;5;2026-05-25 08:55:10+02;Maureen Ntsoko;2026-03-24 09:54:08+02;2026-03-24 09:54:08+02;;;;;;;;;27726359287;;;;;;;;prepaid life;;;;;</t>
  </si>
  <si>
    <t>ID_3151</t>
  </si>
  <si>
    <t>13864323;575c83ba-b2b5-4001-b782-d0030d629ad2;;111111118;Vodacom Life 20260324;;;27720435873;;IABDN;</t>
  </si>
  <si>
    <t>13864323;575c83ba-b2b5-4001-b782-d0030d629ad2;;111111118;Vodacom Life 20260324;;;27720435873;;IABDN;5;2026-05-22 14:36:33+02;system;2026-03-24 09:54:08+02;2026-03-24 09:54:08+02;;;;;;;;;27720435873;;;;;;;;prepaid life;;;;;</t>
  </si>
  <si>
    <t>ID_3152</t>
  </si>
  <si>
    <t>13864359;211ee90d-e27c-4301-8239-70605bec5dbd;;111111118;Vodacom Life 20260324;;;;;U;3;2026-04-15 08</t>
  </si>
  <si>
    <t>13864359;211ee90d-e27c-4301-8239-70605bec5dbd;;111111118;Vodacom Life 20260324;;;;;U;3;2026-04-15 08:18:24+02;bongiwe lushaba;2026-03-24 09:54:08+02;2026-03-24 09:54:08+02;;;;;;;;;27726499201;;;;;;;;prepaid life;;;;;</t>
  </si>
  <si>
    <t>ID_3153</t>
  </si>
  <si>
    <t>13864360;d963520c-d0e9-4a6d-887b-2d6193823e93;;111111118;Vodacom Life 20260324;;;;;U;2;2026-04-01 10</t>
  </si>
  <si>
    <t>13864360;d963520c-d0e9-4a6d-887b-2d6193823e93;;111111118;Vodacom Life 20260324;;;;;U;2;2026-04-01 10:28:19+02;bongiwe lushaba;2026-03-24 09:54:08+02;2026-03-24 09:54:08+02;;;;;;;;;27726537345;;;;;;;;prepaid life;;;;;</t>
  </si>
  <si>
    <t>ID_3154</t>
  </si>
  <si>
    <t>13864452;0c9729c5-1055-42ca-8e04-86a43d65fb09;;111111118;Vodacom Life 20260324;;;;;NI;4;2026-05-19 1</t>
  </si>
  <si>
    <t>13864452;0c9729c5-1055-42ca-8e04-86a43d65fb09;;111111118;Vodacom Life 20260324;;;;;NI;4;2026-05-19 11:57:45+02;Maureen Ntsoko;2026-03-24 09:54:08+02;2026-03-24 09:54:08+02;;;;;;;;;27794184551;;;;;;;;prepaid life;;;;;</t>
  </si>
  <si>
    <t>ID_3155</t>
  </si>
  <si>
    <t>13864453;1f7db7d4-e3e6-4b2d-bc11-869eed136b6c;;111111118;Vodacom Life 20260324;;;;;AF;3;2026-04-14 1</t>
  </si>
  <si>
    <t>13864453;1f7db7d4-e3e6-4b2d-bc11-869eed136b6c;;111111118;Vodacom Life 20260324;;;;;AF;3;2026-04-14 16:43:00+02;Thandile Nokubeni;2026-03-24 09:54:08+02;2026-03-24 09:54:08+02;;;;;;;;;27794372250;;;;;;;;prepaid life;;;;;</t>
  </si>
  <si>
    <t>ID_3156</t>
  </si>
  <si>
    <t>13864454;b5636404-2cbe-4708-a3cb-d1cc13a21b9c;;111111118;Vodacom Life 20260324;;;;;A;5;2026-05-23 12</t>
  </si>
  <si>
    <t>13864454;b5636404-2cbe-4708-a3cb-d1cc13a21b9c;;111111118;Vodacom Life 20260324;;;;;A;5;2026-05-23 12:54:03+02;bongiwe lushaba;2026-03-24 09:54:08+02;2026-03-24 09:54:08+02;;;;;;;;;27794414405;;;;;;;;prepaid life;;;;;</t>
  </si>
  <si>
    <t>ID_3157</t>
  </si>
  <si>
    <t>13864324;d9e14611-0856-4b21-b2a0-6079c1b37786;;111111118;Vodacom Life 20260324;;;;;NI;2;2026-04-01 1</t>
  </si>
  <si>
    <t>13864324;d9e14611-0856-4b21-b2a0-6079c1b37786;;111111118;Vodacom Life 20260324;;;;;NI;2;2026-04-01 11:33:43+02;Musiiwa Mary Mabirimisa;2026-03-24 09:54:08+02;2026-03-24 09:54:08+02;;;;;;;;;27720459430;;;;;;;;prepaid life;;;;;</t>
  </si>
  <si>
    <t>ID_3158</t>
  </si>
  <si>
    <t>13864455;fc9ca81b-e446-4aa9-a15a-d9dac814b769;;111111118;Vodacom Life 20260324;;;;;AA;5;2026-05-23 1</t>
  </si>
  <si>
    <t>13864455;fc9ca81b-e446-4aa9-a15a-d9dac814b769;;111111118;Vodacom Life 20260324;;;;;AA;5;2026-05-23 12:54:30+02;system;2026-03-24 09:54:08+02;2026-03-24 09:54:08+02;;;;;;;;;27794876960;;;;;;;;prepaid life;;;;;</t>
  </si>
  <si>
    <t>ID_3159</t>
  </si>
  <si>
    <t>13864361;1d3e2439-038e-46d6-94c3-d3d12bbcdf3b;;111111118;Vodacom Life 20260324;;;27726788432;;IABDN;</t>
  </si>
  <si>
    <t>13864361;1d3e2439-038e-46d6-94c3-d3d12bbcdf3b;;111111118;Vodacom Life 20260324;;;27726788432;;IABDN;5;2026-05-25 08:57:42+02;system;2026-03-24 09:54:08+02;2026-03-24 09:54:08+02;;;;;;;;;27726788432;;;;;;;;prepaid life;;;;;</t>
  </si>
  <si>
    <t>ID_3160</t>
  </si>
  <si>
    <t>13864325;3a4e6842-9aae-4b01-b677-ce8addb35da7;;111111118;Vodacom Life 20260324;;;;;CBACK;4;2026-05-2</t>
  </si>
  <si>
    <t>13864325;3a4e6842-9aae-4b01-b677-ce8addb35da7;;111111118;Vodacom Life 20260324;;;;;CBACK;4;2026-05-20 10:58:50+02;bongiwe lushaba;2026-03-24 09:54:08+02;2026-03-24 09:54:08+02;;;;;;;;;27720835401;;;;;;;;prepaid life;;;;;</t>
  </si>
  <si>
    <t>ID_3161</t>
  </si>
  <si>
    <t>13864362;c3319a4a-48d1-4885-90d5-737ea73ff8af;;111111118;Vodacom Life 20260324;;;;;NA;5;2026-05-25 0</t>
  </si>
  <si>
    <t>13864362;c3319a4a-48d1-4885-90d5-737ea73ff8af;;111111118;Vodacom Life 20260324;;;;;NA;5;2026-05-25 08:55:50+02;system;2026-03-24 09:54:08+02;2026-03-24 09:54:08+02;;;;;;;;;27726807668;;;;;;;;prepaid life;;;;;</t>
  </si>
  <si>
    <t>ID_3162</t>
  </si>
  <si>
    <t>13864363;c6cbdfbe-ec2b-4d60-8d79-e80162dd2239;;111111118;Vodacom Life 20260324;;;;;AE;5;2026-05-22 1</t>
  </si>
  <si>
    <t>13864363;c6cbdfbe-ec2b-4d60-8d79-e80162dd2239;;111111118;Vodacom Life 20260324;;;;;AE;5;2026-05-22 14:03:51+02;system;2026-03-24 09:54:08+02;2026-03-24 09:54:08+02;;;;;;;;;27726826127;;;;;;;;prepaid life;;;;;</t>
  </si>
  <si>
    <t>ID_3163</t>
  </si>
  <si>
    <t>13864456;5ca92118-919e-4295-8151-d83eb7c1c1ef;;111111118;Vodacom Life 20260324;;;;;NI;1;2026-04-01 1</t>
  </si>
  <si>
    <t>13864456;5ca92118-919e-4295-8151-d83eb7c1c1ef;;111111118;Vodacom Life 20260324;;;;;NI;1;2026-04-01 10:57:28+02;Thandile Nokubeni;2026-03-24 09:54:08+02;2026-03-24 09:54:08+02;;;;;;;;;27795240800;;;;;;;;prepaid life;;;;;</t>
  </si>
  <si>
    <t>ID_3164</t>
  </si>
  <si>
    <t>13864326;5d6e4456-69cb-45c8-b38b-50f8e25120d7;;111111118;Vodacom Life 20260324;;;27720920558;;A;5;20</t>
  </si>
  <si>
    <t>13864326;5d6e4456-69cb-45c8-b38b-50f8e25120d7;;111111118;Vodacom Life 20260324;;;27720920558;;A;5;2026-05-20 11:56:47+02;bongiwe lushaba;2026-03-24 09:54:08+02;2026-03-24 09:54:08+02;;;;;;;;;27720920558;;;;;;;;prepaid life;;;;;</t>
  </si>
  <si>
    <t>ID_3165</t>
  </si>
  <si>
    <t>13864457;1c658a2d-331b-4f03-88b1-603ca4655a6d;;111111118;Vodacom Life 20260324;;;27795392418;;AFTHRS</t>
  </si>
  <si>
    <t>13864457;1c658a2d-331b-4f03-88b1-603ca4655a6d;;111111118;Vodacom Life 20260324;;;27795392418;;AFTHRS;5;2026-05-23 18:18:19+02;system;2026-03-24 09:54:08+02;2026-03-24 09:54:08+02;;;;;;;;;27795392418;;;;;;;;prepaid life;;;;;</t>
  </si>
  <si>
    <t>ID_3166</t>
  </si>
  <si>
    <t>13864327;c4374039-39d6-40bb-b8a0-4b31f40679d9;;111111118;Vodacom Life 20260324;;;;;AA;5;2026-05-22 1</t>
  </si>
  <si>
    <t>13864327;c4374039-39d6-40bb-b8a0-4b31f40679d9;;111111118;Vodacom Life 20260324;;;;;AA;5;2026-05-22 14:15:10+02;system;2026-03-24 09:54:08+02;2026-03-24 09:54:08+02;;;;;;;;;27720943552;;;;;;;;prepaid life;;;;;</t>
  </si>
  <si>
    <t>ID_3167</t>
  </si>
  <si>
    <t>13864458;4e3dc1da-ef14-46ff-b28f-02c26ca34ae6;;111111118;Vodacom Life 20260324;;;;;A;5;2026-05-25 09</t>
  </si>
  <si>
    <t>13864458;4e3dc1da-ef14-46ff-b28f-02c26ca34ae6;;111111118;Vodacom Life 20260324;;;;;A;5;2026-05-25 09:45:34+02;bongiwe lushaba;2026-03-24 09:54:08+02;2026-03-24 09:54:08+02;;;;;;;;;27795801545;;;;;;;;prepaid life;;;;;</t>
  </si>
  <si>
    <t>ID_3168</t>
  </si>
  <si>
    <t>13864364;5f4eeafa-7473-4e21-85f3-37fd96cf1a04;;111111118;Vodacom Life 20260324;;;;;CBACK;2;2026-04-0</t>
  </si>
  <si>
    <t>13864364;5f4eeafa-7473-4e21-85f3-37fd96cf1a04;;111111118;Vodacom Life 20260324;;;;;CBACK;2;2026-04-09 11:15:09+02;Maureen Ntsoko;2026-03-24 09:54:08+02;2026-03-24 09:54:08+02;;;;;;;;;27726848787;;;;;;;;prepaid life;;;;;</t>
  </si>
  <si>
    <t>ID_3169</t>
  </si>
  <si>
    <t>13864328;49a8ee7f-07ea-4a67-b821-5f859661ef5b;;111111118;Vodacom Life 20260324;;;27720987744;;AA;5;2</t>
  </si>
  <si>
    <t>13864328;49a8ee7f-07ea-4a67-b821-5f859661ef5b;;111111118;Vodacom Life 20260324;;;27720987744;;AA;5;2026-05-22 14:15:08+02;system;2026-03-24 09:54:08+02;2026-03-24 09:54:08+02;;;;;;;;;27720987744;;;;;;;;prepaid life;;;;;</t>
  </si>
  <si>
    <t>ID_3170</t>
  </si>
  <si>
    <t>13864365;a67937d2-0adb-48db-9776-1578d51ccc51;;111111118;Vodacom Life 20260324;;;;;DNQS;4;2026-05-19</t>
  </si>
  <si>
    <t>13864365;a67937d2-0adb-48db-9776-1578d51ccc51;;111111118;Vodacom Life 20260324;;;;;DNQS;4;2026-05-19 11:25:39+02;Maureen Ntsoko;2026-03-24 09:54:08+02;2026-03-24 09:54:08+02;;;;;;;;;27726852533;;;;;;;;prepaid life;;;;;</t>
  </si>
  <si>
    <t>ID_3171</t>
  </si>
  <si>
    <t>13864366;c437d159-3637-4b3a-ba38-d21bb19c58e8;;111111118;Vodacom Life 20260324;;;;;NI;3;2026-04-15 0</t>
  </si>
  <si>
    <t>13864366;c437d159-3637-4b3a-ba38-d21bb19c58e8;;111111118;Vodacom Life 20260324;;;;;NI;3;2026-04-15 08:17:54+02;Musiiwa Mary Mabirimisa;2026-03-24 09:54:08+02;2026-03-24 09:54:08+02;;;;;;;;;27727003774;;;;;;;;prepaid life;;;;;</t>
  </si>
  <si>
    <t>ID_3172</t>
  </si>
  <si>
    <t>13864459;3bdaa3cc-21b9-4219-9db2-2f4ae72264f7;;111111118;Vodacom Life 20260324;;;27796142557;;IABDN;</t>
  </si>
  <si>
    <t>13864459;3bdaa3cc-21b9-4219-9db2-2f4ae72264f7;;111111118;Vodacom Life 20260324;;;27796142557;;IABDN;5;2026-05-25 08:59:43+02;system;2026-03-24 09:54:08+02;2026-03-24 09:54:08+02;;;;;;;;;27796142557;;;;;;;;prepaid life;;;;;</t>
  </si>
  <si>
    <t>ID_3173</t>
  </si>
  <si>
    <t>13864329;2d2d3e69-c4b5-4fbe-aa74-b79211028409;;111111118;Vodacom Life 20260324;;;;;A;5;2026-05-11 11</t>
  </si>
  <si>
    <t>13864329;2d2d3e69-c4b5-4fbe-aa74-b79211028409;;111111118;Vodacom Life 20260324;;;;;A;5;2026-05-11 11:09:21+02;Khensane Mabasa;2026-03-24 09:54:08+02;2026-03-24 09:54:08+02;;;;;;;;;27721025133;;;;;;;;prepaid life;;;;;</t>
  </si>
  <si>
    <t>ID_3174</t>
  </si>
  <si>
    <t>13864460;8990db7a-bde1-4fb4-8aa3-e6feabf1a207;;111111118;Vodacom Life 20260324;;;;;DROP;5;2026-05-22</t>
  </si>
  <si>
    <t>13864460;8990db7a-bde1-4fb4-8aa3-e6feabf1a207;;111111118;Vodacom Life 20260324;;;;;DROP;5;2026-05-22 13:46:55+02;system;2026-03-24 09:54:08+02;2026-03-24 09:54:08+02;;;;;;;;;27796355421;;;;;;;;prepaid life;;;;;</t>
  </si>
  <si>
    <t>ID_3175</t>
  </si>
  <si>
    <t>13864367;5bfdf499-2889-462d-b2da-47746dda68ae;;111111118;Vodacom Life 20260324;;;;;AA;5;2026-05-22 1</t>
  </si>
  <si>
    <t>13864367;5bfdf499-2889-462d-b2da-47746dda68ae;;111111118;Vodacom Life 20260324;;;;;AA;5;2026-05-22 14:03:52+02;system;2026-03-24 09:54:08+02;2026-03-24 09:54:08+02;;;;;;;;;27727166230;;;;;;;;prepaid life;;;;;</t>
  </si>
  <si>
    <t>ID_3176</t>
  </si>
  <si>
    <t>13864330;513e3c89-9b0c-4d46-9ce5-756fd308b797;;111111118;Vodacom Life 20260324;;;;;AA;5;2026-05-22 1</t>
  </si>
  <si>
    <t>13864330;513e3c89-9b0c-4d46-9ce5-756fd308b797;;111111118;Vodacom Life 20260324;;;;;AA;5;2026-05-22 14:13:41+02;system;2026-03-24 09:54:08+02;2026-03-24 09:54:08+02;;;;;;;;;27721035770;;;;;;;;prepaid life;;;;;</t>
  </si>
  <si>
    <t>ID_3177</t>
  </si>
  <si>
    <t>13864461;767d533f-4ddd-413b-b998-a97c6504d7d6;;111111118;Vodacom Life 20260324;;;;;AE;5;2026-05-22 1</t>
  </si>
  <si>
    <t>13864461;767d533f-4ddd-413b-b998-a97c6504d7d6;;111111118;Vodacom Life 20260324;;;;;AE;5;2026-05-22 13:47:46+02;system;2026-03-24 09:54:08+02;2026-03-24 09:54:08+02;;;;;;;;;27796475046;;;;;;;;prepaid life;;;;;</t>
  </si>
  <si>
    <t>ID_3178</t>
  </si>
  <si>
    <t>13864462;ce8497b2-707b-4661-871e-370f771853b6;;111111118;Vodacom Life 20260324;;;;;AA;5;2026-05-22 1</t>
  </si>
  <si>
    <t>13864462;ce8497b2-707b-4661-871e-370f771853b6;;111111118;Vodacom Life 20260324;;;;;AA;5;2026-05-22 13:46:55+02;system;2026-03-24 09:54:08+02;2026-03-24 09:54:08+02;;;;;;;;;27796776874;;;;;;;;prepaid life;;;;;</t>
  </si>
  <si>
    <t>ID_3179</t>
  </si>
  <si>
    <t>13864331;73c33de9-45b2-421b-ad96-9b7a8ef8bebe;;111111118;Vodacom Life 20260324;;;;;NI;1;2026-04-01 1</t>
  </si>
  <si>
    <t>13864331;73c33de9-45b2-421b-ad96-9b7a8ef8bebe;;111111118;Vodacom Life 20260324;;;;;NI;1;2026-04-01 10:16:47+02;Musiiwa Mary Mabirimisa;2026-03-24 09:54:08+02;2026-03-24 09:54:08+02;;;;;;;;;27721067487;;;;;;;;prepaid life;;;;;</t>
  </si>
  <si>
    <t>ID_3180</t>
  </si>
  <si>
    <t>13864463;e6a052e0-3117-4350-9fe5-d954842c6162;;111111118;Vodacom Life 20260324;;;;;AA;5;2026-05-22 1</t>
  </si>
  <si>
    <t>13864463;e6a052e0-3117-4350-9fe5-d954842c6162;;111111118;Vodacom Life 20260324;;;;;AA;5;2026-05-22 13:47:58+02;system;2026-03-24 09:54:08+02;2026-03-24 09:54:08+02;;;;;;;;;27796784656;;;;;;;;prepaid life;;;;;</t>
  </si>
  <si>
    <t>ID_3181</t>
  </si>
  <si>
    <t>13864368;3528f77a-ae8e-45f8-90e5-3b19957bdf7e;;111111118;Vodacom Life 20260324;;;;;N;7;2026-04-16 12</t>
  </si>
  <si>
    <t>13864368;3528f77a-ae8e-45f8-90e5-3b19957bdf7e;;111111118;Vodacom Life 20260324;;;;;N;7;2026-04-16 12:37:20+02;Millicent Motsuku;2026-03-24 09:54:08+02;2026-03-24 09:54:08+02;;;;;;;;;27727185282;;;;;;;;prepaid life;;;;;</t>
  </si>
  <si>
    <t>ID_3182</t>
  </si>
  <si>
    <t>13864332;91cad6c1-86a9-4527-ba87-e925657db690;;111111118;Vodacom Life 20260324;;;;;DROP;5;2026-05-22</t>
  </si>
  <si>
    <t>13864332;91cad6c1-86a9-4527-ba87-e925657db690;;111111118;Vodacom Life 20260324;;;;;DROP;5;2026-05-22 14:13:40+02;system;2026-03-24 09:54:08+02;2026-03-24 09:54:08+02;;;;;;;;;27721538104;;;;;;;;prepaid life;;;;;</t>
  </si>
  <si>
    <t>ID_3183</t>
  </si>
  <si>
    <t>13864369;37340dfb-64d0-4157-9f8e-407b7ec54787;;111111118;Vodacom Life 20260324;;;;;DROP;5;2026-05-22</t>
  </si>
  <si>
    <t>13864369;37340dfb-64d0-4157-9f8e-407b7ec54787;;111111118;Vodacom Life 20260324;;;;;DROP;5;2026-05-22 14:03:53+02;system;2026-03-24 09:54:08+02;2026-03-24 09:54:08+02;;;;;;;;;27727695449;;;;;;;;prepaid life;;;;;</t>
  </si>
  <si>
    <t>ID_3184</t>
  </si>
  <si>
    <t>13864464;516083f3-2b69-4f2e-b3a8-39bba0260b94;;111111118;Vodacom Life 20260324;;;;;DROP;5;2026-05-22</t>
  </si>
  <si>
    <t>13864464;516083f3-2b69-4f2e-b3a8-39bba0260b94;;111111118;Vodacom Life 20260324;;;;;DROP;5;2026-05-22 13:47:46+02;system;2026-03-24 09:54:08+02;2026-03-24 09:54:08+02;;;;;;;;;27796818241;;;;;;;;prepaid life;;;;;</t>
  </si>
  <si>
    <t>ID_3185</t>
  </si>
  <si>
    <t>13864465;4e51a72d-e157-4e4b-be51-de3dd264a555;;111111118;Vodacom Life 20260324;;;27796892862;;AA;5;2</t>
  </si>
  <si>
    <t>13864465;4e51a72d-e157-4e4b-be51-de3dd264a555;;111111118;Vodacom Life 20260324;;;27796892862;;AA;5;2026-05-22 13:46:55+02;system;2026-03-24 09:54:08+02;2026-03-24 09:54:08+02;;;;;;;;;27796892862;;;;;;;;prepaid life;;;;;</t>
  </si>
  <si>
    <t>ID_3186</t>
  </si>
  <si>
    <t>13864333;9c1e2782-4e11-4ee9-9cd2-d682ce403152;;111111118;Vodacom Life 20260324;;;;;NA;5;2026-05-22 1</t>
  </si>
  <si>
    <t>13864333;9c1e2782-4e11-4ee9-9cd2-d682ce403152;;111111118;Vodacom Life 20260324;;;;;NA;5;2026-05-22 14:13:41+02;system;2026-03-24 09:54:08+02;2026-03-24 09:54:08+02;;;;;;;;;27722108706;;;;;;;;prepaid life;;;;;</t>
  </si>
  <si>
    <t>ID_3187</t>
  </si>
  <si>
    <t>13864466;de80da1b-ced8-42d6-a9a5-4e2fe568d7dc;;111111118;Vodacom Life 20260324;;;;;NA;5;2026-05-22 1</t>
  </si>
  <si>
    <t>13864466;de80da1b-ced8-42d6-a9a5-4e2fe568d7dc;;111111118;Vodacom Life 20260324;;;;;NA;5;2026-05-22 13:47:47+02;system;2026-03-24 09:54:08+02;2026-03-24 09:54:08+02;;;;;;;;;27797245230;;;;;;;;prepaid life;;;;;</t>
  </si>
  <si>
    <t>ID_3188</t>
  </si>
  <si>
    <t>13864370;ebd3554e-3a4b-435f-80d9-f0af2a8ec558;;111111118;Vodacom Life 20260324;;;;;AE;5;2026-05-22 1</t>
  </si>
  <si>
    <t>13864370;ebd3554e-3a4b-435f-80d9-f0af2a8ec558;;111111118;Vodacom Life 20260324;;;;;AE;5;2026-05-22 14:03:44+02;system;2026-03-24 09:54:08+02;2026-03-24 09:54:08+02;;;;;;;;;27727798318;;;;;;;;prepaid life;;;;;</t>
  </si>
  <si>
    <t>ID_3189</t>
  </si>
  <si>
    <t>13864334;b03a89e9-63d1-42bc-85e2-aa2cda26dfe0;;111111118;Vodacom Life 20260324;;;;;NA;5;2026-05-22 1</t>
  </si>
  <si>
    <t>13864334;b03a89e9-63d1-42bc-85e2-aa2cda26dfe0;;111111118;Vodacom Life 20260324;;;;;NA;5;2026-05-22 14:08:25+02;system;2026-03-24 09:54:08+02;2026-03-24 09:54:08+02;;;;;;;;;27722508210;;;;;;;;prepaid life;;;;;</t>
  </si>
  <si>
    <t>ID_3190</t>
  </si>
  <si>
    <t>13864371;8d51be87-ccd0-4c0e-a565-392d9924f645;;111111118;Vodacom Life 20260324;;;;;A;5;2026-05-23 12</t>
  </si>
  <si>
    <t>13864371;8d51be87-ccd0-4c0e-a565-392d9924f645;;111111118;Vodacom Life 20260324;;;;;A;5;2026-05-23 12:49:37+02;bongiwe lushaba;2026-03-24 09:54:08+02;2026-03-24 09:54:08+02;;;;;;;;;27728141501;;;;;;;;prepaid life;;;;;</t>
  </si>
  <si>
    <t>ID_3191</t>
  </si>
  <si>
    <t>13864467;30439e1c-d1a2-4875-8128-256461e87d8f;;111111118;Vodacom Life 20260324;;;;;AA;5;2026-05-22 1</t>
  </si>
  <si>
    <t>13864467;30439e1c-d1a2-4875-8128-256461e87d8f;;111111118;Vodacom Life 20260324;;;;;AA;5;2026-05-22 13:47:06+02;system;2026-03-24 09:54:08+02;2026-03-24 09:54:08+02;;;;;;;;;27797407888;;;;;;;;prepaid life;;;;;</t>
  </si>
  <si>
    <t>ID_3192</t>
  </si>
  <si>
    <t>13864335;f38be385-7906-4cf6-83b7-e77ecbb1e03a;;111111118;Vodacom Life 20260324;;;27722566289;;AA;5;2</t>
  </si>
  <si>
    <t>13864335;f38be385-7906-4cf6-83b7-e77ecbb1e03a;;111111118;Vodacom Life 20260324;;;27722566289;;AA;5;2026-05-22 14:08:25+02;system;2026-03-24 09:54:08+02;2026-03-24 09:54:08+02;;;;;;;;;27722566289;;;;;;;;prepaid life;;;;;</t>
  </si>
  <si>
    <t>ID_3193</t>
  </si>
  <si>
    <t>13864468;851945fc-d0c1-42fc-adac-540dd8509b81;;111111118;Vodacom Life 20260324;;;;;A;5;2026-05-22 13</t>
  </si>
  <si>
    <t>13864468;851945fc-d0c1-42fc-adac-540dd8509b81;;111111118;Vodacom Life 20260324;;;;;A;5;2026-05-22 13:46:55+02;bongiwe lushaba;2026-03-24 09:54:08+02;2026-03-24 09:54:08+02;;;;;;;;;27797500602;;;;;;;;prepaid life;;;;;</t>
  </si>
  <si>
    <t>ID_3194</t>
  </si>
  <si>
    <t>13864372;90ed0181-42eb-4999-babc-dcafe2a94d97;;111111118;Vodacom Life 20260324;;;27728381108;;NA;5;2</t>
  </si>
  <si>
    <t>13864372;90ed0181-42eb-4999-babc-dcafe2a94d97;;111111118;Vodacom Life 20260324;;;27728381108;;NA;5;2026-05-25 09:12:34+02;Maureen Ntsoko;2026-03-24 09:54:08+02;2026-03-24 09:54:08+02;;;;;;;;;27728381108;;;;;;;;prepaid life;;;;;</t>
  </si>
  <si>
    <t>ID_3195</t>
  </si>
  <si>
    <t>13864336;29d3f681-af06-451f-be9c-b17d9401bf60;;111111118;Vodacom Life 20260324;;;;;AA;5;2026-05-22 1</t>
  </si>
  <si>
    <t>13864336;29d3f681-af06-451f-be9c-b17d9401bf60;;111111118;Vodacom Life 20260324;;;;;AA;5;2026-05-22 14:08:25+02;system;2026-03-24 09:54:08+02;2026-03-24 09:54:08+02;;;;;;;;;27722680963;;;;;;;;prepaid life;;;;;</t>
  </si>
  <si>
    <t>ID_3196</t>
  </si>
  <si>
    <t>13864469;c0c5712d-d632-4bcb-88a6-0489cfcd8bba;;111111118;Vodacom Life 20260324;;;;;AA;5;2026-05-22 1</t>
  </si>
  <si>
    <t>13864469;c0c5712d-d632-4bcb-88a6-0489cfcd8bba;;111111118;Vodacom Life 20260324;;;;;AA;5;2026-05-22 13:47:46+02;system;2026-03-24 09:54:08+02;2026-03-24 09:54:08+02;;;;;;;;;27797753965;;;;;;;;prepaid life;;;;;</t>
  </si>
  <si>
    <t>ID_3197</t>
  </si>
  <si>
    <t>13864337;8bec08e7-d7ec-4872-88f3-0d4927859141;;111111118;Vodacom Life 20260324;;;;;AA;5;2026-05-22 1</t>
  </si>
  <si>
    <t>13864337;8bec08e7-d7ec-4872-88f3-0d4927859141;;111111118;Vodacom Life 20260324;;;;;AA;5;2026-05-22 14:08:25+02;system;2026-03-24 09:54:08+02;2026-03-24 09:54:08+02;;;;;;;;;27722819302;;;;;;;;prepaid life;;;;;</t>
  </si>
  <si>
    <t>ID_3198</t>
  </si>
  <si>
    <t>13864470;4f010974-90dc-4170-823d-e72636ff7205;;111111118;Vodacom Life 20260324;;;;;AA;5;2026-05-25 0</t>
  </si>
  <si>
    <t>13864470;4f010974-90dc-4170-823d-e72636ff7205;;111111118;Vodacom Life 20260324;;;;;AA;5;2026-05-25 08:59:56+02;system;2026-03-24 09:54:08+02;2026-03-24 09:54:08+02;;;;;;;;;27797785747;;;;;;;;prepaid life;;;;;</t>
  </si>
  <si>
    <t>ID_3199</t>
  </si>
  <si>
    <t>13864373;b2e33658-de3c-4786-9e06-4bed7b2e45af;;111111118;Vodacom Life 20260324;;;;;AA;5;2026-05-23 1</t>
  </si>
  <si>
    <t>13864373;b2e33658-de3c-4786-9e06-4bed7b2e45af;;111111118;Vodacom Life 20260324;;;;;AA;5;2026-05-23 12:49:39+02;system;2026-03-24 09:54:08+02;2026-03-24 09:54:08+02;;;;;;;;;27728551644;;;;;;;;prepaid life;;;;;</t>
  </si>
  <si>
    <t>ID_3200</t>
  </si>
  <si>
    <t>13864338;27da6263-37c6-470b-89fa-5591754bb282;;111111118;Vodacom Life 20260324;;;;;DROP;5;2026-05-22</t>
  </si>
  <si>
    <t>13864338;27da6263-37c6-470b-89fa-5591754bb282;;111111118;Vodacom Life 20260324;;;;;DROP;5;2026-05-22 14:13:40+02;system;2026-03-24 09:54:08+02;2026-03-24 09:54:08+02;;;;;;;;;27723089629;;;;;;;;prepaid life;;;;;</t>
  </si>
  <si>
    <t>ID_3201</t>
  </si>
  <si>
    <t>13864374;79c463dd-b066-41a2-ae10-20cefae7e8d4;;111111118;Vodacom Life 20260324;;;;;AA;5;2026-05-23 1</t>
  </si>
  <si>
    <t>13864374;79c463dd-b066-41a2-ae10-20cefae7e8d4;;111111118;Vodacom Life 20260324;;;;;AA;5;2026-05-23 12:49:45+02;system;2026-03-24 09:54:08+02;2026-03-24 09:54:08+02;;;;;;;;;27728742443;;;;;;;;prepaid life;;;;;</t>
  </si>
  <si>
    <t>ID_3202</t>
  </si>
  <si>
    <t>13864339;7be7901c-5ea0-4332-a70a-cf35853c4b2a;;111111118;Vodacom Life 20260324;;;;;NA;5;2026-05-23 1</t>
  </si>
  <si>
    <t>13864339;7be7901c-5ea0-4332-a70a-cf35853c4b2a;;111111118;Vodacom Life 20260324;;;;;NA;5;2026-05-23 12:43:08+02;system;2026-03-24 09:54:08+02;2026-03-24 09:54:08+02;;;;;;;;;27723480380;;;;;;;;prepaid life;;;;;</t>
  </si>
  <si>
    <t>ID_3203</t>
  </si>
  <si>
    <t>13864471;17169ba7-1d6f-4214-9e23-800c123e0e01;;111111118;Vodacom Life 20260324;;;;;NA;5;2026-05-25 0</t>
  </si>
  <si>
    <t>13864471;17169ba7-1d6f-4214-9e23-800c123e0e01;;111111118;Vodacom Life 20260324;;;;;NA;5;2026-05-25 09:01:38+02;system;2026-03-24 09:54:08+02;2026-03-24 09:54:08+02;;;;;;;;;27797883227;;;;;;;;prepaid life;;;;;</t>
  </si>
  <si>
    <t>ID_3204</t>
  </si>
  <si>
    <t>13864340;50b222b1-b30f-4c0a-b639-158a2654aa35;;111111118;Vodacom Life 20260324;;;;;NI;1;2026-04-01 1</t>
  </si>
  <si>
    <t>13864340;50b222b1-b30f-4c0a-b639-158a2654aa35;;111111118;Vodacom Life 20260324;;;;;NI;1;2026-04-01 11:04:45+02;Musiiwa Mary Mabirimisa;2026-03-24 09:54:08+02;2026-03-24 09:54:08+02;;;;;;;;;27723766247;;;;;;;;prepaid life;;;;;</t>
  </si>
  <si>
    <t>ID_3205</t>
  </si>
  <si>
    <t>13864375;c4d64d27-58be-4ce3-b483-9857f727e8a6;;111111118;Vodacom Life 20260324;;;;;CU;7;2026-04-20 1</t>
  </si>
  <si>
    <t>13864375;c4d64d27-58be-4ce3-b483-9857f727e8a6;;111111118;Vodacom Life 20260324;;;;;CU;7;2026-04-20 12:20:45+02;Musiiwa Mary Mabirimisa;2026-03-24 09:54:08+02;2026-03-24 09:54:08+02;;;;;;;;;27728957609;;;;;;;;prepaid life;;;;;</t>
  </si>
  <si>
    <t>ID_3206</t>
  </si>
  <si>
    <t>13864341;4bf566f0-1821-43d7-bc05-4ed88a6e9465;;111111118;Vodacom Life 20260324;;;;;CBACK;2;2026-04-0</t>
  </si>
  <si>
    <t>13864341;4bf566f0-1821-43d7-bc05-4ed88a6e9465;;111111118;Vodacom Life 20260324;;;;;CBACK;2;2026-04-09 10:58:30+02;Esther Ramalete;2026-03-24 09:54:08+02;2026-03-24 09:54:08+02;;;;;;;;;27723901647;;;;;;;;prepaid life;;;;;</t>
  </si>
  <si>
    <t>ID_3207</t>
  </si>
  <si>
    <t>13864536;85283d39-f918-4616-a88b-58f0c2301330;;111111118;Vodacom Life 20260324;;;;;NI;3;2026-04-14 1</t>
  </si>
  <si>
    <t>13864536;85283d39-f918-4616-a88b-58f0c2301330;;111111118;Vodacom Life 20260324;;;;;NI;3;2026-04-14 16:05:42+02;Thandile Nokubeni;2026-03-24 09:54:08+02;2026-03-24 09:54:08+02;;;;;;;;;27609807905;;;;;;;;prepaid life;;;;;</t>
  </si>
  <si>
    <t>ID_3208</t>
  </si>
  <si>
    <t>13864376;26c2efe3-d003-4506-bba5-2013272010e1;;111111118;Vodacom Life 20260324;;;;;NI;1;2026-03-26 1</t>
  </si>
  <si>
    <t>13864376;26c2efe3-d003-4506-bba5-2013272010e1;;111111118;Vodacom Life 20260324;;;;;NI;1;2026-03-26 11:28:49+02;Mahlatse Manamela;2026-03-24 09:54:08+02;2026-03-24 09:54:08+02;;;;;;;;;27729290763;;;;;;;;prepaid life;;;;;</t>
  </si>
  <si>
    <t>ID_3209</t>
  </si>
  <si>
    <t>13864472;e77d82cd-3c20-4018-acbd-f5f18fd268fc;;111111118;Vodacom Life 20260324;;;;;AA;5;2026-05-25 0</t>
  </si>
  <si>
    <t>13864472;e77d82cd-3c20-4018-acbd-f5f18fd268fc;;111111118;Vodacom Life 20260324;;;;;AA;5;2026-05-25 09:01:41+02;system;2026-03-24 09:54:08+02;2026-03-24 09:54:08+02;;;;;;;;;27798128937;;;;;;;;prepaid life;;;;;</t>
  </si>
  <si>
    <t>ID_3210</t>
  </si>
  <si>
    <t>13864537;01c836b8-50a0-48db-8177-f47a3c6efa3f;;111111118;Vodacom Life 20260324;;;;;AA;5;2026-05-22 1</t>
  </si>
  <si>
    <t>13864537;01c836b8-50a0-48db-8177-f47a3c6efa3f;;111111118;Vodacom Life 20260324;;;;;AA;5;2026-05-22 13:25:41+02;system;2026-03-24 09:54:08+02;2026-03-24 09:54:08+02;;;;;;;;;27636124184;;;;;;;;prepaid life;;;;;</t>
  </si>
  <si>
    <t>ID_3211</t>
  </si>
  <si>
    <t>13864473;f13f8025-38a0-4331-b6bb-9e3a2a3e849b;;111111118;Vodacom Life 20260324;;;;;DROP;5;2026-05-25</t>
  </si>
  <si>
    <t>13864473;f13f8025-38a0-4331-b6bb-9e3a2a3e849b;;111111118;Vodacom Life 20260324;;;;;DROP;5;2026-05-25 09:02:10+02;system;2026-03-24 09:54:08+02;2026-03-24 09:54:08+02;;;;;;;;;27798237084;;;;;;;;prepaid life;;;;;</t>
  </si>
  <si>
    <t>ID_3212</t>
  </si>
  <si>
    <t>13864377;f2ccc383-0972-4b34-9dca-78cbac3403b6;;111111118;Vodacom Life 20260324;;;;;DROP;5;2026-05-22</t>
  </si>
  <si>
    <t>13864377;f2ccc383-0972-4b34-9dca-78cbac3403b6;;111111118;Vodacom Life 20260324;;;;;DROP;5;2026-05-22 13:59:39+02;system;2026-03-24 09:54:08+02;2026-03-24 09:54:08+02;;;;;;;;;27729843265;;;;;;;;prepaid life;;;;;</t>
  </si>
  <si>
    <t>ID_3213</t>
  </si>
  <si>
    <t>13864538;1aa24243-5c0f-45dc-a5f0-5fbd0cfd0899;;111111118;Vodacom Life 20260324;;;;;AA;5;2026-05-22 1</t>
  </si>
  <si>
    <t>13864538;1aa24243-5c0f-45dc-a5f0-5fbd0cfd0899;;111111118;Vodacom Life 20260324;;;;;AA;5;2026-05-22 13:25:51+02;system;2026-03-24 09:54:08+02;2026-03-24 09:54:08+02;;;;;;;;;27636694771;;;;;;;;prepaid life;;;;;</t>
  </si>
  <si>
    <t>ID_3214</t>
  </si>
  <si>
    <t>13864378;bd308e74-0197-4735-834d-d1d43ff20bac;;111111118;Vodacom Life 20260324;;;;;A;5;2026-04-09 11</t>
  </si>
  <si>
    <t>13864378;bd308e74-0197-4735-834d-d1d43ff20bac;;111111118;Vodacom Life 20260324;;;;;A;5;2026-04-09 11:16:25+02;Thandile Nokubeni;2026-03-24 09:54:08+02;2026-03-24 09:54:08+02;;;;;;;;;27729862010;;;;;;;;prepaid life;;;;;</t>
  </si>
  <si>
    <t>ID_3215</t>
  </si>
  <si>
    <t>13864474;8603a047-7529-4e52-9132-94440ca4d74c;;111111118;Vodacom Life 20260324;;;;;NI;1;2026-04-01 1</t>
  </si>
  <si>
    <t>13864474;8603a047-7529-4e52-9132-94440ca4d74c;;111111118;Vodacom Life 20260324;;;;;NI;1;2026-04-01 11:10:55+02;Musiiwa Mary Mabirimisa;2026-03-24 09:54:08+02;2026-03-24 09:54:08+02;;;;;;;;;27798338829;;;;;;;;prepaid life;;;;;</t>
  </si>
  <si>
    <t>ID_3216</t>
  </si>
  <si>
    <t>13864475;5d6e4e75-8004-44e2-b7b4-cd22f1ebe9a3;;111111118;Vodacom Life 20260324;;;;;AA;5;2026-05-25 0</t>
  </si>
  <si>
    <t>13864475;5d6e4e75-8004-44e2-b7b4-cd22f1ebe9a3;;111111118;Vodacom Life 20260324;;;;;AA;5;2026-05-25 09:02:11+02;system;2026-03-24 09:54:08+02;2026-03-24 09:54:08+02;;;;;;;;;27798638182;;;;;;;;prepaid life;;;;;</t>
  </si>
  <si>
    <t>ID_3217</t>
  </si>
  <si>
    <t>13864539;616b54af-91a8-4099-842a-16aefd6b2b6b;;111111118;Vodacom Life 20260324;;;;;AE;5;2026-05-25 1</t>
  </si>
  <si>
    <t>13864539;616b54af-91a8-4099-842a-16aefd6b2b6b;;111111118;Vodacom Life 20260324;;;;;AE;5;2026-05-25 14:29:57+02;system;2026-03-24 09:54:08+02;2026-03-24 09:54:08+02;;;;;;;;;27636767800;;;;;;;;prepaid life;;;;;</t>
  </si>
  <si>
    <t>ID_3218</t>
  </si>
  <si>
    <t>13864476;bb946bc0-bd33-4285-b65d-a4358f10e3da;;111111118;Vodacom Life 20260324;;;;;NI;2;2026-04-02 1</t>
  </si>
  <si>
    <t>13864476;bb946bc0-bd33-4285-b65d-a4358f10e3da;;111111118;Vodacom Life 20260324;;;;;NI;2;2026-04-02 13:39:40+02;Thandile Nokubeni;2026-03-24 09:54:08+02;2026-03-24 09:54:08+02;;;;;;;;;27798661570;;;;;;;;prepaid life;;;;;</t>
  </si>
  <si>
    <t>ID_3219</t>
  </si>
  <si>
    <t>13864379;d02c401a-9598-4a02-81f3-ed2105807438;;111111118;Vodacom Life 20260324;;;;;CBACK;4;2026-05-1</t>
  </si>
  <si>
    <t>13864379;d02c401a-9598-4a02-81f3-ed2105807438;;111111118;Vodacom Life 20260324;;;;;CBACK;4;2026-05-19 11:35:34+02;bongiwe lushaba;2026-03-24 09:54:08+02;2026-03-24 09:54:08+02;;;;;;;;;27730121979;;;;;;;;prepaid life;;;;;</t>
  </si>
  <si>
    <t>ID_3220</t>
  </si>
  <si>
    <t xml:space="preserve">13864540;0b131fc2-637a-41d3-8a84-800a1988c16d;;111111118;Vodacom Life 20260324;;;;;ADC;5;2026-05-25 </t>
  </si>
  <si>
    <t>13864540;0b131fc2-637a-41d3-8a84-800a1988c16d;;111111118;Vodacom Life 20260324;;;;;ADC;5;2026-05-25 12:41:07+02;system;2026-03-24 09:54:08+02;2026-03-24 09:54:08+02;;;;;;;;;27637076370;;;;;;;;prepaid life;;;;;</t>
  </si>
  <si>
    <t>ID_3221</t>
  </si>
  <si>
    <t>13864380;89afeb9a-6120-48da-8ba1-79e63f8a0fcc;;111111118;Vodacom Life 20260324;;;;;CBACK;4;2026-05-1</t>
  </si>
  <si>
    <t>13864380;89afeb9a-6120-48da-8ba1-79e63f8a0fcc;;111111118;Vodacom Life 20260324;;;;;CBACK;4;2026-05-19 12:01:25+02;Maureen Ntsoko;2026-03-24 09:54:08+02;2026-03-24 09:54:08+02;;;;;;;;;27737416172;;;;;;;;prepaid life;;;;;</t>
  </si>
  <si>
    <t>ID_3222</t>
  </si>
  <si>
    <t>13864541;67d389c7-4a70-40ac-b815-2e40b58172bb;;111111118;Vodacom Life 20260324;;;27637088850;;ADC;5;</t>
  </si>
  <si>
    <t>13864541;67d389c7-4a70-40ac-b815-2e40b58172bb;;111111118;Vodacom Life 20260324;;;27637088850;;ADC;5;2026-05-25 12:41:07+02;system;2026-03-24 09:54:08+02;2026-03-24 09:54:08+02;;;;;;;;;27637088850;;;;;;;;prepaid life;;;;;</t>
  </si>
  <si>
    <t>ID_3223</t>
  </si>
  <si>
    <t>13864381;9c75b5a9-3ccb-4e0a-811d-b1de609fbb0f;;111111118;Vodacom Life 20260324;;;;;AA;5;2026-05-22 1</t>
  </si>
  <si>
    <t>13864381;9c75b5a9-3ccb-4e0a-811d-b1de609fbb0f;;111111118;Vodacom Life 20260324;;;;;AA;5;2026-05-22 13:59:39+02;system;2026-03-24 09:54:08+02;2026-03-24 09:54:08+02;;;;;;;;;27760114612;;;;;;;;prepaid life;;;;;</t>
  </si>
  <si>
    <t>ID_3224</t>
  </si>
  <si>
    <t>13864477;8a067d0d-7dea-4691-b5d1-b0bdbd6c7154;;111111118;Vodacom Life 20260324;;;27798835151;;IABDN;</t>
  </si>
  <si>
    <t>13864477;8a067d0d-7dea-4691-b5d1-b0bdbd6c7154;;111111118;Vodacom Life 20260324;;;27798835151;;IABDN;5;2026-05-25 09:16:55+02;system;2026-03-24 09:54:08+02;2026-03-24 09:54:08+02;;;;;;;;;27798835151;;;;;;;;prepaid life;;;;;</t>
  </si>
  <si>
    <t>ID_3225</t>
  </si>
  <si>
    <t>13864542;ff9483b7-1411-42e2-a20f-7394b787e577;;111111118;Vodacom Life 20260324;;;27637396238;;AA;5;2</t>
  </si>
  <si>
    <t>13864542;ff9483b7-1411-42e2-a20f-7394b787e577;;111111118;Vodacom Life 20260324;;;27637396238;;AA;5;2026-05-22 13:22:57+02;system;2026-03-24 09:54:08+02;2026-03-24 09:54:08+02;;;;;;;;;27637396238;;;;;;;;prepaid life;;;;;</t>
  </si>
  <si>
    <t>ID_3226</t>
  </si>
  <si>
    <t>13864478;a9f747e7-86f0-488f-947e-01860b7f0055;;111111118;Vodacom Life 20260324;;;;;NIUP;1;2026-04-01</t>
  </si>
  <si>
    <t>13864478;a9f747e7-86f0-488f-947e-01860b7f0055;;111111118;Vodacom Life 20260324;;;;;NIUP;1;2026-04-01 11:10:30+02;Millicent Motsuku;2026-03-24 09:54:08+02;2026-03-24 09:54:08+02;;;;;;;;;27799119085;;;;;;;;prepaid life;;;;;</t>
  </si>
  <si>
    <t>ID_3227</t>
  </si>
  <si>
    <t xml:space="preserve">13864543;fb2449b5-3303-4b42-baee-f314d68a2566;;111111118;Vodacom Life 20260324;;;;;ADC;5;2026-05-22 </t>
  </si>
  <si>
    <t>13864543;fb2449b5-3303-4b42-baee-f314d68a2566;;111111118;Vodacom Life 20260324;;;;;ADC;5;2026-05-22 13:22:57+02;system;2026-03-24 09:54:08+02;2026-03-24 09:54:08+02;;;;;;;;;27637473952;;;;;;;;prepaid life;;;;;</t>
  </si>
  <si>
    <t>ID_3228</t>
  </si>
  <si>
    <t>13864479;85d14a94-0eb6-435b-86b9-d657b0c9ae11;;111111118;Vodacom Life 20260324;;;27799213490;;AA;5;2</t>
  </si>
  <si>
    <t>13864479;85d14a94-0eb6-435b-86b9-d657b0c9ae11;;111111118;Vodacom Life 20260324;;;27799213490;;AA;5;2026-05-22 13:41:32+02;system;2026-03-24 09:54:08+02;2026-03-24 09:54:08+02;;;;;;;;;27799213490;;;;;;;;prepaid life;;;;;</t>
  </si>
  <si>
    <t>ID_3229</t>
  </si>
  <si>
    <t>13864382;e80d1dea-ffa3-46be-9ac2-91b9c80dedee;;111111118;Vodacom Life 20260324;;;;;AA;5;2026-05-22 1</t>
  </si>
  <si>
    <t>13864382;e80d1dea-ffa3-46be-9ac2-91b9c80dedee;;111111118;Vodacom Life 20260324;;;;;AA;5;2026-05-22 14:01:23+02;system;2026-03-24 09:54:08+02;2026-03-24 09:54:08+02;;;;;;;;;27760234814;;;;;;;;prepaid life;;;;;</t>
  </si>
  <si>
    <t>ID_3230</t>
  </si>
  <si>
    <t>13864544;456a6411-6a18-4494-b5f3-1c6d2afa2423;;111111118;Vodacom Life 20260324;;;;;NI;2;2026-03-30 1</t>
  </si>
  <si>
    <t>13864544;456a6411-6a18-4494-b5f3-1c6d2afa2423;;111111118;Vodacom Life 20260324;;;;;NI;2;2026-03-30 13:23:53+02;Thandile Nokubeni;2026-03-24 09:54:08+02;2026-03-24 09:54:08+02;;;;;;;;;27647735326;;;;;;;;prepaid life;;;;;</t>
  </si>
  <si>
    <t>ID_3231</t>
  </si>
  <si>
    <t>13864383;52ff90b5-a3d6-4e7a-a3b0-9c8b24e62abc;;111111118;Vodacom Life 20260324;;;;;NI;3;2026-04-15 0</t>
  </si>
  <si>
    <t>13864383;52ff90b5-a3d6-4e7a-a3b0-9c8b24e62abc;;111111118;Vodacom Life 20260324;;;;;NI;3;2026-04-15 08:12:16+02;Musiiwa Mary Mabirimisa;2026-03-24 09:54:08+02;2026-03-24 09:54:08+02;;;;;;;;;27760451554;;;;;;;;prepaid life;;;;;</t>
  </si>
  <si>
    <t>ID_3232</t>
  </si>
  <si>
    <t>13864545;f02b7957-fb3d-4e3e-8a18-5dca1705a40f;;111111118;Vodacom Life 20260324;;;;;CU;5;2026-05-22 1</t>
  </si>
  <si>
    <t>13864545;f02b7957-fb3d-4e3e-8a18-5dca1705a40f;;111111118;Vodacom Life 20260324;;;;;CU;5;2026-05-22 13:22:57+02;bongiwe lushaba;2026-03-24 09:54:08+02;2026-03-24 09:54:08+02;;;;;;;;;27648483968;;;;;;;;prepaid life;;;;;</t>
  </si>
  <si>
    <t>ID_3233</t>
  </si>
  <si>
    <t>13864480;87d2b593-d8f0-46bc-983d-0c6c7365869a;;111111118;Vodacom Life 20260324;;;;;U;1;2026-04-01 11</t>
  </si>
  <si>
    <t>13864480;87d2b593-d8f0-46bc-983d-0c6c7365869a;;111111118;Vodacom Life 20260324;;;;;U;1;2026-04-01 11:10:24+02;Seboifeng Mogola;2026-03-24 09:54:08+02;2026-03-24 09:54:08+02;;;;;;;;;27799263506;;;;;;;;prepaid life;;;;;</t>
  </si>
  <si>
    <t>ID_3234</t>
  </si>
  <si>
    <t xml:space="preserve">13864546;ef093456-c2cf-4157-a573-b971ae00a85d;;111111118;Vodacom Life 20260324;;;;;ADC;5;2026-05-22 </t>
  </si>
  <si>
    <t>13864546;ef093456-c2cf-4157-a573-b971ae00a85d;;111111118;Vodacom Life 20260324;;;;;ADC;5;2026-05-22 13:23:06+02;system;2026-03-24 09:54:08+02;2026-03-24 09:54:08+02;;;;;;;;;27648545199;;;;;;;;prepaid life;;;;;</t>
  </si>
  <si>
    <t>ID_3235</t>
  </si>
  <si>
    <t>13864481;f94b86a8-bd05-4f17-83d8-c84aa5bf419b;;111111118;Vodacom Life 20260324;;;;;AA;5;2026-05-22 1</t>
  </si>
  <si>
    <t>13864481;f94b86a8-bd05-4f17-83d8-c84aa5bf419b;;111111118;Vodacom Life 20260324;;;;;AA;5;2026-05-22 13:41:32+02;system;2026-03-24 09:54:08+02;2026-03-24 09:54:08+02;;;;;;;;;27799329153;;;;;;;;prepaid life;;;;;</t>
  </si>
  <si>
    <t>ID_3236</t>
  </si>
  <si>
    <t>13864384;19a8137c-5bb7-40d4-9aee-4a04aa0fdac7;;111111118;Vodacom Life 20260324;;;;;NIUP;1;2026-03-26</t>
  </si>
  <si>
    <t>13864384;19a8137c-5bb7-40d4-9aee-4a04aa0fdac7;;111111118;Vodacom Life 20260324;;;;;NIUP;1;2026-03-26 13:21:53+02;Millicent Motsuku;2026-03-24 09:54:08+02;2026-03-24 09:54:08+02;;;;;;;;;27760582065;;;;;;;;prepaid life;;;;;</t>
  </si>
  <si>
    <t>ID_3237</t>
  </si>
  <si>
    <t>13864547;4f561401-829d-4381-8954-626ccdf7886f;;111111118;Vodacom Life 20260324;;;;;CU;5;2026-05-25 1</t>
  </si>
  <si>
    <t>13864547;4f561401-829d-4381-8954-626ccdf7886f;;111111118;Vodacom Life 20260324;;;;;CU;5;2026-05-25 10:43:06+02;bongiwe lushaba;2026-03-24 09:54:08+02;2026-03-24 09:54:08+02;;;;;;;;;27648650574;;;;;;;;prepaid life;;;;;</t>
  </si>
  <si>
    <t>ID_3238</t>
  </si>
  <si>
    <t>13864385;40d11375-e1ad-409b-a37a-63896b997e48;;111111118;Vodacom Life 20260324;;;;;A;5;2026-04-15 09</t>
  </si>
  <si>
    <t>13864385;40d11375-e1ad-409b-a37a-63896b997e48;;111111118;Vodacom Life 20260324;;;;;A;5;2026-04-15 09:21:32+02;Thandile Nokubeni;2026-03-24 09:54:08+02;2026-03-24 09:54:08+02;;;;;;;;;27760666577;;;;;;;;prepaid life;;;;;</t>
  </si>
  <si>
    <t>ID_3239</t>
  </si>
  <si>
    <t>13864548;1174cde5-7b21-4058-a807-fb8483a84849;;111111118;Vodacom Life 20260324;;;;;AA;5;2026-05-25 1</t>
  </si>
  <si>
    <t>13864548;1174cde5-7b21-4058-a807-fb8483a84849;;111111118;Vodacom Life 20260324;;;;;AA;5;2026-05-25 10:43:28+02;system;2026-03-24 09:54:08+02;2026-03-24 09:54:08+02;;;;;;;;;27648816904;;;;;;;;prepaid life;;;;;</t>
  </si>
  <si>
    <t>ID_3240</t>
  </si>
  <si>
    <t>13864386;74226946-7621-4cc2-9bcf-9279869411b7;;111111118;Vodacom Life 20260324;;;;;DROP;5;2026-05-22</t>
  </si>
  <si>
    <t>13864386;74226946-7621-4cc2-9bcf-9279869411b7;;111111118;Vodacom Life 20260324;;;;;DROP;5;2026-05-22 13:59:39+02;system;2026-03-24 09:54:08+02;2026-03-24 09:54:08+02;;;;;;;;;27760677921;;;;;;;;prepaid life;;;;;</t>
  </si>
  <si>
    <t>ID_3241</t>
  </si>
  <si>
    <t>13864482;eebfd10e-ce22-49c9-bd38-069b6fa11cd3;;111111118;Vodacom Life 20260324;;;;;CBACK;4;2026-05-0</t>
  </si>
  <si>
    <t>13864482;eebfd10e-ce22-49c9-bd38-069b6fa11cd3;;111111118;Vodacom Life 20260324;;;;;CBACK;4;2026-05-07 15:41:04+02;Maureen Ntsoko;2026-03-24 09:54:08+02;2026-03-24 09:54:08+02;;;;;;;;;27799396453;;;;;;;;prepaid life;;;;;</t>
  </si>
  <si>
    <t>ID_3242</t>
  </si>
  <si>
    <t>13864549;780016ff-04c1-41bc-80db-af7696712f3e;;111111118;Vodacom Life 20260324;;;;;NI;3;2026-04-14 1</t>
  </si>
  <si>
    <t>13864549;780016ff-04c1-41bc-80db-af7696712f3e;;111111118;Vodacom Life 20260324;;;;;NI;3;2026-04-14 16:03:23+02;Thandile Nokubeni;2026-03-24 09:54:08+02;2026-03-24 09:54:08+02;;;;;;;;;27648978650;;;;;;;;prepaid life;;;;;</t>
  </si>
  <si>
    <t>ID_3243</t>
  </si>
  <si>
    <t>13864483;c98e98ba-9df1-4206-ac40-8eb2e92814e4;;111111118;Vodacom Life 20260324;;;;;DROP;5;2026-05-22</t>
  </si>
  <si>
    <t>13864483;c98e98ba-9df1-4206-ac40-8eb2e92814e4;;111111118;Vodacom Life 20260324;;;;;DROP;5;2026-05-22 13:40:31+02;system;2026-03-24 09:54:08+02;2026-03-24 09:54:08+02;;;;;;;;;27799491176;;;;;;;;prepaid life;;;;;</t>
  </si>
  <si>
    <t>ID_3244</t>
  </si>
  <si>
    <t>13864387;76c24b31-c8cd-467c-a3ff-e521045a5b61;;111111118;Vodacom Life 20260324;;;;;NI;1;2026-03-26 1</t>
  </si>
  <si>
    <t>13864387;76c24b31-c8cd-467c-a3ff-e521045a5b61;;111111118;Vodacom Life 20260324;;;;;NI;1;2026-03-26 11:19:11+02;Thandile Nokubeni;2026-03-24 09:54:08+02;2026-03-24 09:54:08+02;;;;;;;;;27760951708;;;;;;;;prepaid life;;;;;</t>
  </si>
  <si>
    <t>ID_3245</t>
  </si>
  <si>
    <t>13864550;55897ef2-35b3-4012-b53d-e347e03d488f;;111111118;Vodacom Life 20260324;;;;;AE;5;2026-05-25 1</t>
  </si>
  <si>
    <t>13864550;55897ef2-35b3-4012-b53d-e347e03d488f;;111111118;Vodacom Life 20260324;;;;;AE;5;2026-05-25 10:43:28+02;system;2026-03-24 09:54:08+02;2026-03-24 09:54:08+02;;;;;;;;;27649252720;;;;;;;;prepaid life;;;;;</t>
  </si>
  <si>
    <t>ID_3246</t>
  </si>
  <si>
    <t>13864388;f695b375-7e33-44ac-8b6d-92ba53ef3372;;111111118;Vodacom Life 20260324;;;;;AE;5;2026-05-25 1</t>
  </si>
  <si>
    <t>13864388;f695b375-7e33-44ac-8b6d-92ba53ef3372;;111111118;Vodacom Life 20260324;;;;;AE;5;2026-05-25 12:00:03+02;system;2026-03-24 09:54:08+02;2026-03-24 09:54:08+02;;;;;;;;;27761233349;;;;;;;;prepaid life;;;;;</t>
  </si>
  <si>
    <t>ID_3247</t>
  </si>
  <si>
    <t>13864484;43d44ec6-707b-40a4-a676-71df29ac788c;;111111118;Vodacom Life 20260324;;;;;A;5;2026-05-22 13</t>
  </si>
  <si>
    <t>13864484;43d44ec6-707b-40a4-a676-71df29ac788c;;111111118;Vodacom Life 20260324;;;;;A;5;2026-05-22 13:41:32+02;bongiwe lushaba;2026-03-24 09:54:08+02;2026-03-24 09:54:08+02;;;;;;;;;27799580971;;;;;;;;prepaid life;;;;;</t>
  </si>
  <si>
    <t>ID_3248</t>
  </si>
  <si>
    <t>13864551;c8d4d786-c19f-46b8-b373-64a3e9d7635f;;111111118;Vodacom Life 20260324;;;;;AA;5;2026-05-22 1</t>
  </si>
  <si>
    <t>13864551;c8d4d786-c19f-46b8-b373-64a3e9d7635f;;111111118;Vodacom Life 20260324;;;;;AA;5;2026-05-22 13:22:12+02;system;2026-03-24 09:54:08+02;2026-03-24 09:54:08+02;;;;;;;;;27649379780;;;;;;;;prepaid life;;;;;</t>
  </si>
  <si>
    <t>ID_3249</t>
  </si>
  <si>
    <t>13864485;e55a3905-0d1f-4484-a003-bb386c877f06;;111111118;Vodacom Life 20260324;;;;;AF;5;2026-05-25 1</t>
  </si>
  <si>
    <t>13864485;e55a3905-0d1f-4484-a003-bb386c877f06;;111111118;Vodacom Life 20260324;;;;;AF;5;2026-05-25 10:40:16+02;Maureen Ntsoko;2026-03-24 09:54:08+02;2026-03-24 09:54:08+02;;;;;;;;;27799590828;;;;;;;;prepaid life;;;;;</t>
  </si>
  <si>
    <t>ID_3250</t>
  </si>
  <si>
    <t>13864389;613e0a52-7b00-494e-a193-efa4fc8d1b06;;111111118;Vodacom Life 20260324;;;27761412138;;CU;5;2</t>
  </si>
  <si>
    <t>13864389;613e0a52-7b00-494e-a193-efa4fc8d1b06;;111111118;Vodacom Life 20260324;;;27761412138;;CU;5;2026-05-25 14:35:01+02;Khensane Mabasa;2026-03-24 09:54:08+02;2026-03-24 09:54:08+02;;;;;;;;;27761412138;;;;;;;;prepaid life;;;;;</t>
  </si>
  <si>
    <t>ID_3251</t>
  </si>
  <si>
    <t>13864552;1a97bcb0-bba5-4baa-949e-907fe6073d79;;111111118;Vodacom Life 20260324;;;27649756950;;ADC;5;</t>
  </si>
  <si>
    <t>13864552;1a97bcb0-bba5-4baa-949e-907fe6073d79;;111111118;Vodacom Life 20260324;;;27649756950;;ADC;5;2026-05-22 13:22:12+02;system;2026-03-24 09:54:08+02;2026-03-24 09:54:08+02;;;;;;;;;27649756950;;;;;;;;prepaid life;;;;;</t>
  </si>
  <si>
    <t>ID_3252</t>
  </si>
  <si>
    <t>13864390;3014a388-197a-4bf0-8a1c-e72c07962a83;;111111118;Vodacom Life 20260324;;;;;AF;1;2026-03-26 1</t>
  </si>
  <si>
    <t>13864390;3014a388-197a-4bf0-8a1c-e72c07962a83;;111111118;Vodacom Life 20260324;;;;;AF;1;2026-03-26 11:17:30+02;Thandile Nokubeni;2026-03-24 09:54:08+02;2026-03-24 09:54:08+02;;;;;;;;;27761751199;;;;;;;;prepaid life;;;;;</t>
  </si>
  <si>
    <t>ID_3253</t>
  </si>
  <si>
    <t xml:space="preserve">13864391;783a4cf3-d821-4916-8638-5e91608e6895;;111111118;Vodacom Life 20260324;;;;;TDN;5;2026-05-23 </t>
  </si>
  <si>
    <t>13864391;783a4cf3-d821-4916-8638-5e91608e6895;;111111118;Vodacom Life 20260324;;;;;TDN;5;2026-05-23 12:51:58+02;system;2026-03-24 09:54:08+02;2026-03-24 09:54:08+02;;;;;;;;;27762215321;;;;;;;;prepaid life;;;;;</t>
  </si>
  <si>
    <t>ID_3254</t>
  </si>
  <si>
    <t>13864486;a52e826d-4f61-487e-8de5-492799befd8a;;111111118;Vodacom Life 20260324;;;27799632171;;AE;5;2</t>
  </si>
  <si>
    <t>13864486;a52e826d-4f61-487e-8de5-492799befd8a;;111111118;Vodacom Life 20260324;;;27799632171;;AE;5;2026-05-25 09:00:47+02;system;2026-03-24 09:54:08+02;2026-03-24 09:54:08+02;;;;;;;;;27799632171;;;;;;;;prepaid life;;;;;</t>
  </si>
  <si>
    <t>ID_3255</t>
  </si>
  <si>
    <t>13864553;1f4838c9-18d6-4130-8568-1f20a8daa4c2;;111111118;Vodacom Life 20260324;;;;;NA;5;2026-05-22 1</t>
  </si>
  <si>
    <t>13864553;1f4838c9-18d6-4130-8568-1f20a8daa4c2;;111111118;Vodacom Life 20260324;;;;;NA;5;2026-05-22 13:22:12+02;system;2026-03-24 09:54:08+02;2026-03-24 09:54:08+02;;;;;;;;;27657418530;;;;;;;;prepaid life;;;;;</t>
  </si>
  <si>
    <t>ID_3256</t>
  </si>
  <si>
    <t>13864487;5afe7bc5-3fbb-4691-9958-1913765fb6b6;;111111118;Vodacom Life 20260324;;;;;DROP;5;2026-05-25</t>
  </si>
  <si>
    <t>13864487;5afe7bc5-3fbb-4691-9958-1913765fb6b6;;111111118;Vodacom Life 20260324;;;;;DROP;5;2026-05-25 10:40:20+02;system;2026-03-24 09:54:08+02;2026-03-24 09:54:08+02;;;;;;;;;27818073339;;;;;;;;prepaid life;;;;;</t>
  </si>
  <si>
    <t>ID_3257</t>
  </si>
  <si>
    <t>13864392;a2ba0996-4a4d-4761-82bf-431839a0f259;;111111118;Vodacom Life 20260324;;;;;NA;5;2026-05-25 1</t>
  </si>
  <si>
    <t>13864392;a2ba0996-4a4d-4761-82bf-431839a0f259;;111111118;Vodacom Life 20260324;;;;;NA;5;2026-05-25 14:27:00+02;system;2026-03-24 09:54:08+02;2026-03-24 09:54:08+02;;;;;;;;;27762236867;;;;;;;;prepaid life;;;;;</t>
  </si>
  <si>
    <t>ID_3258</t>
  </si>
  <si>
    <t>13864554;11159cf0-4d9c-4bd9-8d81-64a1493c3a2a;;111111118;Vodacom Life 20260324;;;;;AA;5;2026-05-22 1</t>
  </si>
  <si>
    <t>13864554;11159cf0-4d9c-4bd9-8d81-64a1493c3a2a;;111111118;Vodacom Life 20260324;;;;;AA;5;2026-05-22 13:22:17+02;system;2026-03-24 09:54:08+02;2026-03-24 09:54:08+02;;;;;;;;;27660748555;;;;;;;;prepaid life;;;;;</t>
  </si>
  <si>
    <t>ID_3259</t>
  </si>
  <si>
    <t>13864555;33c30204-4ecc-4880-bbac-00114930bc34;;111111118;Vodacom Life 20260324;;;;;CU;5;2026-05-25 1</t>
  </si>
  <si>
    <t>13864555;33c30204-4ecc-4880-bbac-00114930bc34;;111111118;Vodacom Life 20260324;;;;;CU;5;2026-05-25 10:44:00+02;bongiwe lushaba;2026-03-24 09:54:08+02;2026-03-24 09:54:08+02;;;;;;;;;27661456802;;;;;;;;prepaid life;;;;;</t>
  </si>
  <si>
    <t>ID_3260</t>
  </si>
  <si>
    <t>13864393;244762e5-680f-4899-8d81-cb03da2371e8;;111111118;Vodacom Life 20260324;;;27762266356;;DROP;5</t>
  </si>
  <si>
    <t>13864393;244762e5-680f-4899-8d81-cb03da2371e8;;111111118;Vodacom Life 20260324;;;27762266356;;DROP;5;2026-05-23 12:51:58+02;system;2026-03-24 09:54:08+02;2026-03-24 09:54:08+02;;;;;;;;;27762266356;;;;;;;;prepaid life;;;;;</t>
  </si>
  <si>
    <t>ID_3261</t>
  </si>
  <si>
    <t>13864394;5631bf94-da16-44e3-b556-2d20062e7b57;;111111118;Vodacom Life 20260324;;;;;CBACK;4;2026-04-1</t>
  </si>
  <si>
    <t>13864394;5631bf94-da16-44e3-b556-2d20062e7b57;;111111118;Vodacom Life 20260324;;;;;CBACK;4;2026-04-15 09:12:58+02;bongiwe lushaba;2026-03-24 09:54:08+02;2026-03-24 09:54:08+02;;;;;;;;;27762293920;;;;;;;;prepaid life;;;;;</t>
  </si>
  <si>
    <t>ID_3262</t>
  </si>
  <si>
    <t>13864488;369d6906-c491-48ed-83f6-b629f1ad5b56;;111111118;Vodacom Life 20260324;;;;;CU;5;2026-05-25 0</t>
  </si>
  <si>
    <t>13864488;369d6906-c491-48ed-83f6-b629f1ad5b56;;111111118;Vodacom Life 20260324;;;;;CU;5;2026-05-25 09:00:47+02;bongiwe lushaba;2026-03-24 09:54:08+02;2026-03-24 09:54:08+02;;;;;;;;;27818268248;;;;;;;;prepaid life;;;;;</t>
  </si>
  <si>
    <t>ID_3263</t>
  </si>
  <si>
    <t>13864556;32ba1996-c616-4a3e-807e-dc95ca465ddf;;111111118;Vodacom Life 20260324;;;;;CU;5;2026-05-25 1</t>
  </si>
  <si>
    <t>13864556;32ba1996-c616-4a3e-807e-dc95ca465ddf;;111111118;Vodacom Life 20260324;;;;;CU;5;2026-05-25 10:27:40+02;Maureen Ntsoko;2026-03-24 09:54:08+02;2026-03-24 09:54:08+02;;;;;;;;;27661490208;;;;;;;;prepaid life;;;;;</t>
  </si>
  <si>
    <t>ID_3264</t>
  </si>
  <si>
    <t>13864489;3514e70c-7c92-4a04-85b2-b720b293b917;;111111118;Vodacom Life 20260324;;;;;AF;1;2026-04-01 1</t>
  </si>
  <si>
    <t>13864489;3514e70c-7c92-4a04-85b2-b720b293b917;;111111118;Vodacom Life 20260324;;;;;AF;1;2026-04-01 11:14:58+02;Seboifeng Mogola;2026-03-24 09:54:08+02;2026-03-24 09:54:08+02;;;;;;;;;27818364975;;;;;;;;prepaid life;;;;;</t>
  </si>
  <si>
    <t>ID_3265</t>
  </si>
  <si>
    <t>13864395;f1c2cd02-0d6a-4926-9f74-37b7c7c352d0;;111111118;Vodacom Life 20260324;;;;;AA;5;2026-05-23 1</t>
  </si>
  <si>
    <t>13864395;f1c2cd02-0d6a-4926-9f74-37b7c7c352d0;;111111118;Vodacom Life 20260324;;;;;AA;5;2026-05-23 12:51:58+02;system;2026-03-24 09:54:08+02;2026-03-24 09:54:08+02;;;;;;;;;27762441746;;;;;;;;prepaid life;;;;;</t>
  </si>
  <si>
    <t>ID_3266</t>
  </si>
  <si>
    <t>13864557;3c447a26-172e-4f5c-9f94-b9ee686eafcb;;111111118;Vodacom Life 20260324;;;;;AE;5;2026-05-25 0</t>
  </si>
  <si>
    <t>13864557;3c447a26-172e-4f5c-9f94-b9ee686eafcb;;111111118;Vodacom Life 20260324;;;;;AE;5;2026-05-25 09:03:07+02;system;2026-03-24 09:54:08+02;2026-03-24 09:54:08+02;;;;;;;;;27663230219;;;;;;;;prepaid life;;;;;</t>
  </si>
  <si>
    <t>ID_3267</t>
  </si>
  <si>
    <t>13864396;e07ff0a1-f43a-49b1-8644-ae35face00f6;;111111118;Vodacom Life 20260324;;;;;AA;5;2026-05-23 1</t>
  </si>
  <si>
    <t>13864396;e07ff0a1-f43a-49b1-8644-ae35face00f6;;111111118;Vodacom Life 20260324;;;;;AA;5;2026-05-23 12:51:58+02;system;2026-03-24 09:54:08+02;2026-03-24 09:54:08+02;;;;;;;;;27762500900;;;;;;;;prepaid life;;;;;</t>
  </si>
  <si>
    <t>ID_3268</t>
  </si>
  <si>
    <t>13864490;a0229562-28c8-4318-b2ef-31a8efd8aad8;;111111118;Vodacom Life 20260324;;;27818918010;;AA;5;2</t>
  </si>
  <si>
    <t>13864490;a0229562-28c8-4318-b2ef-31a8efd8aad8;;111111118;Vodacom Life 20260324;;;27818918010;;AA;5;2026-05-22 13:38:53+02;system;2026-03-24 09:54:08+02;2026-03-24 09:54:08+02;;;;;;;;;27818918010;;;;;;;;prepaid life;;;;;</t>
  </si>
  <si>
    <t>ID_3269</t>
  </si>
  <si>
    <t>13864558;25e2ca47-6e6f-4d0e-b0f5-bac18448451d;;111111118;Vodacom Life 20260324;;;;;AE;5;2026-05-25 1</t>
  </si>
  <si>
    <t>13864558;25e2ca47-6e6f-4d0e-b0f5-bac18448451d;;111111118;Vodacom Life 20260324;;;;;AE;5;2026-05-25 10:44:15+02;system;2026-03-24 09:54:08+02;2026-03-24 09:54:08+02;;;;;;;;;27663570430;;;;;;;;prepaid life;;;;;</t>
  </si>
  <si>
    <t>ID_3270</t>
  </si>
  <si>
    <t>13864491;c5dc90cc-1589-42ac-8ddd-b2378eefa647;;111111118;Vodacom Life 20260324;;;;;CU;5;2026-05-22 1</t>
  </si>
  <si>
    <t>13864491;c5dc90cc-1589-42ac-8ddd-b2378eefa647;;111111118;Vodacom Life 20260324;;;;;CU;5;2026-05-22 13:38:53+02;bongiwe lushaba;2026-03-24 09:54:08+02;2026-03-24 09:54:08+02;;;;;;;;;27818998176;;;;;;;;prepaid life;;;;;</t>
  </si>
  <si>
    <t>ID_3271</t>
  </si>
  <si>
    <t>13864397;6a2ad356-a37d-4e14-aa05-1caffd4a9e78;;111111118;Vodacom Life 20260324;;;;;AA;5;2026-05-23 1</t>
  </si>
  <si>
    <t>13864397;6a2ad356-a37d-4e14-aa05-1caffd4a9e78;;111111118;Vodacom Life 20260324;;;;;AA;5;2026-05-23 12:52:31+02;system;2026-03-24 09:54:08+02;2026-03-24 09:54:08+02;;;;;;;;;27762934413;;;;;;;;prepaid life;;;;;</t>
  </si>
  <si>
    <t>ID_3272</t>
  </si>
  <si>
    <t>13864559;c25f69d7-a6cd-4b56-a20a-c597142e26f7;;111111118;Vodacom Life 20260324;;;;;AA;5;2026-05-25 0</t>
  </si>
  <si>
    <t>13864559;c25f69d7-a6cd-4b56-a20a-c597142e26f7;;111111118;Vodacom Life 20260324;;;;;AA;5;2026-05-25 09:03:09+02;system;2026-03-24 09:54:08+02;2026-03-24 09:54:08+02;;;;;;;;;27663707628;;;;;;;;prepaid life;;;;;</t>
  </si>
  <si>
    <t>ID_3273</t>
  </si>
  <si>
    <t>13864398;e3fc5765-fc3b-4cc2-93fd-92238bfe505f;;111111118;Vodacom Life 20260324;;;27763403478;;A;5;20</t>
  </si>
  <si>
    <t>13864398;e3fc5765-fc3b-4cc2-93fd-92238bfe505f;;111111118;Vodacom Life 20260324;;;27763403478;;A;5;2026-05-22 13:58:43+02;system;2026-03-24 09:54:08+02;2026-03-24 09:54:08+02;;;;;;;;;27763403478;;;;;;;;prepaid life;;;;;</t>
  </si>
  <si>
    <t>ID_3274</t>
  </si>
  <si>
    <t>13864492;e91e6d02-e85d-4208-9a0c-043523b65dd6;;111111118;Vodacom Life 20260324;;;;;AA;5;2026-05-22 1</t>
  </si>
  <si>
    <t>13864492;e91e6d02-e85d-4208-9a0c-043523b65dd6;;111111118;Vodacom Life 20260324;;;;;AA;5;2026-05-22 13:38:52+02;system;2026-03-24 09:54:08+02;2026-03-24 09:54:08+02;;;;;;;;;27820428159;;;;;;;;prepaid life;;;;;</t>
  </si>
  <si>
    <t>ID_3275</t>
  </si>
  <si>
    <t>13864560;ed2c67a8-1c74-4449-9d95-85e4b2ef4569;;111111118;Vodacom Life 20260324;;;;;NI;1;2026-03-30 1</t>
  </si>
  <si>
    <t>13864560;ed2c67a8-1c74-4449-9d95-85e4b2ef4569;;111111118;Vodacom Life 20260324;;;;;NI;1;2026-03-30 13:22:07+02;Thandile Nokubeni;2026-03-24 09:54:08+02;2026-03-24 09:54:08+02;;;;;;;;;27663738867;;;;;;;;prepaid life;;;;;</t>
  </si>
  <si>
    <t>ID_3276</t>
  </si>
  <si>
    <t>13864493;cee19636-8912-4c7c-a46b-a47a32ef9d11;;111111118;Vodacom Life 20260324;;;;;NA;5;2026-05-22 1</t>
  </si>
  <si>
    <t>13864493;cee19636-8912-4c7c-a46b-a47a32ef9d11;;111111118;Vodacom Life 20260324;;;;;NA;5;2026-05-22 13:38:52+02;system;2026-03-24 09:54:08+02;2026-03-24 09:54:08+02;;;;;;;;;27820567984;;;;;;;;prepaid life;;;;;</t>
  </si>
  <si>
    <t>ID_3277</t>
  </si>
  <si>
    <t>13864399;9cd628c8-02d3-4996-9bde-c480bc69b64d;;111111118;Vodacom Life 20260324;;;;;AA;5;2026-05-22 1</t>
  </si>
  <si>
    <t>13864399;9cd628c8-02d3-4996-9bde-c480bc69b64d;;111111118;Vodacom Life 20260324;;;;;AA;5;2026-05-22 13:58:24+02;system;2026-03-24 09:54:08+02;2026-03-24 09:54:08+02;;;;;;;;;27763888960;;;;;;;;prepaid life;;;;;</t>
  </si>
  <si>
    <t>ID_3278</t>
  </si>
  <si>
    <t xml:space="preserve">13864561;1b96a11a-4355-47d6-b05b-46414a67bded;;111111118;Vodacom Life 20260324;;;;;OAL;1;2026-03-30 </t>
  </si>
  <si>
    <t>13864561;1b96a11a-4355-47d6-b05b-46414a67bded;;111111118;Vodacom Life 20260324;;;;;OAL;1;2026-03-30 11:45:51+02;Thandile Nokubeni;2026-03-24 09:54:08+02;2026-03-24 09:54:08+02;;;;;;;;;27663911024;;;;;;;;prepaid life;;;;;</t>
  </si>
  <si>
    <t>ID_3279</t>
  </si>
  <si>
    <t>13864400;1e35a628-14cc-4441-ad23-9caac0d3874a;;111111118;Vodacom Life 20260324;;;;;DROP;5;2026-05-22</t>
  </si>
  <si>
    <t>13864400;1e35a628-14cc-4441-ad23-9caac0d3874a;;111111118;Vodacom Life 20260324;;;;;DROP;5;2026-05-22 13:58:24+02;system;2026-03-24 09:54:08+02;2026-03-24 09:54:08+02;;;;;;;;;27764319708;;;;;;;;prepaid life;;;;;</t>
  </si>
  <si>
    <t>ID_3280</t>
  </si>
  <si>
    <t>13864562;08c55414-2c07-4e5d-990d-3d1472416d07;;111111118;Vodacom Life 20260324;;;;;AA;5;2026-05-25 0</t>
  </si>
  <si>
    <t>13864562;08c55414-2c07-4e5d-990d-3d1472416d07;;111111118;Vodacom Life 20260324;;;;;AA;5;2026-05-25 09:03:16+02;system;2026-03-24 09:54:08+02;2026-03-24 09:54:08+02;;;;;;;;;27664344598;;;;;;;;prepaid life;;;;;</t>
  </si>
  <si>
    <t>ID_3281</t>
  </si>
  <si>
    <t>13864401;c37af11c-cafd-4f9a-a581-86b5ef011f36;;111111118;Vodacom Life 20260324;;;;;AA;5;2026-05-22 1</t>
  </si>
  <si>
    <t>13864401;c37af11c-cafd-4f9a-a581-86b5ef011f36;;111111118;Vodacom Life 20260324;;;;;AA;5;2026-05-22 13:59:39+02;system;2026-03-24 09:54:08+02;2026-03-24 09:54:08+02;;;;;;;;;27764488842;;;;;;;;prepaid life;;;;;</t>
  </si>
  <si>
    <t>ID_3282</t>
  </si>
  <si>
    <t>13864494;19fc8c3f-e401-49d8-b497-815133274c20;;111111118;Vodacom Life 20260324;;;;;AA;5;2026-05-22 1</t>
  </si>
  <si>
    <t>13864494;19fc8c3f-e401-49d8-b497-815133274c20;;111111118;Vodacom Life 20260324;;;;;AA;5;2026-05-22 13:36:51+02;system;2026-03-24 09:54:08+02;2026-03-24 09:54:08+02;;;;;;;;;27820715559;;;;;;;;prepaid life;;;;;</t>
  </si>
  <si>
    <t>ID_3283</t>
  </si>
  <si>
    <t>13864563;1c12981c-8103-4149-a166-b22fcde6003e;;111111118;Vodacom Life 20260324;;;;;AA;5;2026-05-25 0</t>
  </si>
  <si>
    <t>13864563;1c12981c-8103-4149-a166-b22fcde6003e;;111111118;Vodacom Life 20260324;;;;;AA;5;2026-05-25 09:03:17+02;system;2026-03-24 09:54:08+02;2026-03-24 09:54:08+02;;;;;;;;;27664352546;;;;;;;;prepaid life;;;;;</t>
  </si>
  <si>
    <t>ID_3284</t>
  </si>
  <si>
    <t>13864495;9a1b5fee-b66e-484e-a834-38065780174e;;111111118;Vodacom Life 20260324;;;;;AE;5;2026-05-22 1</t>
  </si>
  <si>
    <t>13864495;9a1b5fee-b66e-484e-a834-38065780174e;;111111118;Vodacom Life 20260324;;;;;AE;5;2026-05-22 13:36:51+02;system;2026-03-24 09:54:08+02;2026-03-24 09:54:08+02;;;;;;;;;27820738059;;;;;;;;prepaid life;;;;;</t>
  </si>
  <si>
    <t>ID_3285</t>
  </si>
  <si>
    <t>13864402;c33c3a27-38bb-47c6-82a7-12d27424506d;;111111118;Vodacom Life 20260324;;;;;DROP;5;2026-05-22</t>
  </si>
  <si>
    <t>13864402;c33c3a27-38bb-47c6-82a7-12d27424506d;;111111118;Vodacom Life 20260324;;;;;DROP;5;2026-05-22 13:58:24+02;system;2026-03-24 09:54:08+02;2026-03-24 09:54:08+02;;;;;;;;;27764512533;;;;;;;;prepaid life;;;;;</t>
  </si>
  <si>
    <t>ID_3286</t>
  </si>
  <si>
    <t>13864564;708b1f7c-c2d5-49ba-846a-c81ea03d335c;;111111118;Vodacom Life 20260324;;;;;AA;5;2026-05-25 0</t>
  </si>
  <si>
    <t>13864564;708b1f7c-c2d5-49ba-846a-c81ea03d335c;;111111118;Vodacom Life 20260324;;;;;AA;5;2026-05-25 09:03:17+02;system;2026-03-24 09:54:08+02;2026-03-24 09:54:08+02;;;;;;;;;27664958473;;;;;;;;prepaid life;;;;;</t>
  </si>
  <si>
    <t>ID_3287</t>
  </si>
  <si>
    <t>13864403;64870e1b-c99c-4313-8654-63632f66fc7f;;111111118;Vodacom Life 20260324;;;;;NI;2;2026-04-09 1</t>
  </si>
  <si>
    <t>13864403;64870e1b-c99c-4313-8654-63632f66fc7f;;111111118;Vodacom Life 20260324;;;;;NI;2;2026-04-09 11:13:22+02;Maureen Ntsoko;2026-03-24 09:54:08+02;2026-03-24 09:54:08+02;;;;;;;;;27764715383;;;;;;;;prepaid life;;;;;</t>
  </si>
  <si>
    <t>ID_3288</t>
  </si>
  <si>
    <t>13864496;6824961d-1c7d-4d2b-9218-2016d5820a1f;;111111118;Vodacom Life 20260324;;;;;CU;5;2026-05-22 1</t>
  </si>
  <si>
    <t>13864496;6824961d-1c7d-4d2b-9218-2016d5820a1f;;111111118;Vodacom Life 20260324;;;;;CU;5;2026-05-22 13:36:51+02;bongiwe lushaba;2026-03-24 09:54:08+02;2026-03-24 09:54:08+02;;;;;;;;;27820920127;;;;;;;;prepaid life;;;;;</t>
  </si>
  <si>
    <t>ID_3289</t>
  </si>
  <si>
    <t>13864565;ce283023-5405-442a-945d-10439225ceda;;111111118;Vodacom Life 20260324;;;;;AA;5;2026-05-25 0</t>
  </si>
  <si>
    <t>13864565;ce283023-5405-442a-945d-10439225ceda;;111111118;Vodacom Life 20260324;;;;;AA;5;2026-05-25 09:03:17+02;system;2026-03-24 09:54:08+02;2026-03-24 09:54:08+02;;;;;;;;;27665519440;;;;;;;;prepaid life;;;;;</t>
  </si>
  <si>
    <t>ID_3290</t>
  </si>
  <si>
    <t>13864497;eb33fb49-4da8-4efa-aebb-0b813c89af8b;;111111118;Vodacom Life 20260324;;;;;DROP;5;2026-05-22</t>
  </si>
  <si>
    <t>13864497;eb33fb49-4da8-4efa-aebb-0b813c89af8b;;111111118;Vodacom Life 20260324;;;;;DROP;5;2026-05-22 13:37:02+02;system;2026-03-24 09:54:08+02;2026-03-24 09:54:08+02;;;;;;;;;27822215341;;;;;;;;prepaid life;;;;;</t>
  </si>
  <si>
    <t>ID_3291</t>
  </si>
  <si>
    <t>13864404;9eb2278d-b230-4754-8d4c-cd6175521479;;111111118;Vodacom Life 20260324;;;27765185898;;A;5;20</t>
  </si>
  <si>
    <t>13864404;9eb2278d-b230-4754-8d4c-cd6175521479;;111111118;Vodacom Life 20260324;;;27765185898;;A;5;2026-05-22 14:01:02+02;bongiwe lushaba;2026-03-24 09:54:08+02;2026-03-24 09:54:08+02;;;;;;;;;27765185898;;;;;;;;prepaid life;;;;;</t>
  </si>
  <si>
    <t>ID_3292</t>
  </si>
  <si>
    <t>13864566;fc74ef59-77d6-4f70-ba9b-8cb2ae7c4f24;;111111118;Vodacom Life 20260324;;;;;AA;5;2026-05-25 0</t>
  </si>
  <si>
    <t>13864566;fc74ef59-77d6-4f70-ba9b-8cb2ae7c4f24;;111111118;Vodacom Life 20260324;;;;;AA;5;2026-05-25 09:03:19+02;system;2026-03-24 09:54:08+02;2026-03-24 09:54:08+02;;;;;;;;;27665540139;;;;;;;;prepaid life;;;;;</t>
  </si>
  <si>
    <t>ID_3293</t>
  </si>
  <si>
    <t>13864405;4282da12-9971-41e3-bde5-1a3cadc6f1a7;;111111118;Vodacom Life 20260324;;;;;AA;5;2026-05-25 1</t>
  </si>
  <si>
    <t>13864405;4282da12-9971-41e3-bde5-1a3cadc6f1a7;;111111118;Vodacom Life 20260324;;;;;AA;5;2026-05-25 12:35:39+02;system;2026-03-24 09:54:08+02;2026-03-24 09:54:08+02;;;;;;;;;27765502882;;;;;;;;prepaid life;;;;;</t>
  </si>
  <si>
    <t>ID_3294</t>
  </si>
  <si>
    <t>13864498;6834a4ae-a98d-4d25-b1db-529d98784d52;;111111118;Vodacom Life 20260324;;;;;AE;5;2026-05-25 0</t>
  </si>
  <si>
    <t>13864498;6834a4ae-a98d-4d25-b1db-529d98784d52;;111111118;Vodacom Life 20260324;;;;;AE;5;2026-05-25 09:01:37+02;system;2026-03-24 09:54:08+02;2026-03-24 09:54:08+02;;;;;;;;;27822600760;;;;;;;;prepaid life;;;;;</t>
  </si>
  <si>
    <t>ID_3295</t>
  </si>
  <si>
    <t>13864567;eee5f379-c50d-4c06-83cd-8e672445e92a;;111111118;Vodacom Life 20260324;;;;;U;2;2026-04-01 13</t>
  </si>
  <si>
    <t>13864567;eee5f379-c50d-4c06-83cd-8e672445e92a;;111111118;Vodacom Life 20260324;;;;;U;2;2026-04-01 13:19:47+02;Seboifeng Mogola;2026-03-24 09:54:08+02;2026-03-24 09:54:08+02;;;;;;;;;27665841074;;;;;;;;prepaid life;;;;;</t>
  </si>
  <si>
    <t>ID_3296</t>
  </si>
  <si>
    <t>13864499;1948c8bb-085b-4ef7-a1a8-c66569bf3aa4;;111111118;Vodacom Life 20260324;;;;;CBACK;1;2026-04-0</t>
  </si>
  <si>
    <t>13864499;1948c8bb-085b-4ef7-a1a8-c66569bf3aa4;;111111118;Vodacom Life 20260324;;;;;CBACK;1;2026-04-02 13:09:05+02;Maureen Ntsoko;2026-03-24 09:54:08+02;2026-03-24 09:54:08+02;;;;;;;;;27822832366;;;;;;;;prepaid life;;;;;</t>
  </si>
  <si>
    <t>ID_3297</t>
  </si>
  <si>
    <t>13864568;0d5ce62a-dcd3-4e22-9153-c1b7d7b585a4;;111111118;Vodacom Life 20260324;;;;;AA;5;2026-05-25 0</t>
  </si>
  <si>
    <t>13864568;0d5ce62a-dcd3-4e22-9153-c1b7d7b585a4;;111111118;Vodacom Life 20260324;;;;;AA;5;2026-05-25 09:03:19+02;system;2026-03-24 09:54:08+02;2026-03-24 09:54:08+02;;;;;;;;;27673261509;;;;;;;;prepaid life;;;;;</t>
  </si>
  <si>
    <t>ID_3298</t>
  </si>
  <si>
    <t>13864500;ad652604-801f-4f2f-bdc4-728ea9cc49fd;;111111118;Vodacom Life 20260324;;;;;AA;5;2026-05-25 0</t>
  </si>
  <si>
    <t>13864500;ad652604-801f-4f2f-bdc4-728ea9cc49fd;;111111118;Vodacom Life 20260324;;;;;AA;5;2026-05-25 09:01:38+02;system;2026-03-24 09:54:08+02;2026-03-24 09:54:08+02;;;;;;;;;27822835357;;;;;;;;prepaid life;;;;;</t>
  </si>
  <si>
    <t>ID_3299</t>
  </si>
  <si>
    <t>13864406;9b27d113-d989-490f-a97a-c7ac73852ae0;;111111118;Vodacom Life 20260324;;;;;AA;5;2026-05-25 1</t>
  </si>
  <si>
    <t>13864406;9b27d113-d989-490f-a97a-c7ac73852ae0;;111111118;Vodacom Life 20260324;;;;;AA;5;2026-05-25 12:54:28+02;system;2026-03-24 09:54:08+02;2026-03-24 09:54:08+02;;;;;;;;;27765841779;;;;;;;;prepaid life;;;;;</t>
  </si>
  <si>
    <t>ID_3300</t>
  </si>
  <si>
    <t>13864407;699b7202-62ff-45b0-9ec6-eb4ef41cb9a9;;111111118;Vodacom Life 20260324;;;27765924431;;A;5;20</t>
  </si>
  <si>
    <t>13864407;699b7202-62ff-45b0-9ec6-eb4ef41cb9a9;;111111118;Vodacom Life 20260324;;;27765924431;;A;5;2026-05-25 15:39:29+02;bongiwe lushaba;2026-03-24 09:54:08+02;2026-03-24 09:54:08+02;;;;;;;;;27765924431;;;;;;;;prepaid life;;;;;</t>
  </si>
  <si>
    <t>ID_3301</t>
  </si>
  <si>
    <t>13864569;704990b1-db89-4d24-9cf7-aa3a0a0a31ec;;111111118;Vodacom Life 20260324;;;;;AA;5;2026-05-25 0</t>
  </si>
  <si>
    <t>13864569;704990b1-db89-4d24-9cf7-aa3a0a0a31ec;;111111118;Vodacom Life 20260324;;;;;AA;5;2026-05-25 09:03:51+02;system;2026-03-24 09:54:08+02;2026-03-24 09:54:08+02;;;;;;;;;27673443411;;;;;;;;prepaid life;;;;;</t>
  </si>
  <si>
    <t>ID_3302</t>
  </si>
  <si>
    <t>13864501;d81ca5f9-5544-4f10-b388-25c033e54f05;;111111118;Vodacom Life 20260324;;;;;AA;5;2026-05-25 0</t>
  </si>
  <si>
    <t>13864501;d81ca5f9-5544-4f10-b388-25c033e54f05;;111111118;Vodacom Life 20260324;;;;;AA;5;2026-05-25 09:01:56+02;system;2026-03-24 09:54:08+02;2026-03-24 09:54:08+02;;;;;;;;;27823083350;;;;;;;;prepaid life;;;;;</t>
  </si>
  <si>
    <t>ID_3303</t>
  </si>
  <si>
    <t>13864570;316ee6a8-a6bf-4528-9f45-e095c36ae774;;111111118;Vodacom Life 20260324;;;;;AA;5;2026-05-25 0</t>
  </si>
  <si>
    <t>13864570;316ee6a8-a6bf-4528-9f45-e095c36ae774;;111111118;Vodacom Life 20260324;;;;;AA;5;2026-05-25 09:03:51+02;system;2026-03-24 09:54:08+02;2026-03-24 09:54:08+02;;;;;;;;;27673564503;;;;;;;;prepaid life;;;;;</t>
  </si>
  <si>
    <t>ID_3304</t>
  </si>
  <si>
    <t>13864502;3df097f4-bedb-4f4f-95c3-2c7009837bcc;;111111118;Vodacom Life 20260324;;;;;AA;5;2026-05-25 0</t>
  </si>
  <si>
    <t>13864502;3df097f4-bedb-4f4f-95c3-2c7009837bcc;;111111118;Vodacom Life 20260324;;;;;AA;5;2026-05-25 09:02:10+02;system;2026-03-24 09:54:08+02;2026-03-24 09:54:08+02;;;;;;;;;27823249788;;;;;;;;prepaid life;;;;;</t>
  </si>
  <si>
    <t>ID_3305</t>
  </si>
  <si>
    <t>13864408;d0eedb19-44f2-4f96-ad97-71e4765d050c;;111111118;Vodacom Life 20260324;;;;;DROP;5;2026-05-25</t>
  </si>
  <si>
    <t>13864408;d0eedb19-44f2-4f96-ad97-71e4765d050c;;111111118;Vodacom Life 20260324;;;;;DROP;5;2026-05-25 11:12:53+02;system;2026-03-24 09:54:08+02;2026-03-24 09:54:08+02;;;;;;;;;27766489017;;;;;;;;prepaid life;;;;;</t>
  </si>
  <si>
    <t>ID_3306</t>
  </si>
  <si>
    <t>13864409;d1f6a8b3-d0ed-47b4-b972-66ee5d2d7c89;;111111118;Vodacom Life 20260324;;;;;A;5;2026-05-23 12</t>
  </si>
  <si>
    <t>13864409;d1f6a8b3-d0ed-47b4-b972-66ee5d2d7c89;;111111118;Vodacom Life 20260324;;;;;A;5;2026-05-23 12:52:37+02;bongiwe lushaba;2026-03-24 09:54:08+02;2026-03-24 09:54:08+02;;;;;;;;;27766969731;;;;;;;;prepaid life;;;;;</t>
  </si>
  <si>
    <t>ID_3307</t>
  </si>
  <si>
    <t>13864571;e7c5bc9c-02ff-49ba-9f72-b78a1c83b9d4;;111111118;Vodacom Life 20260324;;;27673768942;;IABDN;</t>
  </si>
  <si>
    <t>13864571;e7c5bc9c-02ff-49ba-9f72-b78a1c83b9d4;;111111118;Vodacom Life 20260324;;;27673768942;;IABDN;5;2026-05-25 09:04:35+02;system;2026-03-24 09:54:08+02;2026-03-24 09:54:08+02;;;;;;;;;27673768942;;;;;;;;prepaid life;;;;;</t>
  </si>
  <si>
    <t>ID_3308</t>
  </si>
  <si>
    <t>13864410;3dfab750-b6dc-43ec-a149-bcfd40aebd0e;;111111118;Vodacom Life 20260324;;;;;CU;5;2026-05-25 0</t>
  </si>
  <si>
    <t>13864410;3dfab750-b6dc-43ec-a149-bcfd40aebd0e;;111111118;Vodacom Life 20260324;;;;;CU;5;2026-05-25 08:56:29+02;Maureen Ntsoko;2026-03-24 09:54:08+02;2026-03-24 09:54:08+02;;;;;;;;;27767249105;;;;;;;;prepaid life;;;;;</t>
  </si>
  <si>
    <t>ID_3309</t>
  </si>
  <si>
    <t>13864503;eb6c552c-d93c-42bb-b16e-1ac1ed2e9765;;111111118;Vodacom Life 20260324;;;;;CU;5;2026-05-25 0</t>
  </si>
  <si>
    <t>13864503;eb6c552c-d93c-42bb-b16e-1ac1ed2e9765;;111111118;Vodacom Life 20260324;;;;;CU;5;2026-05-25 09:02:10+02;Khensane Mabasa;2026-03-24 09:54:08+02;2026-03-24 09:54:08+02;;;;;;;;;27824065178;;;;;;;;prepaid life;;;;;</t>
  </si>
  <si>
    <t>ID_3310</t>
  </si>
  <si>
    <t>13864572;027b0974-02f7-4d9c-b324-c30c5679aa06;;111111118;Vodacom Life 20260324;;;;;DROP;5;2026-05-22</t>
  </si>
  <si>
    <t>13864572;027b0974-02f7-4d9c-b324-c30c5679aa06;;111111118;Vodacom Life 20260324;;;;;DROP;5;2026-05-22 13:21:02+02;system;2026-03-24 09:54:08+02;2026-03-24 09:54:08+02;;;;;;;;;27673861544;;;;;;;;prepaid life;;;;;</t>
  </si>
  <si>
    <t>ID_3311</t>
  </si>
  <si>
    <t xml:space="preserve">13864504;9c34c649-7968-4726-834f-85757f9c293d;;111111118;Vodacom Life 20260324;;;;;TDN;5;2026-05-25 </t>
  </si>
  <si>
    <t>13864504;9c34c649-7968-4726-834f-85757f9c293d;;111111118;Vodacom Life 20260324;;;;;TDN;5;2026-05-25 09:02:17+02;system;2026-03-24 09:54:08+02;2026-03-24 09:54:08+02;;;;;;;;;27824366905;;;;;;;;prepaid life;;;;;</t>
  </si>
  <si>
    <t>ID_3312</t>
  </si>
  <si>
    <t>13864411;8c1a26eb-a5f7-4770-a52b-156d486e5d6e;;111111118;Vodacom Life 20260324;;;;;AE;5;2026-05-23 1</t>
  </si>
  <si>
    <t>13864411;8c1a26eb-a5f7-4770-a52b-156d486e5d6e;;111111118;Vodacom Life 20260324;;;;;AE;5;2026-05-23 12:52:45+02;system;2026-03-24 09:54:08+02;2026-03-24 09:54:08+02;;;;;;;;;27767410528;;;;;;;;prepaid life;;;;;</t>
  </si>
  <si>
    <t>ID_3313</t>
  </si>
  <si>
    <t>13864412;a7c78020-7fa1-45fa-9192-a9e5fe0efe26;;111111118;Vodacom Life 20260324;;;;;CB;5;2026-04-16 1</t>
  </si>
  <si>
    <t>13864412;a7c78020-7fa1-45fa-9192-a9e5fe0efe26;;111111118;Vodacom Life 20260324;;;;;CB;5;2026-04-16 14:28:45+02;Maureen Ntsoko;2026-03-24 09:54:08+02;2026-03-24 09:54:08+02;;;;;;;;;27767580578;;;;;;;;prepaid life;;;;;</t>
  </si>
  <si>
    <t>ID_3314</t>
  </si>
  <si>
    <t xml:space="preserve">13864573;1f2c585d-0960-4266-8f9a-881d7b4c3df9;;111111118;Vodacom Life 20260324;;;;;OAL;1;2026-04-01 </t>
  </si>
  <si>
    <t>13864573;1f2c585d-0960-4266-8f9a-881d7b4c3df9;;111111118;Vodacom Life 20260324;;;;;OAL;1;2026-04-01 09:43:19+02;Millicent Motsuku;2026-03-24 09:54:08+02;2026-03-24 09:54:08+02;;;;;;;;;27673911217;;;;;;;;prepaid life;;;;;</t>
  </si>
  <si>
    <t>ID_3315</t>
  </si>
  <si>
    <t>13864413;41bc1173-4cf5-44f2-bd9b-6b876f1e47d6;;111111118;Vodacom Life 20260324;;;;;AA;5;2026-05-23 1</t>
  </si>
  <si>
    <t>13864413;41bc1173-4cf5-44f2-bd9b-6b876f1e47d6;;111111118;Vodacom Life 20260324;;;;;AA;5;2026-05-23 12:52:49+02;system;2026-03-24 09:54:08+02;2026-03-24 09:54:08+02;;;;;;;;;27768165880;;;;;;;;prepaid life;;;;;</t>
  </si>
  <si>
    <t>ID_3316</t>
  </si>
  <si>
    <t>13864505;b196dda9-ed7d-4855-a79c-1ee6e7a0cd6b;;111111118;Vodacom Life 20260324;;;;;AA;5;2026-05-22 1</t>
  </si>
  <si>
    <t>13864505;b196dda9-ed7d-4855-a79c-1ee6e7a0cd6b;;111111118;Vodacom Life 20260324;;;;;AA;5;2026-05-22 13:35:18+02;system;2026-03-24 09:54:08+02;2026-03-24 09:54:08+02;;;;;;;;;27824764141;;;;;;;;prepaid life;;;;;</t>
  </si>
  <si>
    <t>ID_3317</t>
  </si>
  <si>
    <t>13864574;5af0fac8-5b17-45a4-a20b-150017f47176;;111111118;Vodacom Life 20260324;;;;;AA;5;2026-05-22 1</t>
  </si>
  <si>
    <t>13864574;5af0fac8-5b17-45a4-a20b-150017f47176;;111111118;Vodacom Life 20260324;;;;;AA;5;2026-05-22 13:21:02+02;system;2026-03-24 09:54:08+02;2026-03-24 09:54:08+02;;;;;;;;;27673952089;;;;;;;;prepaid life;;;;;</t>
  </si>
  <si>
    <t>ID_3318</t>
  </si>
  <si>
    <t>13864506;30c854c2-c57f-4622-96df-0c4fcefc335f;;111111118;Vodacom Life 20260324;;;;;DROP;5;2026-05-22</t>
  </si>
  <si>
    <t>13864506;30c854c2-c57f-4622-96df-0c4fcefc335f;;111111118;Vodacom Life 20260324;;;;;DROP;5;2026-05-22 13:35:18+02;system;2026-03-24 09:54:08+02;2026-03-24 09:54:08+02;;;;;;;;;27825042884;;;;;;;;prepaid life;;;;;</t>
  </si>
  <si>
    <t>ID_3319</t>
  </si>
  <si>
    <t>13864507;2f0d3016-83e0-47cf-87f6-083ea0530715;;111111118;Vodacom Life 20260324;;;;;NI;4;2026-05-07 1</t>
  </si>
  <si>
    <t>13864507;2f0d3016-83e0-47cf-87f6-083ea0530715;;111111118;Vodacom Life 20260324;;;;;NI;4;2026-05-07 15:33:13+02;Esther Ramalete;2026-03-24 09:54:08+02;2026-03-24 09:54:08+02;;;;;;;;;27825119474;;;;;;;;prepaid life;;;;;</t>
  </si>
  <si>
    <t>ID_3320</t>
  </si>
  <si>
    <t>13864414;77834303-385b-45dc-a71f-51f48a0cbc94;;111111118;Vodacom Life 20260324;;;;;DROP;5;2026-05-23</t>
  </si>
  <si>
    <t>13864414;77834303-385b-45dc-a71f-51f48a0cbc94;;111111118;Vodacom Life 20260324;;;;;DROP;5;2026-05-23 12:52:50+02;system;2026-03-24 09:54:08+02;2026-03-24 09:54:08+02;;;;;;;;;27768531467;;;;;;;;prepaid life;;;;;</t>
  </si>
  <si>
    <t>ID_3321</t>
  </si>
  <si>
    <t>13864575;4c4e7b7e-96af-47eb-b65e-23ba20715fc8;;111111118;Vodacom Life 20260324;;;;;A;5;2026-05-22 13</t>
  </si>
  <si>
    <t>13864575;4c4e7b7e-96af-47eb-b65e-23ba20715fc8;;111111118;Vodacom Life 20260324;;;;;A;5;2026-05-22 13:20:55+02;bongiwe lushaba;2026-03-24 09:54:08+02;2026-03-24 09:54:08+02;;;;;;;;;27710436839;;;;;;;;prepaid life;;;;;</t>
  </si>
  <si>
    <t>ID_3322</t>
  </si>
  <si>
    <t>13864415;6e8b6303-9d83-4930-8f5e-e9b85444d925;;111111118;Vodacom Life 20260324;;;;;WN;1;2026-03-26 1</t>
  </si>
  <si>
    <t>13864415;6e8b6303-9d83-4930-8f5e-e9b85444d925;;111111118;Vodacom Life 20260324;;;;;WN;1;2026-03-26 11:13:02+02;Seboifeng Mogola;2026-03-24 09:54:08+02;2026-03-24 09:54:08+02;;;;;;;;;27768592941;;;;;;;;prepaid life;;;;;</t>
  </si>
  <si>
    <t>ID_3323</t>
  </si>
  <si>
    <t>13864416;0cb51634-bf3e-4ab9-b92b-52605eb3c9bb;;111111118;Vodacom Life 20260324;;;;;AA;5;2026-05-23 1</t>
  </si>
  <si>
    <t>13864416;0cb51634-bf3e-4ab9-b92b-52605eb3c9bb;;111111118;Vodacom Life 20260324;;;;;AA;5;2026-05-23 12:52:54+02;system;2026-03-24 09:54:08+02;2026-03-24 09:54:08+02;;;;;;;;;27768608212;;;;;;;;prepaid life;;;;;</t>
  </si>
  <si>
    <t>ID_3324</t>
  </si>
  <si>
    <t xml:space="preserve">13864508;df55f1e0-4f47-416f-af85-24bf9f5ba414;;111111118;Vodacom Life 20260324;;;;;OAL;2;2026-04-09 </t>
  </si>
  <si>
    <t>13864508;df55f1e0-4f47-416f-af85-24bf9f5ba414;;111111118;Vodacom Life 20260324;;;;;OAL;2;2026-04-09 11:04:39+02;Mahlatse Manamela;2026-03-24 09:54:08+02;2026-03-24 09:54:08+02;;;;;;;;;27825131744;;;;;;;;prepaid life;;;;;</t>
  </si>
  <si>
    <t>ID_3325</t>
  </si>
  <si>
    <t>13864576;7da987e8-af30-4c90-981a-83175f6d75bd;;111111118;Vodacom Life 20260324;;;27711419990;;A;5;20</t>
  </si>
  <si>
    <t>13864576;7da987e8-af30-4c90-981a-83175f6d75bd;;111111118;Vodacom Life 20260324;;;27711419990;;A;5;2026-05-22 13:22:00+02;bongiwe lushaba;2026-03-24 09:54:08+02;2026-03-24 09:54:08+02;;;;;;;;;27711419990;;;;;;;;prepaid life;;;;;</t>
  </si>
  <si>
    <t>ID_3326</t>
  </si>
  <si>
    <t>13864417;cb854a8a-cc9f-4ee1-a7e9-6f63dc88d635;;111111118;Vodacom Life 20260324;;;;;AE;5;2026-05-22 1</t>
  </si>
  <si>
    <t>13864417;cb854a8a-cc9f-4ee1-a7e9-6f63dc88d635;;111111118;Vodacom Life 20260324;;;;;AE;5;2026-05-22 13:54:23+02;system;2026-03-24 09:54:08+02;2026-03-24 09:54:08+02;;;;;;;;;27768613755;;;;;;;;prepaid life;;;;;</t>
  </si>
  <si>
    <t>ID_3327</t>
  </si>
  <si>
    <t>13864509;4b4cfb81-76e3-4281-b8e5-4652cbf282ad;;111111118;Vodacom Life 20260324;;;;;NIUP;1;2026-04-01</t>
  </si>
  <si>
    <t>13864509;4b4cfb81-76e3-4281-b8e5-4652cbf282ad;;111111118;Vodacom Life 20260324;;;;;NIUP;1;2026-04-01 11:24:54+02;Millicent Motsuku;2026-03-24 09:54:08+02;2026-03-24 09:54:08+02;;;;;;;;;27825176207;;;;;;;;prepaid life;;;;;</t>
  </si>
  <si>
    <t>ID_3328</t>
  </si>
  <si>
    <t>13864578;fc220a61-b79f-4fa8-815a-111e4a9d0fd8;;111111118;Vodacom Life 20260324;;;27711494671;;AA;5;2</t>
  </si>
  <si>
    <t>13864578;fc220a61-b79f-4fa8-815a-111e4a9d0fd8;;111111118;Vodacom Life 20260324;;;27711494671;;AA;5;2026-05-25 09:04:56+02;system;2026-03-24 09:54:08+02;2026-03-24 09:54:08+02;;;;;;;;;27711494671;;;;;;;;prepaid life;;;;;</t>
  </si>
  <si>
    <t>ID_3329</t>
  </si>
  <si>
    <t>13864510;7292487f-e9e8-4750-a3ab-ee8dedb47fd1;;111111118;Vodacom Life 20260324;;;;;DROP;5;2026-05-22</t>
  </si>
  <si>
    <t>13864510;7292487f-e9e8-4750-a3ab-ee8dedb47fd1;;111111118;Vodacom Life 20260324;;;;;DROP;5;2026-05-22 13:35:18+02;system;2026-03-24 09:54:08+02;2026-03-24 09:54:08+02;;;;;;;;;27825218357;;;;;;;;prepaid life;;;;;</t>
  </si>
  <si>
    <t>ID_3330</t>
  </si>
  <si>
    <t>13864418;59797be3-edf2-42b1-a53f-7bebefa42e2f;;111111118;Vodacom Life 20260324;;;;;AA;5;2026-05-22 1</t>
  </si>
  <si>
    <t>13864418;59797be3-edf2-42b1-a53f-7bebefa42e2f;;111111118;Vodacom Life 20260324;;;;;AA;5;2026-05-22 13:54:23+02;system;2026-03-24 09:54:08+02;2026-03-24 09:54:08+02;;;;;;;;;27768701045;;;;;;;;prepaid life;;;;;</t>
  </si>
  <si>
    <t>ID_3331</t>
  </si>
  <si>
    <t>13864419;ad4b5f07-b406-49a6-93bb-d9929a4ff81d;;111111118;Vodacom Life 20260324;;;;;CBACK;3;2026-04-0</t>
  </si>
  <si>
    <t>13864419;ad4b5f07-b406-49a6-93bb-d9929a4ff81d;;111111118;Vodacom Life 20260324;;;;;CBACK;3;2026-04-09 15:57:46+02;Mahlatse Manamela;2026-03-24 09:54:08+02;2026-03-24 09:54:08+02;;;;;;;;;27769042468;;;;;;;;prepaid life;;;;;</t>
  </si>
  <si>
    <t>ID_3332</t>
  </si>
  <si>
    <t>13864579;57cd69cb-0226-4117-b7d5-9148a635d46f;;111111118;Vodacom Life 20260324;;;27711505655;;A;6;20</t>
  </si>
  <si>
    <t>13864579;57cd69cb-0226-4117-b7d5-9148a635d46f;;111111118;Vodacom Life 20260324;;;27711505655;;A;6;2026-05-26 12:19:36+02;Khensane Mabasa;2026-03-24 09:54:08+02;2026-03-24 09:54:08+02;;;;;;;;;27711505655;;;;;;;;prepaid life;;;;;</t>
  </si>
  <si>
    <t>ID_3333</t>
  </si>
  <si>
    <t>13864420;49717a4e-6f80-4a57-9574-585238581387;;111111118;Vodacom Life 20260324;;;;;NI;3;2026-04-15 0</t>
  </si>
  <si>
    <t>13864420;49717a4e-6f80-4a57-9574-585238581387;;111111118;Vodacom Life 20260324;;;;;NI;3;2026-04-15 08:03:32+02;Thandile Nokubeni;2026-03-24 09:54:08+02;2026-03-24 09:54:08+02;;;;;;;;;27769275932;;;;;;;;prepaid life;;;;;</t>
  </si>
  <si>
    <t>ID_3334</t>
  </si>
  <si>
    <t>13864511;483cd0c9-0af1-434e-82bf-7a80a181cf8c;;111111118;Vodacom Life 20260324;;;;;DROP;5;2026-05-22</t>
  </si>
  <si>
    <t>13864511;483cd0c9-0af1-434e-82bf-7a80a181cf8c;;111111118;Vodacom Life 20260324;;;;;DROP;5;2026-05-22 13:35:19+02;system;2026-03-24 09:54:08+02;2026-03-24 09:54:08+02;;;;;;;;;27825312557;;;;;;;;prepaid life;;;;;</t>
  </si>
  <si>
    <t>ID_3335</t>
  </si>
  <si>
    <t>13864580;02b30f25-13b1-4706-9547-0ee9f24fb9f8;;111111118;Vodacom Life 20260324;;;;;AA;5;2026-05-25 0</t>
  </si>
  <si>
    <t>13864580;02b30f25-13b1-4706-9547-0ee9f24fb9f8;;111111118;Vodacom Life 20260324;;;;;AA;5;2026-05-25 09:11:35+02;system;2026-03-24 09:54:08+02;2026-03-24 09:54:08+02;;;;;;;;;27711975426;;;;;;;;prepaid life;;;;;</t>
  </si>
  <si>
    <t>ID_3336</t>
  </si>
  <si>
    <t>13864512;3c91b57e-5383-4466-83f3-c7d3d03250d4;;111111118;Vodacom Life 20260324;;;;;CBACK;1;2026-04-0</t>
  </si>
  <si>
    <t>13864512;3c91b57e-5383-4466-83f3-c7d3d03250d4;;111111118;Vodacom Life 20260324;;;;;CBACK;1;2026-04-01 11:23:23+02;Thandile Nokubeni;2026-03-24 09:54:08+02;2026-03-24 09:54:08+02;;;;;;;;;27825395363;;;;;;;;prepaid life;;;;;</t>
  </si>
  <si>
    <t>ID_3337</t>
  </si>
  <si>
    <t>13864421;b8be875a-6c46-49a1-835f-e7920cb7f2eb;;111111118;Vodacom Life 20260324;;;;;AA;5;2026-05-22 1</t>
  </si>
  <si>
    <t>13864421;b8be875a-6c46-49a1-835f-e7920cb7f2eb;;111111118;Vodacom Life 20260324;;;;;AA;5;2026-05-22 13:54:23+02;system;2026-03-24 09:54:08+02;2026-03-24 09:54:08+02;;;;;;;;;27769367814;;;;;;;;prepaid life;;;;;</t>
  </si>
  <si>
    <t>ID_3338</t>
  </si>
  <si>
    <t>13864581;d2054b51-c3ed-4482-a394-760b6dd83789;;111111118;Vodacom Life 20260324;;;;;NI;3;2026-04-14 1</t>
  </si>
  <si>
    <t>13864581;d2054b51-c3ed-4482-a394-760b6dd83789;;111111118;Vodacom Life 20260324;;;;;NI;3;2026-04-14 15:50:57+02;Thandile Nokubeni;2026-03-24 09:54:08+02;2026-03-24 09:54:08+02;;;;;;;;;27712026427;;;;;;;;prepaid life;;;;;</t>
  </si>
  <si>
    <t>ID_3339</t>
  </si>
  <si>
    <t>13864422;26298bed-58e1-41b7-8aeb-43ac883d4279;;111111118;Vodacom Life 20260324;;;;;CBACK;1;2026-04-0</t>
  </si>
  <si>
    <t>13864422;26298bed-58e1-41b7-8aeb-43ac883d4279;;111111118;Vodacom Life 20260324;;;;;CBACK;1;2026-04-02 11:46:00+02;Thandile Nokubeni;2026-03-24 09:54:08+02;2026-03-24 09:54:08+02;;;;;;;;;27769766355;;;;;;;;prepaid life;;;;;</t>
  </si>
  <si>
    <t>ID_3340</t>
  </si>
  <si>
    <t>13864513;d587c962-423b-441c-9120-f77c5d6c9411;;111111118;Vodacom Life 20260324;;;;;CU;5;2026-05-25 1</t>
  </si>
  <si>
    <t>13864513;d587c962-423b-441c-9120-f77c5d6c9411;;111111118;Vodacom Life 20260324;;;;;CU;5;2026-05-25 11:18:09+02;Maureen Ntsoko;2026-03-24 09:54:08+02;2026-03-24 09:54:08+02;;;;;;;;;27825657284;;;;;;;;prepaid life;;;;;</t>
  </si>
  <si>
    <t>ID_3341</t>
  </si>
  <si>
    <t>13864582;d3c2e33c-ca83-453b-84b5-c140edc61cf6;;111111118;Vodacom Life 20260324;;;;;SELECTED;3;2026-0</t>
  </si>
  <si>
    <t>13864582;d3c2e33c-ca83-453b-84b5-c140edc61cf6;;111111118;Vodacom Life 20260324;;;;;SELECTED;3;2026-04-09 11:00:07+02;system;2026-03-24 09:54:08+02;2026-03-24 09:54:08+02;;;;;;;;;27712115811;;;;;;;;prepaid life;;;;;</t>
  </si>
  <si>
    <t>ID_3342</t>
  </si>
  <si>
    <t>13864514;851f3677-55fa-4cbb-8b0c-2662511baba0;;111111118;Vodacom Life 20260324;;;;;NA;5;2026-05-25 1</t>
  </si>
  <si>
    <t>13864514;851f3677-55fa-4cbb-8b0c-2662511baba0;;111111118;Vodacom Life 20260324;;;;;NA;5;2026-05-25 11:18:40+02;system;2026-03-24 09:54:08+02;2026-03-24 09:54:08+02;;;;;;;;;27825876541;;;;;;;;prepaid life;;;;;</t>
  </si>
  <si>
    <t>ID_3343</t>
  </si>
  <si>
    <t>13864423;674004d5-92cf-4b4a-9b01-377f626d4ee2;;111111118;Vodacom Life 20260324;;;27769778727;;AA;5;2</t>
  </si>
  <si>
    <t>13864423;674004d5-92cf-4b4a-9b01-377f626d4ee2;;111111118;Vodacom Life 20260324;;;27769778727;;AA;5;2026-05-22 13:55:28+02;system;2026-03-24 09:54:08+02;2026-03-24 09:54:08+02;;;;;;;;;27769778727;;;;;;;;prepaid life;;;;;</t>
  </si>
  <si>
    <t>ID_3344</t>
  </si>
  <si>
    <t>13864583;3844092e-f17e-40a1-be5d-9f7534145088;;111111118;Vodacom Life 20260324;;;;;AA;5;2026-05-22 1</t>
  </si>
  <si>
    <t>13864583;3844092e-f17e-40a1-be5d-9f7534145088;;111111118;Vodacom Life 20260324;;;;;AA;5;2026-05-22 13:20:30+02;system;2026-03-24 09:54:08+02;2026-03-24 09:54:08+02;;;;;;;;;27712221115;;;;;;;;prepaid life;;;;;</t>
  </si>
  <si>
    <t>ID_3345</t>
  </si>
  <si>
    <t>13864424;549aa011-06c1-4090-8f40-94527e7a7998;;111111118;Vodacom Life 20260324;;;;;DROP;5;2026-05-25</t>
  </si>
  <si>
    <t>13864424;549aa011-06c1-4090-8f40-94527e7a7998;;111111118;Vodacom Life 20260324;;;;;DROP;5;2026-05-25 08:57:26+02;system;2026-03-24 09:54:08+02;2026-03-24 09:54:08+02;;;;;;;;;27769948814;;;;;;;;prepaid life;;;;;</t>
  </si>
  <si>
    <t>ID_3346</t>
  </si>
  <si>
    <t>13864515;08d20bcf-bbd4-431f-ab0f-b3263c406d5b;;111111118;Vodacom Life 20260324;;;27825966297;;CBACK;</t>
  </si>
  <si>
    <t>13864515;08d20bcf-bbd4-431f-ab0f-b3263c406d5b;;111111118;Vodacom Life 20260324;;;27825966297;;CBACK;5;2026-05-22 13:28:46+02;bongiwe lushaba;2026-03-24 09:54:08+02;2026-03-24 09:54:08+02;;;;;;;;;27825966297;;;;;;;;prepaid life;;;;;</t>
  </si>
  <si>
    <t>ID_3347</t>
  </si>
  <si>
    <t>13864584;19f3c550-0d8a-4e04-9097-dcf5d2bcc384;;111111118;Vodacom Life 20260324;;;;;AA;5;2026-05-22 1</t>
  </si>
  <si>
    <t>13864584;19f3c550-0d8a-4e04-9097-dcf5d2bcc384;;111111118;Vodacom Life 20260324;;;;;AA;5;2026-05-22 13:20:30+02;system;2026-03-24 09:54:08+02;2026-03-24 09:54:08+02;;;;;;;;;27712302332;;;;;;;;prepaid life;;;;;</t>
  </si>
  <si>
    <t>ID_3348</t>
  </si>
  <si>
    <t xml:space="preserve">13864516;90d9bac3-2d32-4156-b359-b43c6be1a9e4;;111111118;Vodacom Life 20260324;;;;;TDN;5;2026-05-22 </t>
  </si>
  <si>
    <t>13864516;90d9bac3-2d32-4156-b359-b43c6be1a9e4;;111111118;Vodacom Life 20260324;;;;;TDN;5;2026-05-22 13:28:46+02;system;2026-03-24 09:54:08+02;2026-03-24 09:54:08+02;;;;;;;;;27826752042;;;;;;;;prepaid life;;;;;</t>
  </si>
  <si>
    <t>ID_3349</t>
  </si>
  <si>
    <t>13864425;740a8caf-3514-4f0d-973b-ff9c6baa0a0a;;111111118;Vodacom Life 20260324;;;;;CU;5;2026-05-25 0</t>
  </si>
  <si>
    <t>13864425;740a8caf-3514-4f0d-973b-ff9c6baa0a0a;;111111118;Vodacom Life 20260324;;;;;CU;5;2026-05-25 08:57:30+02;Khensane Mabasa;2026-03-24 09:54:08+02;2026-03-24 09:54:08+02;;;;;;;;;27773864283;;;;;;;;prepaid life;;;;;</t>
  </si>
  <si>
    <t>ID_3350</t>
  </si>
  <si>
    <t>13864585;5f24555b-9764-4831-9c1a-0a402567ae13;;111111118;Vodacom Life 20260324;;;;;AA;5;2026-05-22 1</t>
  </si>
  <si>
    <t>13864585;5f24555b-9764-4831-9c1a-0a402567ae13;;111111118;Vodacom Life 20260324;;;;;AA;5;2026-05-22 13:19:54+02;system;2026-03-24 09:54:08+02;2026-03-24 09:54:08+02;;;;;;;;;27712457000;;;;;;;;prepaid life;;;;;</t>
  </si>
  <si>
    <t>ID_3351</t>
  </si>
  <si>
    <t>13864426;f6ef49aa-62ef-4f9c-9b4b-e8d2cfdb18a5;;111111118;Vodacom Life 20260324;;;27790309031;;A;5;20</t>
  </si>
  <si>
    <t>13864426;f6ef49aa-62ef-4f9c-9b4b-e8d2cfdb18a5;;111111118;Vodacom Life 20260324;;;27790309031;;A;5;2026-05-22 13:53:31+02;bongiwe lushaba;2026-03-24 09:54:08+02;2026-03-24 09:54:08+02;;;;;;;;;27790309031;;;;;;;;prepaid life;;;;;</t>
  </si>
  <si>
    <t>ID_3352</t>
  </si>
  <si>
    <t>13864517;25f0689e-02a1-43e4-8004-08258011cb49;;111111118;Vodacom Life 20260324;;;27827209896;;DROP;5</t>
  </si>
  <si>
    <t>13864517;25f0689e-02a1-43e4-8004-08258011cb49;;111111118;Vodacom Life 20260324;;;27827209896;;DROP;5;2026-05-22 13:28:46+02;system;2026-03-24 09:54:08+02;2026-03-24 09:54:08+02;;;;;;;;;27827209896;;;;;;;;prepaid life;;;;;</t>
  </si>
  <si>
    <t>ID_3353</t>
  </si>
  <si>
    <t>13864586;31dbd712-a1a6-4d91-92fc-44da3d319fd0;;111111118;Vodacom Life 20260324;;;;;NI;3;2026-04-14 1</t>
  </si>
  <si>
    <t>13864586;31dbd712-a1a6-4d91-92fc-44da3d319fd0;;111111118;Vodacom Life 20260324;;;;;NI;3;2026-04-14 15:48:51+02;Thandile Nokubeni;2026-03-24 09:54:08+02;2026-03-24 09:54:08+02;;;;;;;;;27712694771;;;;;;;;prepaid life;;;;;</t>
  </si>
  <si>
    <t>ID_3354</t>
  </si>
  <si>
    <t>13864518;78a8c092-a098-4e74-9a91-3c13cd28006b;;111111118;Vodacom Life 20260324;;;;;AE;5;2026-05-22 1</t>
  </si>
  <si>
    <t>13864518;78a8c092-a098-4e74-9a91-3c13cd28006b;;111111118;Vodacom Life 20260324;;;;;AE;5;2026-05-22 13:28:50+02;system;2026-03-24 09:54:08+02;2026-03-24 09:54:08+02;;;;;;;;;27827952399;;;;;;;;prepaid life;;;;;</t>
  </si>
  <si>
    <t>ID_3355</t>
  </si>
  <si>
    <t>13864427;85019aae-2ad0-40f9-afc6-25535131e2a9;;111111118;Vodacom Life 20260324;;;;;DNQS;2;2026-04-09</t>
  </si>
  <si>
    <t>13864427;85019aae-2ad0-40f9-afc6-25535131e2a9;;111111118;Vodacom Life 20260324;;;;;DNQS;2;2026-04-09 11:11:38+02;Seboifeng Mogola;2026-03-24 09:54:08+02;2026-03-24 09:54:08+02;;;;;;;;;27790535270;;;;;;;;prepaid life;;;;;</t>
  </si>
  <si>
    <t>ID_3356</t>
  </si>
  <si>
    <t>13864428;2c3fa233-4fd7-4086-a33d-2585fa0ed05e;;111111118;Vodacom Life 20260324;;;;;NI;1;2026-04-01 1</t>
  </si>
  <si>
    <t>13864428;2c3fa233-4fd7-4086-a33d-2585fa0ed05e;;111111118;Vodacom Life 20260324;;;;;NI;1;2026-04-01 11:50:32+02;Musiiwa Mary Mabirimisa;2026-03-24 09:54:08+02;2026-03-24 09:54:08+02;;;;;;;;;27790622121;;;;;;;;prepaid life;;;;;</t>
  </si>
  <si>
    <t>ID_3357</t>
  </si>
  <si>
    <t>13864587;d7f12493-cd3c-46e2-bef3-da02e7320e4b;;111111118;Vodacom Life 20260324;;;;;A;5;2026-05-22 13</t>
  </si>
  <si>
    <t>13864587;d7f12493-cd3c-46e2-bef3-da02e7320e4b;;111111118;Vodacom Life 20260324;;;;;A;5;2026-05-22 13:20:30+02;bongiwe lushaba;2026-03-24 09:54:08+02;2026-03-24 09:54:08+02;;;;;;;;;27713472796;;;;;;;;prepaid life;;;;;</t>
  </si>
  <si>
    <t>ID_3358</t>
  </si>
  <si>
    <t>13864429;eeb04c13-c932-400e-ba94-b9fee853b1b6;;111111118;Vodacom Life 20260324;;;;;DROP;5;2026-05-22</t>
  </si>
  <si>
    <t>13864429;eeb04c13-c932-400e-ba94-b9fee853b1b6;;111111118;Vodacom Life 20260324;;;;;DROP;5;2026-05-22 13:53:31+02;system;2026-03-24 09:54:08+02;2026-03-24 09:54:08+02;;;;;;;;;27790792273;;;;;;;;prepaid life;;;;;</t>
  </si>
  <si>
    <t>ID_3359</t>
  </si>
  <si>
    <t>13864588;304478c4-71ef-4132-a26a-6bd4d86a6d8e;;111111118;Vodacom Life 20260324;;;;;AF;3;2026-04-14 1</t>
  </si>
  <si>
    <t>13864588;304478c4-71ef-4132-a26a-6bd4d86a6d8e;;111111118;Vodacom Life 20260324;;;;;AF;3;2026-04-14 14:36:39+02;Thandile Nokubeni;2026-03-24 09:54:08+02;2026-03-24 09:54:08+02;;;;;;;;;27713491531;;;;;;;;prepaid life;;;;;</t>
  </si>
  <si>
    <t>ID_3360</t>
  </si>
  <si>
    <t>13864430;cd33ffd3-acc0-47b6-8980-1f212dc752cb;;111111118;Vodacom Life 20260324;;;;;NA;5;2026-05-22 1</t>
  </si>
  <si>
    <t>13864430;cd33ffd3-acc0-47b6-8980-1f212dc752cb;;111111118;Vodacom Life 20260324;;;;;NA;5;2026-05-22 13:53:31+02;system;2026-03-24 09:54:08+02;2026-03-24 09:54:08+02;;;;;;;;;27790829681;;;;;;;;prepaid life;;;;;</t>
  </si>
  <si>
    <t>ID_3361</t>
  </si>
  <si>
    <t>13864519;48a9c634-38bd-478a-8747-0ae6bf65c486;;111111118;Vodacom Life 20260324;;;;;AE;5;2026-05-25 1</t>
  </si>
  <si>
    <t>13864519;48a9c634-38bd-478a-8747-0ae6bf65c486;;111111118;Vodacom Life 20260324;;;;;AE;5;2026-05-25 14:36:05+02;system;2026-03-24 09:54:08+02;2026-03-24 09:54:08+02;;;;;;;;;27827957571;;;;;;;;prepaid life;;;;;</t>
  </si>
  <si>
    <t>ID_3362</t>
  </si>
  <si>
    <t>13864520;79753494-562e-41c9-95a5-20a2860a99e5;;111111118;Vodacom Life 20260324;;;;;SELECTED;1;;;2026</t>
  </si>
  <si>
    <t>13864520;79753494-562e-41c9-95a5-20a2860a99e5;;111111118;Vodacom Life 20260324;;;;;SELECTED;1;;;2026-03-24 09:54:08+02;2026-03-24 09:54:08+02;;;;;;;;;27828307322;;;;;;;;prepaid life;;;;;</t>
  </si>
  <si>
    <t>ID_3363</t>
  </si>
  <si>
    <t>13864589;ec0bb5f0-3879-4bbe-8aeb-d64b7f0a1b0d;;111111118;Vodacom Life 20260324;;;;;NA;5;2026-05-25 1</t>
  </si>
  <si>
    <t>13864589;ec0bb5f0-3879-4bbe-8aeb-d64b7f0a1b0d;;111111118;Vodacom Life 20260324;;;;;NA;5;2026-05-25 11:20:32+02;system;2026-03-24 09:54:08+02;2026-03-24 09:54:08+02;;;;;;;;;27713590585;;;;;;;;prepaid life;;;;;</t>
  </si>
  <si>
    <t>ID_3364</t>
  </si>
  <si>
    <t>13864521;0b39f187-9a65-4436-ac88-49e297c0bbce;;111111118;Vodacom Life 20260324;;;;;AE;5;2026-05-25 1</t>
  </si>
  <si>
    <t>13864521;0b39f187-9a65-4436-ac88-49e297c0bbce;;111111118;Vodacom Life 20260324;;;;;AE;5;2026-05-25 11:45:11+02;system;2026-03-24 09:54:08+02;2026-03-24 09:54:08+02;;;;;;;;;27829547977;;;;;;;;prepaid life;;;;;</t>
  </si>
  <si>
    <t>ID_3365</t>
  </si>
  <si>
    <t>13864431;9159ba3f-54f2-46ff-be22-f810b9e070da;;111111118;Vodacom Life 20260324;;;;;DROP;5;2026-05-22</t>
  </si>
  <si>
    <t>13864431;9159ba3f-54f2-46ff-be22-f810b9e070da;;111111118;Vodacom Life 20260324;;;;;DROP;5;2026-05-22 13:53:31+02;system;2026-03-24 09:54:08+02;2026-03-24 09:54:08+02;;;;;;;;;27790959795;;;;;;;;prepaid life;;;;;</t>
  </si>
  <si>
    <t>ID_3366</t>
  </si>
  <si>
    <t>13864590;c6d4beb5-69f4-4528-b7db-f50b13aedcf1;;111111118;Vodacom Life 20260324;;;;;CU;5;2026-05-25 1</t>
  </si>
  <si>
    <t>13864590;c6d4beb5-69f4-4528-b7db-f50b13aedcf1;;111111118;Vodacom Life 20260324;;;;;CU;5;2026-05-25 11:20:37+02;Maureen Ntsoko;2026-03-24 09:54:08+02;2026-03-24 09:54:08+02;;;;;;;;;27713592694;;;;;;;;prepaid life;;;;;</t>
  </si>
  <si>
    <t>ID_3367</t>
  </si>
  <si>
    <t>13864432;14def636-894a-4f72-b707-71371bc8de14;;111111118;Vodacom Life 20260324;;;;;CU;5;2026-05-25 0</t>
  </si>
  <si>
    <t>13864432;14def636-894a-4f72-b707-71371bc8de14;;111111118;Vodacom Life 20260324;;;;;CU;5;2026-05-25 08:58:23+02;Maureen Ntsoko;2026-03-24 09:54:08+02;2026-03-24 09:54:08+02;;;;;;;;;27791026571;;;;;;;;prepaid life;;;;;</t>
  </si>
  <si>
    <t>ID_3368</t>
  </si>
  <si>
    <t>13864522;bfa5c7ca-81f5-46a3-9aa8-27e16f691322;;111111118;Vodacom Life 20260324;;;;;DROP;5;2026-05-22</t>
  </si>
  <si>
    <t>13864522;bfa5c7ca-81f5-46a3-9aa8-27e16f691322;;111111118;Vodacom Life 20260324;;;;;DROP;5;2026-05-22 13:27:04+02;system;2026-03-24 09:54:08+02;2026-03-24 09:54:08+02;;;;;;;;;27832300717;;;;;;;;prepaid life;;;;;</t>
  </si>
  <si>
    <t>ID_3369</t>
  </si>
  <si>
    <t xml:space="preserve">13864591;2de7b7a2-0b3b-4da1-a293-b7a171277523;;111111118;Vodacom Life 20260324;;;;;ADC;5;2026-05-25 </t>
  </si>
  <si>
    <t>13864591;2de7b7a2-0b3b-4da1-a293-b7a171277523;;111111118;Vodacom Life 20260324;;;;;ADC;5;2026-05-25 11:20:38+02;system;2026-03-24 09:54:08+02;2026-03-24 09:54:08+02;;;;;;;;;27713728895;;;;;;;;prepaid life;;;;;</t>
  </si>
  <si>
    <t>ID_3370</t>
  </si>
  <si>
    <t>13864523;84f6500a-aa82-4d86-b317-86f50b27dd83;;111111118;Vodacom Life 20260324;;;;;CBACK;3;2026-04-1</t>
  </si>
  <si>
    <t>13864523;84f6500a-aa82-4d86-b317-86f50b27dd83;;111111118;Vodacom Life 20260324;;;;;CBACK;3;2026-04-14 14:44:52+02;bongiwe lushaba;2026-03-24 09:54:08+02;2026-03-24 09:54:08+02;;;;;;;;;27832409419;;;;;;;;prepaid life;;;;;</t>
  </si>
  <si>
    <t>ID_3371</t>
  </si>
  <si>
    <t>13864433;9954bd63-7bfe-4677-80f0-b9674e284009;;111111118;Vodacom Life 20260324;;;;;DROP;5;2026-05-25</t>
  </si>
  <si>
    <t>13864433;9954bd63-7bfe-4677-80f0-b9674e284009;;111111118;Vodacom Life 20260324;;;;;DROP;5;2026-05-25 08:58:24+02;system;2026-03-24 09:54:08+02;2026-03-24 09:54:08+02;;;;;;;;;27791072635;;;;;;;;prepaid life;;;;;</t>
  </si>
  <si>
    <t>ID_3372</t>
  </si>
  <si>
    <t>13864592;35521e7a-95fb-44cb-9b89-cdb2379fae31;;111111118;Vodacom Life 20260324;;;;;AA;5;2026-05-25 1</t>
  </si>
  <si>
    <t>13864592;35521e7a-95fb-44cb-9b89-cdb2379fae31;;111111118;Vodacom Life 20260324;;;;;AA;5;2026-05-25 11:20:45+02;system;2026-03-24 09:54:08+02;2026-03-24 09:54:08+02;;;;;;;;;27714096061;;;;;;;;prepaid life;;;;;</t>
  </si>
  <si>
    <t>ID_3373</t>
  </si>
  <si>
    <t>13864434;d2be3d30-e73b-48a1-9640-20dbe8162e77;;111111118;Vodacom Life 20260324;;;;;AA;5;2026-05-25 0</t>
  </si>
  <si>
    <t>13864434;d2be3d30-e73b-48a1-9640-20dbe8162e77;;111111118;Vodacom Life 20260324;;;;;AA;5;2026-05-25 09:04:56+02;system;2026-03-24 09:54:08+02;2026-03-24 09:54:08+02;;;;;;;;;27791125505;;;;;;;;prepaid life;;;;;</t>
  </si>
  <si>
    <t>ID_3374</t>
  </si>
  <si>
    <t>13864524;044d01bc-aa4b-4359-9d53-aede6498eaf2;;111111118;Vodacom Life 20260324;;;27834765432;;NA;5;2</t>
  </si>
  <si>
    <t>13864524;044d01bc-aa4b-4359-9d53-aede6498eaf2;;111111118;Vodacom Life 20260324;;;27834765432;;NA;5;2026-05-22 13:27:04+02;system;2026-03-24 09:54:08+02;2026-03-24 09:54:08+02;;;;;;;;;27834765432;;;;;;;;prepaid life;;;;;</t>
  </si>
  <si>
    <t>ID_3375</t>
  </si>
  <si>
    <t>13864525;46f47368-6e06-4d4a-98e2-e33f1cc50cc3;;111111118;Vodacom Life 20260324;;;;;AA;5;2026-05-22 1</t>
  </si>
  <si>
    <t>13864525;46f47368-6e06-4d4a-98e2-e33f1cc50cc3;;111111118;Vodacom Life 20260324;;;;;AA;5;2026-05-22 13:27:04+02;system;2026-03-24 09:54:08+02;2026-03-24 09:54:08+02;;;;;;;;;27837147152;;;;;;;;prepaid life;;;;;</t>
  </si>
  <si>
    <t>ID_3376</t>
  </si>
  <si>
    <t xml:space="preserve">13864593;6aba9933-d57b-4213-b0c4-29c1c2ea520b;;111111118;Vodacom Life 20260324;;;;;CQN;2;2026-04-09 </t>
  </si>
  <si>
    <t>13864593;6aba9933-d57b-4213-b0c4-29c1c2ea520b;;111111118;Vodacom Life 20260324;;;;;CQN;2;2026-04-09 10:59:19+02;Thandile Nokubeni;2026-03-24 09:54:08+02;2026-03-24 09:54:08+02;;;;;;;;;27714462834;;;;;;;;prepaid life;;;;;</t>
  </si>
  <si>
    <t>ID_3377</t>
  </si>
  <si>
    <t>13864526;c954249c-28a9-4ca1-bf34-171568f6d201;;111111118;Vodacom Life 20260324;;;;;NA;5;2026-05-22 1</t>
  </si>
  <si>
    <t>13864526;c954249c-28a9-4ca1-bf34-171568f6d201;;111111118;Vodacom Life 20260324;;;;;NA;5;2026-05-22 13:27:21+02;system;2026-03-24 09:54:08+02;2026-03-24 09:54:08+02;;;;;;;;;27839575006;;;;;;;;prepaid life;;;;;</t>
  </si>
  <si>
    <t>ID_3378</t>
  </si>
  <si>
    <t>13864435;83e257fd-d83e-4051-9740-b68a1e9ac214;;111111118;Vodacom Life 20260324;;;;;DROP;5;2026-05-25</t>
  </si>
  <si>
    <t>13864435;83e257fd-d83e-4051-9740-b68a1e9ac214;;111111118;Vodacom Life 20260324;;;;;DROP;5;2026-05-25 09:11:06+02;system;2026-03-24 09:54:08+02;2026-03-24 09:54:08+02;;;;;;;;;27791435856;;;;;;;;prepaid life;;;;;</t>
  </si>
  <si>
    <t>ID_3379</t>
  </si>
  <si>
    <t>13864594;f55c38d6-5edb-40a1-bb01-48904b3ca686;;111111118;Vodacom Life 20260324;;;;;AA;5;2026-05-25 1</t>
  </si>
  <si>
    <t>13864594;f55c38d6-5edb-40a1-bb01-48904b3ca686;;111111118;Vodacom Life 20260324;;;;;AA;5;2026-05-25 11:20:47+02;system;2026-03-24 09:54:08+02;2026-03-24 09:54:08+02;;;;;;;;;27714502038;;;;;;;;prepaid life;;;;;</t>
  </si>
  <si>
    <t>ID_3380</t>
  </si>
  <si>
    <t>13864527;6122d804-0b3d-4ea9-b2aa-bae56f77296d;;111111118;Vodacom Life 20260324;;;;;CBACK;6;2026-05-2</t>
  </si>
  <si>
    <t>13864527;6122d804-0b3d-4ea9-b2aa-bae56f77296d;;111111118;Vodacom Life 20260324;;;;;CBACK;6;2026-05-26 12:13:04+02;Khensane Mabasa;2026-03-24 09:54:08+02;2026-03-24 09:54:08+02;;;;;;;;;27839639345;;;;;;;;prepaid life;;;;;</t>
  </si>
  <si>
    <t>ID_3381</t>
  </si>
  <si>
    <t>13864595;87b49bf4-e277-4ebc-aa37-4ce31c2bbb63;;111111118;Vodacom Life 20260324;;;;;A;6;2026-04-15 11</t>
  </si>
  <si>
    <t>13864595;87b49bf4-e277-4ebc-aa37-4ce31c2bbb63;;111111118;Vodacom Life 20260324;;;;;A;6;2026-04-15 11:56:30+02;Seboifeng Mogola;2026-03-24 09:54:08+02;2026-03-24 09:54:08+02;;;;;;;;;27714807439;;;;;;;;prepaid life;;;;;</t>
  </si>
  <si>
    <t>ID_3382</t>
  </si>
  <si>
    <t>13864528;af0f103c-4b1f-42ef-972f-06068157ef58;;111111118;Vodacom Life 20260324;;;;;AF;3;2026-04-14 1</t>
  </si>
  <si>
    <t>13864528;af0f103c-4b1f-42ef-972f-06068157ef58;;111111118;Vodacom Life 20260324;;;;;AF;3;2026-04-14 16:06:18+02;Seboifeng Mogola;2026-03-24 09:54:08+02;2026-03-24 09:54:08+02;;;;;;;;;27606248380;;;;;;;;prepaid life;;;;;</t>
  </si>
  <si>
    <t>ID_3383</t>
  </si>
  <si>
    <t>13864437;8364891e-c638-44b0-9fc3-d0566c8e2c87;;111111118;Vodacom Life 20260324;;;;;DROP;5;2026-05-25</t>
  </si>
  <si>
    <t>13864437;8364891e-c638-44b0-9fc3-d0566c8e2c87;;111111118;Vodacom Life 20260324;;;;;DROP;5;2026-05-25 14:09:08+02;system;2026-03-24 09:54:08+02;2026-03-24 09:54:08+02;;;;;;;;;27791544016;;;;;;;;prepaid life;;;;;</t>
  </si>
  <si>
    <t>ID_3384</t>
  </si>
  <si>
    <t>13864596;b8333332-ff36-45cd-b596-13baa170debf;;111111118;Vodacom Life 20260324;;;;;AA;5;2026-05-25 1</t>
  </si>
  <si>
    <t>13864596;b8333332-ff36-45cd-b596-13baa170debf;;111111118;Vodacom Life 20260324;;;;;AA;5;2026-05-25 11:21:16+02;system;2026-03-24 09:54:08+02;2026-03-24 09:54:08+02;;;;;;;;;27714933174;;;;;;;;prepaid life;;;;;</t>
  </si>
  <si>
    <t>ID_3385</t>
  </si>
  <si>
    <t>13864438;b750cd56-4917-4bac-bc6e-2f9db1fc45d2;;111111118;Vodacom Life 20260324;;;;;AE;5;2026-05-25 1</t>
  </si>
  <si>
    <t>13864438;b750cd56-4917-4bac-bc6e-2f9db1fc45d2;;111111118;Vodacom Life 20260324;;;;;AE;5;2026-05-25 11:15:07+02;system;2026-03-24 09:54:08+02;2026-03-24 09:54:08+02;;;;;;;;;27791659627;;;;;;;;prepaid life;;;;;</t>
  </si>
  <si>
    <t>ID_3386</t>
  </si>
  <si>
    <t>13864529;172a63c8-9f02-4527-974e-491f43ea555a;;111111118;Vodacom Life 20260324;;;;;U;3;2026-05-07 11</t>
  </si>
  <si>
    <t>13864529;172a63c8-9f02-4527-974e-491f43ea555a;;111111118;Vodacom Life 20260324;;;;;U;3;2026-05-07 11:45:46+02;Esther Ramalete;2026-03-24 09:54:08+02;2026-03-24 09:54:08+02;;;;;;;;;27606992586;;;;;;;;prepaid life;;;;;</t>
  </si>
  <si>
    <t>ID_3387</t>
  </si>
  <si>
    <t>13864597;5f75b979-76b9-4fc7-a943-da6cd5634f4a;;111111118;Vodacom Life 20260324;;;;;AA;5;2026-05-25 1</t>
  </si>
  <si>
    <t>13864597;5f75b979-76b9-4fc7-a943-da6cd5634f4a;;111111118;Vodacom Life 20260324;;;;;AA;5;2026-05-25 12:41:53+02;system;2026-03-24 09:54:08+02;2026-03-24 09:54:08+02;;;;;;;;;27714953704;;;;;;;;prepaid life;;;;;</t>
  </si>
  <si>
    <t>ID_3388</t>
  </si>
  <si>
    <t>13864530;1a2e9db9-be7a-42b8-b662-8a1fc1a157ca;;111111118;Vodacom Life 20260324;;;;;DNQS;4;2026-05-20</t>
  </si>
  <si>
    <t>13864530;1a2e9db9-be7a-42b8-b662-8a1fc1a157ca;;111111118;Vodacom Life 20260324;;;;;DNQS;4;2026-05-20 11:04:25+02;Khensane Mabasa;2026-03-24 09:54:08+02;2026-03-24 09:54:08+02;;;;;;;;;27607021516;;;;;;;;prepaid life;;;;;</t>
  </si>
  <si>
    <t>ID_3389</t>
  </si>
  <si>
    <t>13864633;cd71b755-87ae-43ff-9308-8b52a0ff2a98;;111111118;Vodacom Life 20260324;;;;;AE;5;2026-05-22 1</t>
  </si>
  <si>
    <t>13864633;cd71b755-87ae-43ff-9308-8b52a0ff2a98;;111111118;Vodacom Life 20260324;;;;;AE;5;2026-05-22 13:19:10+02;system;2026-03-24 09:54:08+02;2026-03-24 09:54:08+02;;;;;;;;;27723628807;;;;;;;;prepaid life;;;;;</t>
  </si>
  <si>
    <t>ID_3390</t>
  </si>
  <si>
    <t>13864598;7a9a2488-cc3b-4050-bc4c-5595a67cd49d;;111111118;Vodacom Life 20260324;;;;;AA;5;2026-05-25 1</t>
  </si>
  <si>
    <t>13864598;7a9a2488-cc3b-4050-bc4c-5595a67cd49d;;111111118;Vodacom Life 20260324;;;;;AA;5;2026-05-25 11:55:17+02;system;2026-03-24 09:54:08+02;2026-03-24 09:54:08+02;;;;;;;;;27715002516;;;;;;;;prepaid life;;;;;</t>
  </si>
  <si>
    <t>ID_3391</t>
  </si>
  <si>
    <t>13864531;59c1d049-b22c-4962-8c42-1ddf7d4891cc;;111111118;Vodacom Life 20260324;;;27607093502;;CB;7;2</t>
  </si>
  <si>
    <t>13864531;59c1d049-b22c-4962-8c42-1ddf7d4891cc;;111111118;Vodacom Life 20260324;;;27607093502;;CB;7;2026-05-25 15:46:29+02;Khensane Mabasa;2026-03-24 09:54:08+02;2026-03-24 09:54:08+02;;;;;;;;;27607093502;;;;;;;;prepaid life;;;;;</t>
  </si>
  <si>
    <t>ID_3392</t>
  </si>
  <si>
    <t>13864599;0474ef78-acc0-447b-8b6f-cb5f22ec17ec;;111111118;Vodacom Life 20260324;;;27715090734;;AE;5;2</t>
  </si>
  <si>
    <t>13864599;0474ef78-acc0-447b-8b6f-cb5f22ec17ec;;111111118;Vodacom Life 20260324;;;27715090734;;AE;5;2026-05-25 14:06:28+02;system;2026-03-24 09:54:08+02;2026-03-24 09:54:08+02;;;;;;;;;27715090734;;;;;;;;prepaid life;;;;;</t>
  </si>
  <si>
    <t>ID_3393</t>
  </si>
  <si>
    <t>13864532;5988114e-18ca-4dc2-9e8d-c93f0b6524fe;;111111118;Vodacom Life 20260324;;;27607899680;;IABDN;</t>
  </si>
  <si>
    <t>13864532;5988114e-18ca-4dc2-9e8d-c93f0b6524fe;;111111118;Vodacom Life 20260324;;;27607899680;;IABDN;5;2026-05-22 13:26:07+02;system;2026-03-24 09:54:08+02;2026-03-24 09:54:08+02;;;;;;;;;27607899680;;;;;;;;prepaid life;;;;;</t>
  </si>
  <si>
    <t>ID_3394</t>
  </si>
  <si>
    <t>13864634;38b43e35-ed68-42fb-bc55-7f6adf5d1c9f;;111111118;Vodacom Life 20260324;;;;;NI;2;2026-04-09 1</t>
  </si>
  <si>
    <t>13864634;38b43e35-ed68-42fb-bc55-7f6adf5d1c9f;;111111118;Vodacom Life 20260324;;;;;NI;2;2026-04-09 10:57:19+02;Thandile Nokubeni;2026-03-24 09:54:08+02;2026-03-24 09:54:08+02;;;;;;;;;27723774609;;;;;;;;prepaid life;;;;;</t>
  </si>
  <si>
    <t>ID_3395</t>
  </si>
  <si>
    <t>13864600;71bac507-367b-4ab7-8863-b38f9b5870c4;;111111118;Vodacom Life 20260324;;;;;CBACK;5;2026-05-2</t>
  </si>
  <si>
    <t>13864600;71bac507-367b-4ab7-8863-b38f9b5870c4;;111111118;Vodacom Life 20260324;;;;;CBACK;5;2026-05-25 11:55:20+02;Khensane Mabasa;2026-03-24 09:54:08+02;2026-03-24 09:54:08+02;;;;;;;;;27715422745;;;;;;;;prepaid life;;;;;</t>
  </si>
  <si>
    <t>ID_3396</t>
  </si>
  <si>
    <t xml:space="preserve">13864635;8c982de4-0697-4e2b-89fd-49f9acb95d77;;111111118;Vodacom Life 20260324;;;;;OAL;1;2026-03-30 </t>
  </si>
  <si>
    <t>13864635;8c982de4-0697-4e2b-89fd-49f9acb95d77;;111111118;Vodacom Life 20260324;;;;;OAL;1;2026-03-30 11:41:56+02;Millicent Motsuku;2026-03-24 09:54:08+02;2026-03-24 09:54:08+02;;;;;;;;;27723987416;;;;;;;;prepaid life;;;;;</t>
  </si>
  <si>
    <t>ID_3397</t>
  </si>
  <si>
    <t>13864601;db03998b-74cd-495f-9a11-240870ea7cb0;;111111118;Vodacom Life 20260324;;;27715610543;;AA;5;2</t>
  </si>
  <si>
    <t>13864601;db03998b-74cd-495f-9a11-240870ea7cb0;;111111118;Vodacom Life 20260324;;;27715610543;;AA;5;2026-05-25 11:55:23+02;system;2026-03-24 09:54:08+02;2026-03-24 09:54:08+02;;;;;;;;;27715610543;;;;;;;;prepaid life;;;;;</t>
  </si>
  <si>
    <t>ID_3398</t>
  </si>
  <si>
    <t>13864533;26ab8b74-2a9e-46c4-aaa1-d414c21f9bca;;111111118;Vodacom Life 20260324;;;;;NA;5;2026-05-22 1</t>
  </si>
  <si>
    <t>13864533;26ab8b74-2a9e-46c4-aaa1-d414c21f9bca;;111111118;Vodacom Life 20260324;;;;;NA;5;2026-05-22 13:25:41+02;system;2026-03-24 09:54:08+02;2026-03-24 09:54:08+02;;;;;;;;;27608207244;;;;;;;;prepaid life;;;;;</t>
  </si>
  <si>
    <t>ID_3399</t>
  </si>
  <si>
    <t>13864602;d940e88e-6203-42d6-b8ec-e1327b098dbe;;111111118;Vodacom Life 20260324;;;;;SELECTED;5;2026-0</t>
  </si>
  <si>
    <t>13864602;d940e88e-6203-42d6-b8ec-e1327b098dbe;;111111118;Vodacom Life 20260324;;;;;SELECTED;5;2026-05-07 15:01:07+02;system;2026-03-24 09:54:08+02;2026-03-24 09:54:08+02;;;;;;;;;27715680382;;;;;;;;prepaid life;;;;;</t>
  </si>
  <si>
    <t>ID_3400</t>
  </si>
  <si>
    <t>13864534;547d3a08-92db-4e95-9044-bc3984084a46;;111111118;Vodacom Life 20260324;;;;;DNCLIFE;1;2026-03</t>
  </si>
  <si>
    <t>13864534;547d3a08-92db-4e95-9044-bc3984084a46;;111111118;Vodacom Life 20260324;;;;;DNCLIFE;1;2026-03-30 11:34:56+02;Musiiwa Mary Mabirimisa;2026-03-24 09:54:08+02;2026-03-24 09:54:08+02;;;;;;;;;27609249797;;;;;;;;prepaid life;;;;;</t>
  </si>
  <si>
    <t>ID_3401</t>
  </si>
  <si>
    <t>13864636;6100cf1c-70f0-4346-87df-41054a195313;;111111118;Vodacom Life 20260324;;;;;NA;5;2026-05-25 1</t>
  </si>
  <si>
    <t>13864636;6100cf1c-70f0-4346-87df-41054a195313;;111111118;Vodacom Life 20260324;;;;;NA;5;2026-05-25 10:45:00+02;system;2026-03-24 09:54:08+02;2026-03-24 09:54:08+02;;;;;;;;;27724092280;;;;;;;;prepaid life;;;;;</t>
  </si>
  <si>
    <t>ID_3402</t>
  </si>
  <si>
    <t>13864637;1cc23dcb-deaa-4190-9465-97f0ca95ed06;;111111118;Vodacom Life 20260324;;;27724176461;;CU;5;2</t>
  </si>
  <si>
    <t>13864637;1cc23dcb-deaa-4190-9465-97f0ca95ed06;;111111118;Vodacom Life 20260324;;;27724176461;;CU;5;2026-05-25 10:53:36+02;Maureen Ntsoko;2026-03-24 09:54:08+02;2026-03-24 09:54:08+02;;;;;;;;;27724176461;;;;;;;;prepaid life;;;;;</t>
  </si>
  <si>
    <t>ID_3403</t>
  </si>
  <si>
    <t>13864603;33298556-06b4-40c0-be93-7f1e6290a96d;;111111118;Vodacom Life 20260324;;;;;DROP;5;2026-05-25</t>
  </si>
  <si>
    <t>13864603;33298556-06b4-40c0-be93-7f1e6290a96d;;111111118;Vodacom Life 20260324;;;;;DROP;5;2026-05-25 12:41:53+02;system;2026-03-24 09:54:08+02;2026-03-24 09:54:08+02;;;;;;;;;27715717799;;;;;;;;prepaid life;;;;;</t>
  </si>
  <si>
    <t>ID_3404</t>
  </si>
  <si>
    <t>13864638;de803fc9-009f-4f63-a912-7b7256e01f03;;111111118;Vodacom Life 20260324;;;;;AA;5;2026-05-25 1</t>
  </si>
  <si>
    <t>13864638;de803fc9-009f-4f63-a912-7b7256e01f03;;111111118;Vodacom Life 20260324;;;;;AA;5;2026-05-25 10:45:14+02;system;2026-03-24 09:54:08+02;2026-03-24 09:54:08+02;;;;;;;;;27724392325;;;;;;;;prepaid life;;;;;</t>
  </si>
  <si>
    <t>ID_3405</t>
  </si>
  <si>
    <t>13864535;a38208fb-f64c-4854-90f1-5224dbc7a0eb;;111111118;Vodacom Life 20260324;;;;;CBACK;5;2026-05-2</t>
  </si>
  <si>
    <t>13864535;a38208fb-f64c-4854-90f1-5224dbc7a0eb;;111111118;Vodacom Life 20260324;;;;;CBACK;5;2026-05-22 13:27:10+02;bongiwe lushaba;2026-03-24 09:54:08+02;2026-03-24 09:54:08+02;;;;;;;;;27609585271;;;;;;;;prepaid life;;;;;</t>
  </si>
  <si>
    <t>ID_3406</t>
  </si>
  <si>
    <t>13864604;2d69b03e-c6eb-4ec4-9900-3adc47baf055;;111111118;Vodacom Life 20260324;;;;;AA;5;2026-05-25 0</t>
  </si>
  <si>
    <t>13864604;2d69b03e-c6eb-4ec4-9900-3adc47baf055;;111111118;Vodacom Life 20260324;;;;;AA;5;2026-05-25 09:05:13+02;system;2026-03-24 09:54:08+02;2026-03-24 09:54:08+02;;;;;;;;;27715965654;;;;;;;;prepaid life;;;;;</t>
  </si>
  <si>
    <t>ID_3407</t>
  </si>
  <si>
    <t>13864730;2fd5fdec-ec4d-4dd6-ad74-4518593b9342;;111111118;Vodacom Life 20260324;;;;;AF;3;2026-04-14 1</t>
  </si>
  <si>
    <t>13864730;2fd5fdec-ec4d-4dd6-ad74-4518593b9342;;111111118;Vodacom Life 20260324;;;;;AF;3;2026-04-14 14:16:25+02;Maureen Ntsoko;2026-03-24 09:54:08+02;2026-03-24 09:54:08+02;;;;;;;;;27792495382;;;;;;;;prepaid life;;;;;</t>
  </si>
  <si>
    <t>ID_3408</t>
  </si>
  <si>
    <t>13864639;ae6ef7ea-a262-4566-be27-b3cf8bd20aab;;111111118;Vodacom Life 20260324;;;;;DROP;5;2026-05-25</t>
  </si>
  <si>
    <t>13864639;ae6ef7ea-a262-4566-be27-b3cf8bd20aab;;111111118;Vodacom Life 20260324;;;;;DROP;5;2026-05-25 10:45:19+02;system;2026-03-24 09:54:08+02;2026-03-24 09:54:08+02;;;;;;;;;27724527525;;;;;;;;prepaid life;;;;;</t>
  </si>
  <si>
    <t>ID_3409</t>
  </si>
  <si>
    <t>13864605;0b3de698-2ce7-4933-99ed-0aae13592e42;;111111118;Vodacom Life 20260324;;;;;NI;5;2026-05-22 1</t>
  </si>
  <si>
    <t>13864605;0b3de698-2ce7-4933-99ed-0aae13592e42;;111111118;Vodacom Life 20260324;;;;;NI;5;2026-05-22 13:18:43+02;Khensane Mabasa;2026-03-24 09:54:08+02;2026-03-24 09:54:08+02;;;;;;;;;27716224012;;;;;;;;prepaid life;;;;;</t>
  </si>
  <si>
    <t>ID_3410</t>
  </si>
  <si>
    <t>13864640;7a533f85-fdd8-4908-a47e-509a0cc3df2f;;111111118;Vodacom Life 20260324;;;;;DROP;5;2026-05-25</t>
  </si>
  <si>
    <t>13864640;7a533f85-fdd8-4908-a47e-509a0cc3df2f;;111111118;Vodacom Life 20260324;;;;;DROP;5;2026-05-25 10:45:26+02;system;2026-03-24 09:54:08+02;2026-03-24 09:54:08+02;;;;;;;;;27724572371;;;;;;;;prepaid life;;;;;</t>
  </si>
  <si>
    <t>ID_3411</t>
  </si>
  <si>
    <t xml:space="preserve">13864641;a92ab5a4-85fb-45c6-96a8-9bd225892a34;;111111118;Vodacom Life 20260324;;;;;ADC;5;2026-05-25 </t>
  </si>
  <si>
    <t>13864641;a92ab5a4-85fb-45c6-96a8-9bd225892a34;;111111118;Vodacom Life 20260324;;;;;ADC;5;2026-05-25 10:46:12+02;system;2026-03-24 09:54:08+02;2026-03-24 09:54:08+02;;;;;;;;;27724581388;;;;;;;;prepaid life;;;;;</t>
  </si>
  <si>
    <t>ID_3412</t>
  </si>
  <si>
    <t>13864731;5754c3e6-dce9-4ad9-88dc-ce15ae1ddfe0;;111111118;Vodacom Life 20260324;;;;;AA;5;2026-05-25 0</t>
  </si>
  <si>
    <t>13864731;5754c3e6-dce9-4ad9-88dc-ce15ae1ddfe0;;111111118;Vodacom Life 20260324;;;;;AA;5;2026-05-25 09:10:08+02;system;2026-03-24 09:54:08+02;2026-03-24 09:54:08+02;;;;;;;;;27792772083;;;;;;;;prepaid life;;;;;</t>
  </si>
  <si>
    <t>ID_3413</t>
  </si>
  <si>
    <t>13864606;fbcc965a-c9f4-4fc5-9e7c-9cfdef601e1d;;111111118;Vodacom Life 20260324;;;;;A;5;2026-05-22 13</t>
  </si>
  <si>
    <t>13864606;fbcc965a-c9f4-4fc5-9e7c-9cfdef601e1d;;111111118;Vodacom Life 20260324;;;;;A;5;2026-05-22 13:18:43+02;bongiwe lushaba;2026-03-24 09:54:08+02;2026-03-24 09:54:08+02;;;;;;;;;27716336116;;;;;;;;prepaid life;;;;;</t>
  </si>
  <si>
    <t>ID_3414</t>
  </si>
  <si>
    <t>13864732;b1e198de-35d7-480a-bd2a-c670f7699a23;;111111118;Vodacom Life 20260324;;;;;NI;1;2026-04-02 1</t>
  </si>
  <si>
    <t>13864732;b1e198de-35d7-480a-bd2a-c670f7699a23;;111111118;Vodacom Life 20260324;;;;;NI;1;2026-04-02 10:47:11+02;Thandile Nokubeni;2026-03-24 09:54:08+02;2026-03-24 09:54:08+02;;;;;;;;;27792930785;;;;;;;;prepaid life;;;;;</t>
  </si>
  <si>
    <t>ID_3415</t>
  </si>
  <si>
    <t>13864733;a94113ee-b5da-4b7c-a993-e103846fe1f9;;111111118;Vodacom Life 20260324;;;;;AA;5;2026-05-22 1</t>
  </si>
  <si>
    <t>13864733;a94113ee-b5da-4b7c-a993-e103846fe1f9;;111111118;Vodacom Life 20260324;;;;;AA;5;2026-05-22 13:04:56+02;system;2026-03-24 09:54:08+02;2026-03-24 09:54:08+02;;;;;;;;;27793133803;;;;;;;;prepaid life;;;;;</t>
  </si>
  <si>
    <t>ID_3416</t>
  </si>
  <si>
    <t>13864642;fa5aa04a-209b-4335-b776-0ee90f08f88a;;111111118;Vodacom Life 20260324;;;;;NA;5;2026-05-25 1</t>
  </si>
  <si>
    <t>13864642;fa5aa04a-209b-4335-b776-0ee90f08f88a;;111111118;Vodacom Life 20260324;;;;;NA;5;2026-05-25 10:46:12+02;system;2026-03-24 09:54:08+02;2026-03-24 09:54:08+02;;;;;;;;;27724642642;;;;;;;;prepaid life;;;;;</t>
  </si>
  <si>
    <t>ID_3417</t>
  </si>
  <si>
    <t>13864607;39dedb9b-b774-4523-bfca-0600a6194148;;111111118;Vodacom Life 20260324;;;;;NA;5;2026-05-22 1</t>
  </si>
  <si>
    <t>13864607;39dedb9b-b774-4523-bfca-0600a6194148;;111111118;Vodacom Life 20260324;;;;;NA;5;2026-05-22 13:18:43+02;system;2026-03-24 09:54:08+02;2026-03-24 09:54:08+02;;;;;;;;;27716620767;;;;;;;;prepaid life;;;;;</t>
  </si>
  <si>
    <t>ID_3418</t>
  </si>
  <si>
    <t>13864643;62690d0c-2c01-40e8-abae-6585299d2996;;111111118;Vodacom Life 20260324;;;;;AA;5;2026-05-25 1</t>
  </si>
  <si>
    <t>13864643;62690d0c-2c01-40e8-abae-6585299d2996;;111111118;Vodacom Life 20260324;;;;;AA;5;2026-05-25 10:46:23+02;system;2026-03-24 09:54:08+02;2026-03-24 09:54:08+02;;;;;;;;;27724880096;;;;;;;;prepaid life;;;;;</t>
  </si>
  <si>
    <t>ID_3419</t>
  </si>
  <si>
    <t>13864734;44c79d49-cf48-43d6-b2a4-963af74d5c9e;;111111118;Vodacom Life 20260324;;;;;DROP;5;2026-05-22</t>
  </si>
  <si>
    <t>13864734;44c79d49-cf48-43d6-b2a4-963af74d5c9e;;111111118;Vodacom Life 20260324;;;;;DROP;5;2026-05-22 13:05:09+02;system;2026-03-24 09:54:08+02;2026-03-24 09:54:08+02;;;;;;;;;27793319778;;;;;;;;prepaid life;;;;;</t>
  </si>
  <si>
    <t>ID_3420</t>
  </si>
  <si>
    <t>13864608;4b080f38-ae43-4fc5-8fa1-a1ae5e0e3e24;;111111118;Vodacom Life 20260324;;;;;A;5;2026-05-22 13</t>
  </si>
  <si>
    <t>13864608;4b080f38-ae43-4fc5-8fa1-a1ae5e0e3e24;;111111118;Vodacom Life 20260324;;;;;A;5;2026-05-22 13:19:37+02;bongiwe lushaba;2026-03-24 09:54:08+02;2026-03-24 09:54:08+02;;;;;;;;;27716972273;;;;;;;;prepaid life;;;;;</t>
  </si>
  <si>
    <t>ID_3421</t>
  </si>
  <si>
    <t>13864735;b9d26d25-742e-46ff-a380-1c8e6dac5fa7;;111111118;Vodacom Life 20260324;;;;;AE;5;2026-05-22 1</t>
  </si>
  <si>
    <t>13864735;b9d26d25-742e-46ff-a380-1c8e6dac5fa7;;111111118;Vodacom Life 20260324;;;;;AE;5;2026-05-22 13:04:54+02;system;2026-03-24 09:54:08+02;2026-03-24 09:54:08+02;;;;;;;;;27793739525;;;;;;;;prepaid life;;;;;</t>
  </si>
  <si>
    <t>ID_3422</t>
  </si>
  <si>
    <t>13864644;4c67a7cb-5499-4912-8e7c-00e24276ad27;;111111118;Vodacom Life 20260324;;;;;AA;5;2026-05-25 1</t>
  </si>
  <si>
    <t>13864644;4c67a7cb-5499-4912-8e7c-00e24276ad27;;111111118;Vodacom Life 20260324;;;;;AA;5;2026-05-25 10:46:23+02;system;2026-03-24 09:54:08+02;2026-03-24 09:54:08+02;;;;;;;;;27724939584;;;;;;;;prepaid life;;;;;</t>
  </si>
  <si>
    <t>ID_3423</t>
  </si>
  <si>
    <t>13864609;d97638ed-851b-4e5e-bfdc-302132f06acf;;111111118;Vodacom Life 20260324;;;;;AE;5;2026-05-25 0</t>
  </si>
  <si>
    <t>13864609;d97638ed-851b-4e5e-bfdc-302132f06acf;;111111118;Vodacom Life 20260324;;;;;AE;5;2026-05-25 09:05:23+02;system;2026-03-24 09:54:08+02;2026-03-24 09:54:08+02;;;;;;;;;27716990027;;;;;;;;prepaid life;;;;;</t>
  </si>
  <si>
    <t>ID_3424</t>
  </si>
  <si>
    <t>13864736;854785f6-23ae-4172-84ae-eedfe0089e09;;111111118;Vodacom Life 20260324;;;;;AA;5;2026-05-22 1</t>
  </si>
  <si>
    <t>13864736;854785f6-23ae-4172-84ae-eedfe0089e09;;111111118;Vodacom Life 20260324;;;;;AA;5;2026-05-22 13:05:10+02;system;2026-03-24 09:54:08+02;2026-03-24 09:54:08+02;;;;;;;;;27793779700;;;;;;;;prepaid life;;;;;</t>
  </si>
  <si>
    <t>ID_3425</t>
  </si>
  <si>
    <t>13864610;dc8b49f8-684b-4fb2-867c-3cbf60e7abfe;;111111118;Vodacom Life 20260324;;;;;U;3;2026-04-14 15</t>
  </si>
  <si>
    <t>13864610;dc8b49f8-684b-4fb2-867c-3cbf60e7abfe;;111111118;Vodacom Life 20260324;;;;;U;3;2026-04-14 15:25:08+02;Thandile Nokubeni;2026-03-24 09:54:08+02;2026-03-24 09:54:08+02;;;;;;;;;27719694096;;;;;;;;prepaid life;;;;;</t>
  </si>
  <si>
    <t>ID_3426</t>
  </si>
  <si>
    <t>13864611;9ad97a0e-686b-451b-8449-f2d60692c275;;111111118;Vodacom Life 20260324;;;;;NI;2;2026-04-09 1</t>
  </si>
  <si>
    <t>13864611;9ad97a0e-686b-451b-8449-f2d60692c275;;111111118;Vodacom Life 20260324;;;;;NI;2;2026-04-09 10:58:04+02;Thandile Nokubeni;2026-03-24 09:54:08+02;2026-03-24 09:54:08+02;;;;;;;;;27720390989;;;;;;;;prepaid life;;;;;</t>
  </si>
  <si>
    <t>ID_3427</t>
  </si>
  <si>
    <t>13864646;ddcacb15-be3c-4fd6-af0d-b0ddd9171e38;;111111118;Vodacom Life 20260324;;;;;AA;5;2026-05-25 1</t>
  </si>
  <si>
    <t>13864646;ddcacb15-be3c-4fd6-af0d-b0ddd9171e38;;111111118;Vodacom Life 20260324;;;;;AA;5;2026-05-25 10:46:23+02;system;2026-03-24 09:54:08+02;2026-03-24 09:54:08+02;;;;;;;;;27725345855;;;;;;;;prepaid life;;;;;</t>
  </si>
  <si>
    <t>ID_3428</t>
  </si>
  <si>
    <t>13864737;a08dbdae-19fe-4358-9f52-27a9322b4f2d;;111111118;Vodacom Life 20260324;;;;;DROP;5;2026-05-25</t>
  </si>
  <si>
    <t>13864737;a08dbdae-19fe-4358-9f52-27a9322b4f2d;;111111118;Vodacom Life 20260324;;;;;DROP;5;2026-05-25 11:22:50+02;system;2026-03-24 09:54:08+02;2026-03-24 09:54:08+02;;;;;;;;;27793867506;;;;;;;;prepaid life;;;;;</t>
  </si>
  <si>
    <t>ID_3429</t>
  </si>
  <si>
    <t>13864612;1b80424b-32f4-4627-b881-07b6943844dc;;111111118;Vodacom Life 20260324;;;;;CBACK;4;2026-05-0</t>
  </si>
  <si>
    <t>13864612;1b80424b-32f4-4627-b881-07b6943844dc;;111111118;Vodacom Life 20260324;;;;;CBACK;4;2026-05-07 15:01:36+02;Siyabonga Khoza;2026-03-24 09:54:08+02;2026-03-24 09:54:08+02;;;;;;;;;27720498104;;;;;;;;prepaid life;;;;;</t>
  </si>
  <si>
    <t>ID_3430</t>
  </si>
  <si>
    <t>13864738;784d1933-3015-4f91-ad92-803dec49ac3b;;111111118;Vodacom Life 20260324;;;;;NIUP;1;2026-04-02</t>
  </si>
  <si>
    <t>13864738;784d1933-3015-4f91-ad92-803dec49ac3b;;111111118;Vodacom Life 20260324;;;;;NIUP;1;2026-04-02 10:28:10+02;Millicent Motsuku;2026-03-24 09:54:08+02;2026-03-24 09:54:08+02;;;;;;;;;27794022582;;;;;;;;prepaid life;;;;;</t>
  </si>
  <si>
    <t>ID_3431</t>
  </si>
  <si>
    <t>13864647;9f1ec134-494f-4e4d-a60a-c376ce095766;;111111118;Vodacom Life 20260324;;;;;DROP;5;2026-05-25</t>
  </si>
  <si>
    <t>13864647;9f1ec134-494f-4e4d-a60a-c376ce095766;;111111118;Vodacom Life 20260324;;;;;DROP;5;2026-05-25 10:32:41+02;system;2026-03-24 09:54:08+02;2026-03-24 09:54:08+02;;;;;;;;;27725999280;;;;;;;;prepaid life;;;;;</t>
  </si>
  <si>
    <t>ID_3432</t>
  </si>
  <si>
    <t>13864648;75f0c943-fe02-4b4e-b027-dfcb1fd15b07;;111111118;Vodacom Life 20260324;;;;;NI;3;2026-04-14 1</t>
  </si>
  <si>
    <t>13864648;75f0c943-fe02-4b4e-b027-dfcb1fd15b07;;111111118;Vodacom Life 20260324;;;;;NI;3;2026-04-14 14:28:44+02;Thandile Nokubeni;2026-03-24 09:54:08+02;2026-03-24 09:54:08+02;;;;;;;;;27726034093;;;;;;;;prepaid life;;;;;</t>
  </si>
  <si>
    <t>ID_3433</t>
  </si>
  <si>
    <t>13864613;5c36b5e6-0c9c-4658-9392-5ffad1d9fd90;;111111118;Vodacom Life 20260324;;;;;CU;5;2026-05-25 0</t>
  </si>
  <si>
    <t>13864613;5c36b5e6-0c9c-4658-9392-5ffad1d9fd90;;111111118;Vodacom Life 20260324;;;;;CU;5;2026-05-25 09:05:29+02;Maureen Ntsoko;2026-03-24 09:54:08+02;2026-03-24 09:54:08+02;;;;;;;;;27720516783;;;;;;;;prepaid life;;;;;</t>
  </si>
  <si>
    <t>ID_3434</t>
  </si>
  <si>
    <t xml:space="preserve">13864649;acb1e61b-c490-4e18-b0c3-3789236f686a;;111111118;Vodacom Life 20260324;;;;;CCB;5;2026-05-25 </t>
  </si>
  <si>
    <t>13864649;acb1e61b-c490-4e18-b0c3-3789236f686a;;111111118;Vodacom Life 20260324;;;;;CCB;5;2026-05-25 10:46:23+02;Maureen Ntsoko;2026-03-24 09:54:08+02;2026-03-24 09:54:08+02;;;;;;;;;27726442831;;;;;;;;prepaid life;;;;;</t>
  </si>
  <si>
    <t>ID_3435</t>
  </si>
  <si>
    <t>13864739;682d20e2-f91f-4157-9c2d-3f1865bb9480;;111111118;Vodacom Life 20260324;;;27794045162;;NA;5;2</t>
  </si>
  <si>
    <t>13864739;682d20e2-f91f-4157-9c2d-3f1865bb9480;;111111118;Vodacom Life 20260324;;;27794045162;;NA;5;2026-05-25 08:41:24+02;system;2026-03-24 09:54:08+02;2026-03-24 09:54:08+02;;;;;;;;;27794045162;;;;;;;;prepaid life;;;;;</t>
  </si>
  <si>
    <t>ID_3436</t>
  </si>
  <si>
    <t>13864614;fc91afaf-1558-4ee1-b808-56cb4ee31491;;111111118;Vodacom Life 20260324;;;;;AA;5;2026-05-25 0</t>
  </si>
  <si>
    <t>13864614;fc91afaf-1558-4ee1-b808-56cb4ee31491;;111111118;Vodacom Life 20260324;;;;;AA;5;2026-05-25 09:05:37+02;system;2026-03-24 09:54:08+02;2026-03-24 09:54:08+02;;;;;;;;;27720693044;;;;;;;;prepaid life;;;;;</t>
  </si>
  <si>
    <t>ID_3437</t>
  </si>
  <si>
    <t>13864740;ba746abe-6c6b-48ac-993c-a246e37c4122;;111111118;Vodacom Life 20260324;;;;;U;4;2026-05-07 14</t>
  </si>
  <si>
    <t>13864740;ba746abe-6c6b-48ac-993c-a246e37c4122;;111111118;Vodacom Life 20260324;;;;;U;4;2026-05-07 14:51:15+02;Musiiwa Mary Mabirimisa;2026-03-24 09:54:08+02;2026-03-24 09:54:08+02;;;;;;;;;27794665555;;;;;;;;prepaid life;;;;;</t>
  </si>
  <si>
    <t>ID_3438</t>
  </si>
  <si>
    <t>13864650;1394b1d3-d79d-4feb-877f-b9995141fe96;;111111118;Vodacom Life 20260324;;;;;NI;1;2026-04-01 1</t>
  </si>
  <si>
    <t>13864650;1394b1d3-d79d-4feb-877f-b9995141fe96;;111111118;Vodacom Life 20260324;;;;;NI;1;2026-04-01 12:52:24+02;Thandile Nokubeni;2026-03-24 09:54:08+02;2026-03-24 09:54:08+02;;;;;;;;;27726657008;;;;;;;;prepaid life;;;;;</t>
  </si>
  <si>
    <t>ID_3439</t>
  </si>
  <si>
    <t>13864615;6fe9792b-152a-4ab9-b894-569cb03d0500;;111111118;Vodacom Life 20260324;;;27721128904;;AA;5;2</t>
  </si>
  <si>
    <t>13864615;6fe9792b-152a-4ab9-b894-569cb03d0500;;111111118;Vodacom Life 20260324;;;27721128904;;AA;5;2026-05-25 09:05:45+02;system;2026-03-24 09:54:08+02;2026-03-24 09:54:08+02;;;;;;;;;27721128904;;;;;;;;prepaid life;;;;;</t>
  </si>
  <si>
    <t>ID_3440</t>
  </si>
  <si>
    <t>13864616;2fab64a8-44d4-49c7-af53-643a809cb109;;111111118;Vodacom Life 20260324;;;;;EC;2;2026-03-26 1</t>
  </si>
  <si>
    <t>13864616;2fab64a8-44d4-49c7-af53-643a809cb109;;111111118;Vodacom Life 20260324;;;;;EC;2;2026-03-26 11:19:58+02;Musiiwa Mary Mabirimisa;2026-03-24 09:54:08+02;2026-03-24 09:54:08+02;;;;;;;;;27721206644;;;;;;;;prepaid life;;;;;</t>
  </si>
  <si>
    <t>ID_3441</t>
  </si>
  <si>
    <t>13864617;aebffb6d-d5ec-4b20-beb4-05e3092f01d9;;111111118;Vodacom Life 20260324;;;27721374849;;IABDN;</t>
  </si>
  <si>
    <t>13864617;aebffb6d-d5ec-4b20-beb4-05e3092f01d9;;111111118;Vodacom Life 20260324;;;27721374849;;IABDN;5;2026-05-25 09:07:24+02;system;2026-03-24 09:54:08+02;2026-03-24 09:54:08+02;;;;;;;;;27721374849;;;;;;;;prepaid life;;;;;</t>
  </si>
  <si>
    <t>ID_3442</t>
  </si>
  <si>
    <t>13864651;f3755e80-cb1d-45ee-94d7-71d7cbcde6ab;;111111118;Vodacom Life 20260324;;;;;AA;5;2026-05-25 1</t>
  </si>
  <si>
    <t>13864651;f3755e80-cb1d-45ee-94d7-71d7cbcde6ab;;111111118;Vodacom Life 20260324;;;;;AA;5;2026-05-25 10:46:24+02;system;2026-03-24 09:54:08+02;2026-03-24 09:54:08+02;;;;;;;;;27726967952;;;;;;;;prepaid life;;;;;</t>
  </si>
  <si>
    <t>ID_3443</t>
  </si>
  <si>
    <t>13864618;a1f21476-00ca-4f05-9ecc-a0ca93623897;;111111118;Vodacom Life 20260324;;;;;AA;5;2026-05-25 0</t>
  </si>
  <si>
    <t>13864618;a1f21476-00ca-4f05-9ecc-a0ca93623897;;111111118;Vodacom Life 20260324;;;;;AA;5;2026-05-25 09:05:53+02;system;2026-03-24 09:54:08+02;2026-03-24 09:54:08+02;;;;;;;;;27721503846;;;;;;;;prepaid life;;;;;</t>
  </si>
  <si>
    <t>ID_3444</t>
  </si>
  <si>
    <t xml:space="preserve">13864652;9c78c448-1414-4b9b-8a0a-8a059584c427;;111111118;Vodacom Life 20260324;;;;;ADC;5;2026-05-22 </t>
  </si>
  <si>
    <t>13864652;9c78c448-1414-4b9b-8a0a-8a059584c427;;111111118;Vodacom Life 20260324;;;;;ADC;5;2026-05-22 13:12:33+02;system;2026-03-24 09:54:08+02;2026-03-24 09:54:08+02;;;;;;;;;27727002657;;;;;;;;prepaid life;;;;;</t>
  </si>
  <si>
    <t>ID_3445</t>
  </si>
  <si>
    <t>13864741;354537b5-6f1e-48f2-bc04-c45676f991bb;;111111118;Vodacom Life 20260324;;;;;CBACK;4;2026-04-1</t>
  </si>
  <si>
    <t>13864741;354537b5-6f1e-48f2-bc04-c45676f991bb;;111111118;Vodacom Life 20260324;;;;;CBACK;4;2026-04-15 11:20:21+02;bongiwe lushaba;2026-03-24 09:54:08+02;2026-03-24 09:54:08+02;;;;;;;;;27794707865;;;;;;;;prepaid life;;;;;</t>
  </si>
  <si>
    <t>ID_3446</t>
  </si>
  <si>
    <t>13864619;88543f20-6f95-4d49-9f73-4db3f663d727;;111111118;Vodacom Life 20260324;;;;;AA;5;2026-05-25 0</t>
  </si>
  <si>
    <t>13864619;88543f20-6f95-4d49-9f73-4db3f663d727;;111111118;Vodacom Life 20260324;;;;;AA;5;2026-05-25 09:05:58+02;system;2026-03-24 09:54:08+02;2026-03-24 09:54:08+02;;;;;;;;;27721577767;;;;;;;;prepaid life;;;;;</t>
  </si>
  <si>
    <t>ID_3447</t>
  </si>
  <si>
    <t>13864742;317f2fd3-db2c-4ae8-a856-52b5a2409035;;111111118;Vodacom Life 20260324;;;;;AA;5;2026-05-25 0</t>
  </si>
  <si>
    <t>13864742;317f2fd3-db2c-4ae8-a856-52b5a2409035;;111111118;Vodacom Life 20260324;;;;;AA;5;2026-05-25 08:41:20+02;system;2026-03-24 09:54:08+02;2026-03-24 09:54:08+02;;;;;;;;;27794764761;;;;;;;;prepaid life;;;;;</t>
  </si>
  <si>
    <t>ID_3448</t>
  </si>
  <si>
    <t>13864620;044ece13-09c7-4de3-a3bd-fd080a806111;;111111118;Vodacom Life 20260324;;;;;NA;5;2026-05-22 1</t>
  </si>
  <si>
    <t>13864620;044ece13-09c7-4de3-a3bd-fd080a806111;;111111118;Vodacom Life 20260324;;;;;NA;5;2026-05-22 13:17:11+02;system;2026-03-24 09:54:08+02;2026-03-24 09:54:08+02;;;;;;;;;27721883528;;;;;;;;prepaid life;;;;;</t>
  </si>
  <si>
    <t>ID_3449</t>
  </si>
  <si>
    <t>13864653;89f3c00b-0b8f-41d3-9def-acadf0901054;;111111118;Vodacom Life 20260324;;;;;AE;5;2026-05-22 1</t>
  </si>
  <si>
    <t>13864653;89f3c00b-0b8f-41d3-9def-acadf0901054;;111111118;Vodacom Life 20260324;;;;;AE;5;2026-05-22 13:12:33+02;system;2026-03-24 09:54:08+02;2026-03-24 09:54:08+02;;;;;;;;;27727287499;;;;;;;;prepaid life;;;;;</t>
  </si>
  <si>
    <t>ID_3450</t>
  </si>
  <si>
    <t>13864621;452957d5-9f2b-49bc-bc89-a53f8d201894;;111111118;Vodacom Life 20260324;;;;;NA;5;2026-05-22 1</t>
  </si>
  <si>
    <t>13864621;452957d5-9f2b-49bc-bc89-a53f8d201894;;111111118;Vodacom Life 20260324;;;;;NA;5;2026-05-22 13:17:51+02;system;2026-03-24 09:54:08+02;2026-03-24 09:54:08+02;;;;;;;;;27721900589;;;;;;;;prepaid life;;;;;</t>
  </si>
  <si>
    <t>ID_3451</t>
  </si>
  <si>
    <t>13864654;bef51a16-0e13-4335-9ffb-19cc7dc060f1;;111111118;Vodacom Life 20260324;;;27727610496;;NI;4;2</t>
  </si>
  <si>
    <t>13864654;bef51a16-0e13-4335-9ffb-19cc7dc060f1;;111111118;Vodacom Life 20260324;;;27727610496;;NI;4;2026-05-07 14:57:25+02;Maureen Ntsoko;2026-03-24 09:54:08+02;2026-03-24 09:54:08+02;;;;;;;;;27727610496;;;;;;;;prepaid life;;;;;</t>
  </si>
  <si>
    <t>ID_3452</t>
  </si>
  <si>
    <t>13864743;5605d3a4-7f48-4040-893c-17ed14450d96;;111111118;Vodacom Life 20260324;;;27795626907;;CU;5;2</t>
  </si>
  <si>
    <t>13864743;5605d3a4-7f48-4040-893c-17ed14450d96;;111111118;Vodacom Life 20260324;;;27795626907;;CU;5;2026-05-07 14:54:25+02;Maureen Ntsoko;2026-03-24 09:54:08+02;2026-03-24 09:54:08+02;;;;;;;;;27795626907;;;;;;;;prepaid life;;;;;</t>
  </si>
  <si>
    <t>ID_3453</t>
  </si>
  <si>
    <t>13864622;f805c8d1-76fc-444a-aa14-1a6ab44489e4;;111111118;Vodacom Life 20260324;;;;;AA;5;2026-05-22 1</t>
  </si>
  <si>
    <t>13864622;f805c8d1-76fc-444a-aa14-1a6ab44489e4;;111111118;Vodacom Life 20260324;;;;;AA;5;2026-05-22 13:17:11+02;system;2026-03-24 09:54:08+02;2026-03-24 09:54:08+02;;;;;;;;;27721904331;;;;;;;;prepaid life;;;;;</t>
  </si>
  <si>
    <t>ID_3454</t>
  </si>
  <si>
    <t>13864744;39b29eb2-27f2-4ddb-9d9c-c5d8d0d08ab1;;111111118;Vodacom Life 20260324;;;;;AA;5;2026-05-25 0</t>
  </si>
  <si>
    <t>13864744;39b29eb2-27f2-4ddb-9d9c-c5d8d0d08ab1;;111111118;Vodacom Life 20260324;;;;;AA;5;2026-05-25 08:41:15+02;system;2026-03-24 09:54:08+02;2026-03-24 09:54:08+02;;;;;;;;;27795807520;;;;;;;;prepaid life;;;;;</t>
  </si>
  <si>
    <t>ID_3455</t>
  </si>
  <si>
    <t>13864655;38b4b5a3-45dd-4071-b8ac-74d46302c280;;111111118;Vodacom Life 20260324;;;;;CBACK;3;2026-04-1</t>
  </si>
  <si>
    <t>13864655;38b4b5a3-45dd-4071-b8ac-74d46302c280;;111111118;Vodacom Life 20260324;;;;;CBACK;3;2026-04-14 15:05:15+02;Esther Ramalete;2026-03-24 09:54:08+02;2026-03-24 09:54:08+02;;;;;;;;;27727671424;;;;;;;;prepaid life;;;;;</t>
  </si>
  <si>
    <t>ID_3456</t>
  </si>
  <si>
    <t>13864623;c41fd1ea-89d7-4f61-a831-4ed9dd2d3fff;;111111118;Vodacom Life 20260324;;;27722081656;;IABDN;</t>
  </si>
  <si>
    <t>13864623;c41fd1ea-89d7-4f61-a831-4ed9dd2d3fff;;111111118;Vodacom Life 20260324;;;27722081656;;IABDN;5;2026-05-22 13:33:00+02;system;2026-03-24 09:54:08+02;2026-03-24 09:54:08+02;;;;;;;;;27722081656;;;;;;;;prepaid life;;;;;</t>
  </si>
  <si>
    <t>ID_3457</t>
  </si>
  <si>
    <t>13864656;c74db92c-5ca0-42a0-90e1-bad661ac1e7b;;111111118;Vodacom Life 20260324;;;;;U;4;2026-05-07 14</t>
  </si>
  <si>
    <t>13864656;c74db92c-5ca0-42a0-90e1-bad661ac1e7b;;111111118;Vodacom Life 20260324;;;;;U;4;2026-05-07 14:56:44+02;bongiwe lushaba;2026-03-24 09:54:08+02;2026-03-24 09:54:08+02;;;;;;;;;27727699126;;;;;;;;prepaid life;;;;;</t>
  </si>
  <si>
    <t>ID_3458</t>
  </si>
  <si>
    <t>13864657;76c2c6a4-3299-4139-a523-52b6d2d22568;;111111118;Vodacom Life 20260324;;;;;NA;5;2026-05-22 1</t>
  </si>
  <si>
    <t>13864657;76c2c6a4-3299-4139-a523-52b6d2d22568;;111111118;Vodacom Life 20260324;;;;;NA;5;2026-05-22 13:12:33+02;system;2026-03-24 09:54:08+02;2026-03-24 09:54:08+02;;;;;;;;;27727711658;;;;;;;;prepaid life;;;;;</t>
  </si>
  <si>
    <t>ID_3459</t>
  </si>
  <si>
    <t>13864745;49cdf831-618b-4ef6-9056-410728ac6f05;;111111118;Vodacom Life 20260324;;;;;AA;5;2026-05-25 0</t>
  </si>
  <si>
    <t>13864745;49cdf831-618b-4ef6-9056-410728ac6f05;;111111118;Vodacom Life 20260324;;;;;AA;5;2026-05-25 08:32:14+02;system;2026-03-24 09:54:08+02;2026-03-24 09:54:08+02;;;;;;;;;27796289581;;;;;;;;prepaid life;;;;;</t>
  </si>
  <si>
    <t>ID_3460</t>
  </si>
  <si>
    <t>13864746;a85f56a7-7f7c-43c5-81cc-e4bba6ff1a1e;;111111118;Vodacom Life 20260324;;;;;AA;5;2026-05-22 1</t>
  </si>
  <si>
    <t>13864746;a85f56a7-7f7c-43c5-81cc-e4bba6ff1a1e;;111111118;Vodacom Life 20260324;;;;;AA;5;2026-05-22 13:03:58+02;system;2026-03-24 09:54:08+02;2026-03-24 09:54:08+02;;;;;;;;;27796496247;;;;;;;;prepaid life;;;;;</t>
  </si>
  <si>
    <t>ID_3461</t>
  </si>
  <si>
    <t>13864624;f5912542-1f41-478d-9ec1-bf99da14873b;;111111118;Vodacom Life 20260324;;;;;NA;5;2026-05-25 0</t>
  </si>
  <si>
    <t>13864624;f5912542-1f41-478d-9ec1-bf99da14873b;;111111118;Vodacom Life 20260324;;;;;NA;5;2026-05-25 09:06:22+02;system;2026-03-24 09:54:08+02;2026-03-24 09:54:08+02;;;;;;;;;27722218639;;;;;;;;prepaid life;;;;;</t>
  </si>
  <si>
    <t>ID_3462</t>
  </si>
  <si>
    <t>13864747;6783c7eb-7768-4a44-b66d-22c5d380130f;;111111118;Vodacom Life 20260324;;;;;AA;5;2026-05-22 1</t>
  </si>
  <si>
    <t>13864747;6783c7eb-7768-4a44-b66d-22c5d380130f;;111111118;Vodacom Life 20260324;;;;;AA;5;2026-05-22 13:04:13+02;system;2026-03-24 09:54:08+02;2026-03-24 09:54:08+02;;;;;;;;;27796872547;;;;;;;;prepaid life;;;;;</t>
  </si>
  <si>
    <t>ID_3463</t>
  </si>
  <si>
    <t>13864658;99daf14c-5e7e-4eef-a4de-9821fb3ad6ec;;111111118;Vodacom Life 20260324;;;27727841965;;NA;5;2</t>
  </si>
  <si>
    <t>13864658;99daf14c-5e7e-4eef-a4de-9821fb3ad6ec;;111111118;Vodacom Life 20260324;;;27727841965;;NA;5;2026-05-22 13:12:35+02;system;2026-03-24 09:54:08+02;2026-03-24 09:54:08+02;;;;;;;;;27727841965;;;;;;;;prepaid life;;;;;</t>
  </si>
  <si>
    <t>ID_3464</t>
  </si>
  <si>
    <t>13864625;c85733d6-a0d8-44cd-81fa-923c110aa73c;;111111118;Vodacom Life 20260324;;;;;AA;5;2026-05-25 0</t>
  </si>
  <si>
    <t>13864625;c85733d6-a0d8-44cd-81fa-923c110aa73c;;111111118;Vodacom Life 20260324;;;;;AA;5;2026-05-25 09:06:36+02;system;2026-03-24 09:54:08+02;2026-03-24 09:54:08+02;;;;;;;;;27722844314;;;;;;;;prepaid life;;;;;</t>
  </si>
  <si>
    <t>ID_3465</t>
  </si>
  <si>
    <t>13864659;be02b8f6-35c4-4b71-87d6-81932c122573;;111111118;Vodacom Life 20260324;;;;;AA;5;2026-05-25 1</t>
  </si>
  <si>
    <t>13864659;be02b8f6-35c4-4b71-87d6-81932c122573;;111111118;Vodacom Life 20260324;;;;;AA;5;2026-05-25 14:28:23+02;system;2026-03-24 09:54:08+02;2026-03-24 09:54:08+02;;;;;;;;;27727995246;;;;;;;;prepaid life;;;;;</t>
  </si>
  <si>
    <t>ID_3466</t>
  </si>
  <si>
    <t xml:space="preserve">13864748;d3f58fcd-a7dc-4910-9038-fff1e97bf974;;111111118;Vodacom Life 20260324;;;;;CCB;5;2026-05-22 </t>
  </si>
  <si>
    <t>13864748;d3f58fcd-a7dc-4910-9038-fff1e97bf974;;111111118;Vodacom Life 20260324;;;;;CCB;5;2026-05-22 13:03:58+02;Khensane Mabasa;2026-03-24 09:54:08+02;2026-03-24 09:54:08+02;;;;;;;;;27796905677;;;;;;;;prepaid life;;;;;</t>
  </si>
  <si>
    <t>ID_3467</t>
  </si>
  <si>
    <t>13864749;57659dd2-15f6-4b07-99af-908544a81b52;;111111118;Vodacom Life 20260324;;;;;AA;5;2026-05-22 1</t>
  </si>
  <si>
    <t>13864749;57659dd2-15f6-4b07-99af-908544a81b52;;111111118;Vodacom Life 20260324;;;;;AA;5;2026-05-22 13:04:39+02;system;2026-03-24 09:54:08+02;2026-03-24 09:54:08+02;;;;;;;;;27797327733;;;;;;;;prepaid life;;;;;</t>
  </si>
  <si>
    <t>ID_3468</t>
  </si>
  <si>
    <t>13864750;519c23a4-57d9-4305-b5bf-edbd3241e7a2;;111111118;Vodacom Life 20260324;;;;;NA;5;2026-05-25 0</t>
  </si>
  <si>
    <t>13864750;519c23a4-57d9-4305-b5bf-edbd3241e7a2;;111111118;Vodacom Life 20260324;;;;;NA;5;2026-05-25 08:32:08+02;system;2026-03-24 09:54:08+02;2026-03-24 09:54:08+02;;;;;;;;;27797983279;;;;;;;;prepaid life;;;;;</t>
  </si>
  <si>
    <t>ID_3469</t>
  </si>
  <si>
    <t>13864660;b7a7f4ff-ca55-446e-a781-e3bba155efdd;;111111118;Vodacom Life 20260324;;;;;AE;5;2026-05-25 1</t>
  </si>
  <si>
    <t>13864660;b7a7f4ff-ca55-446e-a781-e3bba155efdd;;111111118;Vodacom Life 20260324;;;;;AE;5;2026-05-25 11:48:22+02;system;2026-03-24 09:54:08+02;2026-03-24 09:54:08+02;;;;;;;;;27728165253;;;;;;;;prepaid life;;;;;</t>
  </si>
  <si>
    <t>ID_3470</t>
  </si>
  <si>
    <t>13864627;9aa5b91d-73ed-415d-a19b-c6b9a6685145;;111111118;Vodacom Life 20260324;;;;;NA;5;2026-05-25 1</t>
  </si>
  <si>
    <t>13864627;9aa5b91d-73ed-415d-a19b-c6b9a6685145;;111111118;Vodacom Life 20260324;;;;;NA;5;2026-05-25 10:44:55+02;system;2026-03-24 09:54:08+02;2026-03-24 09:54:08+02;;;;;;;;;27722923045;;;;;;;;prepaid life;;;;;</t>
  </si>
  <si>
    <t>ID_3471</t>
  </si>
  <si>
    <t>13864661;f94ef679-1d36-4652-9c5e-8efe6984f69e;;111111118;Vodacom Life 20260324;;;;;DNCLIFE;4;2026-05</t>
  </si>
  <si>
    <t>13864661;f94ef679-1d36-4652-9c5e-8efe6984f69e;;111111118;Vodacom Life 20260324;;;;;DNCLIFE;4;2026-05-07 14:38:54+02;Esther Ramalete;2026-03-24 09:54:08+02;2026-03-24 09:54:08+02;;;;;;;;;27728334542;;;;;;;;prepaid life;;;;;</t>
  </si>
  <si>
    <t>ID_3472</t>
  </si>
  <si>
    <t>13864751;bf4f6230-b312-4107-9f22-18cea22c25ad;;111111118;Vodacom Life 20260324;;;27798009775;;CU;5;2</t>
  </si>
  <si>
    <t>13864751;bf4f6230-b312-4107-9f22-18cea22c25ad;;111111118;Vodacom Life 20260324;;;27798009775;;CU;5;2026-05-25 08:34:05+02;bongiwe lushaba;2026-03-24 09:54:08+02;2026-03-24 09:54:08+02;;;;;;;;;27798009775;;;;;;;;prepaid life;;;;;</t>
  </si>
  <si>
    <t>ID_3473</t>
  </si>
  <si>
    <t>13864628;ca2e0228-8275-4670-8362-0fb49e0d23bf;;111111118;Vodacom Life 20260324;;;;;CBACK;4;2026-05-0</t>
  </si>
  <si>
    <t>13864628;ca2e0228-8275-4670-8362-0fb49e0d23bf;;111111118;Vodacom Life 20260324;;;;;CBACK;4;2026-05-07 14:58:37+02;Siyabonga Khoza;2026-03-24 09:54:08+02;2026-03-24 09:54:08+02;;;;;;;;;27722926061;;;;;;;;prepaid life;;;;;</t>
  </si>
  <si>
    <t>ID_3474</t>
  </si>
  <si>
    <t>13864752;016a7650-9b8a-4f8b-b785-d8e9d01dee3c;;111111118;Vodacom Life 20260324;;;;;NA;5;2026-05-25 0</t>
  </si>
  <si>
    <t>13864752;016a7650-9b8a-4f8b-b785-d8e9d01dee3c;;111111118;Vodacom Life 20260324;;;;;NA;5;2026-05-25 08:31:43+02;system;2026-03-24 09:54:08+02;2026-03-24 09:54:08+02;;;;;;;;;27798245957;;;;;;;;prepaid life;;;;;</t>
  </si>
  <si>
    <t>ID_3475</t>
  </si>
  <si>
    <t>13864662;9700081a-544a-412a-b5b1-3e4c897fcaf9;;111111118;Vodacom Life 20260324;;;;;AE;5;2026-05-25 1</t>
  </si>
  <si>
    <t>13864662;9700081a-544a-412a-b5b1-3e4c897fcaf9;;111111118;Vodacom Life 20260324;;;;;AE;5;2026-05-25 11:48:22+02;system;2026-03-24 09:54:08+02;2026-03-24 09:54:08+02;;;;;;;;;27728425175;;;;;;;;prepaid life;;;;;</t>
  </si>
  <si>
    <t>ID_3476</t>
  </si>
  <si>
    <t>13864629;2ea155ec-e5ae-43d6-8864-edd46a53e855;;111111118;Vodacom Life 20260324;;;;;NI;3;2026-04-14 1</t>
  </si>
  <si>
    <t>13864629;2ea155ec-e5ae-43d6-8864-edd46a53e855;;111111118;Vodacom Life 20260324;;;;;NI;3;2026-04-14 15:17:53+02;Esther Ramalete;2026-03-24 09:54:08+02;2026-03-24 09:54:08+02;;;;;;;;;27722942045;;;;;;;;prepaid life;;;;;</t>
  </si>
  <si>
    <t>ID_3477</t>
  </si>
  <si>
    <t>13864753;e7b98cd4-a5b2-4d6f-9e0c-a1c05bae9245;;111111118;Vodacom Life 20260324;;;;;AA;5;2026-05-22 1</t>
  </si>
  <si>
    <t>13864753;e7b98cd4-a5b2-4d6f-9e0c-a1c05bae9245;;111111118;Vodacom Life 20260324;;;;;AA;5;2026-05-22 13:02:55+02;system;2026-03-24 09:54:08+02;2026-03-24 09:54:08+02;;;;;;;;;27798338850;;;;;;;;prepaid life;;;;;</t>
  </si>
  <si>
    <t>ID_3478</t>
  </si>
  <si>
    <t>13864630;95507555-585e-4032-a3b1-40966d282ca2;;111111118;Vodacom Life 20260324;;;;;NA;5;2026-05-22 1</t>
  </si>
  <si>
    <t>13864630;95507555-585e-4032-a3b1-40966d282ca2;;111111118;Vodacom Life 20260324;;;;;NA;5;2026-05-22 13:17:11+02;system;2026-03-24 09:54:08+02;2026-03-24 09:54:08+02;;;;;;;;;27723180770;;;;;;;;prepaid life;;;;;</t>
  </si>
  <si>
    <t>ID_3479</t>
  </si>
  <si>
    <t>13864754;d8732186-7d25-4008-b76f-235eebe6bcde;;111111118;Vodacom Life 20260324;;;;;A;5;2026-05-22 13</t>
  </si>
  <si>
    <t>13864754;d8732186-7d25-4008-b76f-235eebe6bcde;;111111118;Vodacom Life 20260324;;;;;A;5;2026-05-22 13:02:55+02;Khensane Mabasa;2026-03-24 09:54:08+02;2026-03-24 09:54:08+02;;;;;;;;;27798385432;;;;;;;;prepaid life;;;;;</t>
  </si>
  <si>
    <t>ID_3480</t>
  </si>
  <si>
    <t>13864663;0974281e-5aee-4cc3-a723-8b8a7f18a81a;;111111118;Vodacom Life 20260324;;;;;DROP;5;2026-05-25</t>
  </si>
  <si>
    <t>13864663;0974281e-5aee-4cc3-a723-8b8a7f18a81a;;111111118;Vodacom Life 20260324;;;;;DROP;5;2026-05-25 11:48:22+02;system;2026-03-24 09:54:08+02;2026-03-24 09:54:08+02;;;;;;;;;27728482340;;;;;;;;prepaid life;;;;;</t>
  </si>
  <si>
    <t>ID_3481</t>
  </si>
  <si>
    <t>13864631;2085e1b7-d4ad-4893-9815-b81187b5500d;;111111118;Vodacom Life 20260324;;;27723317825;;CU;5;2</t>
  </si>
  <si>
    <t>13864631;2085e1b7-d4ad-4893-9815-b81187b5500d;;111111118;Vodacom Life 20260324;;;27723317825;;CU;5;2026-05-22 13:17:51+02;bongiwe lushaba;2026-03-24 09:54:08+02;2026-03-24 09:54:08+02;;;;;;;;;27723317825;;;;;;;;prepaid life;;;;;</t>
  </si>
  <si>
    <t>ID_3482</t>
  </si>
  <si>
    <t>13864664;c6c94af6-4280-46a3-bf09-ddf1729827be;;111111118;Vodacom Life 20260324;;;;;NI;3;2026-04-14 1</t>
  </si>
  <si>
    <t>13864664;c6c94af6-4280-46a3-bf09-ddf1729827be;;111111118;Vodacom Life 20260324;;;;;NI;3;2026-04-14 15:02:13+02;Thandile Nokubeni;2026-03-24 09:54:08+02;2026-03-24 09:54:08+02;;;;;;;;;27728660403;;;;;;;;prepaid life;;;;;</t>
  </si>
  <si>
    <t>ID_3483</t>
  </si>
  <si>
    <t>13864665;341ba2b9-08c4-4ca1-a5be-555f681bf949;;111111118;Vodacom Life 20260324;;;;;NA;5;2026-05-25 1</t>
  </si>
  <si>
    <t>13864665;341ba2b9-08c4-4ca1-a5be-555f681bf949;;111111118;Vodacom Life 20260324;;;;;NA;5;2026-05-25 11:48:27+02;system;2026-03-24 09:54:08+02;2026-03-24 09:54:08+02;;;;;;;;;27728812730;;;;;;;;prepaid life;;;;;</t>
  </si>
  <si>
    <t>ID_3484</t>
  </si>
  <si>
    <t>13864755;d27c3e74-95fe-4f6f-9286-f63c52536431;;111111118;Vodacom Life 20260324;;;;;CU;5;2026-05-22 1</t>
  </si>
  <si>
    <t>13864755;d27c3e74-95fe-4f6f-9286-f63c52536431;;111111118;Vodacom Life 20260324;;;;;CU;5;2026-05-22 13:02:55+02;bongiwe lushaba;2026-03-24 09:54:08+02;2026-03-24 09:54:08+02;;;;;;;;;27799230057;;;;;;;;prepaid life;;;;;</t>
  </si>
  <si>
    <t>ID_3485</t>
  </si>
  <si>
    <t>13864632;76f5feaa-8e77-4dc2-a1bf-d933f8ba17fb;;111111118;Vodacom Life 20260324;;;;;DROP;5;2026-05-22</t>
  </si>
  <si>
    <t>13864632;76f5feaa-8e77-4dc2-a1bf-d933f8ba17fb;;111111118;Vodacom Life 20260324;;;;;DROP;5;2026-05-22 13:17:11+02;system;2026-03-24 09:54:08+02;2026-03-24 09:54:08+02;;;;;;;;;27723581803;;;;;;;;prepaid life;;;;;</t>
  </si>
  <si>
    <t>ID_3486</t>
  </si>
  <si>
    <t>13864756;193d2e85-abaf-47bb-ab63-fbe81d827f99;;111111118;Vodacom Life 20260324;;;;;A;5;2026-05-22 13</t>
  </si>
  <si>
    <t>13864756;193d2e85-abaf-47bb-ab63-fbe81d827f99;;111111118;Vodacom Life 20260324;;;;;A;5;2026-05-22 13:04:38+02;Khensane Mabasa;2026-03-24 09:54:08+02;2026-03-24 09:54:08+02;;;;;;;;;27799264315;;;;;;;;prepaid life;;;;;</t>
  </si>
  <si>
    <t>ID_3487</t>
  </si>
  <si>
    <t>13864666;65fa4c81-c32e-4081-8a19-0b2e93f35c8b;;111111118;Vodacom Life 20260324;;;27729010330;;NA;5;2</t>
  </si>
  <si>
    <t>13864666;65fa4c81-c32e-4081-8a19-0b2e93f35c8b;;111111118;Vodacom Life 20260324;;;27729010330;;NA;5;2026-05-25 11:48:27+02;system;2026-03-24 09:54:08+02;2026-03-24 09:54:08+02;;;;;;;;;27729010330;;;;;;;;prepaid life;;;;;</t>
  </si>
  <si>
    <t>ID_3488</t>
  </si>
  <si>
    <t>13864827;bc92d0fc-86d1-4b2b-bb72-e2b6b7da210e;;111111118;Vodacom Life 20260324;;;;;AA;5;2026-05-22 1</t>
  </si>
  <si>
    <t>13864827;bc92d0fc-86d1-4b2b-bb72-e2b6b7da210e;;111111118;Vodacom Life 20260324;;;;;AA;5;2026-05-22 12:56:42+02;system;2026-03-24 09:54:08+02;2026-03-24 09:54:08+02;;;;;;;;;27647329066;;;;;;;;prepaid life;;;;;</t>
  </si>
  <si>
    <t>ID_3489</t>
  </si>
  <si>
    <t>13864667;61fef348-6be0-405f-b3c0-d331e58e4317;;111111118;Vodacom Life 20260324;;;;;NI;1;2026-04-01 0</t>
  </si>
  <si>
    <t>13864667;61fef348-6be0-405f-b3c0-d331e58e4317;;111111118;Vodacom Life 20260324;;;;;NI;1;2026-04-01 09:31:40+02;Musiiwa Mary Mabirimisa;2026-03-24 09:54:08+02;2026-03-24 09:54:08+02;;;;;;;;;27729410517;;;;;;;;prepaid life;;;;;</t>
  </si>
  <si>
    <t>ID_3490</t>
  </si>
  <si>
    <t>13864828;a1876bcb-aa85-4ea3-9caf-cd97fbeb65c1;;111111118;Vodacom Life 20260324;;;;;AE;5;2026-05-22 1</t>
  </si>
  <si>
    <t>13864828;a1876bcb-aa85-4ea3-9caf-cd97fbeb65c1;;111111118;Vodacom Life 20260324;;;;;AE;5;2026-05-22 13:00:05+02;system;2026-03-24 09:54:08+02;2026-03-24 09:54:08+02;;;;;;;;;27648470493;;;;;;;;prepaid life;;;;;</t>
  </si>
  <si>
    <t>ID_3491</t>
  </si>
  <si>
    <t xml:space="preserve">13864758;261c4c7c-ecb8-48ec-83d3-e2c78a284c64;;111111118;Vodacom Life 20260324;;;;;ADC;5;2026-05-25 </t>
  </si>
  <si>
    <t>13864758;261c4c7c-ecb8-48ec-83d3-e2c78a284c64;;111111118;Vodacom Life 20260324;;;;;ADC;5;2026-05-25 08:31:30+02;system;2026-03-24 09:54:08+02;2026-03-24 09:54:08+02;;;;;;;;;27799495412;;;;;;;;prepaid life;;;;;</t>
  </si>
  <si>
    <t>ID_3492</t>
  </si>
  <si>
    <t>13864759;fa29f168-2a9b-41db-9298-16e024ad6a87;;111111118;Vodacom Life 20260324;;;;;AE;5;2026-05-25 0</t>
  </si>
  <si>
    <t>13864759;fa29f168-2a9b-41db-9298-16e024ad6a87;;111111118;Vodacom Life 20260324;;;;;AE;5;2026-05-25 08:31:29+02;system;2026-03-24 09:54:08+02;2026-03-24 09:54:08+02;;;;;;;;;27799795244;;;;;;;;prepaid life;;;;;</t>
  </si>
  <si>
    <t>ID_3493</t>
  </si>
  <si>
    <t>13864668;efbc280a-6577-4287-9be6-00d2bf95fe01;;111111118;Vodacom Life 20260324;;;27731556928;;IABDN;</t>
  </si>
  <si>
    <t>13864668;efbc280a-6577-4287-9be6-00d2bf95fe01;;111111118;Vodacom Life 20260324;;;27731556928;;IABDN;5;2026-05-25 14:28:53+02;system;2026-03-24 09:54:08+02;2026-03-24 09:54:08+02;;;;;;;;;27731556928;;;;;;;;prepaid life;;;;;</t>
  </si>
  <si>
    <t>ID_3494</t>
  </si>
  <si>
    <t>13864669;b5ceb22f-b0e9-4b88-81ec-ec4d16fc937b;;111111118;Vodacom Life 20260324;;;;;AA;5;2026-05-25 0</t>
  </si>
  <si>
    <t>13864669;b5ceb22f-b0e9-4b88-81ec-ec4d16fc937b;;111111118;Vodacom Life 20260324;;;;;AA;5;2026-05-25 09:07:47+02;system;2026-03-24 09:54:08+02;2026-03-24 09:54:08+02;;;;;;;;;27742128077;;;;;;;;prepaid life;;;;;</t>
  </si>
  <si>
    <t>ID_3495</t>
  </si>
  <si>
    <t>13864829;aaadad31-af8c-4cdf-9705-e648379f98d9;;111111118;Vodacom Life 20260324;;;;;NI;2;2026-04-09 1</t>
  </si>
  <si>
    <t>13864829;aaadad31-af8c-4cdf-9705-e648379f98d9;;111111118;Vodacom Life 20260324;;;;;NI;2;2026-04-09 10:46:39+02;Thandile Nokubeni;2026-03-24 09:54:08+02;2026-03-24 09:54:08+02;;;;;;;;;27648991864;;;;;;;;prepaid life;;;;;</t>
  </si>
  <si>
    <t>ID_3496</t>
  </si>
  <si>
    <t>13864830;fdd906d4-d818-414f-9bef-922781b8a372;;111111118;Vodacom Life 20260324;;;;;NA;5;2026-05-22 1</t>
  </si>
  <si>
    <t>13864830;fdd906d4-d818-414f-9bef-922781b8a372;;111111118;Vodacom Life 20260324;;;;;NA;5;2026-05-22 12:55:48+02;system;2026-03-24 09:54:08+02;2026-03-24 09:54:08+02;;;;;;;;;27649448368;;;;;;;;prepaid life;;;;;</t>
  </si>
  <si>
    <t>ID_3497</t>
  </si>
  <si>
    <t>13864670;b4a04a5d-e4e4-4cc0-9d5f-a46c7156336f;;111111118;Vodacom Life 20260324;;;;;AA;5;2026-05-22 1</t>
  </si>
  <si>
    <t>13864670;b4a04a5d-e4e4-4cc0-9d5f-a46c7156336f;;111111118;Vodacom Life 20260324;;;;;AA;5;2026-05-22 13:11:04+02;system;2026-03-24 09:54:08+02;2026-03-24 09:54:08+02;;;;;;;;;27743347461;;;;;;;;prepaid life;;;;;</t>
  </si>
  <si>
    <t>ID_3498</t>
  </si>
  <si>
    <t>13864760;d3066e0a-34ac-4b66-915e-32b6a36016bf;;111111118;Vodacom Life 20260324;;;;;CU;5;2026-05-25 0</t>
  </si>
  <si>
    <t>13864760;d3066e0a-34ac-4b66-915e-32b6a36016bf;;111111118;Vodacom Life 20260324;;;;;CU;5;2026-05-25 08:31:20+02;bongiwe lushaba;2026-03-24 09:54:08+02;2026-03-24 09:54:08+02;;;;;;;;;27818260280;;;;;;;;prepaid life;;;;;</t>
  </si>
  <si>
    <t>ID_3499</t>
  </si>
  <si>
    <t xml:space="preserve">13864831;13a62c21-3238-4969-b8d4-ce1527c803a3;;111111118;Vodacom Life 20260324;;;;;ADC;5;2026-05-22 </t>
  </si>
  <si>
    <t>13864831;13a62c21-3238-4969-b8d4-ce1527c803a3;;111111118;Vodacom Life 20260324;;;;;ADC;5;2026-05-22 13:03:08+02;system;2026-03-24 09:54:08+02;2026-03-24 09:54:08+02;;;;;;;;;27649987713;;;;;;;;prepaid life;;;;;</t>
  </si>
  <si>
    <t>ID_3500</t>
  </si>
  <si>
    <t>13864761;1d20b296-2d99-4846-bb22-a50bae51152e;;111111118;Vodacom Life 20260324;;;;;NA;5;2026-05-25 0</t>
  </si>
  <si>
    <t>13864761;1d20b296-2d99-4846-bb22-a50bae51152e;;111111118;Vodacom Life 20260324;;;;;NA;5;2026-05-25 08:31:15+02;system;2026-03-24 09:54:08+02;2026-03-24 09:54:08+02;;;;;;;;;27820733446;;;;;;;;prepaid life;;;;;</t>
  </si>
  <si>
    <t>ID_3501</t>
  </si>
  <si>
    <t>13864671;63eef4e2-23bd-44c8-8a43-63945747ac15;;111111118;Vodacom Life 20260324;;;;;CU;5;2026-05-22 1</t>
  </si>
  <si>
    <t>13864671;63eef4e2-23bd-44c8-8a43-63945747ac15;;111111118;Vodacom Life 20260324;;;;;CU;5;2026-05-22 13:11:04+02;bongiwe lushaba;2026-03-24 09:54:08+02;2026-03-24 09:54:08+02;;;;;;;;;27760129172;;;;;;;;prepaid life;;;;;</t>
  </si>
  <si>
    <t>ID_3502</t>
  </si>
  <si>
    <t>13864672;f94b7832-7eed-4df3-bc01-64743c06aa21;;111111118;Vodacom Life 20260324;;;27760343706;;IABDN;</t>
  </si>
  <si>
    <t>13864672;f94b7832-7eed-4df3-bc01-64743c06aa21;;111111118;Vodacom Life 20260324;;;27760343706;;IABDN;5;2026-05-22 17:09:42+02;system;2026-03-24 09:54:08+02;2026-03-24 09:54:08+02;;;;;;;;;27760343706;;;;;;;;prepaid life;;;;;</t>
  </si>
  <si>
    <t>ID_3503</t>
  </si>
  <si>
    <t xml:space="preserve">13864832;8844287d-8ce0-4fb3-b7b7-bcaced988c61;;111111118;Vodacom Life 20260324;;;;;ADC;5;2026-05-25 </t>
  </si>
  <si>
    <t>13864832;8844287d-8ce0-4fb3-b7b7-bcaced988c61;;111111118;Vodacom Life 20260324;;;;;ADC;5;2026-05-25 08:08:12+02;system;2026-03-24 09:54:08+02;2026-03-24 09:54:08+02;;;;;;;;;27660022150;;;;;;;;prepaid life;;;;;</t>
  </si>
  <si>
    <t>ID_3504</t>
  </si>
  <si>
    <t>13864762;7c538413-9e1a-4acc-9e02-6ac3399dcf43;;111111118;Vodacom Life 20260324;;;;;CBACK;1;2026-04-0</t>
  </si>
  <si>
    <t>13864762;7c538413-9e1a-4acc-9e02-6ac3399dcf43;;111111118;Vodacom Life 20260324;;;;;CBACK;1;2026-04-01 12:40:23+02;Millicent Motsuku;2026-03-24 09:54:08+02;2026-03-24 09:54:08+02;;;;;;;;;27822213135;;;;;;;;prepaid life;;;;;</t>
  </si>
  <si>
    <t>ID_3505</t>
  </si>
  <si>
    <t>13864833;188eda6c-ff58-4863-ab97-386b450fa0b7;;111111118;Vodacom Life 20260324;;;;;CU;5;2026-05-25 0</t>
  </si>
  <si>
    <t>13864833;188eda6c-ff58-4863-ab97-386b450fa0b7;;111111118;Vodacom Life 20260324;;;;;CU;5;2026-05-25 08:08:12+02;Maureen Ntsoko;2026-03-24 09:54:08+02;2026-03-24 09:54:08+02;;;;;;;;;27660426901;;;;;;;;prepaid life;;;;;</t>
  </si>
  <si>
    <t>ID_3506</t>
  </si>
  <si>
    <t>13864763;9d44b25f-8a52-4c1d-93e6-e866c9f7d477;;111111118;Vodacom Life 20260324;;;27822233525;;CU;5;2</t>
  </si>
  <si>
    <t>13864763;9d44b25f-8a52-4c1d-93e6-e866c9f7d477;;111111118;Vodacom Life 20260324;;;27822233525;;CU;5;2026-05-25 10:26:20+02;Maureen Ntsoko;2026-03-24 09:54:08+02;2026-03-24 09:54:08+02;;;;;;;;;27822233525;;;;;;;;prepaid life;;;;;</t>
  </si>
  <si>
    <t>ID_3507</t>
  </si>
  <si>
    <t>13864673;d83e9969-16ec-4e39-9516-64f2cc0101df;;111111118;Vodacom Life 20260324;;;;;QAVET;2;2026-04-0</t>
  </si>
  <si>
    <t>13864673;d83e9969-16ec-4e39-9516-64f2cc0101df;;111111118;Vodacom Life 20260324;;;;;QAVET;2;2026-04-09 10:53:05+02;Millicent Motsuku;2026-03-24 09:54:08+02;2026-03-24 09:54:08+02;;;;;;;;;27760778499;;;;;;;;prepaid life;;;;;</t>
  </si>
  <si>
    <t>ID_3508</t>
  </si>
  <si>
    <t xml:space="preserve">13864834;184adb9d-9f2d-4e1c-a69f-16dad2389c76;;111111118;Vodacom Life 20260324;;;;;ADC;5;2026-05-25 </t>
  </si>
  <si>
    <t>13864834;184adb9d-9f2d-4e1c-a69f-16dad2389c76;;111111118;Vodacom Life 20260324;;;;;ADC;5;2026-05-25 08:07:53+02;system;2026-03-24 09:54:08+02;2026-03-24 09:54:08+02;;;;;;;;;27660555496;;;;;;;;prepaid life;;;;;</t>
  </si>
  <si>
    <t>ID_3509</t>
  </si>
  <si>
    <t>13864674;9fe7edbd-5e1b-4205-99fe-3e43320ea8de;;111111118;Vodacom Life 20260324;;;;;AA;5;2026-05-22 1</t>
  </si>
  <si>
    <t>13864674;9fe7edbd-5e1b-4205-99fe-3e43320ea8de;;111111118;Vodacom Life 20260324;;;;;AA;5;2026-05-22 13:11:15+02;system;2026-03-24 09:54:08+02;2026-03-24 09:54:08+02;;;;;;;;;27760856915;;;;;;;;prepaid life;;;;;</t>
  </si>
  <si>
    <t>ID_3510</t>
  </si>
  <si>
    <t>13864764;50b9f1e6-63ff-4838-bf09-2928f1788d67;;111111118;Vodacom Life 20260324;;;;;AA;5;2026-05-25 0</t>
  </si>
  <si>
    <t>13864764;50b9f1e6-63ff-4838-bf09-2928f1788d67;;111111118;Vodacom Life 20260324;;;;;AA;5;2026-05-25 08:31:08+02;system;2026-03-24 09:54:08+02;2026-03-24 09:54:08+02;;;;;;;;;27822310749;;;;;;;;prepaid life;;;;;</t>
  </si>
  <si>
    <t>ID_3511</t>
  </si>
  <si>
    <t>13864835;e5b1825e-52f7-4887-a1b7-b2c908613495;;111111118;Vodacom Life 20260324;;;;;NIUP;1;2026-04-01</t>
  </si>
  <si>
    <t>13864835;e5b1825e-52f7-4887-a1b7-b2c908613495;;111111118;Vodacom Life 20260324;;;;;NIUP;1;2026-04-01 10:38:08+02;Millicent Motsuku;2026-03-24 09:54:08+02;2026-03-24 09:54:08+02;;;;;;;;;27660581852;;;;;;;;prepaid life;;;;;</t>
  </si>
  <si>
    <t>ID_3512</t>
  </si>
  <si>
    <t>13864765;ebbca73c-7824-4cc2-8158-6348cb6d6cf8;;111111118;Vodacom Life 20260324;;;;;AA;5;2026-05-25 0</t>
  </si>
  <si>
    <t>13864765;ebbca73c-7824-4cc2-8158-6348cb6d6cf8;;111111118;Vodacom Life 20260324;;;;;AA;5;2026-05-25 08:31:05+02;system;2026-03-24 09:54:08+02;2026-03-24 09:54:08+02;;;;;;;;;27822506697;;;;;;;;prepaid life;;;;;</t>
  </si>
  <si>
    <t>ID_3513</t>
  </si>
  <si>
    <t>13864675;f9531d14-5925-465c-9c80-2095a335dccc;;111111118;Vodacom Life 20260324;;;;;CBACK;5;2026-05-0</t>
  </si>
  <si>
    <t>13864675;f9531d14-5925-465c-9c80-2095a335dccc;;111111118;Vodacom Life 20260324;;;;;CBACK;5;2026-05-08 07:59:54+02;Thandile Nokubeni;2026-03-24 09:54:08+02;2026-03-24 09:54:08+02;;;;;;;;;27760978983;;;;;;;;prepaid life;;;;;</t>
  </si>
  <si>
    <t>ID_3514</t>
  </si>
  <si>
    <t>13864836;00f2931a-2422-4c10-8559-415d9b173b63;;111111118;Vodacom Life 20260324;;;;;NI;3;2026-04-14 1</t>
  </si>
  <si>
    <t>13864836;00f2931a-2422-4c10-8559-415d9b173b63;;111111118;Vodacom Life 20260324;;;;;NI;3;2026-04-14 12:25:14+02;Esther Ramalete;2026-03-24 09:54:08+02;2026-03-24 09:54:08+02;;;;;;;;;27660753533;;;;;;;;prepaid life;;;;;</t>
  </si>
  <si>
    <t>ID_3515</t>
  </si>
  <si>
    <t>13864837;eb85563f-3f5e-4cbb-ba6b-b45d738492dc;;111111118;Vodacom Life 20260324;;;;;NA;5;2026-05-25 0</t>
  </si>
  <si>
    <t>13864837;eb85563f-3f5e-4cbb-ba6b-b45d738492dc;;111111118;Vodacom Life 20260324;;;;;NA;5;2026-05-25 08:07:31+02;system;2026-03-24 09:54:08+02;2026-03-24 09:54:08+02;;;;;;;;;27661081769;;;;;;;;prepaid life;;;;;</t>
  </si>
  <si>
    <t>ID_3516</t>
  </si>
  <si>
    <t>13864767;0e1bc2c6-2e7a-46b4-9d31-452fb0978cb9;;111111118;Vodacom Life 20260324;;;27823696893;;CU;5;2</t>
  </si>
  <si>
    <t>13864767;0e1bc2c6-2e7a-46b4-9d31-452fb0978cb9;;111111118;Vodacom Life 20260324;;;27823696893;;CU;5;2026-05-22 13:02:33+02;Khensane Mabasa;2026-03-24 09:54:08+02;2026-03-24 09:54:08+02;;;;;;;;;27823696893;;;;;;;;prepaid life;;;;;</t>
  </si>
  <si>
    <t>ID_3517</t>
  </si>
  <si>
    <t>13864676;036951dd-6054-4d60-afaa-dae84acbbc6f;;111111118;Vodacom Life 20260324;;;;;NA;5;2026-05-25 0</t>
  </si>
  <si>
    <t>13864676;036951dd-6054-4d60-afaa-dae84acbbc6f;;111111118;Vodacom Life 20260324;;;;;NA;5;2026-05-25 09:08:05+02;system;2026-03-24 09:54:08+02;2026-03-24 09:54:08+02;;;;;;;;;27761107611;;;;;;;;prepaid life;;;;;</t>
  </si>
  <si>
    <t>ID_3518</t>
  </si>
  <si>
    <t>13864838;88671826-b562-44d0-81ea-599f29d43064;;111111118;Vodacom Life 20260324;;;;;AA;5;2026-05-25 0</t>
  </si>
  <si>
    <t>13864838;88671826-b562-44d0-81ea-599f29d43064;;111111118;Vodacom Life 20260324;;;;;AA;5;2026-05-25 08:07:23+02;system;2026-03-24 09:54:08+02;2026-03-24 09:54:08+02;;;;;;;;;27661576708;;;;;;;;prepaid life;;;;;</t>
  </si>
  <si>
    <t>ID_3519</t>
  </si>
  <si>
    <t>13864677;23e75de1-9258-4748-8169-32e2cdb995cb;;111111118;Vodacom Life 20260324;;;;;AA;5;2026-05-25 0</t>
  </si>
  <si>
    <t>13864677;23e75de1-9258-4748-8169-32e2cdb995cb;;111111118;Vodacom Life 20260324;;;;;AA;5;2026-05-25 09:08:06+02;system;2026-03-24 09:54:08+02;2026-03-24 09:54:08+02;;;;;;;;;27761134957;;;;;;;;prepaid life;;;;;</t>
  </si>
  <si>
    <t>ID_3520</t>
  </si>
  <si>
    <t>13864768;c8309bc7-708c-41b6-a973-bd020938ded5;;111111118;Vodacom Life 20260324;;;;;DROP;5;2026-05-22</t>
  </si>
  <si>
    <t>13864768;c8309bc7-708c-41b6-a973-bd020938ded5;;111111118;Vodacom Life 20260324;;;;;DROP;5;2026-05-22 13:01:55+02;system;2026-03-24 09:54:08+02;2026-03-24 09:54:08+02;;;;;;;;;27823829775;;;;;;;;prepaid life;;;;;</t>
  </si>
  <si>
    <t>ID_3521</t>
  </si>
  <si>
    <t>13864839;74ab5abd-33a4-42de-bce7-69bc9a4619c5;;111111118;Vodacom Life 20260324;;;;;DROP;5;2026-05-25</t>
  </si>
  <si>
    <t>13864839;74ab5abd-33a4-42de-bce7-69bc9a4619c5;;111111118;Vodacom Life 20260324;;;;;DROP;5;2026-05-25 08:07:18+02;system;2026-03-24 09:54:08+02;2026-03-24 09:54:08+02;;;;;;;;;27661711417;;;;;;;;prepaid life;;;;;</t>
  </si>
  <si>
    <t>ID_3522</t>
  </si>
  <si>
    <t>13864769;394e49b0-e999-4586-b5d0-1458cadb14b0;;111111118;Vodacom Life 20260324;;;27823887838;;IABDN;</t>
  </si>
  <si>
    <t>13864769;394e49b0-e999-4586-b5d0-1458cadb14b0;;111111118;Vodacom Life 20260324;;;27823887838;;IABDN;5;2026-05-11 08:35:39+02;system;2026-03-24 09:54:08+02;2026-03-24 09:54:08+02;;;;;;;;;27823887838;;;;;;;;prepaid life;;;;;</t>
  </si>
  <si>
    <t>ID_3523</t>
  </si>
  <si>
    <t>13864840;79e0f8c0-9167-4d23-9fe1-78d6152b8b51;;111111118;Vodacom Life 20260324;;;;;AA;5;2026-05-25 0</t>
  </si>
  <si>
    <t>13864840;79e0f8c0-9167-4d23-9fe1-78d6152b8b51;;111111118;Vodacom Life 20260324;;;;;AA;5;2026-05-25 08:07:14+02;system;2026-03-24 09:54:08+02;2026-03-24 09:54:08+02;;;;;;;;;27661770970;;;;;;;;prepaid life;;;;;</t>
  </si>
  <si>
    <t>ID_3524</t>
  </si>
  <si>
    <t>13864679;051bd0cf-3522-4610-9dc4-6fe3d73804c3;;111111118;Vodacom Life 20260324;;;;;CBACK;2;2026-04-0</t>
  </si>
  <si>
    <t>13864679;051bd0cf-3522-4610-9dc4-6fe3d73804c3;;111111118;Vodacom Life 20260324;;;;;CBACK;2;2026-04-09 11:08:21+02;Mahlatse Manamela;2026-03-24 09:54:08+02;2026-03-24 09:54:08+02;;;;;;;;;27761468129;;;;;;;;prepaid life;;;;;</t>
  </si>
  <si>
    <t>ID_3525</t>
  </si>
  <si>
    <t>13864680;6fa9c3ba-3a82-43f7-8b4d-b951ca737d4e;;111111118;Vodacom Life 20260324;;;;;A;6;2026-05-26 13</t>
  </si>
  <si>
    <t>13864680;6fa9c3ba-3a82-43f7-8b4d-b951ca737d4e;;111111118;Vodacom Life 20260324;;;;;A;6;2026-05-26 13:31:58+02;Khensane Mabasa;2026-03-24 09:54:08+02;2026-03-24 09:54:08+02;;;;;;;;;27761471716;;;;;;;;prepaid life;;;;;</t>
  </si>
  <si>
    <t>ID_3526</t>
  </si>
  <si>
    <t>13864770;4feb262e-da65-446a-b843-d9b933427e7e;;111111118;Vodacom Life 20260324;;;;;AA;5;2026-05-22 1</t>
  </si>
  <si>
    <t>13864770;4feb262e-da65-446a-b843-d9b933427e7e;;111111118;Vodacom Life 20260324;;;;;AA;5;2026-05-22 13:04:38+02;system;2026-03-24 09:54:08+02;2026-03-24 09:54:08+02;;;;;;;;;27823986984;;;;;;;;prepaid life;;;;;</t>
  </si>
  <si>
    <t>ID_3527</t>
  </si>
  <si>
    <t>13864841;64b4ec5b-438f-463e-adea-dd7b2b151d21;;111111118;Vodacom Life 20260324;;;;;AA;5;2026-05-25 0</t>
  </si>
  <si>
    <t>13864841;64b4ec5b-438f-463e-adea-dd7b2b151d21;;111111118;Vodacom Life 20260324;;;;;AA;5;2026-05-25 08:07:14+02;system;2026-03-24 09:54:08+02;2026-03-24 09:54:08+02;;;;;;;;;27662230786;;;;;;;;prepaid life;;;;;</t>
  </si>
  <si>
    <t>ID_3528</t>
  </si>
  <si>
    <t>13864842;a3b5dbdd-0a2e-4f08-a29b-a4e769af6e18;;111111118;Vodacom Life 20260324;;;;;AA;5;2026-05-25 0</t>
  </si>
  <si>
    <t>13864842;a3b5dbdd-0a2e-4f08-a29b-a4e769af6e18;;111111118;Vodacom Life 20260324;;;;;AA;5;2026-05-25 08:07:08+02;system;2026-03-24 09:54:08+02;2026-03-24 09:54:08+02;;;;;;;;;27663170157;;;;;;;;prepaid life;;;;;</t>
  </si>
  <si>
    <t>ID_3529</t>
  </si>
  <si>
    <t>13864771;9c12fa96-c596-4d6c-9d8a-2f010d48f5db;;111111118;Vodacom Life 20260324;;;;;AA;5;2026-05-22 1</t>
  </si>
  <si>
    <t>13864771;9c12fa96-c596-4d6c-9d8a-2f010d48f5db;;111111118;Vodacom Life 20260324;;;;;AA;5;2026-05-22 13:01:23+02;system;2026-03-24 09:54:08+02;2026-03-24 09:54:08+02;;;;;;;;;27824029743;;;;;;;;prepaid life;;;;;</t>
  </si>
  <si>
    <t>ID_3530</t>
  </si>
  <si>
    <t>13864681;dea0252e-3104-4e8b-a483-865a98db5bce;;111111118;Vodacom Life 20260324;;;;;AA;5;2026-05-25 0</t>
  </si>
  <si>
    <t>13864681;dea0252e-3104-4e8b-a483-865a98db5bce;;111111118;Vodacom Life 20260324;;;;;AA;5;2026-05-25 09:08:19+02;system;2026-03-24 09:54:08+02;2026-03-24 09:54:08+02;;;;;;;;;27761585408;;;;;;;;prepaid life;;;;;</t>
  </si>
  <si>
    <t>ID_3531</t>
  </si>
  <si>
    <t>13864843;a655d1ee-8659-4bab-bf2d-ab7117e4f1b9;;111111118;Vodacom Life 20260324;;;27663441485;;IABDN;</t>
  </si>
  <si>
    <t>13864843;a655d1ee-8659-4bab-bf2d-ab7117e4f1b9;;111111118;Vodacom Life 20260324;;;27663441485;;IABDN;5;2026-05-22 12:55:52+02;system;2026-03-24 09:54:08+02;2026-03-24 09:54:08+02;;;;;;;;;27663441485;;;;;;;;prepaid life;;;;;</t>
  </si>
  <si>
    <t>ID_3532</t>
  </si>
  <si>
    <t>13864682;bdda7d7b-2ea4-4f94-be97-f700eebf4d1a;;111111118;Vodacom Life 20260324;;;;;AA;5;2026-05-25 0</t>
  </si>
  <si>
    <t>13864682;bdda7d7b-2ea4-4f94-be97-f700eebf4d1a;;111111118;Vodacom Life 20260324;;;;;AA;5;2026-05-25 09:08:24+02;system;2026-03-24 09:54:08+02;2026-03-24 09:54:08+02;;;;;;;;;27761647447;;;;;;;;prepaid life;;;;;</t>
  </si>
  <si>
    <t>ID_3533</t>
  </si>
  <si>
    <t>13864772;2e83fe1e-2b47-4c94-9a59-9424d4faaf57;;111111118;Vodacom Life 20260324;;;;;AE;5;2026-05-22 1</t>
  </si>
  <si>
    <t>13864772;2e83fe1e-2b47-4c94-9a59-9424d4faaf57;;111111118;Vodacom Life 20260324;;;;;AE;5;2026-05-22 13:04:37+02;system;2026-03-24 09:54:08+02;2026-03-24 09:54:08+02;;;;;;;;;27824085408;;;;;;;;prepaid life;;;;;</t>
  </si>
  <si>
    <t>ID_3534</t>
  </si>
  <si>
    <t>13864773;28ec27f5-7e15-442e-813b-2bee222d0c92;;111111118;Vodacom Life 20260324;;;;;NA;5;2026-05-22 1</t>
  </si>
  <si>
    <t>13864773;28ec27f5-7e15-442e-813b-2bee222d0c92;;111111118;Vodacom Life 20260324;;;;;NA;5;2026-05-22 13:01:24+02;system;2026-03-24 09:54:08+02;2026-03-24 09:54:08+02;;;;;;;;;27824324870;;;;;;;;prepaid life;;;;;</t>
  </si>
  <si>
    <t>ID_3535</t>
  </si>
  <si>
    <t>13864844;ec8480cd-b02a-4b5f-ad62-1a681a5e5d61;;111111118;Vodacom Life 20260324;;;27663584346;;AA;5;2</t>
  </si>
  <si>
    <t>13864844;ec8480cd-b02a-4b5f-ad62-1a681a5e5d61;;111111118;Vodacom Life 20260324;;;27663584346;;AA;5;2026-05-22 13:00:03+02;system;2026-03-24 09:54:08+02;2026-03-24 09:54:08+02;;;;;;;;;27663584346;;;;;;;;prepaid life;;;;;</t>
  </si>
  <si>
    <t>ID_3536</t>
  </si>
  <si>
    <t xml:space="preserve">13864774;6bc0a1fa-4d77-447b-8f24-71af8bd92eb3;;111111118;Vodacom Life 20260324;;;;;ADC;5;2026-05-25 </t>
  </si>
  <si>
    <t>13864774;6bc0a1fa-4d77-447b-8f24-71af8bd92eb3;;111111118;Vodacom Life 20260324;;;;;ADC;5;2026-05-25 08:31:05+02;system;2026-03-24 09:54:08+02;2026-03-24 09:54:08+02;;;;;;;;;27824754718;;;;;;;;prepaid life;;;;;</t>
  </si>
  <si>
    <t>ID_3537</t>
  </si>
  <si>
    <t>13864683;0d13f691-c211-4971-8e03-7d70e64eb738;;111111118;Vodacom Life 20260324;;;27761776210;;AA;5;2</t>
  </si>
  <si>
    <t>13864683;0d13f691-c211-4971-8e03-7d70e64eb738;;111111118;Vodacom Life 20260324;;;27761776210;;AA;5;2026-05-22 13:09:09+02;system;2026-03-24 09:54:08+02;2026-03-24 09:54:08+02;;;;;;;;;27761776210;;;;;;;;prepaid life;;;;;</t>
  </si>
  <si>
    <t>ID_3538</t>
  </si>
  <si>
    <t>13864845;23be9a70-e8c8-4773-86d2-e9fc086c5bd9;;111111118;Vodacom Life 20260324;;;;;AA;5;2026-05-22 1</t>
  </si>
  <si>
    <t>13864845;23be9a70-e8c8-4773-86d2-e9fc086c5bd9;;111111118;Vodacom Life 20260324;;;;;AA;5;2026-05-22 12:54:58+02;system;2026-03-24 09:54:08+02;2026-03-24 09:54:08+02;;;;;;;;;27663636521;;;;;;;;prepaid life;;;;;</t>
  </si>
  <si>
    <t>ID_3539</t>
  </si>
  <si>
    <t>13864684;4b91dbdb-c5e1-4fe1-ad93-6d00db5a64d7;;111111118;Vodacom Life 20260324;;;27761886296;;DROP;5</t>
  </si>
  <si>
    <t>13864684;4b91dbdb-c5e1-4fe1-ad93-6d00db5a64d7;;111111118;Vodacom Life 20260324;;;27761886296;;DROP;5;2026-05-22 13:09:25+02;system;2026-03-24 09:54:08+02;2026-03-24 09:54:08+02;;;;;;;;;27761886296;;;;;;;;prepaid life;;;;;</t>
  </si>
  <si>
    <t>ID_3540</t>
  </si>
  <si>
    <t>13864846;6c646f45-caa0-44d6-a42a-724b2a000031;;111111118;Vodacom Life 20260324;;;27664064296;;CBACK;</t>
  </si>
  <si>
    <t>13864846;6c646f45-caa0-44d6-a42a-724b2a000031;;111111118;Vodacom Life 20260324;;;27664064296;;CBACK;4;2026-05-07 14:49:35+02;Maureen Ntsoko;2026-03-24 09:54:08+02;2026-03-24 09:54:08+02;;;;;;;;;27664064296;;;;;;;;prepaid life;;;;;</t>
  </si>
  <si>
    <t>ID_3541</t>
  </si>
  <si>
    <t>13864685;1e01e887-f2d0-4695-844f-b4ce6e971565;;111111118;Vodacom Life 20260324;;;;;CU;5;2026-05-22 1</t>
  </si>
  <si>
    <t>13864685;1e01e887-f2d0-4695-844f-b4ce6e971565;;111111118;Vodacom Life 20260324;;;;;CU;5;2026-05-22 13:09:07+02;Khensane Mabasa;2026-03-24 09:54:08+02;2026-03-24 09:54:08+02;;;;;;;;;27762138538;;;;;;;;prepaid life;;;;;</t>
  </si>
  <si>
    <t>ID_3542</t>
  </si>
  <si>
    <t>13864775;727bc7dd-24f4-4012-bb7e-c28a5d8f9837;;111111118;Vodacom Life 20260324;;;27824985786;;A;5;20</t>
  </si>
  <si>
    <t>13864775;727bc7dd-24f4-4012-bb7e-c28a5d8f9837;;111111118;Vodacom Life 20260324;;;27824985786;;A;5;2026-05-25 08:37:00+02;bongiwe lushaba;2026-03-24 09:54:08+02;2026-03-24 09:54:08+02;;;;;;;;;27824985786;;;;;;;;prepaid life;;;;;</t>
  </si>
  <si>
    <t>ID_3543</t>
  </si>
  <si>
    <t>13864847;3bd25cf4-fd77-4c0a-97c7-8b1859295656;;111111118;Vodacom Life 20260324;;;;;DNQS;1;2026-04-01</t>
  </si>
  <si>
    <t>13864847;3bd25cf4-fd77-4c0a-97c7-8b1859295656;;111111118;Vodacom Life 20260324;;;;;DNQS;1;2026-04-01 10:24:07+02;Thandile Nokubeni;2026-03-24 09:54:08+02;2026-03-24 09:54:08+02;;;;;;;;;27664640685;;;;;;;;prepaid life;;;;;</t>
  </si>
  <si>
    <t>ID_3544</t>
  </si>
  <si>
    <t>13864848;0fc8c48a-bd2a-4a23-a041-7c860df17318;;111111118;Vodacom Life 20260324;;;27664936025;;IABDN;</t>
  </si>
  <si>
    <t>13864848;0fc8c48a-bd2a-4a23-a041-7c860df17318;;111111118;Vodacom Life 20260324;;;27664936025;;IABDN;5;2026-05-23 09:58:17+02;system;2026-03-24 09:54:08+02;2026-03-24 09:54:08+02;;;;;;;;;27664936025;;;;;;;;prepaid life;;;;;</t>
  </si>
  <si>
    <t>ID_3545</t>
  </si>
  <si>
    <t>13864777;93a49413-130d-4ad5-81bb-e8a28f8b7c3c;;111111118;Vodacom Life 20260324;;;;;NI;3;2026-04-14 1</t>
  </si>
  <si>
    <t>13864777;93a49413-130d-4ad5-81bb-e8a28f8b7c3c;;111111118;Vodacom Life 20260324;;;;;NI;3;2026-04-14 15:19:57+02;Thandile Nokubeni;2026-03-24 09:54:08+02;2026-03-24 09:54:08+02;;;;;;;;;27825176257;;;;;;;;prepaid life;;;;;</t>
  </si>
  <si>
    <t>ID_3546</t>
  </si>
  <si>
    <t xml:space="preserve">13864686;5a8c722e-9384-430e-b230-e2e6d8489d28;;111111118;Vodacom Life 20260324;;;;;ADC;5;2026-05-22 </t>
  </si>
  <si>
    <t>13864686;5a8c722e-9384-430e-b230-e2e6d8489d28;;111111118;Vodacom Life 20260324;;;;;ADC;5;2026-05-22 13:10:16+02;system;2026-03-24 09:54:08+02;2026-03-24 09:54:08+02;;;;;;;;;27762349124;;;;;;;;prepaid life;;;;;</t>
  </si>
  <si>
    <t>ID_3547</t>
  </si>
  <si>
    <t>13864849;b98b8146-f4d4-4ed4-b746-99c0e64c1186;;111111118;Vodacom Life 20260324;;;;;CBACK;2;2026-04-0</t>
  </si>
  <si>
    <t>13864849;b98b8146-f4d4-4ed4-b746-99c0e64c1186;;111111118;Vodacom Life 20260324;;;;;CBACK;2;2026-04-09 10:45:58+02;Maureen Ntsoko;2026-03-24 09:54:08+02;2026-03-24 09:54:08+02;;;;;;;;;27664938878;;;;;;;;prepaid life;;;;;</t>
  </si>
  <si>
    <t>ID_3548</t>
  </si>
  <si>
    <t>13864687;adf328d9-bff0-40d7-8649-61ca8b5b2c97;;111111118;Vodacom Life 20260324;;;27762926068;;CU;5;2</t>
  </si>
  <si>
    <t>13864687;adf328d9-bff0-40d7-8649-61ca8b5b2c97;;111111118;Vodacom Life 20260324;;;27762926068;;CU;5;2026-05-25 09:09:40+02;Maureen Ntsoko;2026-03-24 09:54:08+02;2026-03-24 09:54:08+02;;;;;;;;;27762926068;;;;;;;;prepaid life;;;;;</t>
  </si>
  <si>
    <t>ID_3549</t>
  </si>
  <si>
    <t>13864778;c1d0c0e2-3ff7-435f-9d38-a9e3220ac0d6;;111111118;Vodacom Life 20260324;;;;;AE;5;2026-05-25 0</t>
  </si>
  <si>
    <t>13864778;c1d0c0e2-3ff7-435f-9d38-a9e3220ac0d6;;111111118;Vodacom Life 20260324;;;;;AE;5;2026-05-25 08:29:57+02;system;2026-03-24 09:54:08+02;2026-03-24 09:54:08+02;;;;;;;;;27825485418;;;;;;;;prepaid life;;;;;</t>
  </si>
  <si>
    <t>ID_3550</t>
  </si>
  <si>
    <t>13864850;983d144a-1527-44b3-b46f-93e85d6897af;;111111118;Vodacom Life 20260324;;;27665316104;;AA;5;2</t>
  </si>
  <si>
    <t>13864850;983d144a-1527-44b3-b46f-93e85d6897af;;111111118;Vodacom Life 20260324;;;27665316104;;AA;5;2026-05-23 09:49:14+02;system;2026-03-24 09:54:08+02;2026-03-24 09:54:08+02;;;;;;;;;27665316104;;;;;;;;prepaid life;;;;;</t>
  </si>
  <si>
    <t>ID_3551</t>
  </si>
  <si>
    <t>13864851;d37b8bff-f1fb-42db-8ead-a9c017175049;;111111118;Vodacom Life 20260324;;;;;DC;5;2026-04-14 1</t>
  </si>
  <si>
    <t>13864851;d37b8bff-f1fb-42db-8ead-a9c017175049;;111111118;Vodacom Life 20260324;;;;;DC;5;2026-04-14 14:43:35+02;Thandile Nokubeni;2026-03-24 09:54:08+02;2026-03-24 09:54:08+02;;;;;;;;;27665675019;;;;;;;;prepaid life;;;;;</t>
  </si>
  <si>
    <t>ID_3552</t>
  </si>
  <si>
    <t>13864779;573fb005-ba2f-4405-8020-3e25554b6a41;;111111118;Vodacom Life 20260324;;;;;CU;5;2026-05-25 0</t>
  </si>
  <si>
    <t>13864779;573fb005-ba2f-4405-8020-3e25554b6a41;;111111118;Vodacom Life 20260324;;;;;CU;5;2026-05-25 08:29:48+02;Maureen Ntsoko;2026-03-24 09:54:08+02;2026-03-24 09:54:08+02;;;;;;;;;27825538485;;;;;;;;prepaid life;;;;;</t>
  </si>
  <si>
    <t>ID_3553</t>
  </si>
  <si>
    <t>13864688;76fba94d-b4c7-4356-9cec-61ab3033aaa3;;111111118;Vodacom Life 20260324;;;;;CU;5;2026-05-25 0</t>
  </si>
  <si>
    <t>13864688;76fba94d-b4c7-4356-9cec-61ab3033aaa3;;111111118;Vodacom Life 20260324;;;;;CU;5;2026-05-25 09:10:00+02;bongiwe lushaba;2026-03-24 09:54:08+02;2026-03-24 09:54:08+02;;;;;;;;;27763130955;;;;;;;;prepaid life;;;;;</t>
  </si>
  <si>
    <t>ID_3554</t>
  </si>
  <si>
    <t xml:space="preserve">13864852;8d5c3828-5b08-40c5-92d3-c856f443bc2b;;111111118;Vodacom Life 20260324;;;;;ADC;5;2026-05-23 </t>
  </si>
  <si>
    <t>13864852;8d5c3828-5b08-40c5-92d3-c856f443bc2b;;111111118;Vodacom Life 20260324;;;;;ADC;5;2026-05-23 09:49:12+02;system;2026-03-24 09:54:08+02;2026-03-24 09:54:08+02;;;;;;;;;27670389325;;;;;;;;prepaid life;;;;;</t>
  </si>
  <si>
    <t>ID_3555</t>
  </si>
  <si>
    <t>13864689;8f2ff074-c66e-4bba-9a35-caa4a6515ed6;;111111118;Vodacom Life 20260324;;;;;NI;3;2026-04-14 1</t>
  </si>
  <si>
    <t>13864689;8f2ff074-c66e-4bba-9a35-caa4a6515ed6;;111111118;Vodacom Life 20260324;;;;;NI;3;2026-04-14 14:56:35+02;Thandile Nokubeni;2026-03-24 09:54:08+02;2026-03-24 09:54:08+02;;;;;;;;;27763491162;;;;;;;;prepaid life;;;;;</t>
  </si>
  <si>
    <t>ID_3556</t>
  </si>
  <si>
    <t>13864690;fbb42355-27d4-4b31-ae37-ffe7df85faa5;;111111118;Vodacom Life 20260324;;;;;AA;5;2026-05-25 0</t>
  </si>
  <si>
    <t>13864690;fbb42355-27d4-4b31-ae37-ffe7df85faa5;;111111118;Vodacom Life 20260324;;;;;AA;5;2026-05-25 09:10:05+02;system;2026-03-24 09:54:08+02;2026-03-24 09:54:08+02;;;;;;;;;27763898496;;;;;;;;prepaid life;;;;;</t>
  </si>
  <si>
    <t>ID_3557</t>
  </si>
  <si>
    <t>13864780;feb17c73-c0df-46cb-b075-3c95e0256087;;111111118;Vodacom Life 20260324;;;;;AA;5;2026-05-25 0</t>
  </si>
  <si>
    <t>13864780;feb17c73-c0df-46cb-b075-3c95e0256087;;111111118;Vodacom Life 20260324;;;;;AA;5;2026-05-25 08:29:42+02;system;2026-03-24 09:54:08+02;2026-03-24 09:54:08+02;;;;;;;;;27825726157;;;;;;;;prepaid life;;;;;</t>
  </si>
  <si>
    <t>ID_3558</t>
  </si>
  <si>
    <t>13864853;ac884d97-5d5f-43b1-8ee4-594189c8e999;;111111118;Vodacom Life 20260324;;;;;NA;5;2026-05-23 0</t>
  </si>
  <si>
    <t>13864853;ac884d97-5d5f-43b1-8ee4-594189c8e999;;111111118;Vodacom Life 20260324;;;;;NA;5;2026-05-23 09:46:55+02;system;2026-03-24 09:54:08+02;2026-03-24 09:54:08+02;;;;;;;;;27671594556;;;;;;;;prepaid life;;;;;</t>
  </si>
  <si>
    <t>ID_3559</t>
  </si>
  <si>
    <t>13864854;160f98ee-7972-4b0f-8112-ca3c2efe3743;;111111118;Vodacom Life 20260324;;;;;DROP;5;2026-05-23</t>
  </si>
  <si>
    <t>13864854;160f98ee-7972-4b0f-8112-ca3c2efe3743;;111111118;Vodacom Life 20260324;;;;;DROP;5;2026-05-23 09:46:55+02;system;2026-03-24 09:54:08+02;2026-03-24 09:54:08+02;;;;;;;;;27673251722;;;;;;;;prepaid life;;;;;</t>
  </si>
  <si>
    <t>ID_3560</t>
  </si>
  <si>
    <t>13864781;4144e0b0-4432-4b60-9a29-fdfb9efaf288;;111111118;Vodacom Life 20260324;;;;;AA;5;2026-05-25 0</t>
  </si>
  <si>
    <t>13864781;4144e0b0-4432-4b60-9a29-fdfb9efaf288;;111111118;Vodacom Life 20260324;;;;;AA;5;2026-05-25 08:25:45+02;system;2026-03-24 09:54:08+02;2026-03-24 09:54:08+02;;;;;;;;;27826384394;;;;;;;;prepaid life;;;;;</t>
  </si>
  <si>
    <t>ID_3561</t>
  </si>
  <si>
    <t>13864782;5cda0cdb-9419-4963-8846-9739394c0579;;111111118;Vodacom Life 20260324;;;;;AA;5;2026-05-25 0</t>
  </si>
  <si>
    <t>13864782;5cda0cdb-9419-4963-8846-9739394c0579;;111111118;Vodacom Life 20260324;;;;;AA;5;2026-05-25 08:25:45+02;system;2026-03-24 09:54:08+02;2026-03-24 09:54:08+02;;;;;;;;;27826917753;;;;;;;;prepaid life;;;;;</t>
  </si>
  <si>
    <t>ID_3562</t>
  </si>
  <si>
    <t>13864783;92df2d68-7559-48f0-9801-dcd976cc77cf;;111111118;Vodacom Life 20260324;;;;;AA;5;2026-05-25 0</t>
  </si>
  <si>
    <t>13864783;92df2d68-7559-48f0-9801-dcd976cc77cf;;111111118;Vodacom Life 20260324;;;;;AA;5;2026-05-25 08:24:47+02;system;2026-03-24 09:54:08+02;2026-03-24 09:54:08+02;;;;;;;;;27827142181;;;;;;;;prepaid life;;;;;</t>
  </si>
  <si>
    <t>ID_3563</t>
  </si>
  <si>
    <t>13864691;cb34285d-7e54-4b48-b4ab-6130cd7c8c88;;111111118;Vodacom Life 20260324;;;;;AA;5;2026-05-25 0</t>
  </si>
  <si>
    <t>13864691;cb34285d-7e54-4b48-b4ab-6130cd7c8c88;;111111118;Vodacom Life 20260324;;;;;AA;5;2026-05-25 09:10:06+02;system;2026-03-24 09:54:08+02;2026-03-24 09:54:08+02;;;;;;;;;27764244880;;;;;;;;prepaid life;;;;;</t>
  </si>
  <si>
    <t>ID_3564</t>
  </si>
  <si>
    <t>13864692;fc189fe3-f03e-4cec-aeac-c1dde6f6bf35;;111111118;Vodacom Life 20260324;;;;;AA;5;2026-05-25 1</t>
  </si>
  <si>
    <t>13864692;fc189fe3-f03e-4cec-aeac-c1dde6f6bf35;;111111118;Vodacom Life 20260324;;;;;AA;5;2026-05-25 14:07:16+02;system;2026-03-24 09:54:08+02;2026-03-24 09:54:08+02;;;;;;;;;27764686092;;;;;;;;prepaid life;;;;;</t>
  </si>
  <si>
    <t>ID_3565</t>
  </si>
  <si>
    <t>13864693;91c3a214-ad38-45de-b3ae-b10b7342ecd7;;111111118;Vodacom Life 20260324;;;;;AA;5;2026-05-25 1</t>
  </si>
  <si>
    <t>13864693;91c3a214-ad38-45de-b3ae-b10b7342ecd7;;111111118;Vodacom Life 20260324;;;;;AA;5;2026-05-25 14:07:16+02;system;2026-03-24 09:54:08+02;2026-03-24 09:54:08+02;;;;;;;;;27764777749;;;;;;;;prepaid life;;;;;</t>
  </si>
  <si>
    <t>ID_3566</t>
  </si>
  <si>
    <t>13864784;a421e4f6-5b52-4cef-acf0-ac30f7ca33ab;;111111118;Vodacom Life 20260324;;;;;CBACK;3;2026-04-1</t>
  </si>
  <si>
    <t>13864784;a421e4f6-5b52-4cef-acf0-ac30f7ca33ab;;111111118;Vodacom Life 20260324;;;;;CBACK;3;2026-04-14 14:47:43+02;Millicent Motsuku;2026-03-24 09:54:08+02;2026-03-24 09:54:08+02;;;;;;;;;27827666068;;;;;;;;prepaid life;;;;;</t>
  </si>
  <si>
    <t>ID_3567</t>
  </si>
  <si>
    <t>13864856;0f415310-26f9-48ef-9ac3-35536fffc23c;;111111118;Vodacom Life 20260324;;;;;NA;5;2026-05-23 0</t>
  </si>
  <si>
    <t>13864856;0f415310-26f9-48ef-9ac3-35536fffc23c;;111111118;Vodacom Life 20260324;;;;;NA;5;2026-05-23 09:45:39+02;system;2026-03-24 09:54:08+02;2026-03-24 09:54:08+02;;;;;;;;;27673990566;;;;;;;;prepaid life;;;;;</t>
  </si>
  <si>
    <t>ID_3568</t>
  </si>
  <si>
    <t>13864785;3d896d5d-4c88-4e2f-b05e-bca50a5e04c7;;111111118;Vodacom Life 20260324;;;27827686685;;IABDN;</t>
  </si>
  <si>
    <t>13864785;3d896d5d-4c88-4e2f-b05e-bca50a5e04c7;;111111118;Vodacom Life 20260324;;;27827686685;;IABDN;5;2026-05-25 08:33:24+02;system;2026-03-24 09:54:08+02;2026-03-24 09:54:08+02;;;;;;;;;27827686685;;;;;;;;prepaid life;;;;;</t>
  </si>
  <si>
    <t>ID_3569</t>
  </si>
  <si>
    <t>13864694;2b25d37c-d40c-44d5-824d-01650213b993;;111111118;Vodacom Life 20260324;;;;;AE;5;2026-05-25 1</t>
  </si>
  <si>
    <t>13864694;2b25d37c-d40c-44d5-824d-01650213b993;;111111118;Vodacom Life 20260324;;;;;AE;5;2026-05-25 14:07:30+02;system;2026-03-24 09:54:08+02;2026-03-24 09:54:08+02;;;;;;;;;27765131307;;;;;;;;prepaid life;;;;;</t>
  </si>
  <si>
    <t>ID_3570</t>
  </si>
  <si>
    <t>13864857;82ca79df-21cb-4140-b72d-38240a77f68c;;111111118;Vodacom Life 20260324;;;;;NIUP;4;2026-05-07</t>
  </si>
  <si>
    <t>13864857;82ca79df-21cb-4140-b72d-38240a77f68c;;111111118;Vodacom Life 20260324;;;;;NIUP;4;2026-05-07 14:38:17+02;Seboifeng Mogola;2026-03-24 09:54:08+02;2026-03-24 09:54:08+02;;;;;;;;;27674159349;;;;;;;;prepaid life;;;;;</t>
  </si>
  <si>
    <t>ID_3571</t>
  </si>
  <si>
    <t>13864695;f37d94c4-3034-40de-8712-e69eaaf199aa;;111111118;Vodacom Life 20260324;;;;;NI;3;2026-04-14 1</t>
  </si>
  <si>
    <t>13864695;f37d94c4-3034-40de-8712-e69eaaf199aa;;111111118;Vodacom Life 20260324;;;;;NI;3;2026-04-14 14:55:07+02;Thandile Nokubeni;2026-03-24 09:54:08+02;2026-03-24 09:54:08+02;;;;;;;;;27765261254;;;;;;;;prepaid life;;;;;</t>
  </si>
  <si>
    <t>ID_3572</t>
  </si>
  <si>
    <t>13864786;c0889bce-e78d-4bc7-8f91-4fd0b6aebbae;;111111118;Vodacom Life 20260324;;;27828272406;;ADC;5;</t>
  </si>
  <si>
    <t>13864786;c0889bce-e78d-4bc7-8f91-4fd0b6aebbae;;111111118;Vodacom Life 20260324;;;27828272406;;ADC;5;2026-05-25 08:23:23+02;system;2026-03-24 09:54:08+02;2026-03-24 09:54:08+02;;;;;;;;;27828272406;;;;;;;;prepaid life;;;;;</t>
  </si>
  <si>
    <t>ID_3573</t>
  </si>
  <si>
    <t>13864858;8835646b-4e7b-4426-b40f-37163431caf3;;111111118;Vodacom Life 20260324;;;;;AA;5;2026-05-22 1</t>
  </si>
  <si>
    <t>13864858;8835646b-4e7b-4426-b40f-37163431caf3;;111111118;Vodacom Life 20260324;;;;;AA;5;2026-05-22 12:55:04+02;system;2026-03-24 09:54:08+02;2026-03-24 09:54:08+02;;;;;;;;;27710063521;;;;;;;;prepaid life;;;;;</t>
  </si>
  <si>
    <t>ID_3574</t>
  </si>
  <si>
    <t>13864696;d6ca68bc-b32b-4ddc-9c1c-891a4987f971;;111111118;Vodacom Life 20260324;;;;;DROP;5;2026-05-25</t>
  </si>
  <si>
    <t>13864696;d6ca68bc-b32b-4ddc-9c1c-891a4987f971;;111111118;Vodacom Life 20260324;;;;;DROP;5;2026-05-25 14:07:33+02;system;2026-03-24 09:54:08+02;2026-03-24 09:54:08+02;;;;;;;;;27765392614;;;;;;;;prepaid life;;;;;</t>
  </si>
  <si>
    <t>ID_3575</t>
  </si>
  <si>
    <t>13864859;60e2c67f-668f-48bd-b272-0f4d534399ff;;111111118;Vodacom Life 20260324;;;;;NI;2;2026-04-09 0</t>
  </si>
  <si>
    <t>13864859;60e2c67f-668f-48bd-b272-0f4d534399ff;;111111118;Vodacom Life 20260324;;;;;NI;2;2026-04-09 08:40:06+02;Thandile Nokubeni;2026-03-24 09:54:08+02;2026-03-24 09:54:08+02;;;;;;;;;27710890897;;;;;;;;prepaid life;;;;;</t>
  </si>
  <si>
    <t>ID_3576</t>
  </si>
  <si>
    <t>13864697;d005af3a-eb04-4dba-aedf-227fae507583;;111111118;Vodacom Life 20260324;;;;;CU;5;2026-05-25 1</t>
  </si>
  <si>
    <t>13864697;d005af3a-eb04-4dba-aedf-227fae507583;;111111118;Vodacom Life 20260324;;;;;CU;5;2026-05-25 14:12:19+02;Khensane Mabasa;2026-03-24 09:54:08+02;2026-03-24 09:54:08+02;;;;;;;;;27765751440;;;;;;;;prepaid life;;;;;</t>
  </si>
  <si>
    <t>ID_3577</t>
  </si>
  <si>
    <t>13864787;3b25cbe9-5110-451e-9738-6d289570ba81;;111111118;Vodacom Life 20260324;;;;;DROP;5;2026-05-25</t>
  </si>
  <si>
    <t>13864787;3b25cbe9-5110-451e-9738-6d289570ba81;;111111118;Vodacom Life 20260324;;;;;DROP;5;2026-05-25 08:23:22+02;system;2026-03-24 09:54:08+02;2026-03-24 09:54:08+02;;;;;;;;;27828462218;;;;;;;;prepaid life;;;;;</t>
  </si>
  <si>
    <t>ID_3578</t>
  </si>
  <si>
    <t>13864860;d6d6434a-7449-4bdf-a695-63138dae6e70;;111111118;Vodacom Life 20260324;;;;;NI;1;2026-03-26 1</t>
  </si>
  <si>
    <t>13864860;d6d6434a-7449-4bdf-a695-63138dae6e70;;111111118;Vodacom Life 20260324;;;;;NI;1;2026-03-26 11:47:56+02;Thandile Nokubeni;2026-03-24 09:54:08+02;2026-03-24 09:54:08+02;;;;;;;;;27711244627;;;;;;;;prepaid life;;;;;</t>
  </si>
  <si>
    <t>ID_3579</t>
  </si>
  <si>
    <t>13864788;1e2ad9ab-8fe8-490e-835d-34dcbd847a39;;111111118;Vodacom Life 20260324;;;;;NIUP;1;2026-04-01</t>
  </si>
  <si>
    <t>13864788;1e2ad9ab-8fe8-490e-835d-34dcbd847a39;;111111118;Vodacom Life 20260324;;;;;NIUP;1;2026-04-01 10:51:15+02;Millicent Motsuku;2026-03-24 09:54:08+02;2026-03-24 09:54:08+02;;;;;;;;;27828538637;;;;;;;;prepaid life;;;;;</t>
  </si>
  <si>
    <t>ID_3580</t>
  </si>
  <si>
    <t>13864698;f8b89ec7-e0ed-400f-b262-462f8914d998;;111111118;Vodacom Life 20260324;;;;;AA;5;2026-05-25 1</t>
  </si>
  <si>
    <t>13864698;f8b89ec7-e0ed-400f-b262-462f8914d998;;111111118;Vodacom Life 20260324;;;;;AA;5;2026-05-25 14:12:24+02;system;2026-03-24 09:54:08+02;2026-03-24 09:54:08+02;;;;;;;;;27765856451;;;;;;;;prepaid life;;;;;</t>
  </si>
  <si>
    <t>ID_3581</t>
  </si>
  <si>
    <t>13864861;8790c87e-ff30-432b-a831-41654dc62e49;;111111118;Vodacom Life 20260324;;;;;NA;5;2026-05-22 1</t>
  </si>
  <si>
    <t>13864861;8790c87e-ff30-432b-a831-41654dc62e49;;111111118;Vodacom Life 20260324;;;;;NA;5;2026-05-22 12:59:55+02;system;2026-03-24 09:54:08+02;2026-03-24 09:54:08+02;;;;;;;;;27711309027;;;;;;;;prepaid life;;;;;</t>
  </si>
  <si>
    <t>ID_3582</t>
  </si>
  <si>
    <t>13864699;9764df1f-3d87-4bdd-b15a-f55bc5a30b90;;111111118;Vodacom Life 20260324;;;;;NI;2;2026-03-26 1</t>
  </si>
  <si>
    <t>13864699;9764df1f-3d87-4bdd-b15a-f55bc5a30b90;;111111118;Vodacom Life 20260324;;;;;NI;2;2026-03-26 15:41:24+02;Mahlatse Manamela;2026-03-24 09:54:08+02;2026-03-24 09:54:08+02;;;;;;;;;27765868355;;;;;;;;prepaid life;;;;;</t>
  </si>
  <si>
    <t>ID_3583</t>
  </si>
  <si>
    <t>13864789;4f8b2fd6-aac3-42c0-a3a0-720343a07b10;;111111118;Vodacom Life 20260324;;;;;AA;5;2026-05-25 0</t>
  </si>
  <si>
    <t>13864789;4f8b2fd6-aac3-42c0-a3a0-720343a07b10;;111111118;Vodacom Life 20260324;;;;;AA;5;2026-05-25 08:23:22+02;system;2026-03-24 09:54:08+02;2026-03-24 09:54:08+02;;;;;;;;;27829301765;;;;;;;;prepaid life;;;;;</t>
  </si>
  <si>
    <t>ID_3584</t>
  </si>
  <si>
    <t>13864862;7067a226-be08-4a8c-89a3-1a0ebf6e1fdb;;111111118;Vodacom Life 20260324;;;;;AE;5;2026-05-22 1</t>
  </si>
  <si>
    <t>13864862;7067a226-be08-4a8c-89a3-1a0ebf6e1fdb;;111111118;Vodacom Life 20260324;;;;;AE;5;2026-05-22 12:54:21+02;system;2026-03-24 09:54:08+02;2026-03-24 09:54:08+02;;;;;;;;;27711317076;;;;;;;;prepaid life;;;;;</t>
  </si>
  <si>
    <t>ID_3585</t>
  </si>
  <si>
    <t>13864863;b0ed713a-6209-49b5-a9c4-6daba21cf51a;;111111118;Vodacom Life 20260324;;;;;N;5;2026-04-24 08</t>
  </si>
  <si>
    <t>13864863;b0ed713a-6209-49b5-a9c4-6daba21cf51a;;111111118;Vodacom Life 20260324;;;;;N;5;2026-04-24 08:25:37+02;Maureen Ntsoko;2026-03-24 09:54:08+02;2026-03-24 09:54:08+02;;;;;;;;;27711346944;;;;;;;;prepaid life;;;;;</t>
  </si>
  <si>
    <t>ID_3586</t>
  </si>
  <si>
    <t>13864790;4941f6cf-498b-465d-b28e-96a8e6bc8b59;;111111118;Vodacom Life 20260324;;;;;AA;5;2026-05-25 0</t>
  </si>
  <si>
    <t>13864790;4941f6cf-498b-465d-b28e-96a8e6bc8b59;;111111118;Vodacom Life 20260324;;;;;AA;5;2026-05-25 08:21:15+02;system;2026-03-24 09:54:08+02;2026-03-24 09:54:08+02;;;;;;;;;27829330078;;;;;;;;prepaid life;;;;;</t>
  </si>
  <si>
    <t>ID_3587</t>
  </si>
  <si>
    <t>13864700;dd72fb66-7d82-45ca-bf7a-6582bbe2d002;;111111118;Vodacom Life 20260324;;;;;AA;5;2026-05-22 1</t>
  </si>
  <si>
    <t>13864700;dd72fb66-7d82-45ca-bf7a-6582bbe2d002;;111111118;Vodacom Life 20260324;;;;;AA;5;2026-05-22 13:07:40+02;system;2026-03-24 09:54:08+02;2026-03-24 09:54:08+02;;;;;;;;;27765900238;;;;;;;;prepaid life;;;;;</t>
  </si>
  <si>
    <t>ID_3588</t>
  </si>
  <si>
    <t>13864864;cc9838fd-b8b0-4acc-9088-3cee68beb16f;;111111118;Vodacom Life 20260324;;;27711827344;;NI;4;2</t>
  </si>
  <si>
    <t>13864864;cc9838fd-b8b0-4acc-9088-3cee68beb16f;;111111118;Vodacom Life 20260324;;;27711827344;;NI;4;2026-05-07 14:38:05+02;Maureen Ntsoko;2026-03-24 09:54:08+02;2026-03-24 09:54:08+02;;;;;;;;;27711827344;;;;;;;;prepaid life;;;;;</t>
  </si>
  <si>
    <t>ID_3589</t>
  </si>
  <si>
    <t>13864701;2c8e0639-2ad2-4e23-9ca1-3c3fa4b07023;;111111118;Vodacom Life 20260324;;;;;CBACK;3;2026-04-1</t>
  </si>
  <si>
    <t>13864701;2c8e0639-2ad2-4e23-9ca1-3c3fa4b07023;;111111118;Vodacom Life 20260324;;;;;CBACK;3;2026-04-14 14:54:29+02;bongiwe lushaba;2026-03-24 09:54:08+02;2026-03-24 09:54:08+02;;;;;;;;;27765944106;;;;;;;;prepaid life;;;;;</t>
  </si>
  <si>
    <t>ID_3590</t>
  </si>
  <si>
    <t>13864791;d6566223-957d-434c-a901-c9f69a27d24a;;111111118;Vodacom Life 20260324;;;;;AA;5;2026-05-25 0</t>
  </si>
  <si>
    <t>13864791;d6566223-957d-434c-a901-c9f69a27d24a;;111111118;Vodacom Life 20260324;;;;;AA;5;2026-05-25 08:21:12+02;system;2026-03-24 09:54:08+02;2026-03-24 09:54:08+02;;;;;;;;;27829590970;;;;;;;;prepaid life;;;;;</t>
  </si>
  <si>
    <t>ID_3591</t>
  </si>
  <si>
    <t>13864865;6f964c0b-b83c-4994-a6e0-7c47fa184cb8;;111111118;Vodacom Life 20260324;;;;;N;5;2026-05-08 08</t>
  </si>
  <si>
    <t>13864865;6f964c0b-b83c-4994-a6e0-7c47fa184cb8;;111111118;Vodacom Life 20260324;;;;;N;5;2026-05-08 08:19:52+02;Musiiwa Mary Mabirimisa;2026-03-24 09:54:08+02;2026-03-24 09:54:08+02;;;;;;;;;27712135572;;;;;;;;prepaid life;;;;;</t>
  </si>
  <si>
    <t>ID_3592</t>
  </si>
  <si>
    <t>13864866;cc08cfe3-ee59-4831-9929-9358f27cb9cf;;111111118;Vodacom Life 20260324;;;;;U;4;2026-05-07 14</t>
  </si>
  <si>
    <t>13864866;cc08cfe3-ee59-4831-9929-9358f27cb9cf;;111111118;Vodacom Life 20260324;;;;;U;4;2026-05-07 14:37:10+02;Siyabonga Khoza;2026-03-24 09:54:08+02;2026-03-24 09:54:08+02;;;;;;;;;27712371956;;;;;;;;prepaid life;;;;;</t>
  </si>
  <si>
    <t>ID_3593</t>
  </si>
  <si>
    <t>13864792;9d9958f5-b690-41b9-8a96-ecc0a6e314b2;;111111118;Vodacom Life 20260324;;;;;CBACK;1;2026-04-0</t>
  </si>
  <si>
    <t>13864792;9d9958f5-b690-41b9-8a96-ecc0a6e314b2;;111111118;Vodacom Life 20260324;;;;;CBACK;1;2026-04-01 11:04:54+02;bongiwe lushaba;2026-03-24 09:54:08+02;2026-03-24 09:54:08+02;;;;;;;;;27829686886;;;;;;;;prepaid life;;;;;</t>
  </si>
  <si>
    <t>ID_3594</t>
  </si>
  <si>
    <t>13864793;96adecfe-0cb3-425b-80db-3449af0e44da;;111111118;Vodacom Life 20260324;;;27833896123;;CU;5;2</t>
  </si>
  <si>
    <t>13864793;96adecfe-0cb3-425b-80db-3449af0e44da;;111111118;Vodacom Life 20260324;;;27833896123;;CU;5;2026-05-25 08:20:42+02;Maureen Ntsoko;2026-03-24 09:54:08+02;2026-03-24 09:54:08+02;;;;;;;;;27833896123;;;;;;;;prepaid life;;;;;</t>
  </si>
  <si>
    <t>ID_3595</t>
  </si>
  <si>
    <t>13864702;293f5273-ed7e-469b-87c4-081f11afbb36;;111111118;Vodacom Life 20260324;;;;;AA;5;2026-05-22 1</t>
  </si>
  <si>
    <t>13864702;293f5273-ed7e-469b-87c4-081f11afbb36;;111111118;Vodacom Life 20260324;;;;;AA;5;2026-05-22 13:07:50+02;system;2026-03-24 09:54:08+02;2026-03-24 09:54:08+02;;;;;;;;;27766262613;;;;;;;;prepaid life;;;;;</t>
  </si>
  <si>
    <t>ID_3596</t>
  </si>
  <si>
    <t>13864867;9d3927df-3f9a-4b9b-b8ef-c7fc9c0195b0;;111111118;Vodacom Life 20260324;;;;;DROP;5;2026-05-22</t>
  </si>
  <si>
    <t>13864867;9d3927df-3f9a-4b9b-b8ef-c7fc9c0195b0;;111111118;Vodacom Life 20260324;;;;;DROP;5;2026-05-22 13:02:33+02;system;2026-03-24 09:54:08+02;2026-03-24 09:54:08+02;;;;;;;;;27712431289;;;;;;;;prepaid life;;;;;</t>
  </si>
  <si>
    <t>ID_3597</t>
  </si>
  <si>
    <t>13864703;ca794d2f-1e53-43a6-a1bf-85a106c5ae28;;111111118;Vodacom Life 20260324;;;;;NA;5;2026-05-22 1</t>
  </si>
  <si>
    <t>13864703;ca794d2f-1e53-43a6-a1bf-85a106c5ae28;;111111118;Vodacom Life 20260324;;;;;NA;5;2026-05-22 13:07:40+02;system;2026-03-24 09:54:08+02;2026-03-24 09:54:08+02;;;;;;;;;27766326142;;;;;;;;prepaid life;;;;;</t>
  </si>
  <si>
    <t>ID_3598</t>
  </si>
  <si>
    <t>13864868;c0778a4d-2f77-40a4-8268-2df9e6970194;;111111118;Vodacom Life 20260324;;;;;AF;1;2026-03-25 1</t>
  </si>
  <si>
    <t>13864868;c0778a4d-2f77-40a4-8268-2df9e6970194;;111111118;Vodacom Life 20260324;;;;;AF;1;2026-03-25 11:08:43+02;Thandile Nokubeni;2026-03-24 09:54:08+02;2026-03-24 09:54:08+02;;;;;;;;;27713083698;;;;;;;;prepaid life;;;;;</t>
  </si>
  <si>
    <t>ID_3599</t>
  </si>
  <si>
    <t>13864704;7afbed74-d169-427e-91c6-9d18c0f7e792;;111111118;Vodacom Life 20260324;;;;;AA;5;2026-05-22 1</t>
  </si>
  <si>
    <t>13864704;7afbed74-d169-427e-91c6-9d18c0f7e792;;111111118;Vodacom Life 20260324;;;;;AA;5;2026-05-22 13:07:50+02;system;2026-03-24 09:54:08+02;2026-03-24 09:54:08+02;;;;;;;;;27766392013;;;;;;;;prepaid life;;;;;</t>
  </si>
  <si>
    <t>ID_3600</t>
  </si>
  <si>
    <t>13864794;b912185d-5eb7-492a-99b7-bba02ecb0a79;;111111118;Vodacom Life 20260324;;;;;A;5;2026-05-25 08</t>
  </si>
  <si>
    <t>13864794;b912185d-5eb7-492a-99b7-bba02ecb0a79;;111111118;Vodacom Life 20260324;;;;;A;5;2026-05-25 08:19:47+02;Khensane Mabasa;2026-03-24 09:54:08+02;2026-03-24 09:54:08+02;;;;;;;;;27844165267;;;;;;;;prepaid life;;;;;</t>
  </si>
  <si>
    <t>ID_3601</t>
  </si>
  <si>
    <t>13864795;3db7acf0-1ea0-45f3-b667-b281ddbfd72e;;111111118;Vodacom Life 20260324;;;;;AA;5;2026-05-25 0</t>
  </si>
  <si>
    <t>13864795;3db7acf0-1ea0-45f3-b667-b281ddbfd72e;;111111118;Vodacom Life 20260324;;;;;AA;5;2026-05-25 08:19:46+02;system;2026-03-24 09:54:08+02;2026-03-24 09:54:08+02;;;;;;;;;27606263019;;;;;;;;prepaid life;;;;;</t>
  </si>
  <si>
    <t>ID_3602</t>
  </si>
  <si>
    <t>13864869;d2279fcc-8573-480d-845b-38468b36dbd5;;111111118;Vodacom Life 20260324;;;;;AA;5;2026-05-23 0</t>
  </si>
  <si>
    <t>13864869;d2279fcc-8573-480d-845b-38468b36dbd5;;111111118;Vodacom Life 20260324;;;;;AA;5;2026-05-23 09:45:39+02;system;2026-03-24 09:54:08+02;2026-03-24 09:54:08+02;;;;;;;;;27713260258;;;;;;;;prepaid life;;;;;</t>
  </si>
  <si>
    <t>ID_3603</t>
  </si>
  <si>
    <t>13864796;9a95747b-e413-4769-bc08-efa5d362cc23;;111111118;Vodacom Life 20260324;;;;;NI;1;2026-04-01 0</t>
  </si>
  <si>
    <t>13864796;9a95747b-e413-4769-bc08-efa5d362cc23;;111111118;Vodacom Life 20260324;;;;;NI;1;2026-04-01 09:24:52+02;Seboifeng Mogola;2026-03-24 09:54:08+02;2026-03-24 09:54:08+02;;;;;;;;;27606285016;;;;;;;;prepaid life;;;;;</t>
  </si>
  <si>
    <t>ID_3604</t>
  </si>
  <si>
    <t>13864705;48220808-47ad-4d4d-82e7-b961c1d263ad;;111111118;Vodacom Life 20260324;;;;;AE;5;2026-05-25 0</t>
  </si>
  <si>
    <t>13864705;48220808-47ad-4d4d-82e7-b961c1d263ad;;111111118;Vodacom Life 20260324;;;;;AE;5;2026-05-25 09:09:37+02;system;2026-03-24 09:54:08+02;2026-03-24 09:54:08+02;;;;;;;;;27766401752;;;;;;;;prepaid life;;;;;</t>
  </si>
  <si>
    <t>ID_3605</t>
  </si>
  <si>
    <t>13864870;00040b9b-8aa4-4a2a-8019-7b7a175e6eab;;111111118;Vodacom Life 20260324;;;;;NI;4;2026-05-07 1</t>
  </si>
  <si>
    <t>13864870;00040b9b-8aa4-4a2a-8019-7b7a175e6eab;;111111118;Vodacom Life 20260324;;;;;NI;4;2026-05-07 14:37:13+02;Khensane Mabasa;2026-03-24 09:54:08+02;2026-03-24 09:54:08+02;;;;;;;;;27713411209;;;;;;;;prepaid life;;;;;</t>
  </si>
  <si>
    <t>ID_3606</t>
  </si>
  <si>
    <t>13864706;fd0ed0b0-f891-45cf-8efc-82733009e1e9;;111111118;Vodacom Life 20260324;;;27766460964;;AA;5;2</t>
  </si>
  <si>
    <t>13864706;fd0ed0b0-f891-45cf-8efc-82733009e1e9;;111111118;Vodacom Life 20260324;;;27766460964;;AA;5;2026-05-25 11:22:13+02;system;2026-03-24 09:54:08+02;2026-03-24 09:54:08+02;;;;;;;;;27766460964;;;;;;;;prepaid life;;;;;</t>
  </si>
  <si>
    <t>ID_3607</t>
  </si>
  <si>
    <t>13864707;343763b5-2ac0-4203-91c8-dfc6c3dad8d1;;111111118;Vodacom Life 20260324;;;;;AE;5;2026-05-25 0</t>
  </si>
  <si>
    <t>13864707;343763b5-2ac0-4203-91c8-dfc6c3dad8d1;;111111118;Vodacom Life 20260324;;;;;AE;5;2026-05-25 09:09:37+02;system;2026-03-24 09:54:08+02;2026-03-24 09:54:08+02;;;;;;;;;27766641114;;;;;;;;prepaid life;;;;;</t>
  </si>
  <si>
    <t>ID_3608</t>
  </si>
  <si>
    <t>13864797;18787894-c334-4d7d-b216-06cf86a3f207;;111111118;Vodacom Life 20260324;;;;;AA;5;2026-05-22 1</t>
  </si>
  <si>
    <t>13864797;18787894-c334-4d7d-b216-06cf86a3f207;;111111118;Vodacom Life 20260324;;;;;AA;5;2026-05-22 12:59:49+02;system;2026-03-24 09:54:08+02;2026-03-24 09:54:08+02;;;;;;;;;27606370767;;;;;;;;prepaid life;;;;;</t>
  </si>
  <si>
    <t>ID_3609</t>
  </si>
  <si>
    <t>13864871;e8dd14f0-bede-4232-a5d0-1c5997f328c7;;111111118;Vodacom Life 20260324;;;27713552011;;AE;5;2</t>
  </si>
  <si>
    <t>13864871;e8dd14f0-bede-4232-a5d0-1c5997f328c7;;111111118;Vodacom Life 20260324;;;27713552011;;AE;5;2026-05-22 12:59:49+02;system;2026-03-24 09:54:08+02;2026-03-24 09:54:08+02;;;;;;;;;27713552011;;;;;;;;prepaid life;;;;;</t>
  </si>
  <si>
    <t>ID_3610</t>
  </si>
  <si>
    <t>13864798;8ee33b1c-3b01-477a-84e6-c42bec48d9a6;;111111118;Vodacom Life 20260324;;;;;GTTB;2;2026-04-01</t>
  </si>
  <si>
    <t>13864798;8ee33b1c-3b01-477a-84e6-c42bec48d9a6;;111111118;Vodacom Life 20260324;;;;;GTTB;2;2026-04-01 12:41:35+02;Seboifeng Mogola;2026-03-24 09:54:08+02;2026-03-24 09:54:08+02;;;;;;;;;27606616110;;;;;;;;prepaid life;;;;;</t>
  </si>
  <si>
    <t>ID_3611</t>
  </si>
  <si>
    <t>13864708;610253e1-c404-4db7-be75-0a46fe91d2c5;;111111118;Vodacom Life 20260324;;;;;AA;5;2026-05-25 0</t>
  </si>
  <si>
    <t>13864708;610253e1-c404-4db7-be75-0a46fe91d2c5;;111111118;Vodacom Life 20260324;;;;;AA;5;2026-05-25 09:09:37+02;system;2026-03-24 09:54:08+02;2026-03-24 09:54:08+02;;;;;;;;;27766822074;;;;;;;;prepaid life;;;;;</t>
  </si>
  <si>
    <t>ID_3612</t>
  </si>
  <si>
    <t xml:space="preserve">13864872;433fea69-cedd-4dd7-8eb4-750e110b6ee3;;111111118;Vodacom Life 20260324;;;;;ADC;5;2026-05-22 </t>
  </si>
  <si>
    <t>13864872;433fea69-cedd-4dd7-8eb4-750e110b6ee3;;111111118;Vodacom Life 20260324;;;;;ADC;5;2026-05-22 12:54:58+02;system;2026-03-24 09:54:08+02;2026-03-24 09:54:08+02;;;;;;;;;27713682218;;;;;;;;prepaid life;;;;;</t>
  </si>
  <si>
    <t>ID_3613</t>
  </si>
  <si>
    <t>13864873;42aa37d2-1af4-4626-b342-f6360606ede5;;111111118;Vodacom Life 20260324;;;;;NI;2;2026-04-09 1</t>
  </si>
  <si>
    <t>13864873;42aa37d2-1af4-4626-b342-f6360606ede5;;111111118;Vodacom Life 20260324;;;;;NI;2;2026-04-09 10:45:13+02;Esther Ramalete;2026-03-24 09:54:08+02;2026-03-24 09:54:08+02;;;;;;;;;27713732059;;;;;;;;prepaid life;;;;;</t>
  </si>
  <si>
    <t>ID_3614</t>
  </si>
  <si>
    <t>13864709;2720e005-875a-4fd1-bd52-eba53fd225ab;;111111118;Vodacom Life 20260324;;;;;NA;5;2026-05-25 0</t>
  </si>
  <si>
    <t>13864709;2720e005-875a-4fd1-bd52-eba53fd225ab;;111111118;Vodacom Life 20260324;;;;;NA;5;2026-05-25 09:09:37+02;system;2026-03-24 09:54:08+02;2026-03-24 09:54:08+02;;;;;;;;;27767017186;;;;;;;;prepaid life;;;;;</t>
  </si>
  <si>
    <t>ID_3615</t>
  </si>
  <si>
    <t>13864799;50c19a06-d611-4c70-b2f4-70ad92b042aa;;111111118;Vodacom Life 20260324;;;;;NI;4;2026-05-07 1</t>
  </si>
  <si>
    <t>13864799;50c19a06-d611-4c70-b2f4-70ad92b042aa;;111111118;Vodacom Life 20260324;;;;;NI;4;2026-05-07 14:44:39+02;Siyabonga Khoza;2026-03-24 09:54:08+02;2026-03-24 09:54:08+02;;;;;;;;;27606667902;;;;;;;;prepaid life;;;;;</t>
  </si>
  <si>
    <t>ID_3616</t>
  </si>
  <si>
    <t>13864800;7dd5a91f-1b13-4477-94b3-f4c3d15a64c9;;111111118;Vodacom Life 20260324;;;;;NI;4;2026-05-07 1</t>
  </si>
  <si>
    <t>13864800;7dd5a91f-1b13-4477-94b3-f4c3d15a64c9;;111111118;Vodacom Life 20260324;;;;;NI;4;2026-05-07 14:44:44+02;Maureen Ntsoko;2026-03-24 09:54:08+02;2026-03-24 09:54:08+02;;;;;;;;;27606803261;;;;;;;;prepaid life;;;;;</t>
  </si>
  <si>
    <t>ID_3617</t>
  </si>
  <si>
    <t>13864710;57e3ab7a-72cd-4070-9753-0938b1f6713a;;111111118;Vodacom Life 20260324;;;;;SELECTED;5;2026-0</t>
  </si>
  <si>
    <t>13864710;57e3ab7a-72cd-4070-9753-0938b1f6713a;;111111118;Vodacom Life 20260324;;;;;SELECTED;5;2026-05-07 14:51:54+02;system;2026-03-24 09:54:08+02;2026-03-24 09:54:08+02;;;;;;;;;27767305974;;;;;;;;prepaid life;;;;;</t>
  </si>
  <si>
    <t>ID_3618</t>
  </si>
  <si>
    <t>13864875;216c9352-382b-4795-af31-84469c647c7b;;111111118;Vodacom Life 20260324;;;;;AF;4;2026-05-07 1</t>
  </si>
  <si>
    <t>13864875;216c9352-382b-4795-af31-84469c647c7b;;111111118;Vodacom Life 20260324;;;;;AF;4;2026-05-07 14:35:41+02;Maureen Ntsoko;2026-03-24 09:54:08+02;2026-03-24 09:54:08+02;;;;;;;;;27714089355;;;;;;;;prepaid life;;;;;</t>
  </si>
  <si>
    <t>ID_3619</t>
  </si>
  <si>
    <t>13864711;c04fb30c-f8f7-4ecc-89ab-eb97e476c224;;111111118;Vodacom Life 20260324;;;;;U;6;2026-04-22 11</t>
  </si>
  <si>
    <t>13864711;c04fb30c-f8f7-4ecc-89ab-eb97e476c224;;111111118;Vodacom Life 20260324;;;;;U;6;2026-04-22 11:10:46+02;Thandile Nokubeni;2026-03-24 09:54:08+02;2026-03-24 09:54:08+02;;;;;;;;;27767775273;;;;;;;;prepaid life;;;;;</t>
  </si>
  <si>
    <t>ID_3620</t>
  </si>
  <si>
    <t>13864712;b83d2c36-e7fb-4ce0-89f1-39c9c5179fba;;111111118;Vodacom Life 20260324;;;;;CBACK;2;2026-04-0</t>
  </si>
  <si>
    <t>13864712;b83d2c36-e7fb-4ce0-89f1-39c9c5179fba;;111111118;Vodacom Life 20260324;;;;;CBACK;2;2026-04-09 10:50:55+02;Mahlatse Manamela;2026-03-24 09:54:08+02;2026-03-24 09:54:08+02;;;;;;;;;27767970698;;;;;;;;prepaid life;;;;;</t>
  </si>
  <si>
    <t>ID_3621</t>
  </si>
  <si>
    <t>13864801;a5d0f30b-1d07-4bfc-9803-ae6304b638c0;;111111118;Vodacom Life 20260324;;;;;CU;5;2026-05-22 1</t>
  </si>
  <si>
    <t>13864801;a5d0f30b-1d07-4bfc-9803-ae6304b638c0;;111111118;Vodacom Life 20260324;;;;;CU;5;2026-05-22 13:00:18+02;bongiwe lushaba;2026-03-24 09:54:08+02;2026-03-24 09:54:08+02;;;;;;;;;27606910114;;;;;;;;prepaid life;;;;;</t>
  </si>
  <si>
    <t>ID_3622</t>
  </si>
  <si>
    <t>13864876;2692ad80-03f6-4ac8-89da-33fe5368d2ce;;111111118;Vodacom Life 20260324;;;27714707492;;IABDN;</t>
  </si>
  <si>
    <t>13864876;2692ad80-03f6-4ac8-89da-33fe5368d2ce;;111111118;Vodacom Life 20260324;;;27714707492;;IABDN;5;2026-05-23 09:54:09+02;system;2026-03-24 09:54:08+02;2026-03-24 09:54:08+02;;;;;;;;;27714707492;;;;;;;;prepaid life;;;;;</t>
  </si>
  <si>
    <t>ID_3623</t>
  </si>
  <si>
    <t>13864802;be9271bd-a5fb-4727-9a18-4815cff40eca;;111111118;Vodacom Life 20260324;;;;;AA;5;2026-05-22 1</t>
  </si>
  <si>
    <t>13864802;be9271bd-a5fb-4727-9a18-4815cff40eca;;111111118;Vodacom Life 20260324;;;;;AA;5;2026-05-22 12:59:49+02;system;2026-03-24 09:54:08+02;2026-03-24 09:54:08+02;;;;;;;;;27607095362;;;;;;;;prepaid life;;;;;</t>
  </si>
  <si>
    <t>ID_3624</t>
  </si>
  <si>
    <t>13864713;783efe59-cbc7-470f-9d57-09785203ba30;;111111118;Vodacom Life 20260324;;;27768392267;;AA;5;2</t>
  </si>
  <si>
    <t>13864713;783efe59-cbc7-470f-9d57-09785203ba30;;111111118;Vodacom Life 20260324;;;27768392267;;AA;5;2026-05-25 09:09:50+02;system;2026-03-24 09:54:08+02;2026-03-24 09:54:08+02;;;;;;;;;27768392267;;;;;;;;prepaid life;;;;;</t>
  </si>
  <si>
    <t>ID_3625</t>
  </si>
  <si>
    <t>13864877;c2a7448b-90b2-4edf-a11f-9781a738e2be;;111111118;Vodacom Life 20260324;;;;;AA;5;2026-05-23 0</t>
  </si>
  <si>
    <t>13864877;c2a7448b-90b2-4edf-a11f-9781a738e2be;;111111118;Vodacom Life 20260324;;;;;AA;5;2026-05-23 09:41:00+02;system;2026-03-24 09:54:08+02;2026-03-24 09:54:08+02;;;;;;;;;27714944845;;;;;;;;prepaid life;;;;;</t>
  </si>
  <si>
    <t>ID_3626</t>
  </si>
  <si>
    <t>13864714;62dde246-c5e9-4324-94c9-cf456c41f674;;111111118;Vodacom Life 20260324;;;27769466525;;NA;5;2</t>
  </si>
  <si>
    <t>13864714;62dde246-c5e9-4324-94c9-cf456c41f674;;111111118;Vodacom Life 20260324;;;27769466525;;NA;5;2026-05-25 09:09:54+02;system;2026-03-24 09:54:08+02;2026-03-24 09:54:08+02;;;;;;;;;27769466525;;;;;;;;prepaid life;;;;;</t>
  </si>
  <si>
    <t>ID_3627</t>
  </si>
  <si>
    <t>13864715;d07e3daa-0cc6-43c4-88fe-cfbba3c56ac7;;111111118;Vodacom Life 20260324;;;;;AE;5;2026-05-25 0</t>
  </si>
  <si>
    <t>13864715;d07e3daa-0cc6-43c4-88fe-cfbba3c56ac7;;111111118;Vodacom Life 20260324;;;;;AE;5;2026-05-25 09:09:55+02;system;2026-03-24 09:54:08+02;2026-03-24 09:54:08+02;;;;;;;;;27769488847;;;;;;;;prepaid life;;;;;</t>
  </si>
  <si>
    <t>ID_3628</t>
  </si>
  <si>
    <t>13864803;7d5df9dd-af80-4446-85d9-0109131f6dac;;111111118;Vodacom Life 20260324;;;;;QAVET;7;2026-04-0</t>
  </si>
  <si>
    <t>13864803;7d5df9dd-af80-4446-85d9-0109131f6dac;;111111118;Vodacom Life 20260324;;;;;QAVET;7;2026-04-09 11:44:50+02;Maureen Ntsoko;2026-03-24 09:54:08+02;2026-03-24 09:54:08+02;;;;;;;;;27607230068;;;;;;;;prepaid life;;;;;</t>
  </si>
  <si>
    <t>ID_3629</t>
  </si>
  <si>
    <t>13864878;fbee00b5-e737-4cf7-9575-bb3730e27c78;;111111118;Vodacom Life 20260324;;;;;U;1;2026-04-01 10</t>
  </si>
  <si>
    <t>13864878;fbee00b5-e737-4cf7-9575-bb3730e27c78;;111111118;Vodacom Life 20260324;;;;;U;1;2026-04-01 10:05:03+02;Esther Ramalete;2026-03-24 09:54:08+02;2026-03-24 09:54:08+02;;;;;;;;;27715411031;;;;;;;;prepaid life;;;;;</t>
  </si>
  <si>
    <t>ID_3630</t>
  </si>
  <si>
    <t>13864879;96d4d536-1648-4342-948a-ea07ff85d6f2;;111111118;Vodacom Life 20260324;;;27715549501;;IABDN;</t>
  </si>
  <si>
    <t>13864879;96d4d536-1648-4342-948a-ea07ff85d6f2;;111111118;Vodacom Life 20260324;;;27715549501;;IABDN;5;2026-05-23 10:09:56+02;system;2026-03-24 09:54:08+02;2026-03-24 09:54:08+02;;;;;;;;;27715549501;;;;;;;;prepaid life;;;;;</t>
  </si>
  <si>
    <t>ID_3631</t>
  </si>
  <si>
    <t>13864804;ffd93fc2-9b22-494a-a89b-969e9aa00cd9;;111111118;Vodacom Life 20260324;;;;;NA;5;2026-05-22 1</t>
  </si>
  <si>
    <t>13864804;ffd93fc2-9b22-494a-a89b-969e9aa00cd9;;111111118;Vodacom Life 20260324;;;;;NA;5;2026-05-22 12:58:50+02;system;2026-03-24 09:54:08+02;2026-03-24 09:54:08+02;;;;;;;;;27607260588;;;;;;;;prepaid life;;;;;</t>
  </si>
  <si>
    <t>ID_3632</t>
  </si>
  <si>
    <t>13864805;e4bc6f49-605a-4537-b859-f2ecb7e33d47;;111111118;Vodacom Life 20260324;;;27607879040;;AA;5;2</t>
  </si>
  <si>
    <t>13864805;e4bc6f49-605a-4537-b859-f2ecb7e33d47;;111111118;Vodacom Life 20260324;;;27607879040;;AA;5;2026-05-22 13:03:09+02;system;2026-03-24 09:54:08+02;2026-03-24 09:54:08+02;;;;;;;;;27607879040;;;;;;;;prepaid life;;;;;</t>
  </si>
  <si>
    <t>ID_3633</t>
  </si>
  <si>
    <t>13864716;a8d2563e-6fd1-4e90-b1cf-6019a4aba477;;111111118;Vodacom Life 20260324;;;;;CU;6;2026-05-19 1</t>
  </si>
  <si>
    <t>13864716;a8d2563e-6fd1-4e90-b1cf-6019a4aba477;;111111118;Vodacom Life 20260324;;;;;CU;6;2026-05-19 12:59:15+02;Maureen Ntsoko;2026-03-24 09:54:08+02;2026-03-24 09:54:08+02;;;;;;;;;27769551079;;;;;;;;prepaid life;;;;;</t>
  </si>
  <si>
    <t>ID_3634</t>
  </si>
  <si>
    <t>13864717;5e57b5a0-4352-492c-810a-d90080918607;;111111118;Vodacom Life 20260324;;;27769835440;;CU;5;2</t>
  </si>
  <si>
    <t>13864717;5e57b5a0-4352-492c-810a-d90080918607;;111111118;Vodacom Life 20260324;;;27769835440;;CU;5;2026-05-25 09:09:55+02;Maureen Ntsoko;2026-03-24 09:54:08+02;2026-03-24 09:54:08+02;;;;;;;;;27769835440;;;;;;;;prepaid life;;;;;</t>
  </si>
  <si>
    <t>ID_3635</t>
  </si>
  <si>
    <t>13864880;f5f6ecad-f265-40a8-958c-4079ea089d92;;111111118;Vodacom Life 20260324;;;;;AA;5;2026-05-22 1</t>
  </si>
  <si>
    <t>13864880;f5f6ecad-f265-40a8-958c-4079ea089d92;;111111118;Vodacom Life 20260324;;;;;AA;5;2026-05-22 12:54:58+02;system;2026-03-24 09:54:08+02;2026-03-24 09:54:08+02;;;;;;;;;27715846979;;;;;;;;prepaid life;;;;;</t>
  </si>
  <si>
    <t>ID_3636</t>
  </si>
  <si>
    <t>13864718;d1ebef60-72ae-42df-aa77-3d747a3ea63f;;111111118;Vodacom Life 20260324;;;;;CBACK;6;2026-04-0</t>
  </si>
  <si>
    <t>13864718;d1ebef60-72ae-42df-aa77-3d747a3ea63f;;111111118;Vodacom Life 20260324;;;;;CBACK;6;2026-04-07 15:37:47+02;Thandile Nokubeni;2026-03-24 09:54:08+02;2026-03-24 09:54:08+02;;;;;;;;;27772558281;;;;;;;;prepaid life;;;;;</t>
  </si>
  <si>
    <t>ID_3637</t>
  </si>
  <si>
    <t>13864806;4f80fb9d-c45c-435c-8023-b56ba97f91cc;;111111118;Vodacom Life 20260324;;;;;AA;5;2026-05-22 1</t>
  </si>
  <si>
    <t>13864806;4f80fb9d-c45c-435c-8023-b56ba97f91cc;;111111118;Vodacom Life 20260324;;;;;AA;5;2026-05-22 12:58:45+02;system;2026-03-24 09:54:08+02;2026-03-24 09:54:08+02;;;;;;;;;27608099948;;;;;;;;prepaid life;;;;;</t>
  </si>
  <si>
    <t>ID_3638</t>
  </si>
  <si>
    <t>13864881;4d072023-97b0-4a12-8041-a36e0c40253a;;111111118;Vodacom Life 20260324;;;;;DROP;5;2026-05-22</t>
  </si>
  <si>
    <t>13864881;4d072023-97b0-4a12-8041-a36e0c40253a;;111111118;Vodacom Life 20260324;;;;;DROP;5;2026-05-22 12:58:50+02;system;2026-03-24 09:54:08+02;2026-03-24 09:54:08+02;;;;;;;;;27716148109;;;;;;;;prepaid life;;;;;</t>
  </si>
  <si>
    <t>ID_3639</t>
  </si>
  <si>
    <t>13864807;516314f7-7100-4a82-ab04-34ba74e1e45e;;111111118;Vodacom Life 20260324;;;;;AA;5;2026-05-22 1</t>
  </si>
  <si>
    <t>13864807;516314f7-7100-4a82-ab04-34ba74e1e45e;;111111118;Vodacom Life 20260324;;;;;AA;5;2026-05-22 13:04:37+02;system;2026-03-24 09:54:08+02;2026-03-24 09:54:08+02;;;;;;;;;27608182922;;;;;;;;prepaid life;;;;;</t>
  </si>
  <si>
    <t>ID_3640</t>
  </si>
  <si>
    <t>13864719;00df97fc-2ed4-49fc-b96d-1dc731b4b007;;111111118;Vodacom Life 20260324;;;;;AA;5;2026-05-25 0</t>
  </si>
  <si>
    <t>13864719;00df97fc-2ed4-49fc-b96d-1dc731b4b007;;111111118;Vodacom Life 20260324;;;;;AA;5;2026-05-25 09:09:55+02;system;2026-03-24 09:54:08+02;2026-03-24 09:54:08+02;;;;;;;;;27773910176;;;;;;;;prepaid life;;;;;</t>
  </si>
  <si>
    <t>ID_3641</t>
  </si>
  <si>
    <t>13864882;058b0c8c-b9b3-4fe6-a514-5a39c5269824;;111111118;Vodacom Life 20260324;;;;;AA;5;2026-05-22 1</t>
  </si>
  <si>
    <t>13864882;058b0c8c-b9b3-4fe6-a514-5a39c5269824;;111111118;Vodacom Life 20260324;;;;;AA;5;2026-05-22 12:54:20+02;system;2026-03-24 09:54:08+02;2026-03-24 09:54:08+02;;;;;;;;;27716151019;;;;;;;;prepaid life;;;;;</t>
  </si>
  <si>
    <t>ID_3642</t>
  </si>
  <si>
    <t>13864720;23349203-60c6-4111-880f-3d1437469928;;111111118;Vodacom Life 20260324;;;;;CU;5;2026-05-25 0</t>
  </si>
  <si>
    <t>13864720;23349203-60c6-4111-880f-3d1437469928;;111111118;Vodacom Life 20260324;;;;;CU;5;2026-05-25 09:09:55+02;Khensane Mabasa;2026-03-24 09:54:08+02;2026-03-24 09:54:08+02;;;;;;;;;27774346573;;;;;;;;prepaid life;;;;;</t>
  </si>
  <si>
    <t>ID_3643</t>
  </si>
  <si>
    <t>13864808;70445842-eac3-4cbd-8792-a3383d2fd1f3;;111111118;Vodacom Life 20260324;;;27608348778;;IABDN;</t>
  </si>
  <si>
    <t>13864808;70445842-eac3-4cbd-8792-a3383d2fd1f3;;111111118;Vodacom Life 20260324;;;27608348778;;IABDN;5;2026-05-25 08:20:29+02;system;2026-03-24 09:54:08+02;2026-03-24 09:54:08+02;;;;;;;;;27608348778;;;;;;;;prepaid life;;;;;</t>
  </si>
  <si>
    <t>ID_3644</t>
  </si>
  <si>
    <t>13864883;96f90d72-2cb2-4879-9228-af2b0e4c9439;;111111118;Vodacom Life 20260324;;;;;AA;5;2026-05-23 0</t>
  </si>
  <si>
    <t>13864883;96f90d72-2cb2-4879-9228-af2b0e4c9439;;111111118;Vodacom Life 20260324;;;;;AA;5;2026-05-23 09:39:04+02;system;2026-03-24 09:54:08+02;2026-03-24 09:54:08+02;;;;;;;;;27716355500;;;;;;;;prepaid life;;;;;</t>
  </si>
  <si>
    <t>ID_3645</t>
  </si>
  <si>
    <t>13864809;7a14045b-795f-42ba-80ac-0a1b29f8bacc;;111111118;Vodacom Life 20260324;;;;;AE;5;2026-05-25 0</t>
  </si>
  <si>
    <t>13864809;7a14045b-795f-42ba-80ac-0a1b29f8bacc;;111111118;Vodacom Life 20260324;;;;;AE;5;2026-05-25 08:19:46+02;system;2026-03-24 09:54:08+02;2026-03-24 09:54:08+02;;;;;;;;;27608522616;;;;;;;;prepaid life;;;;;</t>
  </si>
  <si>
    <t>ID_3646</t>
  </si>
  <si>
    <t>13864721;2c1566ed-6607-4e37-a16e-13a1a23b283b;;111111118;Vodacom Life 20260324;;;;;NIUP;3;2026-04-14</t>
  </si>
  <si>
    <t>13864721;2c1566ed-6607-4e37-a16e-13a1a23b283b;;111111118;Vodacom Life 20260324;;;;;NIUP;3;2026-04-14 14:52:33+02;Seboifeng Mogola;2026-03-24 09:54:08+02;2026-03-24 09:54:08+02;;;;;;;;;27787533301;;;;;;;;prepaid life;;;;;</t>
  </si>
  <si>
    <t>ID_3647</t>
  </si>
  <si>
    <t>13864884;19ef703e-9893-44e1-87e9-f92290130d9c;;111111118;Vodacom Life 20260324;;;;;DROP;5;2026-05-23</t>
  </si>
  <si>
    <t>13864884;19ef703e-9893-44e1-87e9-f92290130d9c;;111111118;Vodacom Life 20260324;;;;;DROP;5;2026-05-23 09:22:15+02;system;2026-03-24 09:54:08+02;2026-03-24 09:54:08+02;;;;;;;;;27716361916;;;;;;;;prepaid life;;;;;</t>
  </si>
  <si>
    <t>ID_3648</t>
  </si>
  <si>
    <t>13864722;6b86ad3c-7f87-4ec1-ae15-818e849d6376;;111111118;Vodacom Life 20260324;;;27790490452;;DROP;5</t>
  </si>
  <si>
    <t>13864722;6b86ad3c-7f87-4ec1-ae15-818e849d6376;;111111118;Vodacom Life 20260324;;;27790490452;;DROP;5;2026-05-25 09:09:56+02;system;2026-03-24 09:54:08+02;2026-03-24 09:54:08+02;;;;;;;;;27790490452;;;;;;;;prepaid life;;;;;</t>
  </si>
  <si>
    <t>ID_3649</t>
  </si>
  <si>
    <t>13864810;c3e7730d-f1d0-4041-a6fb-aae44d4e2613;;111111118;Vodacom Life 20260324;;;;;DROP;5;2026-05-25</t>
  </si>
  <si>
    <t>13864810;c3e7730d-f1d0-4041-a6fb-aae44d4e2613;;111111118;Vodacom Life 20260324;;;;;DROP;5;2026-05-25 08:18:53+02;system;2026-03-24 09:54:08+02;2026-03-24 09:54:08+02;;;;;;;;;27608624754;;;;;;;;prepaid life;;;;;</t>
  </si>
  <si>
    <t>ID_3650</t>
  </si>
  <si>
    <t xml:space="preserve">13864885;848c1f87-c993-47bc-9b14-107d6dd02f80;;111111118;Vodacom Life 20260324;;;;;ADC;5;2026-05-22 </t>
  </si>
  <si>
    <t>13864885;848c1f87-c993-47bc-9b14-107d6dd02f80;;111111118;Vodacom Life 20260324;;;;;ADC;5;2026-05-22 13:00:45+02;system;2026-03-24 09:54:08+02;2026-03-24 09:54:08+02;;;;;;;;;27716930627;;;;;;;;prepaid life;;;;;</t>
  </si>
  <si>
    <t>ID_3651</t>
  </si>
  <si>
    <t>13864811;f266037e-61e0-4c6e-900c-56e2b37b8c5d;;111111118;Vodacom Life 20260324;;;;;AA;5;2026-05-25 0</t>
  </si>
  <si>
    <t>13864811;f266037e-61e0-4c6e-900c-56e2b37b8c5d;;111111118;Vodacom Life 20260324;;;;;AA;5;2026-05-25 08:11:18+02;system;2026-03-24 09:54:08+02;2026-03-24 09:54:08+02;;;;;;;;;27608799450;;;;;;;;prepaid life;;;;;</t>
  </si>
  <si>
    <t>ID_3652</t>
  </si>
  <si>
    <t>13864812;c49e3ab1-2033-46c0-a165-0dc4b1aa2494;;111111118;Vodacom Life 20260324;;;27609057094;;IABDN;</t>
  </si>
  <si>
    <t>13864812;c49e3ab1-2033-46c0-a165-0dc4b1aa2494;;111111118;Vodacom Life 20260324;;;27609057094;;IABDN;5;2026-05-25 08:11:15+02;system;2026-03-24 09:54:08+02;2026-03-24 09:54:08+02;;;;;;;;;27609057094;;;;;;;;prepaid life;;;;;</t>
  </si>
  <si>
    <t>ID_3653</t>
  </si>
  <si>
    <t>13864723;3344cdf2-a958-4abc-a846-cfbad0ab796e;;111111118;Vodacom Life 20260324;;;;;AA;5;2026-05-25 0</t>
  </si>
  <si>
    <t>13864723;3344cdf2-a958-4abc-a846-cfbad0ab796e;;111111118;Vodacom Life 20260324;;;;;AA;5;2026-05-25 09:09:56+02;system;2026-03-24 09:54:08+02;2026-03-24 09:54:08+02;;;;;;;;;27790719595;;;;;;;;prepaid life;;;;;</t>
  </si>
  <si>
    <t>ID_3654</t>
  </si>
  <si>
    <t xml:space="preserve">13864886;f18703a7-a017-405b-90c2-8e72dd189214;;111111118;Vodacom Life 20260324;;;;;OAL;3;2026-04-14 </t>
  </si>
  <si>
    <t>13864886;f18703a7-a017-405b-90c2-8e72dd189214;;111111118;Vodacom Life 20260324;;;;;OAL;3;2026-04-14 13:49:57+02;Thandile Nokubeni;2026-03-24 09:54:08+02;2026-03-24 09:54:08+02;;;;;;;;;27720592517;;;;;;;;prepaid life;;;;;</t>
  </si>
  <si>
    <t>ID_3655</t>
  </si>
  <si>
    <t>13864724;ff327b85-0826-459a-82ba-9fdd8676d929;;111111118;Vodacom Life 20260324;;;;;NI;3;2026-04-14 1</t>
  </si>
  <si>
    <t>13864724;ff327b85-0826-459a-82ba-9fdd8676d929;;111111118;Vodacom Life 20260324;;;;;NI;3;2026-04-14 14:52:30+02;Esther Ramalete;2026-03-24 09:54:08+02;2026-03-24 09:54:08+02;;;;;;;;;27790862340;;;;;;;;prepaid life;;;;;</t>
  </si>
  <si>
    <t>ID_3656</t>
  </si>
  <si>
    <t>13864813;3b861907-0cb6-416a-8fad-2db40d610195;;111111118;Vodacom Life 20260324;;;;;AA;5;2026-05-25 0</t>
  </si>
  <si>
    <t>13864813;3b861907-0cb6-416a-8fad-2db40d610195;;111111118;Vodacom Life 20260324;;;;;AA;5;2026-05-25 08:08:29+02;system;2026-03-24 09:54:08+02;2026-03-24 09:54:08+02;;;;;;;;;27609378618;;;;;;;;prepaid life;;;;;</t>
  </si>
  <si>
    <t>ID_3657</t>
  </si>
  <si>
    <t>13864887;c7015d99-f816-42d5-b2ee-8fb2cffb2c97;;111111118;Vodacom Life 20260324;;;;;NA;5;2026-05-22 1</t>
  </si>
  <si>
    <t>13864887;c7015d99-f816-42d5-b2ee-8fb2cffb2c97;;111111118;Vodacom Life 20260324;;;;;NA;5;2026-05-22 13:00:36+02;system;2026-03-24 09:54:08+02;2026-03-24 09:54:08+02;;;;;;;;;27720735059;;;;;;;;prepaid life;;;;;</t>
  </si>
  <si>
    <t>ID_3658</t>
  </si>
  <si>
    <t>13864814;6a275014-285c-40be-9624-9845eeb93c3d;;111111118;Vodacom Life 20260324;;;;;NI;4;2026-05-07 1</t>
  </si>
  <si>
    <t>13864814;6a275014-285c-40be-9624-9845eeb93c3d;;111111118;Vodacom Life 20260324;;;;;NI;4;2026-05-07 14:43:08+02;Siyabonga Khoza;2026-03-24 09:54:08+02;2026-03-24 09:54:08+02;;;;;;;;;27609616762;;;;;;;;prepaid life;;;;;</t>
  </si>
  <si>
    <t>ID_3659</t>
  </si>
  <si>
    <t>13864725;3990b1fd-aedf-4a30-b518-34ad7f105df2;;111111118;Vodacom Life 20260324;;;;;AE;5;2026-05-25 0</t>
  </si>
  <si>
    <t>13864725;3990b1fd-aedf-4a30-b518-34ad7f105df2;;111111118;Vodacom Life 20260324;;;;;AE;5;2026-05-25 09:09:57+02;system;2026-03-24 09:54:08+02;2026-03-24 09:54:08+02;;;;;;;;;27790935966;;;;;;;;prepaid life;;;;;</t>
  </si>
  <si>
    <t>ID_3660</t>
  </si>
  <si>
    <t xml:space="preserve">13864888;67ac0825-40b9-4834-bd9a-4edef45c59fa;;111111118;Vodacom Life 20260324;;;;;CCB;6;2026-05-11 </t>
  </si>
  <si>
    <t>13864888;67ac0825-40b9-4834-bd9a-4edef45c59fa;;111111118;Vodacom Life 20260324;;;;;CCB;6;2026-05-11 08:53:12+02;Musiiwa Mary Mabirimisa;2026-03-24 09:54:08+02;2026-03-24 09:54:08+02;;;;;;;;;27721044612;;;;;;;;prepaid life;;;;;</t>
  </si>
  <si>
    <t>ID_3661</t>
  </si>
  <si>
    <t>13864815;929fdfb0-5323-4adb-967f-66ea3a685e64;;111111118;Vodacom Life 20260324;;;27609976074;;A;5;20</t>
  </si>
  <si>
    <t>13864815;929fdfb0-5323-4adb-967f-66ea3a685e64;;111111118;Vodacom Life 20260324;;;27609976074;;A;5;2026-05-22 13:48:16+02;bongiwe lushaba;2026-03-24 09:54:08+02;2026-03-24 09:54:08+02;;;;;;;;;27609976074;;;;;;;;prepaid life;;;;;</t>
  </si>
  <si>
    <t>ID_3662</t>
  </si>
  <si>
    <t>13864889;0a0f16b0-6c6e-428c-9f06-e7c3a6471c67;;111111118;Vodacom Life 20260324;;;;;NI;1;2026-04-01 1</t>
  </si>
  <si>
    <t>13864889;0a0f16b0-6c6e-428c-9f06-e7c3a6471c67;;111111118;Vodacom Life 20260324;;;;;NI;1;2026-04-01 10:03:30+02;Musiiwa Mary Mabirimisa;2026-03-24 09:54:08+02;2026-03-24 09:54:08+02;;;;;;;;;27721321895;;;;;;;;prepaid life;;;;;</t>
  </si>
  <si>
    <t>ID_3663</t>
  </si>
  <si>
    <t>13864816;b759eb56-288b-42af-96c5-6d93b48dcc5a;;111111118;Vodacom Life 20260324;;;;;NA;5;2026-05-22 1</t>
  </si>
  <si>
    <t>13864816;b759eb56-288b-42af-96c5-6d93b48dcc5a;;111111118;Vodacom Life 20260324;;;;;NA;5;2026-05-22 13:00:18+02;system;2026-03-24 09:54:08+02;2026-03-24 09:54:08+02;;;;;;;;;27614944713;;;;;;;;prepaid life;;;;;</t>
  </si>
  <si>
    <t>ID_3664</t>
  </si>
  <si>
    <t>13864726;dc66028e-f6b1-41cb-8ea0-308c051983fe;;111111118;Vodacom Life 20260324;;;;;DNQF;3;2026-04-14</t>
  </si>
  <si>
    <t>13864726;dc66028e-f6b1-41cb-8ea0-308c051983fe;;111111118;Vodacom Life 20260324;;;;;DNQF;3;2026-04-14 14:52:20+02;Millicent Motsuku;2026-03-24 09:54:08+02;2026-03-24 09:54:08+02;;;;;;;;;27791187032;;;;;;;;prepaid life;;;;;</t>
  </si>
  <si>
    <t>ID_3665</t>
  </si>
  <si>
    <t>13864890;2414f73c-50a9-4b27-a3a7-7cc1b9d3638b;;111111118;Vodacom Life 20260324;;;;;NI;4;2026-05-07 1</t>
  </si>
  <si>
    <t>13864890;2414f73c-50a9-4b27-a3a7-7cc1b9d3638b;;111111118;Vodacom Life 20260324;;;;;NI;4;2026-05-07 14:34:59+02;Esther Ramalete;2026-03-24 09:54:08+02;2026-03-24 09:54:08+02;;;;;;;;;27721860747;;;;;;;;prepaid life;;;;;</t>
  </si>
  <si>
    <t>ID_3666</t>
  </si>
  <si>
    <t>13864727;918b37fb-4d55-4480-be55-44083a6da497;;111111118;Vodacom Life 20260324;;;;;AA;5;2026-05-25 0</t>
  </si>
  <si>
    <t>13864727;918b37fb-4d55-4480-be55-44083a6da497;;111111118;Vodacom Life 20260324;;;;;AA;5;2026-05-25 09:10:02+02;system;2026-03-24 09:54:08+02;2026-03-24 09:54:08+02;;;;;;;;;27791628103;;;;;;;;prepaid life;;;;;</t>
  </si>
  <si>
    <t>ID_3667</t>
  </si>
  <si>
    <t>13864817;84b8c6b6-8996-4de0-8e7f-984bf8a17db6;;111111118;Vodacom Life 20260324;;;;;CBACK;4;2026-05-0</t>
  </si>
  <si>
    <t>13864817;84b8c6b6-8996-4de0-8e7f-984bf8a17db6;;111111118;Vodacom Life 20260324;;;;;CBACK;4;2026-05-07 14:41:32+02;Maureen Ntsoko;2026-03-24 09:54:08+02;2026-03-24 09:54:08+02;;;;;;;;;27633978057;;;;;;;;prepaid life;;;;;</t>
  </si>
  <si>
    <t>ID_3668</t>
  </si>
  <si>
    <t>13864891;618a7b8c-cbf2-4b7b-a5a0-d3b760ecbf5c;;111111118;Vodacom Life 20260324;;;;;AA;5;2026-05-22 1</t>
  </si>
  <si>
    <t>13864891;618a7b8c-cbf2-4b7b-a5a0-d3b760ecbf5c;;111111118;Vodacom Life 20260324;;;;;AA;5;2026-05-22 13:00:36+02;system;2026-03-24 09:54:08+02;2026-03-24 09:54:08+02;;;;;;;;;27722017966;;;;;;;;prepaid life;;;;;</t>
  </si>
  <si>
    <t>ID_3669</t>
  </si>
  <si>
    <t>13864818;7eaba74f-4880-4e22-8c72-a3695e19b20c;;111111118;Vodacom Life 20260324;;;27636692154;;IABDN;</t>
  </si>
  <si>
    <t>13864818;7eaba74f-4880-4e22-8c72-a3695e19b20c;;111111118;Vodacom Life 20260324;;;27636692154;;IABDN;5;2026-05-22 12:59:20+02;system;2026-03-24 09:54:08+02;2026-03-24 09:54:08+02;;;;;;;;;27636692154;;;;;;;;prepaid life;;;;;</t>
  </si>
  <si>
    <t>ID_3670</t>
  </si>
  <si>
    <t>13864892;08f74713-8c59-47d2-81e8-f332f9eadf99;;111111118;Vodacom Life 20260324;;;27722020345;;NI;4;2</t>
  </si>
  <si>
    <t>13864892;08f74713-8c59-47d2-81e8-f332f9eadf99;;111111118;Vodacom Life 20260324;;;27722020345;;NI;4;2026-05-07 14:36:16+02;Esther Ramalete;2026-03-24 09:54:08+02;2026-03-24 09:54:08+02;;;;;;;;;27722020345;;;;;;;;prepaid life;;;;;</t>
  </si>
  <si>
    <t>ID_3671</t>
  </si>
  <si>
    <t>13864819;99bd8d17-e071-4b87-864a-104d9dbcdc2d;;111111118;Vodacom Life 20260324;;;;;NA;5;2026-05-22 1</t>
  </si>
  <si>
    <t>13864819;99bd8d17-e071-4b87-864a-104d9dbcdc2d;;111111118;Vodacom Life 20260324;;;;;NA;5;2026-05-22 13:03:09+02;system;2026-03-24 09:54:08+02;2026-03-24 09:54:08+02;;;;;;;;;27637573241;;;;;;;;prepaid life;;;;;</t>
  </si>
  <si>
    <t>ID_3672</t>
  </si>
  <si>
    <t>13864728;5787cf47-5362-47ba-8006-e41d1aecca78;;111111118;Vodacom Life 20260324;;;;;NI;3;2026-04-14 1</t>
  </si>
  <si>
    <t>13864728;5787cf47-5362-47ba-8006-e41d1aecca78;;111111118;Vodacom Life 20260324;;;;;NI;3;2026-04-14 14:52:15+02;Musiiwa Mary Mabirimisa;2026-03-24 09:54:08+02;2026-03-24 09:54:08+02;;;;;;;;;27791965724;;;;;;;;prepaid life;;;;;</t>
  </si>
  <si>
    <t>ID_3673</t>
  </si>
  <si>
    <t>13864893;4c6733ce-89b1-4b3b-b49b-b52ca6f1258b;;111111118;Vodacom Life 20260324;;;27722343844;;WN;4;2</t>
  </si>
  <si>
    <t>13864893;4c6733ce-89b1-4b3b-b49b-b52ca6f1258b;;111111118;Vodacom Life 20260324;;;27722343844;;WN;4;2026-05-07 14:43:31+02;Esther Ramalete;2026-03-24 09:54:08+02;2026-03-24 09:54:08+02;;;;;;;;;27722343844;;;;;;;;prepaid life;;;;;</t>
  </si>
  <si>
    <t>ID_3674</t>
  </si>
  <si>
    <t>13864729;07aea483-6d35-4987-98d9-893ec60def14;;111111118;Vodacom Life 20260324;;;;;DROP;5;2026-05-25</t>
  </si>
  <si>
    <t>13864729;07aea483-6d35-4987-98d9-893ec60def14;;111111118;Vodacom Life 20260324;;;;;DROP;5;2026-05-25 09:10:03+02;system;2026-03-24 09:54:08+02;2026-03-24 09:54:08+02;;;;;;;;;27792236314;;;;;;;;prepaid life;;;;;</t>
  </si>
  <si>
    <t>ID_3675</t>
  </si>
  <si>
    <t>13864894;976d9a10-6584-4dce-8360-185f25bb2c53;;111111118;Vodacom Life 20260324;;;;;CU;5;2026-05-22 1</t>
  </si>
  <si>
    <t>13864894;976d9a10-6584-4dce-8360-185f25bb2c53;;111111118;Vodacom Life 20260324;;;;;CU;5;2026-05-22 12:54:20+02;Khensane Mabasa;2026-03-24 09:54:08+02;2026-03-24 09:54:08+02;;;;;;;;;27722368288;;;;;;;;prepaid life;;;;;</t>
  </si>
  <si>
    <t>ID_3676</t>
  </si>
  <si>
    <t xml:space="preserve">13864924;d84a9da1-53ac-4fc2-87d4-0e76b6c32701;;111111118;Vodacom Life 20260324;;;;;OAL;1;2026-03-27 </t>
  </si>
  <si>
    <t>13864924;d84a9da1-53ac-4fc2-87d4-0e76b6c32701;;111111118;Vodacom Life 20260324;;;;;OAL;1;2026-03-27 10:51:50+02;bongiwe lushaba;2026-03-24 09:54:08+02;2026-03-24 09:54:08+02;;;;;;;;;27733440736;;;;;;;;prepaid life;;;;;</t>
  </si>
  <si>
    <t>ID_3677</t>
  </si>
  <si>
    <t>13864820;a5850936-d2bc-4e14-af20-a03d3264d823;;111111118;Vodacom Life 20260324;;;;;CU;5;2026-05-22 1</t>
  </si>
  <si>
    <t>13864820;a5850936-d2bc-4e14-af20-a03d3264d823;;111111118;Vodacom Life 20260324;;;;;CU;5;2026-05-22 12:58:39+02;Khensane Mabasa;2026-03-24 09:54:08+02;2026-03-24 09:54:08+02;;;;;;;;;27637840799;;;;;;;;prepaid life;;;;;</t>
  </si>
  <si>
    <t>ID_3678</t>
  </si>
  <si>
    <t>13864895;b6b49079-3571-4c5a-b9e1-d674a306e43d;;111111118;Vodacom Life 20260324;;;;;AA;5;2026-05-22 1</t>
  </si>
  <si>
    <t>13864895;b6b49079-3571-4c5a-b9e1-d674a306e43d;;111111118;Vodacom Life 20260324;;;;;AA;5;2026-05-22 12:56:42+02;system;2026-03-24 09:54:08+02;2026-03-24 09:54:08+02;;;;;;;;;27722963655;;;;;;;;prepaid life;;;;;</t>
  </si>
  <si>
    <t>ID_3679</t>
  </si>
  <si>
    <t>13864821;08fbf200-a51f-4f48-a549-69afb86feba5;;111111118;Vodacom Life 20260324;;;;;NI;4;2026-04-15 0</t>
  </si>
  <si>
    <t>13864821;08fbf200-a51f-4f48-a549-69afb86feba5;;111111118;Vodacom Life 20260324;;;;;NI;4;2026-04-15 08:22:49+02;Musiiwa Mary Mabirimisa;2026-03-24 09:54:08+02;2026-03-24 09:54:08+02;;;;;;;;;27637859900;;;;;;;;prepaid life;;;;;</t>
  </si>
  <si>
    <t>ID_3680</t>
  </si>
  <si>
    <t>13864822;3972dde1-8114-4bfa-a22f-447908b93fd1;;111111118;Vodacom Life 20260324;;;;;AA;5;2026-05-22 1</t>
  </si>
  <si>
    <t>13864822;3972dde1-8114-4bfa-a22f-447908b93fd1;;111111118;Vodacom Life 20260324;;;;;AA;5;2026-05-22 13:00:18+02;system;2026-03-24 09:54:08+02;2026-03-24 09:54:08+02;;;;;;;;;27637970398;;;;;;;;prepaid life;;;;;</t>
  </si>
  <si>
    <t>ID_3681</t>
  </si>
  <si>
    <t>13864925;7f01d753-6dd9-48b1-888b-bca5f6952094;;111111118;Vodacom Life 20260324;;;;;AE;5;2026-05-23 0</t>
  </si>
  <si>
    <t>13864925;7f01d753-6dd9-48b1-888b-bca5f6952094;;111111118;Vodacom Life 20260324;;;;;AE;5;2026-05-23 09:05:22+02;system;2026-03-24 09:54:08+02;2026-03-24 09:54:08+02;;;;;;;;;27748702160;;;;;;;;prepaid life;;;;;</t>
  </si>
  <si>
    <t>ID_3682</t>
  </si>
  <si>
    <t>13864896;35df4972-f60a-4235-99e2-31ca38311cb2;;111111118;Vodacom Life 20260324;;;;;AA;5;2026-05-22 1</t>
  </si>
  <si>
    <t>13864896;35df4972-f60a-4235-99e2-31ca38311cb2;;111111118;Vodacom Life 20260324;;;;;AA;5;2026-05-22 12:54:58+02;system;2026-03-24 09:54:08+02;2026-03-24 09:54:08+02;;;;;;;;;27723548332;;;;;;;;prepaid life;;;;;</t>
  </si>
  <si>
    <t>ID_3683</t>
  </si>
  <si>
    <t>13864926;1426af89-5cdc-41e0-9f25-57c12267cc36;;111111118;Vodacom Life 20260324;;;27760835794;;AE;5;2</t>
  </si>
  <si>
    <t>13864926;1426af89-5cdc-41e0-9f25-57c12267cc36;;111111118;Vodacom Life 20260324;;;27760835794;;AE;5;2026-05-23 09:04:20+02;system;2026-03-24 09:54:08+02;2026-03-24 09:54:08+02;;;;;;;;;27760835794;;;;;;;;prepaid life;;;;;</t>
  </si>
  <si>
    <t>ID_3684</t>
  </si>
  <si>
    <t>13864823;d78c8843-0fc5-48fb-8ee2-769e4e773a0d;;111111118;Vodacom Life 20260324;;;27646155104;;CU;5;2</t>
  </si>
  <si>
    <t>13864823;d78c8843-0fc5-48fb-8ee2-769e4e773a0d;;111111118;Vodacom Life 20260324;;;27646155104;;CU;5;2026-05-22 13:01:39+02;bongiwe lushaba;2026-03-24 09:54:08+02;2026-03-24 09:54:08+02;;;;;;;;;27646155104;;;;;;;;prepaid life;;;;;</t>
  </si>
  <si>
    <t>ID_3685</t>
  </si>
  <si>
    <t>13864897;9fee251f-bb63-41c4-b42b-eddf901e5c63;;111111118;Vodacom Life 20260324;;;;;DROP;5;2026-05-22</t>
  </si>
  <si>
    <t>13864897;9fee251f-bb63-41c4-b42b-eddf901e5c63;;111111118;Vodacom Life 20260324;;;;;DROP;5;2026-05-22 12:55:36+02;system;2026-03-24 09:54:08+02;2026-03-24 09:54:08+02;;;;;;;;;27723836604;;;;;;;;prepaid life;;;;;</t>
  </si>
  <si>
    <t>ID_3686</t>
  </si>
  <si>
    <t>13864824;5fad6c8a-f59a-4b67-b19a-2653f894a1ca;;111111118;Vodacom Life 20260324;;;;;NA;5;2026-05-22 1</t>
  </si>
  <si>
    <t>13864824;5fad6c8a-f59a-4b67-b19a-2653f894a1ca;;111111118;Vodacom Life 20260324;;;;;NA;5;2026-05-22 13:03:09+02;system;2026-03-24 09:54:08+02;2026-03-24 09:54:08+02;;;;;;;;;27646262722;;;;;;;;prepaid life;;;;;</t>
  </si>
  <si>
    <t>ID_3687</t>
  </si>
  <si>
    <t>13864927;622e9a6c-81bd-48ef-82cd-dc103128fdf7;;111111118;Vodacom Life 20260324;;;27761267418;;CCB;5;</t>
  </si>
  <si>
    <t>13864927;622e9a6c-81bd-48ef-82cd-dc103128fdf7;;111111118;Vodacom Life 20260324;;;27761267418;;CCB;5;2026-05-23 09:04:20+02;Maureen Ntsoko;2026-03-24 09:54:08+02;2026-03-24 09:54:08+02;;;;;;;;;27761267418;;;;;;;;prepaid life;;;;;</t>
  </si>
  <si>
    <t>ID_3688</t>
  </si>
  <si>
    <t>13864928;53464f63-3d72-4c3c-8fe3-de691dafe1f7;;111111118;Vodacom Life 20260324;;;;;NA;5;2026-05-22 1</t>
  </si>
  <si>
    <t>13864928;53464f63-3d72-4c3c-8fe3-de691dafe1f7;;111111118;Vodacom Life 20260324;;;;;NA;5;2026-05-22 14:28:23+02;system;2026-03-24 09:54:08+02;2026-03-24 09:54:08+02;;;;;;;;;27761522691;;;;;;;;prepaid life;;;;;</t>
  </si>
  <si>
    <t>ID_3689</t>
  </si>
  <si>
    <t>13864898;0e18b6e7-d6b1-4ef8-95a6-9f59dcde330a;;111111118;Vodacom Life 20260324;;;27723947825;;N;5;20</t>
  </si>
  <si>
    <t>13864898;0e18b6e7-d6b1-4ef8-95a6-9f59dcde330a;;111111118;Vodacom Life 20260324;;;27723947825;;N;5;2026-05-22 12:55:02+02;Khensane Mabasa;2026-03-24 09:54:08+02;2026-03-24 09:54:08+02;;;;;;;;;27723947825;;;;;;;;prepaid life;;;;;</t>
  </si>
  <si>
    <t>ID_3690</t>
  </si>
  <si>
    <t>13864825;4a6d381f-697a-42e5-8c2c-5e02d0fe3c8f;;111111118;Vodacom Life 20260324;;;;;NA;5;2026-05-25 0</t>
  </si>
  <si>
    <t>13864825;4a6d381f-697a-42e5-8c2c-5e02d0fe3c8f;;111111118;Vodacom Life 20260324;;;;;NA;5;2026-05-25 08:08:19+02;system;2026-03-24 09:54:08+02;2026-03-24 09:54:08+02;;;;;;;;;27646360662;;;;;;;;prepaid life;;;;;</t>
  </si>
  <si>
    <t>ID_3691</t>
  </si>
  <si>
    <t>13864899;7b4f25ca-9912-42a3-9655-4b4b40b9033d;;111111118;Vodacom Life 20260324;;;;;AA;5;2026-05-22 1</t>
  </si>
  <si>
    <t>13864899;7b4f25ca-9912-42a3-9655-4b4b40b9033d;;111111118;Vodacom Life 20260324;;;;;AA;5;2026-05-22 13:00:33+02;system;2026-03-24 09:54:08+02;2026-03-24 09:54:08+02;;;;;;;;;27724287727;;;;;;;;prepaid life;;;;;</t>
  </si>
  <si>
    <t>ID_3692</t>
  </si>
  <si>
    <t>13864900;ff463d35-20e0-4dcb-9a46-76361a57984b;;111111118;Vodacom Life 20260324;;;;;U;4;2026-05-07 14</t>
  </si>
  <si>
    <t>13864900;ff463d35-20e0-4dcb-9a46-76361a57984b;;111111118;Vodacom Life 20260324;;;;;U;4;2026-05-07 14:34:25+02;Siyabonga Khoza;2026-03-24 09:54:08+02;2026-03-24 09:54:08+02;;;;;;;;;27724382260;;;;;;;;prepaid life;;;;;</t>
  </si>
  <si>
    <t>ID_3693</t>
  </si>
  <si>
    <t>13864826;ed7ae5ea-5181-4e58-bcd4-9041dabf9238;;111111118;Vodacom Life 20260324;;;;;MULTI;4;2026-05-0</t>
  </si>
  <si>
    <t>13864826;ed7ae5ea-5181-4e58-bcd4-9041dabf9238;;111111118;Vodacom Life 20260324;;;;;MULTI;4;2026-05-07 14:42:03+02;Siyabonga Khoza;2026-03-24 09:54:08+02;2026-03-24 09:54:08+02;;;;;;;;;27646798721;;;;;;;;prepaid life;;;;;</t>
  </si>
  <si>
    <t>ID_3694</t>
  </si>
  <si>
    <t>13864929;9db82af5-55b3-4013-bb08-bb637be78637;;111111118;Vodacom Life 20260324;;;;;NI;3;2026-04-14 1</t>
  </si>
  <si>
    <t>13864929;9db82af5-55b3-4013-bb08-bb637be78637;;111111118;Vodacom Life 20260324;;;;;NI;3;2026-04-14 14:32:05+02;Thandile Nokubeni;2026-03-24 09:54:08+02;2026-03-24 09:54:08+02;;;;;;;;;27761704516;;;;;;;;prepaid life;;;;;</t>
  </si>
  <si>
    <t>ID_3695</t>
  </si>
  <si>
    <t>13864901;a67fd1eb-4a90-44c9-9809-2f80654b1f9d;;111111118;Vodacom Life 20260324;;;;;GTTB;3;2026-04-08</t>
  </si>
  <si>
    <t>13864901;a67fd1eb-4a90-44c9-9809-2f80654b1f9d;;111111118;Vodacom Life 20260324;;;;;GTTB;3;2026-04-08 12:24:14+02;Thandile Nokubeni;2026-03-24 09:54:08+02;2026-03-24 09:54:08+02;;;;;;;;;27724666498;;;;;;;;prepaid life;;;;;</t>
  </si>
  <si>
    <t>ID_3696</t>
  </si>
  <si>
    <t>13864930;c928a327-450d-496c-9493-98c3929655f5;;111111118;Vodacom Life 20260324;;;;;AA;5;2026-05-22 1</t>
  </si>
  <si>
    <t>13864930;c928a327-450d-496c-9493-98c3929655f5;;111111118;Vodacom Life 20260324;;;;;AA;5;2026-05-22 12:12:51+02;system;2026-03-24 09:54:08+02;2026-03-24 09:54:08+02;;;;;;;;;27761814372;;;;;;;;prepaid life;;;;;</t>
  </si>
  <si>
    <t>ID_3697</t>
  </si>
  <si>
    <t>13865021;c7390620-00bc-4723-84c8-9f127e493465;;111111118;Vodacom Life 20260324;;;;;DROP;5;2026-05-22</t>
  </si>
  <si>
    <t>13865021;c7390620-00bc-4723-84c8-9f127e493465;;111111118;Vodacom Life 20260324;;;;;DROP;5;2026-05-22 14:01:23+02;system;2026-03-24 09:54:08+02;2026-03-24 09:54:08+02;;;;;;;;;27818935644;;;;;;;;prepaid life;;;;;</t>
  </si>
  <si>
    <t>ID_3698</t>
  </si>
  <si>
    <t>13864902;ef8b0ca3-063a-4d8a-b88d-dc80149e38ac;;111111118;Vodacom Life 20260324;;;;;NIUP;4;2026-05-07</t>
  </si>
  <si>
    <t>13864902;ef8b0ca3-063a-4d8a-b88d-dc80149e38ac;;111111118;Vodacom Life 20260324;;;;;NIUP;4;2026-05-07 14:36:31+02;Seboifeng Mogola;2026-03-24 09:54:08+02;2026-03-24 09:54:08+02;;;;;;;;;27725579062;;;;;;;;prepaid life;;;;;</t>
  </si>
  <si>
    <t>ID_3699</t>
  </si>
  <si>
    <t>13865022;dc077b8b-5e19-4e51-8e36-986e54b912be;;111111118;Vodacom Life 20260324;;;;;NI;3;2026-04-14 1</t>
  </si>
  <si>
    <t>13865022;dc077b8b-5e19-4e51-8e36-986e54b912be;;111111118;Vodacom Life 20260324;;;;;NI;3;2026-04-14 12:10:35+02;Esther Ramalete;2026-03-24 09:54:08+02;2026-03-24 09:54:08+02;;;;;;;;;27818984705;;;;;;;;prepaid life;;;;;</t>
  </si>
  <si>
    <t>ID_3700</t>
  </si>
  <si>
    <t>13864931;1b4faa5a-1008-481c-921c-5ba535cb99c3;;111111118;Vodacom Life 20260324;;;27761944601;;IABDN;</t>
  </si>
  <si>
    <t>13864931;1b4faa5a-1008-481c-921c-5ba535cb99c3;;111111118;Vodacom Life 20260324;;;27761944601;;IABDN;5;2026-05-11 13:54:58+02;system;2026-03-24 09:54:08+02;2026-03-24 09:54:08+02;;;;;;;;;27761944601;;;;;;;;prepaid life;;;;;</t>
  </si>
  <si>
    <t>ID_3701</t>
  </si>
  <si>
    <t>13864903;ff584b61-0868-486b-94cb-dcbebae2a319;;111111118;Vodacom Life 20260324;;;27725656296;;AE;5;2</t>
  </si>
  <si>
    <t>13864903;ff584b61-0868-486b-94cb-dcbebae2a319;;111111118;Vodacom Life 20260324;;;27725656296;;AE;5;2026-05-22 13:00:28+02;system;2026-03-24 09:54:08+02;2026-03-24 09:54:08+02;;;;;;;;;27725656296;;;;;;;;prepaid life;;;;;</t>
  </si>
  <si>
    <t>ID_3702</t>
  </si>
  <si>
    <t>13864932;2c437863-e3ea-4b0a-8097-c9f652d14fe3;;111111118;Vodacom Life 20260324;;;27762414974;;AFTHRS</t>
  </si>
  <si>
    <t>13864932;2c437863-e3ea-4b0a-8097-c9f652d14fe3;;111111118;Vodacom Life 20260324;;;27762414974;;AFTHRS;5;2026-05-23 18:22:42+02;system;2026-03-24 09:54:08+02;2026-03-24 09:54:08+02;;;;;;;;;27762414974;;;;;;;;prepaid life;;;;;</t>
  </si>
  <si>
    <t>ID_3703</t>
  </si>
  <si>
    <t>13864904;e0cda386-4cb3-4723-ae2b-05131d77466d;;111111118;Vodacom Life 20260324;;;;;AA;5;2026-05-22 1</t>
  </si>
  <si>
    <t>13864904;e0cda386-4cb3-4723-ae2b-05131d77466d;;111111118;Vodacom Life 20260324;;;;;AA;5;2026-05-22 13:00:20+02;system;2026-03-24 09:54:08+02;2026-03-24 09:54:08+02;;;;;;;;;27725940816;;;;;;;;prepaid life;;;;;</t>
  </si>
  <si>
    <t>ID_3704</t>
  </si>
  <si>
    <t>13864933;86a50093-7c7e-4eee-92dd-3fef6349d188;;111111118;Vodacom Life 20260324;;;;;AA;5;2026-05-08 0</t>
  </si>
  <si>
    <t>13864933;86a50093-7c7e-4eee-92dd-3fef6349d188;;111111118;Vodacom Life 20260324;;;;;AA;5;2026-05-08 07:59:54+02;system;2026-03-24 09:54:08+02;2026-03-24 09:54:08+02;;;;;;;;;27762447607;;;;;;;;prepaid life;;;;;</t>
  </si>
  <si>
    <t>ID_3705</t>
  </si>
  <si>
    <t xml:space="preserve">13865023;4e6b1a38-014d-4f53-80db-60c62f4dd2e8;;111111118;Vodacom Life 20260324;;;;;ADC;5;2026-05-22 </t>
  </si>
  <si>
    <t>13865023;4e6b1a38-014d-4f53-80db-60c62f4dd2e8;;111111118;Vodacom Life 20260324;;;;;ADC;5;2026-05-22 11:54:14+02;system;2026-03-24 09:54:08+02;2026-03-24 09:54:08+02;;;;;;;;;27820698277;;;;;;;;prepaid life;;;;;</t>
  </si>
  <si>
    <t>ID_3706</t>
  </si>
  <si>
    <t>13865024;6ca08311-b0f0-44e6-b012-c46a40c8d151;;111111118;Vodacom Life 20260324;;;27820743800;;IABDN;</t>
  </si>
  <si>
    <t>13865024;6ca08311-b0f0-44e6-b012-c46a40c8d151;;111111118;Vodacom Life 20260324;;;27820743800;;IABDN;5;2026-05-22 11:54:35+02;system;2026-03-24 09:54:08+02;2026-03-24 09:54:08+02;;;;;;;;;27820743800;;;;;;;;prepaid life;;;;;</t>
  </si>
  <si>
    <t>ID_3707</t>
  </si>
  <si>
    <t>13864905;5e60b9ac-f180-497b-9ca3-4126358f9141;;111111118;Vodacom Life 20260324;;;;;AA;5;2026-05-22 1</t>
  </si>
  <si>
    <t>13864905;5e60b9ac-f180-497b-9ca3-4126358f9141;;111111118;Vodacom Life 20260324;;;;;AA;5;2026-05-22 13:00:18+02;system;2026-03-24 09:54:08+02;2026-03-24 09:54:08+02;;;;;;;;;27726289067;;;;;;;;prepaid life;;;;;</t>
  </si>
  <si>
    <t>ID_3708</t>
  </si>
  <si>
    <t xml:space="preserve">13865025;2757af63-95a1-487d-9870-4372e0393967;;111111118;Vodacom Life 20260324;;;;;ADC;5;2026-05-22 </t>
  </si>
  <si>
    <t>13865025;2757af63-95a1-487d-9870-4372e0393967;;111111118;Vodacom Life 20260324;;;;;ADC;5;2026-05-22 11:54:14+02;system;2026-03-24 09:54:08+02;2026-03-24 09:54:08+02;;;;;;;;;27822045456;;;;;;;;prepaid life;;;;;</t>
  </si>
  <si>
    <t>ID_3709</t>
  </si>
  <si>
    <t>13864906;2d6fe4fe-afe0-4e15-a5e7-afc7b65a20fd;;111111118;Vodacom Life 20260324;;;27726337990;;CBACK;</t>
  </si>
  <si>
    <t>13864906;2d6fe4fe-afe0-4e15-a5e7-afc7b65a20fd;;111111118;Vodacom Life 20260324;;;27726337990;;CBACK;4;2026-05-19 10:33:12+02;Maureen Ntsoko;2026-03-24 09:54:08+02;2026-03-24 09:54:08+02;;;;;;;;;27726337990;;;;;;;;prepaid life;;;;;</t>
  </si>
  <si>
    <t>ID_3710</t>
  </si>
  <si>
    <t>13865026;f374d315-b57e-40c0-a955-d463e83ae69b;;111111118;Vodacom Life 20260324;;;27822045713;;IABDN;</t>
  </si>
  <si>
    <t>13865026;f374d315-b57e-40c0-a955-d463e83ae69b;;111111118;Vodacom Life 20260324;;;27822045713;;IABDN;5;2026-05-22 11:54:47+02;system;2026-03-24 09:54:08+02;2026-03-24 09:54:08+02;;;;;;;;;27822045713;;;;;;;;prepaid life;;;;;</t>
  </si>
  <si>
    <t>ID_3711</t>
  </si>
  <si>
    <t>13864934;d6e3821f-7441-416a-9c7f-a5888deaf00d;;111111118;Vodacom Life 20260324;;;;;DROP;5;2026-05-22</t>
  </si>
  <si>
    <t>13864934;d6e3821f-7441-416a-9c7f-a5888deaf00d;;111111118;Vodacom Life 20260324;;;;;DROP;5;2026-05-22 12:13:49+02;system;2026-03-24 09:54:08+02;2026-03-24 09:54:08+02;;;;;;;;;27763011803;;;;;;;;prepaid life;;;;;</t>
  </si>
  <si>
    <t>ID_3712</t>
  </si>
  <si>
    <t>13864907;60ad24b3-0d19-4e09-a87e-f225388b3c5e;;111111118;Vodacom Life 20260324;;;;;AA;5;2026-05-22 1</t>
  </si>
  <si>
    <t>13864907;60ad24b3-0d19-4e09-a87e-f225388b3c5e;;111111118;Vodacom Life 20260324;;;;;AA;5;2026-05-22 13:00:19+02;system;2026-03-24 09:54:08+02;2026-03-24 09:54:08+02;;;;;;;;;27726438311;;;;;;;;prepaid life;;;;;</t>
  </si>
  <si>
    <t>ID_3713</t>
  </si>
  <si>
    <t>13864935;f25947be-6f8e-4b2c-b420-b8e1575d5e91;;111111118;Vodacom Life 20260324;;;;;NI;4;2026-05-07 1</t>
  </si>
  <si>
    <t>13864935;f25947be-6f8e-4b2c-b420-b8e1575d5e91;;111111118;Vodacom Life 20260324;;;;;NI;4;2026-05-07 14:29:33+02;Siyabonga Khoza;2026-03-24 09:54:08+02;2026-03-24 09:54:08+02;;;;;;;;;27763505184;;;;;;;;prepaid life;;;;;</t>
  </si>
  <si>
    <t>ID_3714</t>
  </si>
  <si>
    <t>13865027;1b7cd8c4-0d17-4622-bacc-a41dfc3a6174;;111111118;Vodacom Life 20260324;;;;;AA;5;2026-05-22 1</t>
  </si>
  <si>
    <t>13865027;1b7cd8c4-0d17-4622-bacc-a41dfc3a6174;;111111118;Vodacom Life 20260324;;;;;AA;5;2026-05-22 13:55:28+02;system;2026-03-24 09:54:08+02;2026-03-24 09:54:08+02;;;;;;;;;27822140887;;;;;;;;prepaid life;;;;;</t>
  </si>
  <si>
    <t>ID_3715</t>
  </si>
  <si>
    <t>13864908;9598c4e9-eff3-4500-b91f-a646cdfa604b;;111111118;Vodacom Life 20260324;;;;;AE;5;2026-05-22 1</t>
  </si>
  <si>
    <t>13864908;9598c4e9-eff3-4500-b91f-a646cdfa604b;;111111118;Vodacom Life 20260324;;;;;AE;5;2026-05-22 12:54:19+02;system;2026-03-24 09:54:08+02;2026-03-24 09:54:08+02;;;;;;;;;27726503888;;;;;;;;prepaid life;;;;;</t>
  </si>
  <si>
    <t>ID_3716</t>
  </si>
  <si>
    <t>13865028;5cda0179-8807-48b2-8e45-6069604d1370;;111111118;Vodacom Life 20260324;;;;;NI;4;2026-05-07 1</t>
  </si>
  <si>
    <t>13865028;5cda0179-8807-48b2-8e45-6069604d1370;;111111118;Vodacom Life 20260324;;;;;NI;4;2026-05-07 14:19:10+02;Maureen Ntsoko;2026-03-24 09:54:08+02;2026-03-24 09:54:08+02;;;;;;;;;27822141377;;;;;;;;prepaid life;;;;;</t>
  </si>
  <si>
    <t>ID_3717</t>
  </si>
  <si>
    <t>13864936;2cc49cc9-8ac5-44e5-b84a-8c998f974648;;111111118;Vodacom Life 20260324;;;;;NA;5;2026-05-22 1</t>
  </si>
  <si>
    <t>13864936;2cc49cc9-8ac5-44e5-b84a-8c998f974648;;111111118;Vodacom Life 20260324;;;;;NA;5;2026-05-22 12:12:51+02;system;2026-03-24 09:54:08+02;2026-03-24 09:54:08+02;;;;;;;;;27764094547;;;;;;;;prepaid life;;;;;</t>
  </si>
  <si>
    <t>ID_3718</t>
  </si>
  <si>
    <t>13864909;eb0516ee-6bcd-46c2-8bc5-bacd48a64273;;111111118;Vodacom Life 20260324;;;27726759199;;IABDN;</t>
  </si>
  <si>
    <t>13864909;eb0516ee-6bcd-46c2-8bc5-bacd48a64273;;111111118;Vodacom Life 20260324;;;27726759199;;IABDN;5;2026-05-23 09:15:58+02;system;2026-03-24 09:54:08+02;2026-03-24 09:54:08+02;;;;;;;;;27726759199;;;;;;;;prepaid life;;;;;</t>
  </si>
  <si>
    <t>ID_3719</t>
  </si>
  <si>
    <t>13864937;73faaa9e-0580-4d01-a92b-5c55d871d235;;111111118;Vodacom Life 20260324;;;;;AE;5;2026-05-22 1</t>
  </si>
  <si>
    <t>13864937;73faaa9e-0580-4d01-a92b-5c55d871d235;;111111118;Vodacom Life 20260324;;;;;AE;5;2026-05-22 12:13:49+02;system;2026-03-24 09:54:08+02;2026-03-24 09:54:08+02;;;;;;;;;27764515534;;;;;;;;prepaid life;;;;;</t>
  </si>
  <si>
    <t>ID_3720</t>
  </si>
  <si>
    <t>13865029;36f639b9-5382-47f2-9db2-3f8a10aa7593;;111111118;Vodacom Life 20260324;;;;;AA;5;2026-05-22 1</t>
  </si>
  <si>
    <t>13865029;36f639b9-5382-47f2-9db2-3f8a10aa7593;;111111118;Vodacom Life 20260324;;;;;AA;5;2026-05-22 13:55:28+02;system;2026-03-24 09:54:08+02;2026-03-24 09:54:08+02;;;;;;;;;27822651674;;;;;;;;prepaid life;;;;;</t>
  </si>
  <si>
    <t>ID_3721</t>
  </si>
  <si>
    <t>13864910;e58f3284-b98b-4f95-8485-1c9af7279941;;111111118;Vodacom Life 20260324;;;;;DROP;5;2026-05-22</t>
  </si>
  <si>
    <t>13864910;e58f3284-b98b-4f95-8485-1c9af7279941;;111111118;Vodacom Life 20260324;;;;;DROP;5;2026-05-22 12:54:34+02;system;2026-03-24 09:54:08+02;2026-03-24 09:54:08+02;;;;;;;;;27727092150;;;;;;;;prepaid life;;;;;</t>
  </si>
  <si>
    <t>ID_3722</t>
  </si>
  <si>
    <t>13865030;c6192f11-9b2c-4067-869c-7aa24d53cffe;;111111118;Vodacom Life 20260324;;;;;NI;5;2026-05-22 1</t>
  </si>
  <si>
    <t>13865030;c6192f11-9b2c-4067-869c-7aa24d53cffe;;111111118;Vodacom Life 20260324;;;;;NI;5;2026-05-22 13:55:28+02;Khensane Mabasa;2026-03-24 09:54:08+02;2026-03-24 09:54:08+02;;;;;;;;;27822842889;;;;;;;;prepaid life;;;;;</t>
  </si>
  <si>
    <t>ID_3723</t>
  </si>
  <si>
    <t>13864938;9ec9288c-e34c-4803-951e-e6b2eb5385cf;;111111118;Vodacom Life 20260324;;;27764636242;;AA;5;2</t>
  </si>
  <si>
    <t>13864938;9ec9288c-e34c-4803-951e-e6b2eb5385cf;;111111118;Vodacom Life 20260324;;;27764636242;;AA;5;2026-05-22 12:06:45+02;system;2026-03-24 09:54:08+02;2026-03-24 09:54:08+02;;;;;;;;;27764636242;;;;;;;;prepaid life;;;;;</t>
  </si>
  <si>
    <t>ID_3724</t>
  </si>
  <si>
    <t>13864911;ad19585c-a6c7-4994-b5c5-59cc24dbbefa;;111111118;Vodacom Life 20260324;;;27727109007;;CU;5;2</t>
  </si>
  <si>
    <t>13864911;ad19585c-a6c7-4994-b5c5-59cc24dbbefa;;111111118;Vodacom Life 20260324;;;27727109007;;CU;5;2026-05-22 14:26:48+02;Maureen Ntsoko;2026-03-24 09:54:08+02;2026-03-24 09:54:08+02;;;;;;;;;27727109007;;;;;;;;prepaid life;;;;;</t>
  </si>
  <si>
    <t>ID_3725</t>
  </si>
  <si>
    <t>13864939;a0889b38-11f0-449d-a13b-865f8a940894;;111111118;Vodacom Life 20260324;;;;;AE;5;2026-05-22 1</t>
  </si>
  <si>
    <t>13864939;a0889b38-11f0-449d-a13b-865f8a940894;;111111118;Vodacom Life 20260324;;;;;AE;5;2026-05-22 12:06:45+02;system;2026-03-24 09:54:08+02;2026-03-24 09:54:08+02;;;;;;;;;27764819693;;;;;;;;prepaid life;;;;;</t>
  </si>
  <si>
    <t>ID_3726</t>
  </si>
  <si>
    <t>13865031;b5ba5649-3f3e-4890-bf12-7b1ad49dbff1;;111111118;Vodacom Life 20260324;;;;;DROP;5;2026-05-22</t>
  </si>
  <si>
    <t>13865031;b5ba5649-3f3e-4890-bf12-7b1ad49dbff1;;111111118;Vodacom Life 20260324;;;;;DROP;5;2026-05-22 13:51:37+02;system;2026-03-24 09:54:08+02;2026-03-24 09:54:08+02;;;;;;;;;27823273168;;;;;;;;prepaid life;;;;;</t>
  </si>
  <si>
    <t>ID_3727</t>
  </si>
  <si>
    <t>13864912;a754d04c-5b70-4973-b4e7-db6a9d42111e;;111111118;Vodacom Life 20260324;;;27727524460;;NI;5;2</t>
  </si>
  <si>
    <t>13864912;a754d04c-5b70-4973-b4e7-db6a9d42111e;;111111118;Vodacom Life 20260324;;;27727524460;;NI;5;2026-05-07 14:35:46+02;bongiwe lushaba;2026-03-24 09:54:08+02;2026-03-24 09:54:08+02;;;;;;;;;27727524460;;;;;;;;prepaid life;;;;;</t>
  </si>
  <si>
    <t>ID_3728</t>
  </si>
  <si>
    <t>13865032;38f65e22-46d2-456f-aa85-4a2b0a852669;;111111118;Vodacom Life 20260324;;;;;AA;5;2026-05-22 1</t>
  </si>
  <si>
    <t>13865032;38f65e22-46d2-456f-aa85-4a2b0a852669;;111111118;Vodacom Life 20260324;;;;;AA;5;2026-05-22 11:51:54+02;system;2026-03-24 09:54:08+02;2026-03-24 09:54:08+02;;;;;;;;;27823277267;;;;;;;;prepaid life;;;;;</t>
  </si>
  <si>
    <t>ID_3729</t>
  </si>
  <si>
    <t>13864940;0dec975f-1277-4b03-8142-bafd7912ab3f;;111111118;Vodacom Life 20260324;;;;;DROP;5;2026-05-22</t>
  </si>
  <si>
    <t>13864940;0dec975f-1277-4b03-8142-bafd7912ab3f;;111111118;Vodacom Life 20260324;;;;;DROP;5;2026-05-22 12:06:44+02;system;2026-03-24 09:54:08+02;2026-03-24 09:54:08+02;;;;;;;;;27764854498;;;;;;;;prepaid life;;;;;</t>
  </si>
  <si>
    <t>ID_3730</t>
  </si>
  <si>
    <t>13864941;d07cee5d-7444-452d-a1c8-0c9083b34754;;111111118;Vodacom Life 20260324;;;;;GTTB;3;2026-04-09</t>
  </si>
  <si>
    <t>13864941;d07cee5d-7444-452d-a1c8-0c9083b34754;;111111118;Vodacom Life 20260324;;;;;GTTB;3;2026-04-09 08:44:04+02;Thandile Nokubeni;2026-03-24 09:54:08+02;2026-03-24 09:54:08+02;;;;;;;;;27764974598;;;;;;;;prepaid life;;;;;</t>
  </si>
  <si>
    <t>ID_3731</t>
  </si>
  <si>
    <t>13864913;c4986abc-aa8a-4a62-83f7-9746fdeac3ce;;111111118;Vodacom Life 20260324;;;;;NA;5;2026-05-22 1</t>
  </si>
  <si>
    <t>13864913;c4986abc-aa8a-4a62-83f7-9746fdeac3ce;;111111118;Vodacom Life 20260324;;;;;NA;5;2026-05-22 12:29:16+02;system;2026-03-24 09:54:08+02;2026-03-24 09:54:08+02;;;;;;;;;27728369546;;;;;;;;prepaid life;;;;;</t>
  </si>
  <si>
    <t>ID_3732</t>
  </si>
  <si>
    <t>13864942;bb7cd41d-d5c1-4ece-92f8-993f6057423f;;111111118;Vodacom Life 20260324;;;;;U;1;2026-04-01 13</t>
  </si>
  <si>
    <t>13864942;bb7cd41d-d5c1-4ece-92f8-993f6057423f;;111111118;Vodacom Life 20260324;;;;;U;1;2026-04-01 13:53:19+02;Musiiwa Mary Mabirimisa;2026-03-24 09:54:08+02;2026-03-24 09:54:08+02;;;;;;;;;27765317045;;;;;;;;prepaid life;;;;;</t>
  </si>
  <si>
    <t>ID_3733</t>
  </si>
  <si>
    <t>13865033;0cfec353-d1b2-4d6f-8990-7c885662ba96;;111111118;Vodacom Life 20260324;;;;;DROP;5;2026-05-22</t>
  </si>
  <si>
    <t>13865033;0cfec353-d1b2-4d6f-8990-7c885662ba96;;111111118;Vodacom Life 20260324;;;;;DROP;5;2026-05-22 11:51:55+02;system;2026-03-24 09:54:08+02;2026-03-24 09:54:08+02;;;;;;;;;27823540757;;;;;;;;prepaid life;;;;;</t>
  </si>
  <si>
    <t>ID_3734</t>
  </si>
  <si>
    <t>13864914;7a562ad5-cddc-4864-8b7e-143c512eec20;;111111118;Vodacom Life 20260324;;;;;CU;5;2026-05-23 0</t>
  </si>
  <si>
    <t>13864914;7a562ad5-cddc-4864-8b7e-143c512eec20;;111111118;Vodacom Life 20260324;;;;;CU;5;2026-05-23 09:15:10+02;Maureen Ntsoko;2026-03-24 09:54:08+02;2026-03-24 09:54:08+02;;;;;;;;;27728498922;;;;;;;;prepaid life;;;;;</t>
  </si>
  <si>
    <t>ID_3735</t>
  </si>
  <si>
    <t>13865034;2592f0f2-ae07-45a0-856f-a63e2de11d6d;;111111118;Vodacom Life 20260324;;;;;U;5;2026-05-22 11</t>
  </si>
  <si>
    <t>13865034;2592f0f2-ae07-45a0-856f-a63e2de11d6d;;111111118;Vodacom Life 20260324;;;;;U;5;2026-05-22 11:51:54+02;bongiwe lushaba;2026-03-24 09:54:08+02;2026-03-24 09:54:08+02;;;;;;;;;27823886571;;;;;;;;prepaid life;;;;;</t>
  </si>
  <si>
    <t>ID_3736</t>
  </si>
  <si>
    <t>13865035;95f36697-eb47-4fc5-a238-c329ddcf92cf;;111111118;Vodacom Life 20260324;;;;;AA;5;2026-05-22 1</t>
  </si>
  <si>
    <t>13865035;95f36697-eb47-4fc5-a238-c329ddcf92cf;;111111118;Vodacom Life 20260324;;;;;AA;5;2026-05-22 11:51:55+02;system;2026-03-24 09:54:08+02;2026-03-24 09:54:08+02;;;;;;;;;27824030289;;;;;;;;prepaid life;;;;;</t>
  </si>
  <si>
    <t>ID_3737</t>
  </si>
  <si>
    <t>13864943;8420116d-061c-4728-97b7-21739cccb3bc;;111111118;Vodacom Life 20260324;;;;;NA;5;2026-05-22 1</t>
  </si>
  <si>
    <t>13864943;8420116d-061c-4728-97b7-21739cccb3bc;;111111118;Vodacom Life 20260324;;;;;NA;5;2026-05-22 12:12:51+02;system;2026-03-24 09:54:08+02;2026-03-24 09:54:08+02;;;;;;;;;27765662340;;;;;;;;prepaid life;;;;;</t>
  </si>
  <si>
    <t>ID_3738</t>
  </si>
  <si>
    <t>13864915;dd929577-2726-446a-883b-a085cda12e88;;111111118;Vodacom Life 20260324;;;27728667329;;AA;5;2</t>
  </si>
  <si>
    <t>13864915;dd929577-2726-446a-883b-a085cda12e88;;111111118;Vodacom Life 20260324;;;27728667329;;AA;5;2026-05-22 12:29:16+02;system;2026-03-24 09:54:08+02;2026-03-24 09:54:08+02;;;;;;;;;27728667329;;;;;;;;prepaid life;;;;;</t>
  </si>
  <si>
    <t>ID_3739</t>
  </si>
  <si>
    <t>13864944;bdad3e75-9dc6-49b7-8274-7e51667f6199;;111111118;Vodacom Life 20260324;;;27765734146;;AA;5;2</t>
  </si>
  <si>
    <t>13864944;bdad3e75-9dc6-49b7-8274-7e51667f6199;;111111118;Vodacom Life 20260324;;;27765734146;;AA;5;2026-05-22 14:28:23+02;system;2026-03-24 09:54:08+02;2026-03-24 09:54:08+02;;;;;;;;;27765734146;;;;;;;;prepaid life;;;;;</t>
  </si>
  <si>
    <t>ID_3740</t>
  </si>
  <si>
    <t>13864945;52da1712-4d1c-4cce-9e34-2605a2c734aa;;111111118;Vodacom Life 20260324;;;;;AA;5;2026-05-22 1</t>
  </si>
  <si>
    <t>13864945;52da1712-4d1c-4cce-9e34-2605a2c734aa;;111111118;Vodacom Life 20260324;;;;;AA;5;2026-05-22 14:25:38+02;system;2026-03-24 09:54:08+02;2026-03-24 09:54:08+02;;;;;;;;;27766184506;;;;;;;;prepaid life;;;;;</t>
  </si>
  <si>
    <t>ID_3741</t>
  </si>
  <si>
    <t>13865036;a68b1951-57f6-42fd-9984-e04ed6b30d67;;111111118;Vodacom Life 20260324;;;;;AA;5;2026-05-22 1</t>
  </si>
  <si>
    <t>13865036;a68b1951-57f6-42fd-9984-e04ed6b30d67;;111111118;Vodacom Life 20260324;;;;;AA;5;2026-05-22 13:51:21+02;system;2026-03-24 09:54:08+02;2026-03-24 09:54:08+02;;;;;;;;;27824381700;;;;;;;;prepaid life;;;;;</t>
  </si>
  <si>
    <t>ID_3742</t>
  </si>
  <si>
    <t>13864916;d312fbfb-62a6-460e-baac-ac597f8de80a;;111111118;Vodacom Life 20260324;;;;;AE;5;2026-05-23 0</t>
  </si>
  <si>
    <t>13864916;d312fbfb-62a6-460e-baac-ac597f8de80a;;111111118;Vodacom Life 20260324;;;;;AE;5;2026-05-23 09:09:33+02;system;2026-03-24 09:54:08+02;2026-03-24 09:54:08+02;;;;;;;;;27729150053;;;;;;;;prepaid life;;;;;</t>
  </si>
  <si>
    <t>ID_3743</t>
  </si>
  <si>
    <t>13865037;52e4f9ae-b9b3-470b-98b2-d5cd4a5b650e;;111111118;Vodacom Life 20260324;;;;;CBACK;4;2026-05-0</t>
  </si>
  <si>
    <t>13865037;52e4f9ae-b9b3-470b-98b2-d5cd4a5b650e;;111111118;Vodacom Life 20260324;;;;;CBACK;4;2026-05-07 13:55:17+02;Maureen Ntsoko;2026-03-24 09:54:08+02;2026-03-24 09:54:08+02;;;;;;;;;27824394503;;;;;;;;prepaid life;;;;;</t>
  </si>
  <si>
    <t>ID_3744</t>
  </si>
  <si>
    <t>13865038;03c9aee9-da4d-43e9-bb9f-7c149fde44cd;;111111118;Vodacom Life 20260324;;;;;NA;5;2026-05-22 1</t>
  </si>
  <si>
    <t>13865038;03c9aee9-da4d-43e9-bb9f-7c149fde44cd;;111111118;Vodacom Life 20260324;;;;;NA;5;2026-05-22 13:51:21+02;system;2026-03-24 09:54:08+02;2026-03-24 09:54:08+02;;;;;;;;;27825306336;;;;;;;;prepaid life;;;;;</t>
  </si>
  <si>
    <t>ID_3745</t>
  </si>
  <si>
    <t>13864946;d9808071-9d5e-4d4c-89be-6bc0c8f6534a;;111111118;Vodacom Life 20260324;;;;;GTTB;1;2026-04-01</t>
  </si>
  <si>
    <t>13864946;d9808071-9d5e-4d4c-89be-6bc0c8f6534a;;111111118;Vodacom Life 20260324;;;;;GTTB;1;2026-04-01 09:34:16+02;Thandile Nokubeni;2026-03-24 09:54:08+02;2026-03-24 09:54:08+02;;;;;;;;;27766207460;;;;;;;;prepaid life;;;;;</t>
  </si>
  <si>
    <t>ID_3746</t>
  </si>
  <si>
    <t>13864917;ced257d0-ecd5-464d-8c31-1926e5e96a58;;111111118;Vodacom Life 20260324;;;;;U;3;2026-04-14 13</t>
  </si>
  <si>
    <t>13864917;ced257d0-ecd5-464d-8c31-1926e5e96a58;;111111118;Vodacom Life 20260324;;;;;U;3;2026-04-14 13:25:17+02;bongiwe lushaba;2026-03-24 09:54:08+02;2026-03-24 09:54:08+02;;;;;;;;;27729463101;;;;;;;;prepaid life;;;;;</t>
  </si>
  <si>
    <t>ID_3747</t>
  </si>
  <si>
    <t>13864918;b829df08-36f0-4e8d-ade8-5909e649369d;;111111118;Vodacom Life 20260324;;;;;AA;5;2026-05-22 1</t>
  </si>
  <si>
    <t>13864918;b829df08-36f0-4e8d-ade8-5909e649369d;;111111118;Vodacom Life 20260324;;;;;AA;5;2026-05-22 12:55:35+02;system;2026-03-24 09:54:08+02;2026-03-24 09:54:08+02;;;;;;;;;27729477325;;;;;;;;prepaid life;;;;;</t>
  </si>
  <si>
    <t>ID_3748</t>
  </si>
  <si>
    <t>13864947;a6533ec8-bc62-4c06-8e8f-b9e9bf9d261f;;111111118;Vodacom Life 20260324;;;;;AA;5;2026-05-22 1</t>
  </si>
  <si>
    <t>13864947;a6533ec8-bc62-4c06-8e8f-b9e9bf9d261f;;111111118;Vodacom Life 20260324;;;;;AA;5;2026-05-22 14:25:28+02;system;2026-03-24 09:54:08+02;2026-03-24 09:54:08+02;;;;;;;;;27766220460;;;;;;;;prepaid life;;;;;</t>
  </si>
  <si>
    <t>ID_3749</t>
  </si>
  <si>
    <t>13864948;c2e82602-6ce7-4a37-acb8-718e21ac36a4;;111111118;Vodacom Life 20260324;;;;;NI;1;2026-04-07 1</t>
  </si>
  <si>
    <t>13864948;c2e82602-6ce7-4a37-acb8-718e21ac36a4;;111111118;Vodacom Life 20260324;;;;;NI;1;2026-04-07 11:40:40+02;Esther Ramalete;2026-03-24 09:54:08+02;2026-03-24 09:54:08+02;;;;;;;;;27766728881;;;;;;;;prepaid life;;;;;</t>
  </si>
  <si>
    <t>ID_3750</t>
  </si>
  <si>
    <t>13865039;8297a5db-6c53-49ee-b1b1-c1b6708581b2;;111111118;Vodacom Life 20260324;;;27825399516;;NI;5;2</t>
  </si>
  <si>
    <t>13865039;8297a5db-6c53-49ee-b1b1-c1b6708581b2;;111111118;Vodacom Life 20260324;;;27825399516;;NI;5;2026-05-07 14:03:26+02;Khensane Mabasa;2026-03-24 09:54:08+02;2026-03-24 09:54:08+02;;;;;;;;;27825399516;;;;;;;;prepaid life;;;;;</t>
  </si>
  <si>
    <t>ID_3751</t>
  </si>
  <si>
    <t>13864919;4e69daaa-d84a-4957-a8d6-72d017c6ef65;;111111118;Vodacom Life 20260324;;;;;AA;5;2026-05-22 1</t>
  </si>
  <si>
    <t>13864919;4e69daaa-d84a-4957-a8d6-72d017c6ef65;;111111118;Vodacom Life 20260324;;;;;AA;5;2026-05-22 12:29:16+02;system;2026-03-24 09:54:08+02;2026-03-24 09:54:08+02;;;;;;;;;27729731070;;;;;;;;prepaid life;;;;;</t>
  </si>
  <si>
    <t>ID_3752</t>
  </si>
  <si>
    <t>13865040;cf8e1b4b-a6a0-4a3d-91a5-66ba227b1177;;111111118;Vodacom Life 20260324;;;;;CU;5;2026-05-22 1</t>
  </si>
  <si>
    <t>13865040;cf8e1b4b-a6a0-4a3d-91a5-66ba227b1177;;111111118;Vodacom Life 20260324;;;;;CU;5;2026-05-22 13:51:21+02;bongiwe lushaba;2026-03-24 09:54:08+02;2026-03-24 09:54:08+02;;;;;;;;;27825671390;;;;;;;;prepaid life;;;;;</t>
  </si>
  <si>
    <t>ID_3753</t>
  </si>
  <si>
    <t>13864920;1eda4af5-e628-4a5a-8714-a3d8b708b8ba;;111111118;Vodacom Life 20260324;;;;;NIUP;4;2026-05-07</t>
  </si>
  <si>
    <t>13864920;1eda4af5-e628-4a5a-8714-a3d8b708b8ba;;111111118;Vodacom Life 20260324;;;;;NIUP;4;2026-05-07 14:32:51+02;Seboifeng Mogola;2026-03-24 09:54:08+02;2026-03-24 09:54:08+02;;;;;;;;;27729806757;;;;;;;;prepaid life;;;;;</t>
  </si>
  <si>
    <t>ID_3754</t>
  </si>
  <si>
    <t>13864949;f20da303-c031-43d9-a43b-0ffd6f5d048b;;111111118;Vodacom Life 20260324;;;27766890667;;CBACK;</t>
  </si>
  <si>
    <t>13864949;f20da303-c031-43d9-a43b-0ffd6f5d048b;;111111118;Vodacom Life 20260324;;;27766890667;;CBACK;5;2026-05-22 14:24:57+02;Maureen Ntsoko;2026-03-24 09:54:08+02;2026-03-24 09:54:08+02;;;;;;;;;27766890667;;;;;;;;prepaid life;;;;;</t>
  </si>
  <si>
    <t>ID_3755</t>
  </si>
  <si>
    <t>13864921;f1d801e0-79f4-48d3-8f0b-b2bb53c8528e;;111111118;Vodacom Life 20260324;;;;;AA;5;2026-05-23 0</t>
  </si>
  <si>
    <t>13864921;f1d801e0-79f4-48d3-8f0b-b2bb53c8528e;;111111118;Vodacom Life 20260324;;;;;AA;5;2026-05-23 09:05:28+02;system;2026-03-24 09:54:08+02;2026-03-24 09:54:08+02;;;;;;;;;27729865573;;;;;;;;prepaid life;;;;;</t>
  </si>
  <si>
    <t>ID_3756</t>
  </si>
  <si>
    <t>13864922;03342161-6e4a-4716-9737-f061bc398a56;;111111118;Vodacom Life 20260324;;;;;AA;5;2026-05-22 1</t>
  </si>
  <si>
    <t>13864922;03342161-6e4a-4716-9737-f061bc398a56;;111111118;Vodacom Life 20260324;;;;;AA;5;2026-05-22 12:29:16+02;system;2026-03-24 09:54:08+02;2026-03-24 09:54:08+02;;;;;;;;;27729931115;;;;;;;;prepaid life;;;;;</t>
  </si>
  <si>
    <t>ID_3757</t>
  </si>
  <si>
    <t>13864950;ba022419-10fd-4dab-921f-0271e42be60f;;111111118;Vodacom Life 20260324;;;;;NA;5;2026-05-22 1</t>
  </si>
  <si>
    <t>13864950;ba022419-10fd-4dab-921f-0271e42be60f;;111111118;Vodacom Life 20260324;;;;;NA;5;2026-05-22 14:24:57+02;system;2026-03-24 09:54:08+02;2026-03-24 09:54:08+02;;;;;;;;;27767315894;;;;;;;;prepaid life;;;;;</t>
  </si>
  <si>
    <t>ID_3758</t>
  </si>
  <si>
    <t>13864951;e9c5437b-13cb-43c0-99de-84fbaddc590d;;111111118;Vodacom Life 20260324;;;;;AA;5;2026-05-22 1</t>
  </si>
  <si>
    <t>13864951;e9c5437b-13cb-43c0-99de-84fbaddc590d;;111111118;Vodacom Life 20260324;;;;;AA;5;2026-05-22 14:24:57+02;system;2026-03-24 09:54:08+02;2026-03-24 09:54:08+02;;;;;;;;;27767637288;;;;;;;;prepaid life;;;;;</t>
  </si>
  <si>
    <t>ID_3759</t>
  </si>
  <si>
    <t>13865042;6c09f0db-adc1-4742-ac85-e4aa180b81da;;111111118;Vodacom Life 20260324;;;;;SELECTED;3;2026-0</t>
  </si>
  <si>
    <t>13865042;6c09f0db-adc1-4742-ac85-e4aa180b81da;;111111118;Vodacom Life 20260324;;;;;SELECTED;3;2026-04-09 08:11:39+02;system;2026-03-24 09:54:08+02;2026-03-24 09:54:08+02;;;;;;;;;27826240011;;;;;;;;prepaid life;;;;;</t>
  </si>
  <si>
    <t>ID_3760</t>
  </si>
  <si>
    <t>13864923;cc166a05-d672-4765-b7c2-060034528d6e;;111111118;Vodacom Life 20260324;;;;;CU;5;2026-05-23 0</t>
  </si>
  <si>
    <t>13864923;cc166a05-d672-4765-b7c2-060034528d6e;;111111118;Vodacom Life 20260324;;;;;CU;5;2026-05-23 09:05:22+02;Maureen Ntsoko;2026-03-24 09:54:08+02;2026-03-24 09:54:08+02;;;;;;;;;27732733339;;;;;;;;prepaid life;;;;;</t>
  </si>
  <si>
    <t>ID_3761</t>
  </si>
  <si>
    <t>13865043;f451c7d5-9285-4fbb-8625-8afb8729eaa3;;111111118;Vodacom Life 20260324;;;;;AA;5;2026-05-22 1</t>
  </si>
  <si>
    <t>13865043;f451c7d5-9285-4fbb-8625-8afb8729eaa3;;111111118;Vodacom Life 20260324;;;;;AA;5;2026-05-22 13:50:41+02;system;2026-03-24 09:54:08+02;2026-03-24 09:54:08+02;;;;;;;;;27826925067;;;;;;;;prepaid life;;;;;</t>
  </si>
  <si>
    <t>ID_3762</t>
  </si>
  <si>
    <t>13864952;c8b3419a-15d4-4857-903d-ff7f7ee6e9e2;;111111118;Vodacom Life 20260324;;;;;N;8;2026-04-15 15</t>
  </si>
  <si>
    <t>13864952;c8b3419a-15d4-4857-903d-ff7f7ee6e9e2;;111111118;Vodacom Life 20260324;;;;;N;8;2026-04-15 15:07:59+02;Musiiwa Mary Mabirimisa;2026-03-24 09:54:08+02;2026-03-24 09:54:08+02;;;;;;;;;27767809770;;;;;;;;prepaid life;;;;;</t>
  </si>
  <si>
    <t>ID_3763</t>
  </si>
  <si>
    <t>13865118;276cd689-0a38-4593-a6f2-28fef3574320;;111111118;Vodacom Life 20260324;;;;;AA;5;2026-05-22 1</t>
  </si>
  <si>
    <t>13865118;276cd689-0a38-4593-a6f2-28fef3574320;;111111118;Vodacom Life 20260324;;;;;AA;5;2026-05-22 11:42:01+02;system;2026-03-24 09:54:08+02;2026-03-24 09:54:08+02;;;;;;;;;27712260627;;;;;;;;prepaid life;;;;;</t>
  </si>
  <si>
    <t>ID_3764</t>
  </si>
  <si>
    <t>13864953;0509d394-d14d-46a7-a159-62cb13c917f8;;111111118;Vodacom Life 20260324;;;;;NI;1;2026-04-01 1</t>
  </si>
  <si>
    <t>13864953;0509d394-d14d-46a7-a159-62cb13c917f8;;111111118;Vodacom Life 20260324;;;;;NI;1;2026-04-01 11:16:39+02;Thandile Nokubeni;2026-03-24 09:54:08+02;2026-03-24 09:54:08+02;;;;;;;;;27768415018;;;;;;;;prepaid life;;;;;</t>
  </si>
  <si>
    <t>ID_3765</t>
  </si>
  <si>
    <t>13865044;4fd2d335-86aa-41cf-8d0e-ac92a6dab0fc;;111111118;Vodacom Life 20260324;;;27826991148;;A;5;20</t>
  </si>
  <si>
    <t>13865044;4fd2d335-86aa-41cf-8d0e-ac92a6dab0fc;;111111118;Vodacom Life 20260324;;;27826991148;;A;5;2026-05-07 14:27:58+02;Esther Ramalete;2026-03-24 09:54:08+02;2026-03-24 09:54:08+02;;;;;;;;;27826991148;;;;;;;;prepaid life;;;;;</t>
  </si>
  <si>
    <t>ID_3766</t>
  </si>
  <si>
    <t>13865119;02149517-c116-4e29-a998-c22070b14be6;;111111118;Vodacom Life 20260324;;;;;AA;5;2026-05-22 1</t>
  </si>
  <si>
    <t>13865119;02149517-c116-4e29-a998-c22070b14be6;;111111118;Vodacom Life 20260324;;;;;AA;5;2026-05-22 11:42:47+02;system;2026-03-24 09:54:08+02;2026-03-24 09:54:08+02;;;;;;;;;27712292531;;;;;;;;prepaid life;;;;;</t>
  </si>
  <si>
    <t>ID_3767</t>
  </si>
  <si>
    <t>13865045;d25ce4cd-6537-4b06-a36f-02b0cac4cbb4;;111111118;Vodacom Life 20260324;;;;;CBACK;2;2026-04-0</t>
  </si>
  <si>
    <t>13865045;d25ce4cd-6537-4b06-a36f-02b0cac4cbb4;;111111118;Vodacom Life 20260324;;;;;CBACK;2;2026-04-01 14:21:18+02;Maureen Ntsoko;2026-03-24 09:54:08+02;2026-03-24 09:54:08+02;;;;;;;;;27827131179;;;;;;;;prepaid life;;;;;</t>
  </si>
  <si>
    <t>ID_3768</t>
  </si>
  <si>
    <t xml:space="preserve">13864954;9392010d-ef41-416b-a124-aa767b159560;;111111118;Vodacom Life 20260324;;;;;CCB;5;2026-05-08 </t>
  </si>
  <si>
    <t>13864954;9392010d-ef41-416b-a124-aa767b159560;;111111118;Vodacom Life 20260324;;;;;CCB;5;2026-05-08 10:20:24+02;Musiiwa Mary Mabirimisa;2026-03-24 09:54:08+02;2026-03-24 09:54:08+02;;;;;;;;;27768455865;;;;;;;;prepaid life;;;;;</t>
  </si>
  <si>
    <t>ID_3769</t>
  </si>
  <si>
    <t xml:space="preserve">13865120;75d11527-ad05-4212-8646-86cae11b02a1;;111111118;Vodacom Life 20260324;;;;;CCB;5;2026-05-22 </t>
  </si>
  <si>
    <t>13865120;75d11527-ad05-4212-8646-86cae11b02a1;;111111118;Vodacom Life 20260324;;;;;CCB;5;2026-05-22 13:13:22+02;Khensane Mabasa;2026-03-24 09:54:08+02;2026-03-24 09:54:08+02;;;;;;;;;27712341279;;;;;;;;prepaid life;;;;;</t>
  </si>
  <si>
    <t>ID_3770</t>
  </si>
  <si>
    <t>13864955;d3fd75a6-7efb-46f8-8bb8-9f65490aa9c4;;111111118;Vodacom Life 20260324;;;;;AA;5;2026-05-22 1</t>
  </si>
  <si>
    <t>13864955;d3fd75a6-7efb-46f8-8bb8-9f65490aa9c4;;111111118;Vodacom Life 20260324;;;;;AA;5;2026-05-22 12:04:41+02;system;2026-03-24 09:54:08+02;2026-03-24 09:54:08+02;;;;;;;;;27768473517;;;;;;;;prepaid life;;;;;</t>
  </si>
  <si>
    <t>ID_3771</t>
  </si>
  <si>
    <t>13865046;0bd9d810-764a-4188-bdac-747cfa6c6287;;111111118;Vodacom Life 20260324;;;;;NI;2;2026-04-09 1</t>
  </si>
  <si>
    <t>13865046;0bd9d810-764a-4188-bdac-747cfa6c6287;;111111118;Vodacom Life 20260324;;;;;NI;2;2026-04-09 10:35:33+02;Maureen Ntsoko;2026-03-24 09:54:08+02;2026-03-24 09:54:08+02;;;;;;;;;27827551661;;;;;;;;prepaid life;;;;;</t>
  </si>
  <si>
    <t>ID_3772</t>
  </si>
  <si>
    <t>13865121;eadf8a54-19ce-45d0-bac3-63ca9d8fa766;;111111118;Vodacom Life 20260324;;;;;AA;5;2026-05-22 1</t>
  </si>
  <si>
    <t>13865121;eadf8a54-19ce-45d0-bac3-63ca9d8fa766;;111111118;Vodacom Life 20260324;;;;;AA;5;2026-05-22 13:13:22+02;system;2026-03-24 09:54:08+02;2026-03-24 09:54:08+02;;;;;;;;;27712393655;;;;;;;;prepaid life;;;;;</t>
  </si>
  <si>
    <t>ID_3773</t>
  </si>
  <si>
    <t>13864956;13a4a4a4-b401-4cf5-a34a-f80aa5b4ed81;;111111118;Vodacom Life 20260324;;;;;AA;5;2026-05-22 1</t>
  </si>
  <si>
    <t>13864956;13a4a4a4-b401-4cf5-a34a-f80aa5b4ed81;;111111118;Vodacom Life 20260324;;;;;AA;5;2026-05-22 12:04:42+02;system;2026-03-24 09:54:08+02;2026-03-24 09:54:08+02;;;;;;;;;27768596233;;;;;;;;prepaid life;;;;;</t>
  </si>
  <si>
    <t>ID_3774</t>
  </si>
  <si>
    <t>13865123;6efea271-7674-46cd-8f20-af7c640d9f47;;111111118;Vodacom Life 20260324;;;;;NI;3;2026-04-14 1</t>
  </si>
  <si>
    <t>13865123;6efea271-7674-46cd-8f20-af7c640d9f47;;111111118;Vodacom Life 20260324;;;;;NI;3;2026-04-14 14:10:09+02;Thandile Nokubeni;2026-03-24 09:54:08+02;2026-03-24 09:54:08+02;;;;;;;;;27714200519;;;;;;;;prepaid life;;;;;</t>
  </si>
  <si>
    <t>ID_3775</t>
  </si>
  <si>
    <t>13864957;0130c1b7-6c43-4dfe-a0d6-00f1477813dd;;111111118;Vodacom Life 20260324;;;27768612727;;IABDN;</t>
  </si>
  <si>
    <t>13864957;0130c1b7-6c43-4dfe-a0d6-00f1477813dd;;111111118;Vodacom Life 20260324;;;27768612727;;IABDN;5;2026-05-22 14:25:57+02;system;2026-03-24 09:54:08+02;2026-03-24 09:54:08+02;;;;;;;;;27768612727;;;;;;;;prepaid life;;;;;</t>
  </si>
  <si>
    <t>ID_3776</t>
  </si>
  <si>
    <t>13865047;c7f18696-fb46-4f91-8703-456728fc54cc;;111111118;Vodacom Life 20260324;;;;;DROP;5;2026-05-22</t>
  </si>
  <si>
    <t>13865047;c7f18696-fb46-4f91-8703-456728fc54cc;;111111118;Vodacom Life 20260324;;;;;DROP;5;2026-05-22 13:47:58+02;system;2026-03-24 09:54:08+02;2026-03-24 09:54:08+02;;;;;;;;;27828369435;;;;;;;;prepaid life;;;;;</t>
  </si>
  <si>
    <t>ID_3777</t>
  </si>
  <si>
    <t>13865048;6e9cec15-a061-49d6-9b60-541e9b6c693b;;111111118;Vodacom Life 20260324;;;;;NA;5;2026-05-22 1</t>
  </si>
  <si>
    <t>13865048;6e9cec15-a061-49d6-9b60-541e9b6c693b;;111111118;Vodacom Life 20260324;;;;;NA;5;2026-05-22 13:42:20+02;system;2026-03-24 09:54:08+02;2026-03-24 09:54:08+02;;;;;;;;;27828472424;;;;;;;;prepaid life;;;;;</t>
  </si>
  <si>
    <t>ID_3778</t>
  </si>
  <si>
    <t>13865124;7bf9d486-b0ae-40b4-8848-d0242e7782a0;;111111118;Vodacom Life 20260324;;;;;NI;2;2026-04-08 1</t>
  </si>
  <si>
    <t>13865124;7bf9d486-b0ae-40b4-8848-d0242e7782a0;;111111118;Vodacom Life 20260324;;;;;NI;2;2026-04-08 16:53:00+02;Thandile Nokubeni;2026-03-24 09:54:08+02;2026-03-24 09:54:08+02;;;;;;;;;27714225557;;;;;;;;prepaid life;;;;;</t>
  </si>
  <si>
    <t>ID_3779</t>
  </si>
  <si>
    <t>13865049;e2b42919-60de-4d78-a5a0-4fc5ace04515;;111111118;Vodacom Life 20260324;;;;;AA;5;2026-05-22 1</t>
  </si>
  <si>
    <t>13865049;e2b42919-60de-4d78-a5a0-4fc5ace04515;;111111118;Vodacom Life 20260324;;;;;AA;5;2026-05-22 11:49:41+02;system;2026-03-24 09:54:08+02;2026-03-24 09:54:08+02;;;;;;;;;27829291993;;;;;;;;prepaid life;;;;;</t>
  </si>
  <si>
    <t>ID_3780</t>
  </si>
  <si>
    <t>13864958;6d7b6878-d531-46bf-bfff-0f25324fe99f;;111111118;Vodacom Life 20260324;;;;;AA;5;2026-05-22 1</t>
  </si>
  <si>
    <t>13864958;6d7b6878-d531-46bf-bfff-0f25324fe99f;;111111118;Vodacom Life 20260324;;;;;AA;5;2026-05-22 12:04:41+02;system;2026-03-24 09:54:08+02;2026-03-24 09:54:08+02;;;;;;;;;27768636628;;;;;;;;prepaid life;;;;;</t>
  </si>
  <si>
    <t>ID_3781</t>
  </si>
  <si>
    <t>13865125;2d98597b-2242-4a9b-bfb4-0d4907c02bfc;;111111118;Vodacom Life 20260324;;;;;NA;5;2026-05-22 1</t>
  </si>
  <si>
    <t>13865125;2d98597b-2242-4a9b-bfb4-0d4907c02bfc;;111111118;Vodacom Life 20260324;;;;;NA;5;2026-05-22 13:13:15+02;system;2026-03-24 09:54:08+02;2026-03-24 09:54:08+02;;;;;;;;;27715002481;;;;;;;;prepaid life;;;;;</t>
  </si>
  <si>
    <t>ID_3782</t>
  </si>
  <si>
    <t>13864959;d7b24d07-bfad-40fd-b4e5-08c1b9dd5b9f;;111111118;Vodacom Life 20260324;;;;;U;4;2026-05-07 14</t>
  </si>
  <si>
    <t>13864959;d7b24d07-bfad-40fd-b4e5-08c1b9dd5b9f;;111111118;Vodacom Life 20260324;;;;;U;4;2026-05-07 14:27:47+02;bongiwe lushaba;2026-03-24 09:54:08+02;2026-03-24 09:54:08+02;;;;;;;;;27769447172;;;;;;;;prepaid life;;;;;</t>
  </si>
  <si>
    <t>ID_3783</t>
  </si>
  <si>
    <t>13865050;0a501aa0-cf7c-4832-a14d-b3205ce94d65;;111111118;Vodacom Life 20260324;;;;;NI;1;2026-04-01 1</t>
  </si>
  <si>
    <t>13865050;0a501aa0-cf7c-4832-a14d-b3205ce94d65;;111111118;Vodacom Life 20260324;;;;;NI;1;2026-04-01 13:50:20+02;Millicent Motsuku;2026-03-24 09:54:08+02;2026-03-24 09:54:08+02;;;;;;;;;27829565678;;;;;;;;prepaid life;;;;;</t>
  </si>
  <si>
    <t>ID_3784</t>
  </si>
  <si>
    <t>13865051;8675bd3f-c791-428c-986a-b0af5be90dcc;;111111118;Vodacom Life 20260324;;;;;DNQS;3;2026-04-14</t>
  </si>
  <si>
    <t>13865051;8675bd3f-c791-428c-986a-b0af5be90dcc;;111111118;Vodacom Life 20260324;;;;;DNQS;3;2026-04-14 12:05:51+02;bongiwe lushaba;2026-03-24 09:54:08+02;2026-03-24 09:54:08+02;;;;;;;;;27829721100;;;;;;;;prepaid life;;;;;</t>
  </si>
  <si>
    <t>ID_3785</t>
  </si>
  <si>
    <t>13865127;66b36101-682e-4b67-80cf-aa7ae134a61d;;111111118;Vodacom Life 20260324;;;;;CU;5;2026-05-22 1</t>
  </si>
  <si>
    <t>13865127;66b36101-682e-4b67-80cf-aa7ae134a61d;;111111118;Vodacom Life 20260324;;;;;CU;5;2026-05-22 11:40:35+02;Maureen Ntsoko;2026-03-24 09:54:08+02;2026-03-24 09:54:08+02;;;;;;;;;27715171874;;;;;;;;prepaid life;;;;;</t>
  </si>
  <si>
    <t>ID_3786</t>
  </si>
  <si>
    <t>13865052;5fd48610-4589-40d9-b4f8-46436bf76bbc;;111111118;Vodacom Life 20260324;;;;;NI;1;2026-04-01 1</t>
  </si>
  <si>
    <t>13865052;5fd48610-4589-40d9-b4f8-46436bf76bbc;;111111118;Vodacom Life 20260324;;;;;NI;1;2026-04-01 10:19:12+02;Thandile Nokubeni;2026-03-24 09:54:08+02;2026-03-24 09:54:08+02;;;;;;;;;27832287346;;;;;;;;prepaid life;;;;;</t>
  </si>
  <si>
    <t>ID_3787</t>
  </si>
  <si>
    <t>13864960;3f36ed9c-df57-473f-ae7a-7d8ef1090e4c;;111111118;Vodacom Life 20260324;;;;;AA;5;2026-05-22 1</t>
  </si>
  <si>
    <t>13864960;3f36ed9c-df57-473f-ae7a-7d8ef1090e4c;;111111118;Vodacom Life 20260324;;;;;AA;5;2026-05-22 14:23:36+02;system;2026-03-24 09:54:08+02;2026-03-24 09:54:08+02;;;;;;;;;27769632472;;;;;;;;prepaid life;;;;;</t>
  </si>
  <si>
    <t>ID_3788</t>
  </si>
  <si>
    <t>13865128;d5462bc4-b983-4316-9c55-7fa341fd2610;;111111118;Vodacom Life 20260324;;;27715510195;;IABDN;</t>
  </si>
  <si>
    <t>13865128;d5462bc4-b983-4316-9c55-7fa341fd2610;;111111118;Vodacom Life 20260324;;;27715510195;;IABDN;5;2026-05-22 11:45:00+02;system;2026-03-24 09:54:08+02;2026-03-24 09:54:08+02;;;;;;;;;27715510195;;;;;;;;prepaid life;;;;;</t>
  </si>
  <si>
    <t>ID_3789</t>
  </si>
  <si>
    <t>13864961;17ff92e2-bc77-4768-a3cb-5f23656d304f;;111111118;Vodacom Life 20260324;;;27773912964;;CU;5;2</t>
  </si>
  <si>
    <t>13864961;17ff92e2-bc77-4768-a3cb-5f23656d304f;;111111118;Vodacom Life 20260324;;;27773912964;;CU;5;2026-05-22 14:24:25+02;bongiwe lushaba;2026-03-24 09:54:08+02;2026-03-24 09:54:08+02;;;;;;;;;27773912964;;;;;;;;prepaid life;;;;;</t>
  </si>
  <si>
    <t>ID_3790</t>
  </si>
  <si>
    <t>13864962;fc21659e-fdec-42af-b2c8-e68cc8d1febe;;111111118;Vodacom Life 20260324;;;;;AE;5;2026-05-22 1</t>
  </si>
  <si>
    <t>13864962;fc21659e-fdec-42af-b2c8-e68cc8d1febe;;111111118;Vodacom Life 20260324;;;;;AE;5;2026-05-22 14:22:46+02;system;2026-03-24 09:54:08+02;2026-03-24 09:54:08+02;;;;;;;;;27774865240;;;;;;;;prepaid life;;;;;</t>
  </si>
  <si>
    <t>ID_3791</t>
  </si>
  <si>
    <t>13865053;19f8ad8f-fe1a-46a9-ad13-a77a96a07da7;;111111118;Vodacom Life 20260324;;;;;AE;5;2026-05-22 1</t>
  </si>
  <si>
    <t>13865053;19f8ad8f-fe1a-46a9-ad13-a77a96a07da7;;111111118;Vodacom Life 20260324;;;;;AE;5;2026-05-22 11:49:41+02;system;2026-03-24 09:54:08+02;2026-03-24 09:54:08+02;;;;;;;;;27847393572;;;;;;;;prepaid life;;;;;</t>
  </si>
  <si>
    <t>ID_3792</t>
  </si>
  <si>
    <t>13865129;19315a72-ec0f-4123-8c5f-181053c00d6b;;111111118;Vodacom Life 20260324;;;;;AA;5;2026-05-22 1</t>
  </si>
  <si>
    <t>13865129;19315a72-ec0f-4123-8c5f-181053c00d6b;;111111118;Vodacom Life 20260324;;;;;AA;5;2026-05-22 11:41:26+02;system;2026-03-24 09:54:08+02;2026-03-24 09:54:08+02;;;;;;;;;27716118634;;;;;;;;prepaid life;;;;;</t>
  </si>
  <si>
    <t>ID_3793</t>
  </si>
  <si>
    <t>13865054;b9fd4228-1738-47d0-a7ed-4151a24ebef0;;111111118;Vodacom Life 20260324;;;;;CBACK;5;2026-05-2</t>
  </si>
  <si>
    <t>13865054;b9fd4228-1738-47d0-a7ed-4151a24ebef0;;111111118;Vodacom Life 20260324;;;;;CBACK;5;2026-05-22 11:49:41+02;Khensane Mabasa;2026-03-24 09:54:08+02;2026-03-24 09:54:08+02;;;;;;;;;27606021743;;;;;;;;prepaid life;;;;;</t>
  </si>
  <si>
    <t>ID_3794</t>
  </si>
  <si>
    <t>13864963;78e5fd9d-f7f7-4219-b651-f94921a771e1;;111111118;Vodacom Life 20260324;;;;;AA;5;2026-05-22 1</t>
  </si>
  <si>
    <t>13864963;78e5fd9d-f7f7-4219-b651-f94921a771e1;;111111118;Vodacom Life 20260324;;;;;AA;5;2026-05-22 14:22:46+02;system;2026-03-24 09:54:08+02;2026-03-24 09:54:08+02;;;;;;;;;27781764891;;;;;;;;prepaid life;;;;;</t>
  </si>
  <si>
    <t>ID_3795</t>
  </si>
  <si>
    <t>13864964;9272f5b4-2b5b-48c3-8b9d-75418595520e;;111111118;Vodacom Life 20260324;;;;;A;5;2026-05-22 14</t>
  </si>
  <si>
    <t>13864964;9272f5b4-2b5b-48c3-8b9d-75418595520e;;111111118;Vodacom Life 20260324;;;;;A;5;2026-05-22 14:22:46+02;bongiwe lushaba;2026-03-24 09:54:08+02;2026-03-24 09:54:08+02;;;;;;;;;27784171812;;;;;;;;prepaid life;;;;;</t>
  </si>
  <si>
    <t>ID_3796</t>
  </si>
  <si>
    <t>13865130;0ad9138f-b57b-4777-b307-5056adbdfb17;;111111118;Vodacom Life 20260324;;;;;CU;5;2026-05-22 1</t>
  </si>
  <si>
    <t>13865130;0ad9138f-b57b-4777-b307-5056adbdfb17;;111111118;Vodacom Life 20260324;;;;;CU;5;2026-05-22 13:13:10+02;bongiwe lushaba;2026-03-24 09:54:08+02;2026-03-24 09:54:08+02;;;;;;;;;27716369112;;;;;;;;prepaid life;;;;;</t>
  </si>
  <si>
    <t>ID_3797</t>
  </si>
  <si>
    <t>13865055;1c82da9b-4a67-46e0-9ab5-773cd5a5768f;;111111118;Vodacom Life 20260324;;;;;U;2;2026-04-09 08</t>
  </si>
  <si>
    <t>13865055;1c82da9b-4a67-46e0-9ab5-773cd5a5768f;;111111118;Vodacom Life 20260324;;;;;U;2;2026-04-09 08:08:25+02;bongiwe lushaba;2026-03-24 09:54:08+02;2026-03-24 09:54:08+02;;;;;;;;;27606330698;;;;;;;;prepaid life;;;;;</t>
  </si>
  <si>
    <t>ID_3798</t>
  </si>
  <si>
    <t>13865131;debb9d0d-2e3c-47bb-b7a4-dde9ae5ec419;;111111118;Vodacom Life 20260324;;;27716383303;;IABDN;</t>
  </si>
  <si>
    <t>13865131;debb9d0d-2e3c-47bb-b7a4-dde9ae5ec419;;111111118;Vodacom Life 20260324;;;27716383303;;IABDN;5;2026-05-22 11:41:11+02;system;2026-03-24 09:54:08+02;2026-03-24 09:54:08+02;;;;;;;;;27716383303;;;;;;;;prepaid life;;;;;</t>
  </si>
  <si>
    <t>ID_3799</t>
  </si>
  <si>
    <t>13865056;46438852-bc0a-4ffd-8437-fe3b2cb7bbb9;;111111118;Vodacom Life 20260324;;;;;CBACK;3;2026-04-0</t>
  </si>
  <si>
    <t>13865056;46438852-bc0a-4ffd-8437-fe3b2cb7bbb9;;111111118;Vodacom Life 20260324;;;;;CBACK;3;2026-04-09 10:50:34+02;Maureen Ntsoko;2026-03-24 09:54:08+02;2026-03-24 09:54:08+02;;;;;;;;;27606560710;;;;;;;;prepaid life;;;;;</t>
  </si>
  <si>
    <t>ID_3800</t>
  </si>
  <si>
    <t>13864965;a461733a-235c-4add-873e-bdf84bb6fd6b;;111111118;Vodacom Life 20260324;;;;;NI;3;2026-04-14 1</t>
  </si>
  <si>
    <t>13864965;a461733a-235c-4add-873e-bdf84bb6fd6b;;111111118;Vodacom Life 20260324;;;;;NI;3;2026-04-14 14:29:03+02;Musiiwa Mary Mabirimisa;2026-03-24 09:54:08+02;2026-03-24 09:54:08+02;;;;;;;;;27786258963;;;;;;;;prepaid life;;;;;</t>
  </si>
  <si>
    <t>ID_3801</t>
  </si>
  <si>
    <t>13865132;3da32256-9622-464b-a3b1-1d4236faace4;;111111118;Vodacom Life 20260324;;;;;NI;3;2026-04-14 1</t>
  </si>
  <si>
    <t>13865132;3da32256-9622-464b-a3b1-1d4236faace4;;111111118;Vodacom Life 20260324;;;;;NI;3;2026-04-14 13:59:09+02;Maureen Ntsoko;2026-03-24 09:54:08+02;2026-03-24 09:54:08+02;;;;;;;;;27720270704;;;;;;;;prepaid life;;;;;</t>
  </si>
  <si>
    <t>ID_3802</t>
  </si>
  <si>
    <t>13864966;b3efb7a9-f489-46ec-bc22-58792080b378;;111111118;Vodacom Life 20260324;;;27789361480;;DROP;5</t>
  </si>
  <si>
    <t>13864966;b3efb7a9-f489-46ec-bc22-58792080b378;;111111118;Vodacom Life 20260324;;;27789361480;;DROP;5;2026-05-22 14:20:22+02;system;2026-03-24 09:54:08+02;2026-03-24 09:54:08+02;;;;;;;;;27789361480;;;;;;;;prepaid life;;;;;</t>
  </si>
  <si>
    <t>ID_3803</t>
  </si>
  <si>
    <t>13865133;d28ab756-6f60-4422-aec7-c1f1153fa5f0;;111111118;Vodacom Life 20260324;;;;;AA;5;2026-05-22 1</t>
  </si>
  <si>
    <t>13865133;d28ab756-6f60-4422-aec7-c1f1153fa5f0;;111111118;Vodacom Life 20260324;;;;;AA;5;2026-05-22 11:39:27+02;system;2026-03-24 09:54:08+02;2026-03-24 09:54:08+02;;;;;;;;;27720309335;;;;;;;;prepaid life;;;;;</t>
  </si>
  <si>
    <t>ID_3804</t>
  </si>
  <si>
    <t>13864967;beeee729-b04d-485c-b87b-70290b001421;;111111118;Vodacom Life 20260324;;;;;NI;3;2026-04-14 1</t>
  </si>
  <si>
    <t>13864967;beeee729-b04d-485c-b87b-70290b001421;;111111118;Vodacom Life 20260324;;;;;NI;3;2026-04-14 12:40:03+02;Maureen Ntsoko;2026-03-24 09:54:08+02;2026-03-24 09:54:08+02;;;;;;;;;27790463550;;;;;;;;prepaid life;;;;;</t>
  </si>
  <si>
    <t>ID_3805</t>
  </si>
  <si>
    <t>13865057;2a20d007-5b04-4666-b32c-6cec3413141a;;111111118;Vodacom Life 20260324;;;;;NA;5;2026-05-22 1</t>
  </si>
  <si>
    <t>13865057;2a20d007-5b04-4666-b32c-6cec3413141a;;111111118;Vodacom Life 20260324;;;;;NA;5;2026-05-22 11:49:41+02;system;2026-03-24 09:54:08+02;2026-03-24 09:54:08+02;;;;;;;;;27607106923;;;;;;;;prepaid life;;;;;</t>
  </si>
  <si>
    <t>ID_3806</t>
  </si>
  <si>
    <t>13865058;7270700b-894c-4367-a50b-efade7d19eb4;;111111118;Vodacom Life 20260324;;;27607381223;;IABDN;</t>
  </si>
  <si>
    <t>13865058;7270700b-894c-4367-a50b-efade7d19eb4;;111111118;Vodacom Life 20260324;;;27607381223;;IABDN;5;2026-05-22 13:46:05+02;system;2026-03-24 09:54:08+02;2026-03-24 09:54:08+02;;;;;;;;;27607381223;;;;;;;;prepaid life;;;;;</t>
  </si>
  <si>
    <t>ID_3807</t>
  </si>
  <si>
    <t>13864968;df816eb9-509e-4b19-a443-1a4762968ba9;;111111118;Vodacom Life 20260324;;;;;AA;5;2026-05-22 1</t>
  </si>
  <si>
    <t>13864968;df816eb9-509e-4b19-a443-1a4762968ba9;;111111118;Vodacom Life 20260324;;;;;AA;5;2026-05-22 14:20:04+02;system;2026-03-24 09:54:08+02;2026-03-24 09:54:08+02;;;;;;;;;27790657819;;;;;;;;prepaid life;;;;;</t>
  </si>
  <si>
    <t>ID_3808</t>
  </si>
  <si>
    <t>13865135;c2345271-438d-4f8b-a6e0-58dbb85a8e57;;111111118;Vodacom Life 20260324;;;;;NA;5;2026-05-22 1</t>
  </si>
  <si>
    <t>13865135;c2345271-438d-4f8b-a6e0-58dbb85a8e57;;111111118;Vodacom Life 20260324;;;;;NA;5;2026-05-22 11:39:40+02;system;2026-03-24 09:54:08+02;2026-03-24 09:54:08+02;;;;;;;;;27720544589;;;;;;;;prepaid life;;;;;</t>
  </si>
  <si>
    <t>ID_3809</t>
  </si>
  <si>
    <t>13864969;97cb8c76-4b31-42ca-a291-c1a6bf355c6b;;111111118;Vodacom Life 20260324;;;;;AE;5;2026-05-22 1</t>
  </si>
  <si>
    <t>13864969;97cb8c76-4b31-42ca-a291-c1a6bf355c6b;;111111118;Vodacom Life 20260324;;;;;AE;5;2026-05-22 14:20:02+02;system;2026-03-24 09:54:08+02;2026-03-24 09:54:08+02;;;;;;;;;27791424165;;;;;;;;prepaid life;;;;;</t>
  </si>
  <si>
    <t>ID_3810</t>
  </si>
  <si>
    <t>13865059;8aa3b1f3-8f63-4b4a-950d-0ad488a944df;;111111118;Vodacom Life 20260324;;;;;CBACK;4;2026-04-1</t>
  </si>
  <si>
    <t>13865059;8aa3b1f3-8f63-4b4a-950d-0ad488a944df;;111111118;Vodacom Life 20260324;;;;;CBACK;4;2026-04-14 12:29:32+02;Thandile Nokubeni;2026-03-24 09:54:08+02;2026-03-24 09:54:08+02;;;;;;;;;27608028214;;;;;;;;prepaid life;;;;;</t>
  </si>
  <si>
    <t>ID_3811</t>
  </si>
  <si>
    <t>13865136;2ac860cc-4ea3-4204-a9c2-fb6852b1a504;;111111118;Vodacom Life 20260324;;;;;AA;5;2026-05-22 1</t>
  </si>
  <si>
    <t>13865136;2ac860cc-4ea3-4204-a9c2-fb6852b1a504;;111111118;Vodacom Life 20260324;;;;;AA;5;2026-05-22 13:11:46+02;system;2026-03-24 09:54:08+02;2026-03-24 09:54:08+02;;;;;;;;;27720899931;;;;;;;;prepaid life;;;;;</t>
  </si>
  <si>
    <t>ID_3812</t>
  </si>
  <si>
    <t>13864970;67b54437-e04c-4052-8724-4ad6931bbb79;;111111118;Vodacom Life 20260324;;;;;NIUP;3;2026-04-14</t>
  </si>
  <si>
    <t>13864970;67b54437-e04c-4052-8724-4ad6931bbb79;;111111118;Vodacom Life 20260324;;;;;NIUP;3;2026-04-14 14:28:01+02;Seboifeng Mogola;2026-03-24 09:54:08+02;2026-03-24 09:54:08+02;;;;;;;;;27791427239;;;;;;;;prepaid life;;;;;</t>
  </si>
  <si>
    <t>ID_3813</t>
  </si>
  <si>
    <t>13865137;c2aa982d-a881-4451-998e-3b2f53498d20;;111111118;Vodacom Life 20260324;;;;;NA;5;2026-05-22 1</t>
  </si>
  <si>
    <t>13865137;c2aa982d-a881-4451-998e-3b2f53498d20;;111111118;Vodacom Life 20260324;;;;;NA;5;2026-05-22 11:38:15+02;system;2026-03-24 09:54:08+02;2026-03-24 09:54:08+02;;;;;;;;;27721220826;;;;;;;;prepaid life;;;;;</t>
  </si>
  <si>
    <t>ID_3814</t>
  </si>
  <si>
    <t>13864971;b7aac632-ce41-4e54-8947-3ea56e3a20e9;;111111118;Vodacom Life 20260324;;;;;AA;5;2026-05-22 1</t>
  </si>
  <si>
    <t>13864971;b7aac632-ce41-4e54-8947-3ea56e3a20e9;;111111118;Vodacom Life 20260324;;;;;AA;5;2026-05-22 12:01:51+02;system;2026-03-24 09:54:08+02;2026-03-24 09:54:08+02;;;;;;;;;27791476438;;;;;;;;prepaid life;;;;;</t>
  </si>
  <si>
    <t>ID_3815</t>
  </si>
  <si>
    <t>13865060;da742da9-7d48-46a2-960c-8e63a369ee2a;;111111118;Vodacom Life 20260324;;;;;CU;5;2026-05-22 1</t>
  </si>
  <si>
    <t>13865060;da742da9-7d48-46a2-960c-8e63a369ee2a;;111111118;Vodacom Life 20260324;;;;;CU;5;2026-05-22 13:42:01+02;bongiwe lushaba;2026-03-24 09:54:08+02;2026-03-24 09:54:08+02;;;;;;;;;27608047781;;;;;;;;prepaid life;;;;;</t>
  </si>
  <si>
    <t>ID_3816</t>
  </si>
  <si>
    <t>13865138;a27eb13a-a0d1-4906-bdc0-03d55edf2479;;111111118;Vodacom Life 20260324;;;;;AE;5;2026-05-22 1</t>
  </si>
  <si>
    <t>13865138;a27eb13a-a0d1-4906-bdc0-03d55edf2479;;111111118;Vodacom Life 20260324;;;;;AE;5;2026-05-22 11:38:19+02;system;2026-03-24 09:54:08+02;2026-03-24 09:54:08+02;;;;;;;;;27722184111;;;;;;;;prepaid life;;;;;</t>
  </si>
  <si>
    <t>ID_3817</t>
  </si>
  <si>
    <t>13865061;c5596b7c-7291-47bb-9087-546e32194b59;;111111118;Vodacom Life 20260324;;;;;AA;5;2026-05-22 1</t>
  </si>
  <si>
    <t>13865061;c5596b7c-7291-47bb-9087-546e32194b59;;111111118;Vodacom Life 20260324;;;;;AA;5;2026-05-22 13:42:01+02;system;2026-03-24 09:54:08+02;2026-03-24 09:54:08+02;;;;;;;;;27608280238;;;;;;;;prepaid life;;;;;</t>
  </si>
  <si>
    <t>ID_3818</t>
  </si>
  <si>
    <t>13865139;5f927bee-56a2-40c5-acc8-a8ed8abac5e1;;111111118;Vodacom Life 20260324;;;;;CBACK;2;2026-04-0</t>
  </si>
  <si>
    <t>13865139;5f927bee-56a2-40c5-acc8-a8ed8abac5e1;;111111118;Vodacom Life 20260324;;;;;CBACK;2;2026-04-09 10:33:57+02;Thandile Nokubeni;2026-03-24 09:54:08+02;2026-03-24 09:54:08+02;;;;;;;;;27722267757;;;;;;;;prepaid life;;;;;</t>
  </si>
  <si>
    <t>ID_3819</t>
  </si>
  <si>
    <t>13865062;2e1bfcd0-2e96-4f5c-a1c6-7d8ce07267fc;;111111118;Vodacom Life 20260324;;;;;DROP;5;2026-05-22</t>
  </si>
  <si>
    <t>13865062;2e1bfcd0-2e96-4f5c-a1c6-7d8ce07267fc;;111111118;Vodacom Life 20260324;;;;;DROP;5;2026-05-22 13:42:01+02;system;2026-03-24 09:54:08+02;2026-03-24 09:54:08+02;;;;;;;;;27608551447;;;;;;;;prepaid life;;;;;</t>
  </si>
  <si>
    <t>ID_3820</t>
  </si>
  <si>
    <t>13865063;bf929f2d-2c2d-4967-a0d2-1ebd0a2a7381;;111111118;Vodacom Life 20260324;;;;;NA;5;2026-05-22 1</t>
  </si>
  <si>
    <t>13865063;bf929f2d-2c2d-4967-a0d2-1ebd0a2a7381;;111111118;Vodacom Life 20260324;;;;;NA;5;2026-05-22 13:41:44+02;system;2026-03-24 09:54:08+02;2026-03-24 09:54:08+02;;;;;;;;;27608921805;;;;;;;;prepaid life;;;;;</t>
  </si>
  <si>
    <t>ID_3821</t>
  </si>
  <si>
    <t>13864972;99533ef0-7040-4926-8623-434e1f4471b1;;111111118;Vodacom Life 20260324;;;;;NI;3;2026-04-14 1</t>
  </si>
  <si>
    <t>13864972;99533ef0-7040-4926-8623-434e1f4471b1;;111111118;Vodacom Life 20260324;;;;;NI;3;2026-04-14 14:26:31+02;Thandile Nokubeni;2026-03-24 09:54:08+02;2026-03-24 09:54:08+02;;;;;;;;;27791766309;;;;;;;;prepaid life;;;;;</t>
  </si>
  <si>
    <t>ID_3822</t>
  </si>
  <si>
    <t>13864973;52ff29a8-37d9-4fc0-a75b-d969ba6ae98a;;111111118;Vodacom Life 20260324;;;;;DROP;5;2026-05-22</t>
  </si>
  <si>
    <t>13864973;52ff29a8-37d9-4fc0-a75b-d969ba6ae98a;;111111118;Vodacom Life 20260324;;;;;DROP;5;2026-05-22 12:02:00+02;system;2026-03-24 09:54:08+02;2026-03-24 09:54:08+02;;;;;;;;;27791791159;;;;;;;;prepaid life;;;;;</t>
  </si>
  <si>
    <t>ID_3823</t>
  </si>
  <si>
    <t>13864974;9280511b-9f7f-4e5b-bc1c-92806bd35495;;111111118;Vodacom Life 20260324;;;;;NI;4;2026-05-07 1</t>
  </si>
  <si>
    <t>13864974;9280511b-9f7f-4e5b-bc1c-92806bd35495;;111111118;Vodacom Life 20260324;;;;;NI;4;2026-05-07 14:26:57+02;Musiiwa Mary Mabirimisa;2026-03-24 09:54:08+02;2026-03-24 09:54:08+02;;;;;;;;;27792100070;;;;;;;;prepaid life;;;;;</t>
  </si>
  <si>
    <t>ID_3824</t>
  </si>
  <si>
    <t>13865140;bd321301-eadf-4f29-83db-e30207c9a630;;111111118;Vodacom Life 20260324;;;;;AA;5;2026-05-22 1</t>
  </si>
  <si>
    <t>13865140;bd321301-eadf-4f29-83db-e30207c9a630;;111111118;Vodacom Life 20260324;;;;;AA;5;2026-05-22 11:37:48+02;system;2026-03-24 09:54:08+02;2026-03-24 09:54:08+02;;;;;;;;;27722400178;;;;;;;;prepaid life;;;;;</t>
  </si>
  <si>
    <t>ID_3825</t>
  </si>
  <si>
    <t>13864975;e34fbbde-df15-4db2-8699-b66c237286d9;;111111118;Vodacom Life 20260324;;;;;AA;5;2026-05-22 1</t>
  </si>
  <si>
    <t>13864975;e34fbbde-df15-4db2-8699-b66c237286d9;;111111118;Vodacom Life 20260324;;;;;AA;5;2026-05-22 12:01:48+02;system;2026-03-24 09:54:08+02;2026-03-24 09:54:08+02;;;;;;;;;27792241401;;;;;;;;prepaid life;;;;;</t>
  </si>
  <si>
    <t>ID_3826</t>
  </si>
  <si>
    <t>13865141;1b13f31c-73a7-475a-901d-57a262ad447b;;111111118;Vodacom Life 20260324;;;;;SELECTED;2;2026-0</t>
  </si>
  <si>
    <t>13865141;1b13f31c-73a7-475a-901d-57a262ad447b;;111111118;Vodacom Life 20260324;;;;;SELECTED;2;2026-04-01 09:53:16+02;Seboifeng Mogola;2026-03-24 09:54:08+02;2026-03-24 09:54:08+02;;;;;;;;;27722908091;;;;;;;;prepaid life;;;;;</t>
  </si>
  <si>
    <t>ID_3827</t>
  </si>
  <si>
    <t>13865065;fd7b8bd3-04e5-497b-b480-b4cc535e279d;;111111118;Vodacom Life 20260324;;;;;AA;5;2026-05-22 1</t>
  </si>
  <si>
    <t>13865065;fd7b8bd3-04e5-497b-b480-b4cc535e279d;;111111118;Vodacom Life 20260324;;;;;AA;5;2026-05-22 13:40:25+02;system;2026-03-24 09:54:08+02;2026-03-24 09:54:08+02;;;;;;;;;27609210669;;;;;;;;prepaid life;;;;;</t>
  </si>
  <si>
    <t>ID_3828</t>
  </si>
  <si>
    <t>13864976;90295f92-7fc7-4e51-b5ef-9bc79c97ee44;;111111118;Vodacom Life 20260324;;;;;NI;2;2026-04-09 1</t>
  </si>
  <si>
    <t>13864976;90295f92-7fc7-4e51-b5ef-9bc79c97ee44;;111111118;Vodacom Life 20260324;;;;;NI;2;2026-04-09 10:40:06+02;Esther Ramalete;2026-03-24 09:54:08+02;2026-03-24 09:54:08+02;;;;;;;;;27792631917;;;;;;;;prepaid life;;;;;</t>
  </si>
  <si>
    <t>ID_3829</t>
  </si>
  <si>
    <t>13865142;f762a84c-f85a-4375-82fd-cd85a27e4a6a;;111111118;Vodacom Life 20260324;;;;;NI;1;2026-03-30 1</t>
  </si>
  <si>
    <t>13865142;f762a84c-f85a-4375-82fd-cd85a27e4a6a;;111111118;Vodacom Life 20260324;;;;;NI;1;2026-03-30 13:09:05+02;Thandile Nokubeni;2026-03-24 09:54:08+02;2026-03-24 09:54:08+02;;;;;;;;;27723090671;;;;;;;;prepaid life;;;;;</t>
  </si>
  <si>
    <t>ID_3830</t>
  </si>
  <si>
    <t>13864977;88595520-bc72-4688-beb5-120a27e58dde;;111111118;Vodacom Life 20260324;;;;;AA;5;2026-05-22 1</t>
  </si>
  <si>
    <t>13864977;88595520-bc72-4688-beb5-120a27e58dde;;111111118;Vodacom Life 20260324;;;;;AA;5;2026-05-22 12:02:04+02;system;2026-03-24 09:54:08+02;2026-03-24 09:54:08+02;;;;;;;;;27792773497;;;;;;;;prepaid life;;;;;</t>
  </si>
  <si>
    <t>ID_3831</t>
  </si>
  <si>
    <t>13865143;6e6b0db2-dc2f-434c-8ce7-2b05cb929918;;111111118;Vodacom Life 20260324;;;;;CBACK;2;2026-04-0</t>
  </si>
  <si>
    <t>13865143;6e6b0db2-dc2f-434c-8ce7-2b05cb929918;;111111118;Vodacom Life 20260324;;;;;CBACK;2;2026-04-08 16:46:36+02;Thandile Nokubeni;2026-03-24 09:54:08+02;2026-03-24 09:54:08+02;;;;;;;;;27723179826;;;;;;;;prepaid life;;;;;</t>
  </si>
  <si>
    <t>ID_3832</t>
  </si>
  <si>
    <t>13864978;00458c1d-7caf-4116-9893-2322ef5d96e8;;111111118;Vodacom Life 20260324;;;;;GTTB;3;2026-04-14</t>
  </si>
  <si>
    <t>13864978;00458c1d-7caf-4116-9893-2322ef5d96e8;;111111118;Vodacom Life 20260324;;;;;GTTB;3;2026-04-14 14:25:55+02;Millicent Motsuku;2026-03-24 09:54:08+02;2026-03-24 09:54:08+02;;;;;;;;;27792844995;;;;;;;;prepaid life;;;;;</t>
  </si>
  <si>
    <t>ID_3833</t>
  </si>
  <si>
    <t>13865066;ace59c37-4f53-410e-a753-705e9dc70f20;;111111118;Vodacom Life 20260324;;;;;CU;5;2026-05-22 1</t>
  </si>
  <si>
    <t>13865066;ace59c37-4f53-410e-a753-705e9dc70f20;;111111118;Vodacom Life 20260324;;;;;CU;5;2026-05-22 13:40:25+02;bongiwe lushaba;2026-03-24 09:54:08+02;2026-03-24 09:54:08+02;;;;;;;;;27609412202;;;;;;;;prepaid life;;;;;</t>
  </si>
  <si>
    <t>ID_3834</t>
  </si>
  <si>
    <t>13865144;1cc39ecc-a6d8-4d27-a0a0-cb5418f00fb7;;111111118;Vodacom Life 20260324;;;;;N;6;2026-04-22 14</t>
  </si>
  <si>
    <t>13865144;1cc39ecc-a6d8-4d27-a0a0-cb5418f00fb7;;111111118;Vodacom Life 20260324;;;;;N;6;2026-04-22 14:20:46+02;Thandile Nokubeni;2026-03-24 09:54:08+02;2026-03-24 09:54:08+02;;;;;;;;;27723209338;;;;;;;;prepaid life;;;;;</t>
  </si>
  <si>
    <t>ID_3835</t>
  </si>
  <si>
    <t>13865067;76183510-a6a7-40d7-9161-2d0446b8a530;;111111118;Vodacom Life 20260324;;;;;NA;5;2026-05-22 1</t>
  </si>
  <si>
    <t>13865067;76183510-a6a7-40d7-9161-2d0446b8a530;;111111118;Vodacom Life 20260324;;;;;NA;5;2026-05-22 13:40:25+02;system;2026-03-24 09:54:08+02;2026-03-24 09:54:08+02;;;;;;;;;27609528494;;;;;;;;prepaid life;;;;;</t>
  </si>
  <si>
    <t>ID_3836</t>
  </si>
  <si>
    <t>13864979;d32e804f-5ad9-4ced-b4d0-aaa11a511cc5;;111111118;Vodacom Life 20260324;;;;;GTTB;1;2026-04-01</t>
  </si>
  <si>
    <t>13864979;d32e804f-5ad9-4ced-b4d0-aaa11a511cc5;;111111118;Vodacom Life 20260324;;;;;GTTB;1;2026-04-01 12:57:00+02;Esther Ramalete;2026-03-24 09:54:08+02;2026-03-24 09:54:08+02;;;;;;;;;27793247972;;;;;;;;prepaid life;;;;;</t>
  </si>
  <si>
    <t>ID_3837</t>
  </si>
  <si>
    <t>13865145;c04617ac-ce7f-47f6-b102-11263c049681;;111111118;Vodacom Life 20260324;;;;;CU;5;2026-05-22 1</t>
  </si>
  <si>
    <t>13865145;c04617ac-ce7f-47f6-b102-11263c049681;;111111118;Vodacom Life 20260324;;;;;CU;5;2026-05-22 11:38:19+02;Maureen Ntsoko;2026-03-24 09:54:08+02;2026-03-24 09:54:08+02;;;;;;;;;27723323880;;;;;;;;prepaid life;;;;;</t>
  </si>
  <si>
    <t>ID_3838</t>
  </si>
  <si>
    <t>13864980;b1f95594-10bf-4ed0-babf-8a15096e762e;;111111118;Vodacom Life 20260324;;;;;NI;1;2026-04-01 1</t>
  </si>
  <si>
    <t>13864980;b1f95594-10bf-4ed0-babf-8a15096e762e;;111111118;Vodacom Life 20260324;;;;;NI;1;2026-04-01 10:01:29+02;Esther Ramalete;2026-03-24 09:54:08+02;2026-03-24 09:54:08+02;;;;;;;;;27793436383;;;;;;;;prepaid life;;;;;</t>
  </si>
  <si>
    <t>ID_3839</t>
  </si>
  <si>
    <t>13865068;cb34f8c4-2f16-467a-83c9-78fd48c321f2;;111111118;Vodacom Life 20260324;;;;;AA;5;2026-05-22 1</t>
  </si>
  <si>
    <t>13865068;cb34f8c4-2f16-467a-83c9-78fd48c321f2;;111111118;Vodacom Life 20260324;;;;;AA;5;2026-05-22 13:40:25+02;system;2026-03-24 09:54:08+02;2026-03-24 09:54:08+02;;;;;;;;;27609724679;;;;;;;;prepaid life;;;;;</t>
  </si>
  <si>
    <t>ID_3840</t>
  </si>
  <si>
    <t>13865146;9a6d0711-f774-48e2-887a-58681fa35714;;111111118;Vodacom Life 20260324;;;;;NA;5;2026-05-22 1</t>
  </si>
  <si>
    <t>13865146;9a6d0711-f774-48e2-887a-58681fa35714;;111111118;Vodacom Life 20260324;;;;;NA;5;2026-05-22 13:11:46+02;system;2026-03-24 09:54:08+02;2026-03-24 09:54:08+02;;;;;;;;;27723531125;;;;;;;;prepaid life;;;;;</t>
  </si>
  <si>
    <t>ID_3841</t>
  </si>
  <si>
    <t>13865147;e9cbcfe4-17a1-4dda-919c-d954e036a1ec;;111111118;Vodacom Life 20260324;;;27723676236;;CU;5;2</t>
  </si>
  <si>
    <t>13865147;e9cbcfe4-17a1-4dda-919c-d954e036a1ec;;111111118;Vodacom Life 20260324;;;27723676236;;CU;5;2026-05-22 13:11:46+02;Khensane Mabasa;2026-03-24 09:54:08+02;2026-03-24 09:54:08+02;;;;;;;;;27723676236;;;;;;;;prepaid life;;;;;</t>
  </si>
  <si>
    <t>ID_3842</t>
  </si>
  <si>
    <t>13865069;7f4000f9-4816-4550-bbcf-451e82d039e7;;111111118;Vodacom Life 20260324;;;;;NI;1;2026-04-01 1</t>
  </si>
  <si>
    <t>13865069;7f4000f9-4816-4550-bbcf-451e82d039e7;;111111118;Vodacom Life 20260324;;;;;NI;1;2026-04-01 12:36:34+02;Thandile Nokubeni;2026-03-24 09:54:08+02;2026-03-24 09:54:08+02;;;;;;;;;27626755340;;;;;;;;prepaid life;;;;;</t>
  </si>
  <si>
    <t>ID_3843</t>
  </si>
  <si>
    <t>13865070;ef38cf80-e062-475a-9250-06cb878797dd;;111111118;Vodacom Life 20260324;;;;;AA;5;2026-05-22 1</t>
  </si>
  <si>
    <t>13865070;ef38cf80-e062-475a-9250-06cb878797dd;;111111118;Vodacom Life 20260324;;;;;AA;5;2026-05-22 11:47:48+02;system;2026-03-24 09:54:08+02;2026-03-24 09:54:08+02;;;;;;;;;27636245248;;;;;;;;prepaid life;;;;;</t>
  </si>
  <si>
    <t>ID_3844</t>
  </si>
  <si>
    <t>13864981;5744793f-3906-4885-b8af-09a7591777e0;;111111118;Vodacom Life 20260324;;;27793550554;;AE;5;2</t>
  </si>
  <si>
    <t>13864981;5744793f-3906-4885-b8af-09a7591777e0;;111111118;Vodacom Life 20260324;;;27793550554;;AE;5;2026-05-22 14:19:58+02;system;2026-03-24 09:54:08+02;2026-03-24 09:54:08+02;;;;;;;;;27793550554;;;;;;;;prepaid life;;;;;</t>
  </si>
  <si>
    <t>ID_3845</t>
  </si>
  <si>
    <t>13865148;2cd06505-a6a3-4f4f-829e-ebf361c2a6f0;;111111118;Vodacom Life 20260324;;;27723693409;;CU;5;2</t>
  </si>
  <si>
    <t>13865148;2cd06505-a6a3-4f4f-829e-ebf361c2a6f0;;111111118;Vodacom Life 20260324;;;27723693409;;CU;5;2026-05-22 13:12:35+02;Khensane Mabasa;2026-03-24 09:54:08+02;2026-03-24 09:54:08+02;;;;;;;;;27723693409;;;;;;;;prepaid life;;;;;</t>
  </si>
  <si>
    <t>ID_3846</t>
  </si>
  <si>
    <t xml:space="preserve">13864982;a4fda64a-80af-48c3-9a2d-756b66d495b8;;111111118;Vodacom Life 20260324;;;;;ADC;5;2026-05-22 </t>
  </si>
  <si>
    <t>13864982;a4fda64a-80af-48c3-9a2d-756b66d495b8;;111111118;Vodacom Life 20260324;;;;;ADC;5;2026-05-22 14:19:57+02;system;2026-03-24 09:54:08+02;2026-03-24 09:54:08+02;;;;;;;;;27793696973;;;;;;;;prepaid life;;;;;</t>
  </si>
  <si>
    <t>ID_3847</t>
  </si>
  <si>
    <t>13865150;7d86417f-fdc7-4a87-8373-127c9c64d20d;;111111118;Vodacom Life 20260324;;;;;SELECTED;2;2026-0</t>
  </si>
  <si>
    <t>13865150;7d86417f-fdc7-4a87-8373-127c9c64d20d;;111111118;Vodacom Life 20260324;;;;;SELECTED;2;2026-04-02 11:42:36+02;system;2026-03-24 09:54:08+02;2026-03-24 09:54:08+02;;;;;;;;;27724197275;;;;;;;;prepaid life;;;;;</t>
  </si>
  <si>
    <t>ID_3848</t>
  </si>
  <si>
    <t xml:space="preserve">13864983;6d0bf101-3e5b-4f96-8d25-47c5013b3811;;111111118;Vodacom Life 20260324;;;;;OAL;1;2026-04-02 </t>
  </si>
  <si>
    <t>13864983;6d0bf101-3e5b-4f96-8d25-47c5013b3811;;111111118;Vodacom Life 20260324;;;;;OAL;1;2026-04-02 11:25:17+02;Thandile Nokubeni;2026-03-24 09:54:08+02;2026-03-24 09:54:08+02;;;;;;;;;27793700612;;;;;;;;prepaid life;;;;;</t>
  </si>
  <si>
    <t>ID_3849</t>
  </si>
  <si>
    <t>13865071;6bdb4929-a220-4304-b3d7-09f25e548cbd;;111111118;Vodacom Life 20260324;;;;;DROP;5;2026-05-22</t>
  </si>
  <si>
    <t>13865071;6bdb4929-a220-4304-b3d7-09f25e548cbd;;111111118;Vodacom Life 20260324;;;;;DROP;5;2026-05-22 11:47:48+02;system;2026-03-24 09:54:08+02;2026-03-24 09:54:08+02;;;;;;;;;27636301897;;;;;;;;prepaid life;;;;;</t>
  </si>
  <si>
    <t>ID_3850</t>
  </si>
  <si>
    <t>13865151;13a12dda-57db-4318-bdc1-0c2e2603f4cd;;111111118;Vodacom Life 20260324;;;;;DROP;5;2026-05-22</t>
  </si>
  <si>
    <t>13865151;13a12dda-57db-4318-bdc1-0c2e2603f4cd;;111111118;Vodacom Life 20260324;;;;;DROP;5;2026-05-22 13:11:16+02;system;2026-03-24 09:54:08+02;2026-03-24 09:54:08+02;;;;;;;;;27724249808;;;;;;;;prepaid life;;;;;</t>
  </si>
  <si>
    <t>ID_3851</t>
  </si>
  <si>
    <t>13865072;c22eec46-a574-4b74-8bab-37866c26ab34;;111111118;Vodacom Life 20260324;;;;;NI;2;2026-04-09 0</t>
  </si>
  <si>
    <t>13865072;c22eec46-a574-4b74-8bab-37866c26ab34;;111111118;Vodacom Life 20260324;;;;;NI;2;2026-04-09 08:03:37+02;Esther Ramalete;2026-03-24 09:54:08+02;2026-03-24 09:54:08+02;;;;;;;;;27646165350;;;;;;;;prepaid life;;;;;</t>
  </si>
  <si>
    <t>ID_3852</t>
  </si>
  <si>
    <t>13864984;8b39dbeb-5272-4a80-acd4-1df9f23e91f1;;111111118;Vodacom Life 20260324;;;;;CBACK;3;2026-04-1</t>
  </si>
  <si>
    <t>13864984;8b39dbeb-5272-4a80-acd4-1df9f23e91f1;;111111118;Vodacom Life 20260324;;;;;CBACK;3;2026-04-14 14:25:13+02;Thandile Nokubeni;2026-03-24 09:54:08+02;2026-03-24 09:54:08+02;;;;;;;;;27793721534;;;;;;;;prepaid life;;;;;</t>
  </si>
  <si>
    <t>ID_3853</t>
  </si>
  <si>
    <t>13865152;3c571786-eb07-428d-bb8b-f399610d4c2c;;111111118;Vodacom Life 20260324;;;;;NIUP;1;2026-04-02</t>
  </si>
  <si>
    <t>13865152;3c571786-eb07-428d-bb8b-f399610d4c2c;;111111118;Vodacom Life 20260324;;;;;NIUP;1;2026-04-02 11:43:28+02;Seboifeng Mogola;2026-03-24 09:54:08+02;2026-03-24 09:54:08+02;;;;;;;;;27724466875;;;;;;;;prepaid life;;;;;</t>
  </si>
  <si>
    <t>ID_3854</t>
  </si>
  <si>
    <t>13864985;844c8d2f-4a10-43a4-958c-ccf4a18cb561;;111111118;Vodacom Life 20260324;;;;;NIUP;3;2026-04-14</t>
  </si>
  <si>
    <t>13864985;844c8d2f-4a10-43a4-958c-ccf4a18cb561;;111111118;Vodacom Life 20260324;;;;;NIUP;3;2026-04-14 14:27:39+02;Seboifeng Mogola;2026-03-24 09:54:08+02;2026-03-24 09:54:08+02;;;;;;;;;27794483685;;;;;;;;prepaid life;;;;;</t>
  </si>
  <si>
    <t>ID_3855</t>
  </si>
  <si>
    <t>13865073;81187712-0f9f-44e2-be17-a0d5392a02ab;;111111118;Vodacom Life 20260324;;;27646789534;;CU;5;2</t>
  </si>
  <si>
    <t>13865073;81187712-0f9f-44e2-be17-a0d5392a02ab;;111111118;Vodacom Life 20260324;;;27646789534;;CU;5;2026-05-22 11:48:16+02;Maureen Ntsoko;2026-03-24 09:54:08+02;2026-03-24 09:54:08+02;;;;;;;;;27646789534;;;;;;;;prepaid life;;;;;</t>
  </si>
  <si>
    <t>ID_3856</t>
  </si>
  <si>
    <t>13865153;cbdb590d-6414-47d1-a517-c5290519cbaf;;111111118;Vodacom Life 20260324;;;27724497184;;AE;5;2</t>
  </si>
  <si>
    <t>13865153;cbdb590d-6414-47d1-a517-c5290519cbaf;;111111118;Vodacom Life 20260324;;;27724497184;;AE;5;2026-05-22 13:11:15+02;system;2026-03-24 09:54:08+02;2026-03-24 09:54:08+02;;;;;;;;;27724497184;;;;;;;;prepaid life;;;;;</t>
  </si>
  <si>
    <t>ID_3857</t>
  </si>
  <si>
    <t>13865074;28bb3e80-d9d6-49e5-865b-81359bb79638;;111111118;Vodacom Life 20260324;;;;;AA;5;2026-05-22 1</t>
  </si>
  <si>
    <t>13865074;28bb3e80-d9d6-49e5-865b-81359bb79638;;111111118;Vodacom Life 20260324;;;;;AA;5;2026-05-22 11:47:48+02;system;2026-03-24 09:54:08+02;2026-03-24 09:54:08+02;;;;;;;;;27646937571;;;;;;;;prepaid life;;;;;</t>
  </si>
  <si>
    <t>ID_3858</t>
  </si>
  <si>
    <t>13864986;b755b77d-a181-4a87-92ef-bed5e0c0965d;;111111118;Vodacom Life 20260324;;;;;AA;5;2026-05-22 1</t>
  </si>
  <si>
    <t>13864986;b755b77d-a181-4a87-92ef-bed5e0c0965d;;111111118;Vodacom Life 20260324;;;;;AA;5;2026-05-22 14:19:46+02;system;2026-03-24 09:54:08+02;2026-03-24 09:54:08+02;;;;;;;;;27795324070;;;;;;;;prepaid life;;;;;</t>
  </si>
  <si>
    <t>ID_3859</t>
  </si>
  <si>
    <t>13865154;8ff7fe08-4a24-4579-adcb-f96b59f60c82;;111111118;Vodacom Life 20260324;;;27724519593;;AA;5;2</t>
  </si>
  <si>
    <t>13865154;8ff7fe08-4a24-4579-adcb-f96b59f60c82;;111111118;Vodacom Life 20260324;;;27724519593;;AA;5;2026-05-22 13:11:15+02;system;2026-03-24 09:54:08+02;2026-03-24 09:54:08+02;;;;;;;;;27724519593;;;;;;;;prepaid life;;;;;</t>
  </si>
  <si>
    <t>ID_3860</t>
  </si>
  <si>
    <t>13864987;bd223cad-dcea-4753-8f3f-83de1f72b137;;111111118;Vodacom Life 20260324;;;;;AA;5;2026-05-22 1</t>
  </si>
  <si>
    <t>13864987;bd223cad-dcea-4753-8f3f-83de1f72b137;;111111118;Vodacom Life 20260324;;;;;AA;5;2026-05-22 14:19:42+02;system;2026-03-24 09:54:08+02;2026-03-24 09:54:08+02;;;;;;;;;27795503473;;;;;;;;prepaid life;;;;;</t>
  </si>
  <si>
    <t>ID_3861</t>
  </si>
  <si>
    <t>13865075;9457ae7e-8e08-485b-a3bd-ad5c9de20a18;;111111118;Vodacom Life 20260324;;;;;AE;5;2026-05-22 1</t>
  </si>
  <si>
    <t>13865075;9457ae7e-8e08-485b-a3bd-ad5c9de20a18;;111111118;Vodacom Life 20260324;;;;;AE;5;2026-05-22 13:36:21+02;system;2026-03-24 09:54:08+02;2026-03-24 09:54:08+02;;;;;;;;;27647087401;;;;;;;;prepaid life;;;;;</t>
  </si>
  <si>
    <t>ID_3862</t>
  </si>
  <si>
    <t>13865155;34943439-4399-484b-86c3-60329c198c30;;111111118;Vodacom Life 20260324;;;;;CBACK;5;2026-05-2</t>
  </si>
  <si>
    <t>13865155;34943439-4399-484b-86c3-60329c198c30;;111111118;Vodacom Life 20260324;;;;;CBACK;5;2026-05-20 09:01:37+02;Maureen Ntsoko;2026-03-24 09:54:08+02;2026-03-24 09:54:08+02;;;;;;;;;27724803675;;;;;;;;prepaid life;;;;;</t>
  </si>
  <si>
    <t>ID_3863</t>
  </si>
  <si>
    <t>13865076;7b23e262-e6e4-433f-9fec-54c49c40db2b;;111111118;Vodacom Life 20260324;;;27647294742;;NA;5;2</t>
  </si>
  <si>
    <t>13865076;7b23e262-e6e4-433f-9fec-54c49c40db2b;;111111118;Vodacom Life 20260324;;;27647294742;;NA;5;2026-05-22 13:36:04+02;system;2026-03-24 09:54:08+02;2026-03-24 09:54:08+02;;;;;;;;;27647294742;;;;;;;;prepaid life;;;;;</t>
  </si>
  <si>
    <t>ID_3864</t>
  </si>
  <si>
    <t>13864988;b8cc9cc0-78d8-4e3c-b019-31afa1322e4a;;111111118;Vodacom Life 20260324;;;;;N;5;2026-04-09 16</t>
  </si>
  <si>
    <t>13864988;b8cc9cc0-78d8-4e3c-b019-31afa1322e4a;;111111118;Vodacom Life 20260324;;;;;N;5;2026-04-09 16:25:45+02;Mahlatse Manamela;2026-03-24 09:54:08+02;2026-03-24 09:54:08+02;;;;;;;;;27795510460;;;;;;;;prepaid life;;;;;</t>
  </si>
  <si>
    <t>ID_3865</t>
  </si>
  <si>
    <t>13865156;528bc57a-8873-4189-ac70-43f78fb78186;;111111118;Vodacom Life 20260324;;;;;AA;5;2026-05-22 1</t>
  </si>
  <si>
    <t>13865156;528bc57a-8873-4189-ac70-43f78fb78186;;111111118;Vodacom Life 20260324;;;;;AA;5;2026-05-22 13:10:27+02;system;2026-03-24 09:54:08+02;2026-03-24 09:54:08+02;;;;;;;;;27724809435;;;;;;;;prepaid life;;;;;</t>
  </si>
  <si>
    <t>ID_3866</t>
  </si>
  <si>
    <t>13864989;c9b7e048-70ff-4b26-8be6-ec4a338d86bc;;111111118;Vodacom Life 20260324;;;27795555182;;IABDN;</t>
  </si>
  <si>
    <t>13864989;c9b7e048-70ff-4b26-8be6-ec4a338d86bc;;111111118;Vodacom Life 20260324;;;27795555182;;IABDN;5;2026-05-22 14:27:45+02;system;2026-03-24 09:54:08+02;2026-03-24 09:54:08+02;;;;;;;;;27795555182;;;;;;;;prepaid life;;;;;</t>
  </si>
  <si>
    <t>ID_3867</t>
  </si>
  <si>
    <t>13865077;d99123b5-8be1-4135-994d-88e756678648;;111111118;Vodacom Life 20260324;;;;;AC;1;2026-04-01 0</t>
  </si>
  <si>
    <t>13865077;d99123b5-8be1-4135-994d-88e756678648;;111111118;Vodacom Life 20260324;;;;;AC;1;2026-04-01 09:50:28+02;Esther Ramalete;2026-03-24 09:54:08+02;2026-03-24 09:54:08+02;;;;;;;;;27648336135;;;;;;;;prepaid life;;;;;</t>
  </si>
  <si>
    <t>ID_3868</t>
  </si>
  <si>
    <t>13865157;b422327a-c88f-415b-bea5-a380db1db9f9;;111111118;Vodacom Life 20260324;;;27724809821;;CU;5;2</t>
  </si>
  <si>
    <t>13865157;b422327a-c88f-415b-bea5-a380db1db9f9;;111111118;Vodacom Life 20260324;;;27724809821;;CU;5;2026-05-22 13:22:41+02;Khensane Mabasa;2026-03-24 09:54:08+02;2026-03-24 09:54:08+02;;;;;;;;;27724809821;;;;;;;;prepaid life;;;;;</t>
  </si>
  <si>
    <t>ID_3869</t>
  </si>
  <si>
    <t>13865078;b98a7287-ca91-438f-bb24-dfb0e65d9eac;;111111118;Vodacom Life 20260324;;;;;AE;5;2026-05-22 1</t>
  </si>
  <si>
    <t>13865078;b98a7287-ca91-438f-bb24-dfb0e65d9eac;;111111118;Vodacom Life 20260324;;;;;AE;5;2026-05-22 13:36:04+02;system;2026-03-24 09:54:08+02;2026-03-24 09:54:08+02;;;;;;;;;27648668637;;;;;;;;prepaid life;;;;;</t>
  </si>
  <si>
    <t>ID_3870</t>
  </si>
  <si>
    <t>13864990;3dca0596-04ea-4108-97d5-0e511158ba2b;;111111118;Vodacom Life 20260324;;;;;A;5;2026-05-22 14</t>
  </si>
  <si>
    <t>13864990;3dca0596-04ea-4108-97d5-0e511158ba2b;;111111118;Vodacom Life 20260324;;;;;A;5;2026-05-22 14:19:37+02;bongiwe lushaba;2026-03-24 09:54:08+02;2026-03-24 09:54:08+02;;;;;;;;;27795642284;;;;;;;;prepaid life;;;;;</t>
  </si>
  <si>
    <t>ID_3871</t>
  </si>
  <si>
    <t>13865158;e83a46c9-6d38-4117-af12-7702c204f1f3;;111111118;Vodacom Life 20260324;;;;;CBACK;3;2026-04-1</t>
  </si>
  <si>
    <t>13865158;e83a46c9-6d38-4117-af12-7702c204f1f3;;111111118;Vodacom Life 20260324;;;;;CBACK;3;2026-04-14 13:53:51+02;Maureen Ntsoko;2026-03-24 09:54:08+02;2026-03-24 09:54:08+02;;;;;;;;;27724860547;;;;;;;;prepaid life;;;;;</t>
  </si>
  <si>
    <t>ID_3872</t>
  </si>
  <si>
    <t>13864991;14e2cfb8-3fc9-4cec-9941-927375d16870;;111111118;Vodacom Life 20260324;;;;;AA;5;2026-05-22 1</t>
  </si>
  <si>
    <t>13864991;14e2cfb8-3fc9-4cec-9941-927375d16870;;111111118;Vodacom Life 20260324;;;;;AA;5;2026-05-22 14:19:31+02;system;2026-03-24 09:54:08+02;2026-03-24 09:54:08+02;;;;;;;;;27795704178;;;;;;;;prepaid life;;;;;</t>
  </si>
  <si>
    <t>ID_3873</t>
  </si>
  <si>
    <t xml:space="preserve">13865079;0818e246-c286-42e9-83a5-469ea39080c0;;111111118;Vodacom Life 20260324;;;;;ADC;5;2026-05-22 </t>
  </si>
  <si>
    <t>13865079;0818e246-c286-42e9-83a5-469ea39080c0;;111111118;Vodacom Life 20260324;;;;;ADC;5;2026-05-22 13:36:04+02;system;2026-03-24 09:54:08+02;2026-03-24 09:54:08+02;;;;;;;;;27648784853;;;;;;;;prepaid life;;;;;</t>
  </si>
  <si>
    <t>ID_3874</t>
  </si>
  <si>
    <t>13865159;32630985-13f0-4388-8bfd-98000fc6fd96;;111111118;Vodacom Life 20260324;;;;;AA;5;2026-05-22 1</t>
  </si>
  <si>
    <t>13865159;32630985-13f0-4388-8bfd-98000fc6fd96;;111111118;Vodacom Life 20260324;;;;;AA;5;2026-05-22 11:35:42+02;system;2026-03-24 09:54:08+02;2026-03-24 09:54:08+02;;;;;;;;;27724941444;;;;;;;;prepaid life;;;;;</t>
  </si>
  <si>
    <t>ID_3875</t>
  </si>
  <si>
    <t>13865080;6cecf541-d052-4d53-b990-9bf59bdbc4ff;;111111118;Vodacom Life 20260324;;;;;CU;5;2026-05-22 1</t>
  </si>
  <si>
    <t>13865080;6cecf541-d052-4d53-b990-9bf59bdbc4ff;;111111118;Vodacom Life 20260324;;;;;CU;5;2026-05-22 13:36:03+02;bongiwe lushaba;2026-03-24 09:54:08+02;2026-03-24 09:54:08+02;;;;;;;;;27648935267;;;;;;;;prepaid life;;;;;</t>
  </si>
  <si>
    <t>ID_3876</t>
  </si>
  <si>
    <t>13864992;610a6bf5-096b-4a50-8526-c473858561a6;;111111118;Vodacom Life 20260324;;;;;AA;5;2026-05-22 1</t>
  </si>
  <si>
    <t>13864992;610a6bf5-096b-4a50-8526-c473858561a6;;111111118;Vodacom Life 20260324;;;;;AA;5;2026-05-22 14:07:37+02;system;2026-03-24 09:54:08+02;2026-03-24 09:54:08+02;;;;;;;;;27795745207;;;;;;;;prepaid life;;;;;</t>
  </si>
  <si>
    <t>ID_3877</t>
  </si>
  <si>
    <t>13865160;c8fefa76-facb-4dc4-be2e-a4285ea03ca2;;111111118;Vodacom Life 20260324;;;27724989682;;NI;4;2</t>
  </si>
  <si>
    <t>13865160;c8fefa76-facb-4dc4-be2e-a4285ea03ca2;;111111118;Vodacom Life 20260324;;;27724989682;;NI;4;2026-05-07 14:21:15+02;Khensane Mabasa;2026-03-24 09:54:08+02;2026-03-24 09:54:08+02;;;;;;;;;27724989682;;;;;;;;prepaid life;;;;;</t>
  </si>
  <si>
    <t>ID_3878</t>
  </si>
  <si>
    <t>13865161;87200ee9-c68d-4f10-a1d2-7d733e74ca34;;111111118;Vodacom Life 20260324;;;;;DROP;5;2026-05-22</t>
  </si>
  <si>
    <t>13865161;87200ee9-c68d-4f10-a1d2-7d733e74ca34;;111111118;Vodacom Life 20260324;;;;;DROP;5;2026-05-22 11:35:42+02;system;2026-03-24 09:54:08+02;2026-03-24 09:54:08+02;;;;;;;;;27725054629;;;;;;;;prepaid life;;;;;</t>
  </si>
  <si>
    <t>ID_3879</t>
  </si>
  <si>
    <t>13864993;5f0e26c1-3e11-43f4-8fec-a411939b94af;;111111118;Vodacom Life 20260324;;;;;NI;2;2026-04-01 1</t>
  </si>
  <si>
    <t>13864993;5f0e26c1-3e11-43f4-8fec-a411939b94af;;111111118;Vodacom Life 20260324;;;;;NI;2;2026-04-01 14:17:46+02;Musiiwa Mary Mabirimisa;2026-03-24 09:54:08+02;2026-03-24 09:54:08+02;;;;;;;;;27796116067;;;;;;;;prepaid life;;;;;</t>
  </si>
  <si>
    <t>ID_3880</t>
  </si>
  <si>
    <t>13865081;ff6de27c-1df1-4840-be10-91a1169398ee;;111111118;Vodacom Life 20260324;;;27649180092;;A;5;20</t>
  </si>
  <si>
    <t>13865081;ff6de27c-1df1-4840-be10-91a1169398ee;;111111118;Vodacom Life 20260324;;;27649180092;;A;5;2026-05-22 13:59:39+02;bongiwe lushaba;2026-03-24 09:54:08+02;2026-03-24 09:54:08+02;;;;;;;;;27649180092;;;;;;;;prepaid life;;;;;</t>
  </si>
  <si>
    <t>ID_3881</t>
  </si>
  <si>
    <t>13865162;6a369bfd-3658-4e3f-ac3f-e6876475f16a;;111111118;Vodacom Life 20260324;;;;;U;4;2026-05-07 14</t>
  </si>
  <si>
    <t>13865162;6a369bfd-3658-4e3f-ac3f-e6876475f16a;;111111118;Vodacom Life 20260324;;;;;U;4;2026-05-07 14:03:21+02;Musiiwa Mary Mabirimisa;2026-03-24 09:54:08+02;2026-03-24 09:54:08+02;;;;;;;;;27725124706;;;;;;;;prepaid life;;;;;</t>
  </si>
  <si>
    <t>ID_3882</t>
  </si>
  <si>
    <t>13865163;08a59af4-cb48-42bc-a2ea-04f2b9a68ab1;;111111118;Vodacom Life 20260324;;;;;U;2;2026-04-08 16</t>
  </si>
  <si>
    <t>13865163;08a59af4-cb48-42bc-a2ea-04f2b9a68ab1;;111111118;Vodacom Life 20260324;;;;;U;2;2026-04-08 16:43:34+02;Seboifeng Mogola;2026-03-24 09:54:08+02;2026-03-24 09:54:08+02;;;;;;;;;27725137188;;;;;;;;prepaid life;;;;;</t>
  </si>
  <si>
    <t>ID_3883</t>
  </si>
  <si>
    <t>13865082;c282040c-c062-42ef-b1b2-6736d25488e5;;111111118;Vodacom Life 20260324;;;27649444584;;CU;5;2</t>
  </si>
  <si>
    <t>13865082;c282040c-c062-42ef-b1b2-6736d25488e5;;111111118;Vodacom Life 20260324;;;27649444584;;CU;5;2026-05-22 13:29:37+02;bongiwe lushaba;2026-03-24 09:54:08+02;2026-03-24 09:54:08+02;;;;;;;;;27649444584;;;;;;;;prepaid life;;;;;</t>
  </si>
  <si>
    <t>ID_3884</t>
  </si>
  <si>
    <t>13864994;6e069b7c-c991-4088-a242-c10fc2a1685b;;111111118;Vodacom Life 20260324;;;;;AE;5;2026-05-22 1</t>
  </si>
  <si>
    <t>13864994;6e069b7c-c991-4088-a242-c10fc2a1685b;;111111118;Vodacom Life 20260324;;;;;AE;5;2026-05-22 14:07:37+02;system;2026-03-24 09:54:08+02;2026-03-24 09:54:08+02;;;;;;;;;27796330926;;;;;;;;prepaid life;;;;;</t>
  </si>
  <si>
    <t>ID_3885</t>
  </si>
  <si>
    <t>13865164;2d3ab64b-1754-4a73-bb34-b3bae4a36e9f;;111111118;Vodacom Life 20260324;;;;;CU;5;2026-05-22 1</t>
  </si>
  <si>
    <t>13865164;2d3ab64b-1754-4a73-bb34-b3bae4a36e9f;;111111118;Vodacom Life 20260324;;;;;CU;5;2026-05-22 11:34:40+02;bongiwe lushaba;2026-03-24 09:54:08+02;2026-03-24 09:54:08+02;;;;;;;;;27725207990;;;;;;;;prepaid life;;;;;</t>
  </si>
  <si>
    <t>ID_3886</t>
  </si>
  <si>
    <t>13865165;935de38a-2d0a-4522-a3ab-515a8932e83a;;111111118;Vodacom Life 20260324;;;;;AA;5;2026-05-22 1</t>
  </si>
  <si>
    <t>13865165;935de38a-2d0a-4522-a3ab-515a8932e83a;;111111118;Vodacom Life 20260324;;;;;AA;5;2026-05-22 11:35:42+02;system;2026-03-24 09:54:08+02;2026-03-24 09:54:08+02;;;;;;;;;27725769283;;;;;;;;prepaid life;;;;;</t>
  </si>
  <si>
    <t>ID_3887</t>
  </si>
  <si>
    <t>13864995;4bb33501-c800-4069-b832-2856e67d3ad0;;111111118;Vodacom Life 20260324;;;;;NIUP;4;2026-05-07</t>
  </si>
  <si>
    <t>13864995;4bb33501-c800-4069-b832-2856e67d3ad0;;111111118;Vodacom Life 20260324;;;;;NIUP;4;2026-05-07 14:24:48+02;bongiwe lushaba;2026-03-24 09:54:08+02;2026-03-24 09:54:08+02;;;;;;;;;27796417773;;;;;;;;prepaid life;;;;;</t>
  </si>
  <si>
    <t>ID_3888</t>
  </si>
  <si>
    <t>13865083;0523d19b-4698-484a-9fb7-d781f52f9b9f;;111111118;Vodacom Life 20260324;;;;;GTTB;1;2026-03-26</t>
  </si>
  <si>
    <t>13865083;0523d19b-4698-484a-9fb7-d781f52f9b9f;;111111118;Vodacom Life 20260324;;;;;GTTB;1;2026-03-26 11:43:41+02;Seboifeng Mogola;2026-03-24 09:54:08+02;2026-03-24 09:54:08+02;;;;;;;;;27660250268;;;;;;;;prepaid life;;;;;</t>
  </si>
  <si>
    <t>ID_3889</t>
  </si>
  <si>
    <t>13865166;2a46e349-1d6b-4a1c-9598-ec9baa69c162;;111111118;Vodacom Life 20260324;;;;;DROP;5;2026-05-22</t>
  </si>
  <si>
    <t>13865166;2a46e349-1d6b-4a1c-9598-ec9baa69c162;;111111118;Vodacom Life 20260324;;;;;DROP;5;2026-05-22 11:34:40+02;system;2026-03-24 09:54:08+02;2026-03-24 09:54:08+02;;;;;;;;;27725949334;;;;;;;;prepaid life;;;;;</t>
  </si>
  <si>
    <t>ID_3890</t>
  </si>
  <si>
    <t>13865084;50333bbc-fc8c-41ca-b619-63f2e4fb8f93;;111111118;Vodacom Life 20260324;;;;;DROP;5;2026-05-22</t>
  </si>
  <si>
    <t>13865084;50333bbc-fc8c-41ca-b619-63f2e4fb8f93;;111111118;Vodacom Life 20260324;;;;;DROP;5;2026-05-22 13:23:14+02;system;2026-03-24 09:54:08+02;2026-03-24 09:54:08+02;;;;;;;;;27660336406;;;;;;;;prepaid life;;;;;</t>
  </si>
  <si>
    <t>ID_3891</t>
  </si>
  <si>
    <t>13864996;84f98e66-a8f8-4276-be0e-6b4bcedb0e56;;111111118;Vodacom Life 20260324;;;;;DROP;5;2026-05-22</t>
  </si>
  <si>
    <t>13864996;84f98e66-a8f8-4276-be0e-6b4bcedb0e56;;111111118;Vodacom Life 20260324;;;;;DROP;5;2026-05-22 14:07:37+02;system;2026-03-24 09:54:08+02;2026-03-24 09:54:08+02;;;;;;;;;27796451281;;;;;;;;prepaid life;;;;;</t>
  </si>
  <si>
    <t>ID_3892</t>
  </si>
  <si>
    <t>13864997;ace60b1f-5f9b-4c1a-86b8-154715faed35;;111111118;Vodacom Life 20260324;;;;;U;4;2026-05-07 14</t>
  </si>
  <si>
    <t>13864997;ace60b1f-5f9b-4c1a-86b8-154715faed35;;111111118;Vodacom Life 20260324;;;;;U;4;2026-05-07 14:24:55+02;Khensane Mabasa;2026-03-24 09:54:08+02;2026-03-24 09:54:08+02;;;;;;;;;27796650821;;;;;;;;prepaid life;;;;;</t>
  </si>
  <si>
    <t>ID_3893</t>
  </si>
  <si>
    <t xml:space="preserve">13865167;ac0a2e9f-da52-4723-a596-03fc2cd7b5e2;;111111118;Vodacom Life 20260324;;;;;ADC;5;2026-05-22 </t>
  </si>
  <si>
    <t>13865167;ac0a2e9f-da52-4723-a596-03fc2cd7b5e2;;111111118;Vodacom Life 20260324;;;;;ADC;5;2026-05-22 11:35:42+02;system;2026-03-24 09:54:08+02;2026-03-24 09:54:08+02;;;;;;;;;27726212471;;;;;;;;prepaid life;;;;;</t>
  </si>
  <si>
    <t>ID_3894</t>
  </si>
  <si>
    <t>13865168;67fe8bff-3e7c-4dd4-a218-0ba714527fee;;111111118;Vodacom Life 20260324;;;;;DROP;5;2026-05-22</t>
  </si>
  <si>
    <t>13865168;67fe8bff-3e7c-4dd4-a218-0ba714527fee;;111111118;Vodacom Life 20260324;;;;;DROP;5;2026-05-22 13:10:16+02;system;2026-03-24 09:54:08+02;2026-03-24 09:54:08+02;;;;;;;;;27726596058;;;;;;;;prepaid life;;;;;</t>
  </si>
  <si>
    <t>ID_3895</t>
  </si>
  <si>
    <t>13865169;f0b38f7e-e1da-4335-a1ed-8ed69793d022;;111111118;Vodacom Life 20260324;;;;;NA;5;2026-05-22 1</t>
  </si>
  <si>
    <t>13865169;f0b38f7e-e1da-4335-a1ed-8ed69793d022;;111111118;Vodacom Life 20260324;;;;;NA;5;2026-05-22 13:10:16+02;system;2026-03-24 09:54:08+02;2026-03-24 09:54:08+02;;;;;;;;;27726900819;;;;;;;;prepaid life;;;;;</t>
  </si>
  <si>
    <t>ID_3896</t>
  </si>
  <si>
    <t>13864998;1768b463-8040-407a-a2f6-e071233c372b;;111111118;Vodacom Life 20260324;;;;;AA;5;2026-05-22 1</t>
  </si>
  <si>
    <t>13864998;1768b463-8040-407a-a2f6-e071233c372b;;111111118;Vodacom Life 20260324;;;;;AA;5;2026-05-22 14:07:37+02;system;2026-03-24 09:54:08+02;2026-03-24 09:54:08+02;;;;;;;;;27797185777;;;;;;;;prepaid life;;;;;</t>
  </si>
  <si>
    <t>ID_3897</t>
  </si>
  <si>
    <t xml:space="preserve">13865085;a67d59c2-c5a0-4ed3-a79a-d54f95f68256;;111111118;Vodacom Life 20260324;;;;;ADC;5;2026-05-22 </t>
  </si>
  <si>
    <t>13865085;a67d59c2-c5a0-4ed3-a79a-d54f95f68256;;111111118;Vodacom Life 20260324;;;;;ADC;5;2026-05-22 13:22:34+02;system;2026-03-24 09:54:08+02;2026-03-24 09:54:08+02;;;;;;;;;27660343110;;;;;;;;prepaid life;;;;;</t>
  </si>
  <si>
    <t>ID_3898</t>
  </si>
  <si>
    <t>13865170;679c98cb-5f48-41fa-a79c-c30430aad3f5;;111111118;Vodacom Life 20260324;;;;;N;12;2026-03-27 0</t>
  </si>
  <si>
    <t>13865170;679c98cb-5f48-41fa-a79c-c30430aad3f5;;111111118;Vodacom Life 20260324;;;;;N;12;2026-03-27 09:50:10+02;bongiwe lushaba;2026-03-24 09:54:08+02;2026-03-24 09:54:08+02;;;;;;;;;27726936086;;;;;;;;prepaid life;;;;;</t>
  </si>
  <si>
    <t>ID_3899</t>
  </si>
  <si>
    <t>13865086;e8e5d2b3-2f6b-424a-a311-95370ac2f464;;111111118;Vodacom Life 20260324;;;;;DROP;5;2026-05-22</t>
  </si>
  <si>
    <t>13865086;e8e5d2b3-2f6b-424a-a311-95370ac2f464;;111111118;Vodacom Life 20260324;;;;;DROP;5;2026-05-22 13:21:48+02;system;2026-03-24 09:54:08+02;2026-03-24 09:54:08+02;;;;;;;;;27662408272;;;;;;;;prepaid life;;;;;</t>
  </si>
  <si>
    <t>ID_3900</t>
  </si>
  <si>
    <t>13864999;5504b013-effa-43c7-978c-88c7d9b4b68c;;111111118;Vodacom Life 20260324;;;;;AA;5;2026-05-22 1</t>
  </si>
  <si>
    <t>13864999;5504b013-effa-43c7-978c-88c7d9b4b68c;;111111118;Vodacom Life 20260324;;;;;AA;5;2026-05-22 14:05:05+02;system;2026-03-24 09:54:08+02;2026-03-24 09:54:08+02;;;;;;;;;27797234411;;;;;;;;prepaid life;;;;;</t>
  </si>
  <si>
    <t>ID_3901</t>
  </si>
  <si>
    <t>13865171;7cb54f7d-81a8-4a80-86fc-b79de2f41066;;111111118;Vodacom Life 20260324;;;27727116536;;CU;5;2</t>
  </si>
  <si>
    <t>13865171;7cb54f7d-81a8-4a80-86fc-b79de2f41066;;111111118;Vodacom Life 20260324;;;27727116536;;CU;5;2026-05-22 13:11:15+02;Khensane Mabasa;2026-03-24 09:54:08+02;2026-03-24 09:54:08+02;;;;;;;;;27727116536;;;;;;;;prepaid life;;;;;</t>
  </si>
  <si>
    <t>ID_3902</t>
  </si>
  <si>
    <t>13865000;44ff4386-c39c-4e67-a40c-76adbb5bf97f;;111111118;Vodacom Life 20260324;;;27797533271;;DROP;5</t>
  </si>
  <si>
    <t>13865000;44ff4386-c39c-4e67-a40c-76adbb5bf97f;;111111118;Vodacom Life 20260324;;;27797533271;;DROP;5;2026-05-22 14:05:02+02;system;2026-03-24 09:54:08+02;2026-03-24 09:54:08+02;;;;;;;;;27797533271;;;;;;;;prepaid life;;;;;</t>
  </si>
  <si>
    <t>ID_3903</t>
  </si>
  <si>
    <t>13865087;d0ca1c09-bd96-47af-a15d-9cae62367890;;111111118;Vodacom Life 20260324;;;;;DROP;5;2026-05-22</t>
  </si>
  <si>
    <t>13865087;d0ca1c09-bd96-47af-a15d-9cae62367890;;111111118;Vodacom Life 20260324;;;;;DROP;5;2026-05-22 11:45:23+02;system;2026-03-24 09:54:08+02;2026-03-24 09:54:08+02;;;;;;;;;27662430214;;;;;;;;prepaid life;;;;;</t>
  </si>
  <si>
    <t>ID_3904</t>
  </si>
  <si>
    <t>13865088;8807a725-68b6-4468-b701-6062f4a4b52b;;111111118;Vodacom Life 20260324;;;27663376303;;AE;5;2</t>
  </si>
  <si>
    <t>13865088;8807a725-68b6-4468-b701-6062f4a4b52b;;111111118;Vodacom Life 20260324;;;27663376303;;AE;5;2026-05-22 11:45:23+02;system;2026-03-24 09:54:08+02;2026-03-24 09:54:08+02;;;;;;;;;27663376303;;;;;;;;prepaid life;;;;;</t>
  </si>
  <si>
    <t>ID_3905</t>
  </si>
  <si>
    <t>13865089;2db2df71-e76a-4d4a-ab97-7288b1b1618e;;111111118;Vodacom Life 20260324;;;;;NIUP;2;2026-04-09</t>
  </si>
  <si>
    <t>13865089;2db2df71-e76a-4d4a-ab97-7288b1b1618e;;111111118;Vodacom Life 20260324;;;;;NIUP;2;2026-04-09 10:34:59+02;Millicent Motsuku;2026-03-24 09:54:08+02;2026-03-24 09:54:08+02;;;;;;;;;27663528229;;;;;;;;prepaid life;;;;;</t>
  </si>
  <si>
    <t>ID_3906</t>
  </si>
  <si>
    <t>13865001;7b479933-abbe-4868-9625-4568f406fa96;;111111118;Vodacom Life 20260324;;;;;AA;5;2026-05-22 1</t>
  </si>
  <si>
    <t>13865001;7b479933-abbe-4868-9625-4568f406fa96;;111111118;Vodacom Life 20260324;;;;;AA;5;2026-05-22 14:04:46+02;system;2026-03-24 09:54:08+02;2026-03-24 09:54:08+02;;;;;;;;;27797666881;;;;;;;;prepaid life;;;;;</t>
  </si>
  <si>
    <t>ID_3907</t>
  </si>
  <si>
    <t>13865173;82a102ca-dfba-4768-8d5f-6cca3ca35278;;111111118;Vodacom Life 20260324;;;;;AF;4;2026-05-07 1</t>
  </si>
  <si>
    <t>13865173;82a102ca-dfba-4768-8d5f-6cca3ca35278;;111111118;Vodacom Life 20260324;;;;;AF;4;2026-05-07 14:01:17+02;Musiiwa Mary Mabirimisa;2026-03-24 09:54:08+02;2026-03-24 09:54:08+02;;;;;;;;;27727418251;;;;;;;;prepaid life;;;;;</t>
  </si>
  <si>
    <t>ID_3908</t>
  </si>
  <si>
    <t>13865002;84cb2f2b-3b60-417d-8cad-5fc3ee29451c;;111111118;Vodacom Life 20260324;;;;;DROP;5;2026-05-22</t>
  </si>
  <si>
    <t>13865002;84cb2f2b-3b60-417d-8cad-5fc3ee29451c;;111111118;Vodacom Life 20260324;;;;;DROP;5;2026-05-22 11:59:38+02;system;2026-03-24 09:54:08+02;2026-03-24 09:54:08+02;;;;;;;;;27797763976;;;;;;;;prepaid life;;;;;</t>
  </si>
  <si>
    <t>ID_3909</t>
  </si>
  <si>
    <t xml:space="preserve">13865090;eb458785-38e8-4da0-a9ee-603cefdf5a4a;;111111118;Vodacom Life 20260324;;;;;ADC;5;2026-05-22 </t>
  </si>
  <si>
    <t>13865090;eb458785-38e8-4da0-a9ee-603cefdf5a4a;;111111118;Vodacom Life 20260324;;;;;ADC;5;2026-05-22 11:45:23+02;system;2026-03-24 09:54:08+02;2026-03-24 09:54:08+02;;;;;;;;;27663619601;;;;;;;;prepaid life;;;;;</t>
  </si>
  <si>
    <t>ID_3910</t>
  </si>
  <si>
    <t>13865174;15bc7802-e4ae-4566-b9a6-bfd1428227df;;111111118;Vodacom Life 20260324;;;;;N;7;2026-05-25 16</t>
  </si>
  <si>
    <t>13865174;15bc7802-e4ae-4566-b9a6-bfd1428227df;;111111118;Vodacom Life 20260324;;;;;N;7;2026-05-25 16:01:57+02;bongiwe lushaba;2026-03-24 09:54:08+02;2026-03-24 09:54:08+02;;;;;;;;;27727446822;;;;;;;;prepaid life;;;;;</t>
  </si>
  <si>
    <t>ID_3911</t>
  </si>
  <si>
    <t>13865091;95c9b954-a5a2-4a84-ac29-64a487a70aab;;111111118;Vodacom Life 20260324;;;;;AA;5;2026-05-22 1</t>
  </si>
  <si>
    <t>13865091;95c9b954-a5a2-4a84-ac29-64a487a70aab;;111111118;Vodacom Life 20260324;;;;;AA;5;2026-05-22 11:45:25+02;system;2026-03-24 09:54:08+02;2026-03-24 09:54:08+02;;;;;;;;;27663852331;;;;;;;;prepaid life;;;;;</t>
  </si>
  <si>
    <t>ID_3912</t>
  </si>
  <si>
    <t>13865092;d9910758-e6f7-41b1-b1f3-356ebf147fc5;;111111118;Vodacom Life 20260324;;;;;A;5;2026-05-22 13</t>
  </si>
  <si>
    <t>13865092;d9910758-e6f7-41b1-b1f3-356ebf147fc5;;111111118;Vodacom Life 20260324;;;;;A;5;2026-05-22 13:21:24+02;Khensane Mabasa;2026-03-24 09:54:08+02;2026-03-24 09:54:08+02;;;;;;;;;27664327863;;;;;;;;prepaid life;;;;;</t>
  </si>
  <si>
    <t>ID_3913</t>
  </si>
  <si>
    <t>13865003;f10d49d6-ba78-4f2c-aeb3-55a35f5db073;;111111118;Vodacom Life 20260324;;;;;DROP;5;2026-05-22</t>
  </si>
  <si>
    <t>13865003;f10d49d6-ba78-4f2c-aeb3-55a35f5db073;;111111118;Vodacom Life 20260324;;;;;DROP;5;2026-05-22 11:59:38+02;system;2026-03-24 09:54:08+02;2026-03-24 09:54:08+02;;;;;;;;;27798107881;;;;;;;;prepaid life;;;;;</t>
  </si>
  <si>
    <t>ID_3914</t>
  </si>
  <si>
    <t>13865175;7d7e251a-e0be-48f9-82d8-0f670dcc6d9e;;111111118;Vodacom Life 20260324;;;;;CBACK;1;2026-03-3</t>
  </si>
  <si>
    <t>13865175;7d7e251a-e0be-48f9-82d8-0f670dcc6d9e;;111111118;Vodacom Life 20260324;;;;;CBACK;1;2026-03-31 11:53:11+02;Millicent Motsuku;2026-03-24 09:54:08+02;2026-03-24 09:54:08+02;;;;;;;;;27727536297;;;;;;;;prepaid life;;;;;</t>
  </si>
  <si>
    <t>ID_3915</t>
  </si>
  <si>
    <t>13865004;2d2ba72a-f730-4ce8-bfea-4d7fb88ed5d8;;111111118;Vodacom Life 20260324;;;;;AA;5;2026-05-22 1</t>
  </si>
  <si>
    <t>13865004;2d2ba72a-f730-4ce8-bfea-4d7fb88ed5d8;;111111118;Vodacom Life 20260324;;;;;AA;5;2026-05-22 11:59:38+02;system;2026-03-24 09:54:08+02;2026-03-24 09:54:08+02;;;;;;;;;27798214490;;;;;;;;prepaid life;;;;;</t>
  </si>
  <si>
    <t>ID_3916</t>
  </si>
  <si>
    <t>13865005;12e3c580-9ff1-40b9-9ee2-548c70c0f509;;111111118;Vodacom Life 20260324;;;27798528850;;CU;5;2</t>
  </si>
  <si>
    <t>13865005;12e3c580-9ff1-40b9-9ee2-548c70c0f509;;111111118;Vodacom Life 20260324;;;27798528850;;CU;5;2026-05-22 11:59:38+02;Khensane Mabasa;2026-03-24 09:54:08+02;2026-03-24 09:54:08+02;;;;;;;;;27798528850;;;;;;;;prepaid life;;;;;</t>
  </si>
  <si>
    <t>ID_3917</t>
  </si>
  <si>
    <t>13865176;78c32fb4-4ab2-48c7-925c-c38483d38f27;;111111118;Vodacom Life 20260324;;;;;NIUP;4;2026-05-07</t>
  </si>
  <si>
    <t>13865176;78c32fb4-4ab2-48c7-925c-c38483d38f27;;111111118;Vodacom Life 20260324;;;;;NIUP;4;2026-05-07 13:57:58+02;Maureen Ntsoko;2026-03-24 09:54:08+02;2026-03-24 09:54:08+02;;;;;;;;;27727564842;;;;;;;;prepaid life;;;;;</t>
  </si>
  <si>
    <t>ID_3918</t>
  </si>
  <si>
    <t>13865006;70210984-77c6-4bb8-bb05-87c24c41619b;;111111118;Vodacom Life 20260324;;;;;AA;5;2026-05-22 1</t>
  </si>
  <si>
    <t>13865006;70210984-77c6-4bb8-bb05-87c24c41619b;;111111118;Vodacom Life 20260324;;;;;AA;5;2026-05-22 14:04:42+02;system;2026-03-24 09:54:08+02;2026-03-24 09:54:08+02;;;;;;;;;27798657473;;;;;;;;prepaid life;;;;;</t>
  </si>
  <si>
    <t>ID_3919</t>
  </si>
  <si>
    <t>13865093;45a6d5ed-bbb8-4f7e-8fba-e996fe469f3f;;111111118;Vodacom Life 20260324;;;27664543163;;CU;5;2</t>
  </si>
  <si>
    <t>13865093;45a6d5ed-bbb8-4f7e-8fba-e996fe469f3f;;111111118;Vodacom Life 20260324;;;27664543163;;CU;5;2026-05-22 13:21:24+02;bongiwe lushaba;2026-03-24 09:54:08+02;2026-03-24 09:54:08+02;;;;;;;;;27664543163;;;;;;;;prepaid life;;;;;</t>
  </si>
  <si>
    <t>ID_3920</t>
  </si>
  <si>
    <t>13865177;1a710145-dd9a-46f9-a037-6ae83f372bf8;;111111118;Vodacom Life 20260324;;;;;NI;2;2026-04-08 1</t>
  </si>
  <si>
    <t>13865177;1a710145-dd9a-46f9-a037-6ae83f372bf8;;111111118;Vodacom Life 20260324;;;;;NI;2;2026-04-08 16:40:13+02;Thandile Nokubeni;2026-03-24 09:54:08+02;2026-03-24 09:54:08+02;;;;;;;;;27727576148;;;;;;;;prepaid life;;;;;</t>
  </si>
  <si>
    <t>ID_3921</t>
  </si>
  <si>
    <t>13865094;910ae36c-8cbb-4750-82a7-78ba278d2a09;;111111118;Vodacom Life 20260324;;;;;AA;5;2026-05-22 1</t>
  </si>
  <si>
    <t>13865094;910ae36c-8cbb-4750-82a7-78ba278d2a09;;111111118;Vodacom Life 20260324;;;;;AA;5;2026-05-22 13:20:43+02;system;2026-03-24 09:54:08+02;2026-03-24 09:54:08+02;;;;;;;;;27664955023;;;;;;;;prepaid life;;;;;</t>
  </si>
  <si>
    <t>ID_3922</t>
  </si>
  <si>
    <t xml:space="preserve">13865095;fc085ea1-90b2-459b-bda2-18b5ad5fb4eb;;111111118;Vodacom Life 20260324;;;;;ADC;5;2026-05-22 </t>
  </si>
  <si>
    <t>13865095;fc085ea1-90b2-459b-bda2-18b5ad5fb4eb;;111111118;Vodacom Life 20260324;;;;;ADC;5;2026-05-22 13:19:37+02;system;2026-03-24 09:54:08+02;2026-03-24 09:54:08+02;;;;;;;;;27665015261;;;;;;;;prepaid life;;;;;</t>
  </si>
  <si>
    <t>ID_3923</t>
  </si>
  <si>
    <t>13865008;faa3588a-044c-4be8-8053-482faf2e6212;;111111118;Vodacom Life 20260324;;;;;CBACK;5;2026-05-2</t>
  </si>
  <si>
    <t>13865008;faa3588a-044c-4be8-8053-482faf2e6212;;111111118;Vodacom Life 20260324;;;;;CBACK;5;2026-05-22 11:57:37+02;Khensane Mabasa;2026-03-24 09:54:08+02;2026-03-24 09:54:08+02;;;;;;;;;27798874811;;;;;;;;prepaid life;;;;;</t>
  </si>
  <si>
    <t>ID_3924</t>
  </si>
  <si>
    <t>13865178;d60a922a-9a0b-4d18-8d4d-7d6f68304345;;111111118;Vodacom Life 20260324;;;;;U;2;2026-04-08 16</t>
  </si>
  <si>
    <t>13865178;d60a922a-9a0b-4d18-8d4d-7d6f68304345;;111111118;Vodacom Life 20260324;;;;;U;2;2026-04-08 16:40:43+02;Musiiwa Mary Mabirimisa;2026-03-24 09:54:08+02;2026-03-24 09:54:08+02;;;;;;;;;27727601448;;;;;;;;prepaid life;;;;;</t>
  </si>
  <si>
    <t>ID_3925</t>
  </si>
  <si>
    <t>13865009;831a947c-f357-4fd1-bba1-695da4d799e7;;111111118;Vodacom Life 20260324;;;;;DROP;5;2026-05-22</t>
  </si>
  <si>
    <t>13865009;831a947c-f357-4fd1-bba1-695da4d799e7;;111111118;Vodacom Life 20260324;;;;;DROP;5;2026-05-22 11:57:36+02;system;2026-03-24 09:54:08+02;2026-03-24 09:54:08+02;;;;;;;;;27799153420;;;;;;;;prepaid life;;;;;</t>
  </si>
  <si>
    <t>ID_3926</t>
  </si>
  <si>
    <t>13865096;36ec2dca-99e9-46d3-b020-39f13e230dc4;;111111118;Vodacom Life 20260324;;;27665213137;;CU;5;2</t>
  </si>
  <si>
    <t>13865096;36ec2dca-99e9-46d3-b020-39f13e230dc4;;111111118;Vodacom Life 20260324;;;27665213137;;CU;5;2026-05-07 14:35:49+02;Seboifeng Mogola;2026-03-24 09:54:08+02;2026-03-24 09:54:08+02;;;;;;;;;27665213137;;;;;;;;prepaid life;;;;;</t>
  </si>
  <si>
    <t>ID_3927</t>
  </si>
  <si>
    <t>13865179;7e0ed55b-aafd-4447-b493-922993aeda1c;;111111118;Vodacom Life 20260324;;;;;AA;5;2026-05-22 1</t>
  </si>
  <si>
    <t>13865179;7e0ed55b-aafd-4447-b493-922993aeda1c;;111111118;Vodacom Life 20260324;;;;;AA;5;2026-05-22 11:33:14+02;system;2026-03-24 09:54:08+02;2026-03-24 09:54:08+02;;;;;;;;;27727832381;;;;;;;;prepaid life;;;;;</t>
  </si>
  <si>
    <t>ID_3928</t>
  </si>
  <si>
    <t>13865010;8239041a-8303-4531-a9b9-8f6a2038b098;;111111118;Vodacom Life 20260324;;;;;NI;1;2026-03-26 1</t>
  </si>
  <si>
    <t>13865010;8239041a-8303-4531-a9b9-8f6a2038b098;;111111118;Vodacom Life 20260324;;;;;NI;1;2026-03-26 12:12:06+02;Maureen Ntsoko;2026-03-24 09:54:08+02;2026-03-24 09:54:08+02;;;;;;;;;27799209856;;;;;;;;prepaid life;;;;;</t>
  </si>
  <si>
    <t>ID_3929</t>
  </si>
  <si>
    <t>13865180;a7607f3a-715a-4212-833c-635e55cf2d52;;111111118;Vodacom Life 20260324;;;;;AA;5;2026-05-22 1</t>
  </si>
  <si>
    <t>13865180;a7607f3a-715a-4212-833c-635e55cf2d52;;111111118;Vodacom Life 20260324;;;;;AA;5;2026-05-22 11:33:14+02;system;2026-03-24 09:54:08+02;2026-03-24 09:54:08+02;;;;;;;;;27728515975;;;;;;;;prepaid life;;;;;</t>
  </si>
  <si>
    <t>ID_3930</t>
  </si>
  <si>
    <t>13865011;297295a5-a4ee-4d98-b925-f3b861623606;;111111118;Vodacom Life 20260324;;;;;NI;3;2026-04-14 1</t>
  </si>
  <si>
    <t>13865011;297295a5-a4ee-4d98-b925-f3b861623606;;111111118;Vodacom Life 20260324;;;;;NI;3;2026-04-14 12:11:39+02;Thandile Nokubeni;2026-03-24 09:54:08+02;2026-03-24 09:54:08+02;;;;;;;;;27799231095;;;;;;;;prepaid life;;;;;</t>
  </si>
  <si>
    <t>ID_3931</t>
  </si>
  <si>
    <t>13865012;31d36a83-cea7-40a9-9e64-80f632621ca8;;111111118;Vodacom Life 20260324;;;;;NA;5;2026-05-22 1</t>
  </si>
  <si>
    <t>13865012;31d36a83-cea7-40a9-9e64-80f632621ca8;;111111118;Vodacom Life 20260324;;;;;NA;5;2026-05-22 11:57:37+02;system;2026-03-24 09:54:08+02;2026-03-24 09:54:08+02;;;;;;;;;27799263759;;;;;;;;prepaid life;;;;;</t>
  </si>
  <si>
    <t>ID_3932</t>
  </si>
  <si>
    <t>13865097;b24d7f58-1fe0-4a71-93ba-c27c8944b1ac;;111111118;Vodacom Life 20260324;;;;;NI;2;2026-04-09 1</t>
  </si>
  <si>
    <t>13865097;b24d7f58-1fe0-4a71-93ba-c27c8944b1ac;;111111118;Vodacom Life 20260324;;;;;NI;2;2026-04-09 10:34:11+02;Esther Ramalete;2026-03-24 09:54:08+02;2026-03-24 09:54:08+02;;;;;;;;;27665826082;;;;;;;;prepaid life;;;;;</t>
  </si>
  <si>
    <t>ID_3933</t>
  </si>
  <si>
    <t>13865181;96581767-960c-45ce-b7bd-84fc128c4cd6;;111111118;Vodacom Life 20260324;;;;;DROP;5;2026-05-22</t>
  </si>
  <si>
    <t>13865181;96581767-960c-45ce-b7bd-84fc128c4cd6;;111111118;Vodacom Life 20260324;;;;;DROP;5;2026-05-22 11:33:14+02;system;2026-03-24 09:54:08+02;2026-03-24 09:54:08+02;;;;;;;;;27728561732;;;;;;;;prepaid life;;;;;</t>
  </si>
  <si>
    <t>ID_3934</t>
  </si>
  <si>
    <t>13865098;3ce5069f-867e-4067-ba44-f1d0c3c1ef30;;111111118;Vodacom Life 20260324;;;;;U;4;2026-05-07 14</t>
  </si>
  <si>
    <t>13865098;3ce5069f-867e-4067-ba44-f1d0c3c1ef30;;111111118;Vodacom Life 20260324;;;;;U;4;2026-05-07 14:08:54+02;Seboifeng Mogola;2026-03-24 09:54:08+02;2026-03-24 09:54:08+02;;;;;;;;;27665962594;;;;;;;;prepaid life;;;;;</t>
  </si>
  <si>
    <t>ID_3935</t>
  </si>
  <si>
    <t>13865013;5351a33d-59ca-4ce8-b6d5-52a0d1b0f2b7;;111111118;Vodacom Life 20260324;;;;;CBACK;2;2026-04-0</t>
  </si>
  <si>
    <t>13865013;5351a33d-59ca-4ce8-b6d5-52a0d1b0f2b7;;111111118;Vodacom Life 20260324;;;;;CBACK;2;2026-04-07 09:50:06+02;Thandile Nokubeni;2026-03-24 09:54:08+02;2026-03-24 09:54:08+02;;;;;;;;;27799331982;;;;;;;;prepaid life;;;;;</t>
  </si>
  <si>
    <t>ID_3936</t>
  </si>
  <si>
    <t>13865182;82e12a5b-6d27-4c07-bd3f-466ba2c2c008;;111111118;Vodacom Life 20260324;;;27728677850;;DROP;5</t>
  </si>
  <si>
    <t>13865182;82e12a5b-6d27-4c07-bd3f-466ba2c2c008;;111111118;Vodacom Life 20260324;;;27728677850;;DROP;5;2026-05-22 11:33:15+02;system;2026-03-24 09:54:08+02;2026-03-24 09:54:08+02;;;;;;;;;27728677850;;;;;;;;prepaid life;;;;;</t>
  </si>
  <si>
    <t>ID_3937</t>
  </si>
  <si>
    <t>13865099;71315974-de20-4437-921c-14434659407d;;111111118;Vodacom Life 20260324;;;;;AA;5;2026-05-22 1</t>
  </si>
  <si>
    <t>13865099;71315974-de20-4437-921c-14434659407d;;111111118;Vodacom Life 20260324;;;;;AA;5;2026-05-22 11:44:02+02;system;2026-03-24 09:54:08+02;2026-03-24 09:54:08+02;;;;;;;;;27665967072;;;;;;;;prepaid life;;;;;</t>
  </si>
  <si>
    <t>ID_3938</t>
  </si>
  <si>
    <t>13865183;99c8e3eb-d021-4ffa-86c3-348c12680469;;111111118;Vodacom Life 20260324;;;;;NA;5;2026-05-22 1</t>
  </si>
  <si>
    <t>13865183;99c8e3eb-d021-4ffa-86c3-348c12680469;;111111118;Vodacom Life 20260324;;;;;NA;5;2026-05-22 13:08:35+02;system;2026-03-24 09:54:08+02;2026-03-24 09:54:08+02;;;;;;;;;27728852010;;;;;;;;prepaid life;;;;;</t>
  </si>
  <si>
    <t>ID_3939</t>
  </si>
  <si>
    <t>13865100;3b0b7d6d-03f8-441d-865d-9293c57efbd0;;111111118;Vodacom Life 20260324;;;;;EC;6;2026-04-10 0</t>
  </si>
  <si>
    <t>13865100;3b0b7d6d-03f8-441d-865d-9293c57efbd0;;111111118;Vodacom Life 20260324;;;;;EC;6;2026-04-10 08:54:43+02;Esther Ramalete;2026-03-24 09:54:08+02;2026-03-24 09:54:08+02;;;;;;;;;27673447006;;;;;;;;prepaid life;;;;;</t>
  </si>
  <si>
    <t>ID_3940</t>
  </si>
  <si>
    <t>13865014;b3b2022f-abc8-4cfe-8f2b-aae705d74703;;111111118;Vodacom Life 20260324;;;;;AA;5;2026-05-22 1</t>
  </si>
  <si>
    <t>13865014;b3b2022f-abc8-4cfe-8f2b-aae705d74703;;111111118;Vodacom Life 20260324;;;;;AA;5;2026-05-22 14:04:01+02;system;2026-03-24 09:54:08+02;2026-03-24 09:54:08+02;;;;;;;;;27799398431;;;;;;;;prepaid life;;;;;</t>
  </si>
  <si>
    <t>ID_3941</t>
  </si>
  <si>
    <t>13865184;0b59b1f6-c1cf-4a46-8cf3-1ea2ff315c30;;111111118;Vodacom Life 20260324;;;;;NI;3;2026-03-30 1</t>
  </si>
  <si>
    <t>13865184;0b59b1f6-c1cf-4a46-8cf3-1ea2ff315c30;;111111118;Vodacom Life 20260324;;;;;NI;3;2026-03-30 12:57:24+02;Musiiwa Mary Mabirimisa;2026-03-24 09:54:08+02;2026-03-24 09:54:08+02;;;;;;;;;27728989889;;;;;;;;prepaid life;;;;;</t>
  </si>
  <si>
    <t>ID_3942</t>
  </si>
  <si>
    <t>13865015;840a2f0c-31d3-408b-986e-4b807c5fc017;;111111118;Vodacom Life 20260324;;;;;CBACK;5;2026-05-2</t>
  </si>
  <si>
    <t>13865015;840a2f0c-31d3-408b-986e-4b807c5fc017;;111111118;Vodacom Life 20260324;;;;;CBACK;5;2026-05-22 14:03:53+02;bongiwe lushaba;2026-03-24 09:54:08+02;2026-03-24 09:54:08+02;;;;;;;;;27799601972;;;;;;;;prepaid life;;;;;</t>
  </si>
  <si>
    <t>ID_3943</t>
  </si>
  <si>
    <t>13865101;d40b01e5-fa57-4964-b65b-6dca442bce3d;;111111118;Vodacom Life 20260324;;;;;DROP;5;2026-05-22</t>
  </si>
  <si>
    <t>13865101;d40b01e5-fa57-4964-b65b-6dca442bce3d;;111111118;Vodacom Life 20260324;;;;;DROP;5;2026-05-22 11:44:02+02;system;2026-03-24 09:54:08+02;2026-03-24 09:54:08+02;;;;;;;;;27673625293;;;;;;;;prepaid life;;;;;</t>
  </si>
  <si>
    <t>ID_3944</t>
  </si>
  <si>
    <t>13865102;3de1b9c7-d408-4ce4-9dd1-971a5e66196e;;111111118;Vodacom Life 20260324;;;;;NI;1;2026-03-30 1</t>
  </si>
  <si>
    <t>13865102;3de1b9c7-d408-4ce4-9dd1-971a5e66196e;;111111118;Vodacom Life 20260324;;;;;NI;1;2026-03-30 11:57:33+02;Maureen Ntsoko;2026-03-24 09:54:08+02;2026-03-24 09:54:08+02;;;;;;;;;27673850360;;;;;;;;prepaid life;;;;;</t>
  </si>
  <si>
    <t>ID_3945</t>
  </si>
  <si>
    <t>13865185;1cd4b0e0-0900-45e7-a6c3-c12d57815161;;111111118;Vodacom Life 20260324;;;;;NI;2;2026-04-08 1</t>
  </si>
  <si>
    <t>13865185;1cd4b0e0-0900-45e7-a6c3-c12d57815161;;111111118;Vodacom Life 20260324;;;;;NI;2;2026-04-08 16:39:13+02;Musiiwa Mary Mabirimisa;2026-03-24 09:54:08+02;2026-03-24 09:54:08+02;;;;;;;;;27729001734;;;;;;;;prepaid life;;;;;</t>
  </si>
  <si>
    <t>ID_3946</t>
  </si>
  <si>
    <t>13865103;7c1d0e18-07b9-4b85-8f73-6d0edc818b8f;;111111118;Vodacom Life 20260324;;;;;DNQS;1;2026-04-01</t>
  </si>
  <si>
    <t>13865103;7c1d0e18-07b9-4b85-8f73-6d0edc818b8f;;111111118;Vodacom Life 20260324;;;;;DNQS;1;2026-04-01 13:58:41+02;Musiiwa Mary Mabirimisa;2026-03-24 09:54:08+02;2026-03-24 09:54:08+02;;;;;;;;;27673937255;;;;;;;;prepaid life;;;;;</t>
  </si>
  <si>
    <t>ID_3947</t>
  </si>
  <si>
    <t>13865017;869b18e0-03f7-497f-a32c-4bc01a2b76d1;;111111118;Vodacom Life 20260324;;;;;AE;5;2026-05-22 1</t>
  </si>
  <si>
    <t>13865017;869b18e0-03f7-497f-a32c-4bc01a2b76d1;;111111118;Vodacom Life 20260324;;;;;AE;5;2026-05-22 14:03:53+02;system;2026-03-24 09:54:08+02;2026-03-24 09:54:08+02;;;;;;;;;27818113304;;;;;;;;prepaid life;;;;;</t>
  </si>
  <si>
    <t>ID_3948</t>
  </si>
  <si>
    <t>13865186;714675a5-b4c0-4bd1-8b69-0f69cfc1bdf8;;111111118;Vodacom Life 20260324;;;;;AA;5;2026-05-22 1</t>
  </si>
  <si>
    <t>13865186;714675a5-b4c0-4bd1-8b69-0f69cfc1bdf8;;111111118;Vodacom Life 20260324;;;;;AA;5;2026-05-22 13:08:35+02;system;2026-03-24 09:54:08+02;2026-03-24 09:54:08+02;;;;;;;;;27729111479;;;;;;;;prepaid life;;;;;</t>
  </si>
  <si>
    <t>ID_3949</t>
  </si>
  <si>
    <t>13865018;654b49db-8a24-4e45-9602-22ea805d2b31;;111111118;Vodacom Life 20260324;;;;;DROP;5;2026-05-22</t>
  </si>
  <si>
    <t>13865018;654b49db-8a24-4e45-9602-22ea805d2b31;;111111118;Vodacom Life 20260324;;;;;DROP;5;2026-05-22 14:01:24+02;system;2026-03-24 09:54:08+02;2026-03-24 09:54:08+02;;;;;;;;;27818518633;;;;;;;;prepaid life;;;;;</t>
  </si>
  <si>
    <t>ID_3950</t>
  </si>
  <si>
    <t>13865104;fc7b98e6-ae90-4c4f-a86f-e1d0d64d88e3;;111111118;Vodacom Life 20260324;;;;;NI;3;2026-04-14 1</t>
  </si>
  <si>
    <t>13865104;fc7b98e6-ae90-4c4f-a86f-e1d0d64d88e3;;111111118;Vodacom Life 20260324;;;;;NI;3;2026-04-14 14:13:22+02;Thandile Nokubeni;2026-03-24 09:54:08+02;2026-03-24 09:54:08+02;;;;;;;;;27674375350;;;;;;;;prepaid life;;;;;</t>
  </si>
  <si>
    <t>ID_3951</t>
  </si>
  <si>
    <t>13865105;7f86d682-0d79-435c-93d6-2dbfcb23afde;;111111118;Vodacom Life 20260324;;;;;NA;5;2026-05-22 1</t>
  </si>
  <si>
    <t>13865105;7f86d682-0d79-435c-93d6-2dbfcb23afde;;111111118;Vodacom Life 20260324;;;;;NA;5;2026-05-22 11:44:02+02;system;2026-03-24 09:54:08+02;2026-03-24 09:54:08+02;;;;;;;;;27675499727;;;;;;;;prepaid life;;;;;</t>
  </si>
  <si>
    <t>ID_3952</t>
  </si>
  <si>
    <t>13865187;cbdf4905-64b9-4897-acc2-c8cfe5e5a32d;;111111118;Vodacom Life 20260324;;;;;NA;5;2026-05-22 1</t>
  </si>
  <si>
    <t>13865187;cbdf4905-64b9-4897-acc2-c8cfe5e5a32d;;111111118;Vodacom Life 20260324;;;;;NA;5;2026-05-22 13:07:56+02;system;2026-03-24 09:54:08+02;2026-03-24 09:54:08+02;;;;;;;;;27729183961;;;;;;;;prepaid life;;;;;</t>
  </si>
  <si>
    <t>ID_3953</t>
  </si>
  <si>
    <t>13865106;dace7280-88cb-48bb-b48d-cb417cb0b7a6;;111111118;Vodacom Life 20260324;;;;;CU;5;2026-05-22 1</t>
  </si>
  <si>
    <t>13865106;dace7280-88cb-48bb-b48d-cb417cb0b7a6;;111111118;Vodacom Life 20260324;;;;;CU;5;2026-05-22 11:44:13+02;Maureen Ntsoko;2026-03-24 09:54:08+02;2026-03-24 09:54:08+02;;;;;;;;;27683417469;;;;;;;;prepaid life;;;;;</t>
  </si>
  <si>
    <t>ID_3954</t>
  </si>
  <si>
    <t>13865019;85774a5e-773a-4997-8494-79817ec4ac64;;111111118;Vodacom Life 20260324;;;;;DROP;5;2026-05-22</t>
  </si>
  <si>
    <t>13865019;85774a5e-773a-4997-8494-79817ec4ac64;;111111118;Vodacom Life 20260324;;;;;DROP;5;2026-05-22 14:01:24+02;system;2026-03-24 09:54:08+02;2026-03-24 09:54:08+02;;;;;;;;;27818592626;;;;;;;;prepaid life;;;;;</t>
  </si>
  <si>
    <t>ID_3955</t>
  </si>
  <si>
    <t>13865020;02180ad6-86a5-42d7-8854-bf1c50002b51;;111111118;Vodacom Life 20260324;;;;;NI;3;2026-04-14 1</t>
  </si>
  <si>
    <t>13865020;02180ad6-86a5-42d7-8854-bf1c50002b51;;111111118;Vodacom Life 20260324;;;;;NI;3;2026-04-14 12:09:45+02;Thandile Nokubeni;2026-03-24 09:54:08+02;2026-03-24 09:54:08+02;;;;;;;;;27818621701;;;;;;;;prepaid life;;;;;</t>
  </si>
  <si>
    <t>ID_3956</t>
  </si>
  <si>
    <t>13865107;8624ac72-0766-4534-841b-3ff6254a5656;;111111118;Vodacom Life 20260324;;;27710633513;;IABDN;</t>
  </si>
  <si>
    <t>13865107;8624ac72-0766-4534-841b-3ff6254a5656;;111111118;Vodacom Life 20260324;;;27710633513;;IABDN;5;2026-05-22 13:14:31+02;system;2026-03-24 09:54:08+02;2026-03-24 09:54:08+02;;;;;;;;;27710633513;;;;;;;;prepaid life;;;;;</t>
  </si>
  <si>
    <t>ID_3957</t>
  </si>
  <si>
    <t>13865189;9770eb92-1f83-44a4-a8fc-e96d31ba0586;;111111118;Vodacom Life 20260324;;;;;CU;5;2026-05-22 1</t>
  </si>
  <si>
    <t>13865189;9770eb92-1f83-44a4-a8fc-e96d31ba0586;;111111118;Vodacom Life 20260324;;;;;CU;5;2026-05-22 13:07:50+02;bongiwe lushaba;2026-03-24 09:54:08+02;2026-03-24 09:54:08+02;;;;;;;;;27729714707;;;;;;;;prepaid life;;;;;</t>
  </si>
  <si>
    <t>ID_3958</t>
  </si>
  <si>
    <t>13865108;47244ff2-8b2f-4a13-9add-e0de49dc4928;;111111118;Vodacom Life 20260324;;;;;AE;5;2026-05-22 1</t>
  </si>
  <si>
    <t>13865108;47244ff2-8b2f-4a13-9add-e0de49dc4928;;111111118;Vodacom Life 20260324;;;;;AE;5;2026-05-22 13:14:07+02;system;2026-03-24 09:54:08+02;2026-03-24 09:54:08+02;;;;;;;;;27711014233;;;;;;;;prepaid life;;;;;</t>
  </si>
  <si>
    <t>ID_3959</t>
  </si>
  <si>
    <t>13865216;d9ce0671-8043-4d72-8f04-63508bdae04e;;111111118;Vodacom Life 20260324;;;;;NA;5;2026-05-22 1</t>
  </si>
  <si>
    <t>13865216;d9ce0671-8043-4d72-8f04-63508bdae04e;;111111118;Vodacom Life 20260324;;;;;NA;5;2026-05-22 12:05:31+02;system;2026-03-24 09:54:08+02;2026-03-24 09:54:08+02;;;;;;;;;27764912055;;;;;;;;prepaid life;;;;;</t>
  </si>
  <si>
    <t>ID_3960</t>
  </si>
  <si>
    <t>13865217;bf8237a2-3888-4493-9b2f-d21b367b7ce4;;111111118;Vodacom Life 20260324;;;;;AE;5;2026-05-22 1</t>
  </si>
  <si>
    <t>13865217;bf8237a2-3888-4493-9b2f-d21b367b7ce4;;111111118;Vodacom Life 20260324;;;;;AE;5;2026-05-22 12:05:31+02;system;2026-03-24 09:54:08+02;2026-03-24 09:54:08+02;;;;;;;;;27764998871;;;;;;;;prepaid life;;;;;</t>
  </si>
  <si>
    <t>ID_3961</t>
  </si>
  <si>
    <t xml:space="preserve">13865190;fb10a513-e60d-44c3-8776-303a9c186b58;;111111118;Vodacom Life 20260324;;;;;ADC;5;2026-05-22 </t>
  </si>
  <si>
    <t>13865190;fb10a513-e60d-44c3-8776-303a9c186b58;;111111118;Vodacom Life 20260324;;;;;ADC;5;2026-05-22 13:05:41+02;system;2026-03-24 09:54:08+02;2026-03-24 09:54:08+02;;;;;;;;;27729829432;;;;;;;;prepaid life;;;;;</t>
  </si>
  <si>
    <t>ID_3962</t>
  </si>
  <si>
    <t>13865109;059c6586-f6a3-46f2-b95a-eb3984ea7b1a;;111111118;Vodacom Life 20260324;;;;;NA;5;2026-05-22 1</t>
  </si>
  <si>
    <t>13865109;059c6586-f6a3-46f2-b95a-eb3984ea7b1a;;111111118;Vodacom Life 20260324;;;;;NA;5;2026-05-22 13:14:07+02;system;2026-03-24 09:54:08+02;2026-03-24 09:54:08+02;;;;;;;;;27711181495;;;;;;;;prepaid life;;;;;</t>
  </si>
  <si>
    <t>ID_3963</t>
  </si>
  <si>
    <t>13865191;b2bc2023-d7f1-49a7-b0e7-aba07444ba39;;111111118;Vodacom Life 20260324;;;;;AA;5;2026-05-22 1</t>
  </si>
  <si>
    <t>13865191;b2bc2023-d7f1-49a7-b0e7-aba07444ba39;;111111118;Vodacom Life 20260324;;;;;AA;5;2026-05-22 13:05:39+02;system;2026-03-24 09:54:08+02;2026-03-24 09:54:08+02;;;;;;;;;27729874279;;;;;;;;prepaid life;;;;;</t>
  </si>
  <si>
    <t>ID_3964</t>
  </si>
  <si>
    <t>13865218;d3781183-841f-4439-a20f-3ab3fb72b23f;;111111118;Vodacom Life 20260324;;;;;NI;1;2026-03-30 1</t>
  </si>
  <si>
    <t>13865218;d3781183-841f-4439-a20f-3ab3fb72b23f;;111111118;Vodacom Life 20260324;;;;;NI;1;2026-03-30 11:56:45+02;Musiiwa Mary Mabirimisa;2026-03-24 09:54:08+02;2026-03-24 09:54:08+02;;;;;;;;;27765077423;;;;;;;;prepaid life;;;;;</t>
  </si>
  <si>
    <t>ID_3965</t>
  </si>
  <si>
    <t>13865219;b86d70f6-8813-4a08-adc5-a15f36a02855;;111111118;Vodacom Life 20260324;;;;;DROP;5;2026-05-22</t>
  </si>
  <si>
    <t>13865219;b86d70f6-8813-4a08-adc5-a15f36a02855;;111111118;Vodacom Life 20260324;;;;;DROP;5;2026-05-22 11:26:38+02;system;2026-03-24 09:54:08+02;2026-03-24 09:54:08+02;;;;;;;;;27765641246;;;;;;;;prepaid life;;;;;</t>
  </si>
  <si>
    <t>ID_3966</t>
  </si>
  <si>
    <t>13865192;d69c7651-1fef-47ae-8aad-d3f08528954d;;111111118;Vodacom Life 20260324;;;27745164965;;CCB;5;</t>
  </si>
  <si>
    <t>13865192;d69c7651-1fef-47ae-8aad-d3f08528954d;;111111118;Vodacom Life 20260324;;;27745164965;;CCB;5;2026-05-22 13:06:14+02;Khensane Mabasa;2026-03-24 09:54:08+02;2026-03-24 09:54:08+02;;;;;;;;;27745164965;;;;;;;;prepaid life;;;;;</t>
  </si>
  <si>
    <t>ID_3967</t>
  </si>
  <si>
    <t>13865220;960a8771-7603-42c5-8a01-b7b66dc6fcda;;111111118;Vodacom Life 20260324;;;;;CB;6;2026-05-26 1</t>
  </si>
  <si>
    <t>13865220;960a8771-7603-42c5-8a01-b7b66dc6fcda;;111111118;Vodacom Life 20260324;;;;;CB;6;2026-05-26 12:11:49+02;Khensane Mabasa;2026-03-24 09:54:08+02;2026-03-24 09:54:08+02;;;;;;;;;27765783723;;;;;;;;prepaid life;;;;;</t>
  </si>
  <si>
    <t>ID_3968</t>
  </si>
  <si>
    <t>13865110;18a551af-79fa-4829-8bcf-45c730501f09;;111111118;Vodacom Life 20260324;;;;;NA;5;2026-05-22 1</t>
  </si>
  <si>
    <t>13865110;18a551af-79fa-4829-8bcf-45c730501f09;;111111118;Vodacom Life 20260324;;;;;NA;5;2026-05-22 13:14:07+02;system;2026-03-24 09:54:08+02;2026-03-24 09:54:08+02;;;;;;;;;27711268097;;;;;;;;prepaid life;;;;;</t>
  </si>
  <si>
    <t>ID_3969</t>
  </si>
  <si>
    <t>13865193;03501177-96a0-43fd-81bf-58e4d8fc6f16;;111111118;Vodacom Life 20260324;;;;;AC;1;2026-03-26 1</t>
  </si>
  <si>
    <t>13865193;03501177-96a0-43fd-81bf-58e4d8fc6f16;;111111118;Vodacom Life 20260324;;;;;AC;1;2026-03-26 12:26:30+02;Esther Ramalete;2026-03-24 09:54:08+02;2026-03-24 09:54:08+02;;;;;;;;;27760183208;;;;;;;;prepaid life;;;;;</t>
  </si>
  <si>
    <t>ID_3970</t>
  </si>
  <si>
    <t>13865111;cfbfbc6f-dcb5-4e0d-a833-4edd2df72dc0;;111111118;Vodacom Life 20260324;;;;;U;2;2026-04-09 10</t>
  </si>
  <si>
    <t>13865111;cfbfbc6f-dcb5-4e0d-a833-4edd2df72dc0;;111111118;Vodacom Life 20260324;;;;;U;2;2026-04-09 10:34:04+02;Seboifeng Mogola;2026-03-24 09:54:08+02;2026-03-24 09:54:08+02;;;;;;;;;27711373443;;;;;;;;prepaid life;;;;;</t>
  </si>
  <si>
    <t>ID_3971</t>
  </si>
  <si>
    <t>13865221;5a1fe33d-f35b-414c-b971-7f69c947b4ee;;111111118;Vodacom Life 20260324;;;;;NA;5;2026-05-22 1</t>
  </si>
  <si>
    <t>13865221;5a1fe33d-f35b-414c-b971-7f69c947b4ee;;111111118;Vodacom Life 20260324;;;;;NA;5;2026-05-22 11:26:38+02;system;2026-03-24 09:54:08+02;2026-03-24 09:54:08+02;;;;;;;;;27765837837;;;;;;;;prepaid life;;;;;</t>
  </si>
  <si>
    <t>ID_3972</t>
  </si>
  <si>
    <t>13865194;0881634a-b7ae-4b2b-8b4a-053728ff7509;;111111118;Vodacom Life 20260324;;;;;U;1;2026-03-26 12</t>
  </si>
  <si>
    <t>13865194;0881634a-b7ae-4b2b-8b4a-053728ff7509;;111111118;Vodacom Life 20260324;;;;;U;1;2026-03-26 12:25:41+02;bongiwe lushaba;2026-03-24 09:54:08+02;2026-03-24 09:54:08+02;;;;;;;;;27760298646;;;;;;;;prepaid life;;;;;</t>
  </si>
  <si>
    <t>ID_3973</t>
  </si>
  <si>
    <t>13865195;5db4b417-f49a-442f-8943-d28aa32e5ac1;;111111118;Vodacom Life 20260324;;;27760405050;;IABDN;</t>
  </si>
  <si>
    <t>13865195;5db4b417-f49a-442f-8943-d28aa32e5ac1;;111111118;Vodacom Life 20260324;;;27760405050;;IABDN;5;2026-05-22 13:06:20+02;system;2026-03-24 09:54:08+02;2026-03-24 09:54:08+02;;;;;;;;;27760405050;;;;;;;;prepaid life;;;;;</t>
  </si>
  <si>
    <t>ID_3974</t>
  </si>
  <si>
    <t>13865222;6b124478-2678-45d5-80eb-0fb7e081fe81;;111111118;Vodacom Life 20260324;;;27766117976;;AA;5;2</t>
  </si>
  <si>
    <t>13865222;6b124478-2678-45d5-80eb-0fb7e081fe81;;111111118;Vodacom Life 20260324;;;27766117976;;AA;5;2026-05-22 11:26:44+02;system;2026-03-24 09:54:08+02;2026-03-24 09:54:08+02;;;;;;;;;27766117976;;;;;;;;prepaid life;;;;;</t>
  </si>
  <si>
    <t>ID_3975</t>
  </si>
  <si>
    <t>13865112;678c6386-48a8-4a16-9c9b-118dddd50637;;111111118;Vodacom Life 20260324;;;;;AE;5;2026-05-22 1</t>
  </si>
  <si>
    <t>13865112;678c6386-48a8-4a16-9c9b-118dddd50637;;111111118;Vodacom Life 20260324;;;;;AE;5;2026-05-22 13:13:22+02;system;2026-03-24 09:54:08+02;2026-03-24 09:54:08+02;;;;;;;;;27711422452;;;;;;;;prepaid life;;;;;</t>
  </si>
  <si>
    <t>ID_3976</t>
  </si>
  <si>
    <t>13865113;c1955e97-2c99-488e-8b43-0bab4d2c2b57;;111111118;Vodacom Life 20260324;;;;;NI;3;2026-04-14 1</t>
  </si>
  <si>
    <t>13865113;c1955e97-2c99-488e-8b43-0bab4d2c2b57;;111111118;Vodacom Life 20260324;;;;;NI;3;2026-04-14 12:27:39+02;Esther Ramalete;2026-03-24 09:54:08+02;2026-03-24 09:54:08+02;;;;;;;;;27711504633;;;;;;;;prepaid life;;;;;</t>
  </si>
  <si>
    <t>ID_3977</t>
  </si>
  <si>
    <t>13865223;0c707987-9664-4a49-aa27-d4dc45f46746;;111111118;Vodacom Life 20260324;;;27766581895;;AA;5;2</t>
  </si>
  <si>
    <t>13865223;0c707987-9664-4a49-aa27-d4dc45f46746;;111111118;Vodacom Life 20260324;;;27766581895;;AA;5;2026-05-22 12:05:30+02;system;2026-03-24 09:54:08+02;2026-03-24 09:54:08+02;;;;;;;;;27766581895;;;;;;;;prepaid life;;;;;</t>
  </si>
  <si>
    <t>ID_3978</t>
  </si>
  <si>
    <t>13865197;7479146b-f700-4592-9781-19e662a03c4c;;111111118;Vodacom Life 20260324;;;27761085397;;CU;5;2</t>
  </si>
  <si>
    <t>13865197;7479146b-f700-4592-9781-19e662a03c4c;;111111118;Vodacom Life 20260324;;;27761085397;;CU;5;2026-05-22 11:29:35+02;bongiwe lushaba;2026-03-24 09:54:08+02;2026-03-24 09:54:08+02;;;;;;;;;27761085397;;;;;;;;prepaid life;;;;;</t>
  </si>
  <si>
    <t>ID_3979</t>
  </si>
  <si>
    <t>13865224;c9c15e90-8927-492f-be42-18efd2984dcc;;111111118;Vodacom Life 20260324;;;;;DROP;5;2026-05-22</t>
  </si>
  <si>
    <t>13865224;c9c15e90-8927-492f-be42-18efd2984dcc;;111111118;Vodacom Life 20260324;;;;;DROP;5;2026-05-22 12:05:30+02;system;2026-03-24 09:54:08+02;2026-03-24 09:54:08+02;;;;;;;;;27766845581;;;;;;;;prepaid life;;;;;</t>
  </si>
  <si>
    <t>ID_3980</t>
  </si>
  <si>
    <t>13865114;816fb908-fa64-4d58-bfef-f2f855790f59;;111111118;Vodacom Life 20260324;;;;;NI;4;2026-05-07 1</t>
  </si>
  <si>
    <t>13865114;816fb908-fa64-4d58-bfef-f2f855790f59;;111111118;Vodacom Life 20260324;;;;;NI;4;2026-05-07 14:08:09+02;Musiiwa Mary Mabirimisa;2026-03-24 09:54:08+02;2026-03-24 09:54:08+02;;;;;;;;;27711910490;;;;;;;;prepaid life;;;;;</t>
  </si>
  <si>
    <t>ID_3981</t>
  </si>
  <si>
    <t>13865198;63fc14e2-5e53-463b-ba0f-1cb57421cddb;;111111118;Vodacom Life 20260324;;;;;DROP;5;2026-05-22</t>
  </si>
  <si>
    <t>13865198;63fc14e2-5e53-463b-ba0f-1cb57421cddb;;111111118;Vodacom Life 20260324;;;;;DROP;5;2026-05-22 11:28:58+02;system;2026-03-24 09:54:08+02;2026-03-24 09:54:08+02;;;;;;;;;27761233095;;;;;;;;prepaid life;;;;;</t>
  </si>
  <si>
    <t>ID_3982</t>
  </si>
  <si>
    <t>13865115;322bcab0-b963-48d6-826a-29912b218400;;111111118;Vodacom Life 20260324;;;27711960978;;CU;5;2</t>
  </si>
  <si>
    <t>13865115;322bcab0-b963-48d6-826a-29912b218400;;111111118;Vodacom Life 20260324;;;27711960978;;CU;5;2026-05-22 13:14:11+02;Khensane Mabasa;2026-03-24 09:54:08+02;2026-03-24 09:54:08+02;;;;;;;;;27711960978;;;;;;;;prepaid life;;;;;</t>
  </si>
  <si>
    <t>ID_3983</t>
  </si>
  <si>
    <t>13865225;2b209f73-3dfc-4bb6-82b7-cd604d030c64;;111111118;Vodacom Life 20260324;;;;;NA;5;2026-05-22 1</t>
  </si>
  <si>
    <t>13865225;2b209f73-3dfc-4bb6-82b7-cd604d030c64;;111111118;Vodacom Life 20260324;;;;;NA;5;2026-05-22 12:03:02+02;system;2026-03-24 09:54:08+02;2026-03-24 09:54:08+02;;;;;;;;;27766982930;;;;;;;;prepaid life;;;;;</t>
  </si>
  <si>
    <t>ID_3984</t>
  </si>
  <si>
    <t>13865199;8b2e9872-0442-4163-bf5d-46c17359d1fa;;111111118;Vodacom Life 20260324;;;;;AE;5;2026-05-22 1</t>
  </si>
  <si>
    <t>13865199;8b2e9872-0442-4163-bf5d-46c17359d1fa;;111111118;Vodacom Life 20260324;;;;;AE;5;2026-05-22 11:28:56+02;system;2026-03-24 09:54:08+02;2026-03-24 09:54:08+02;;;;;;;;;27761462668;;;;;;;;prepaid life;;;;;</t>
  </si>
  <si>
    <t>ID_3985</t>
  </si>
  <si>
    <t xml:space="preserve">13865200;13742095-2309-4d07-ae27-98f4fb3a5b9b;;111111118;Vodacom Life 20260324;;;;;OAL;4;2026-05-07 </t>
  </si>
  <si>
    <t>13865200;13742095-2309-4d07-ae27-98f4fb3a5b9b;;111111118;Vodacom Life 20260324;;;;;OAL;4;2026-05-07 13:54:59+02;Seboifeng Mogola;2026-03-24 09:54:08+02;2026-03-24 09:54:08+02;;;;;;;;;27761674447;;;;;;;;prepaid life;;;;;</t>
  </si>
  <si>
    <t>ID_3986</t>
  </si>
  <si>
    <t>13865226;2b126ae6-c221-43a3-9112-2255176f1951;;111111118;Vodacom Life 20260324;;;;;QAVET;4;2026-05-0</t>
  </si>
  <si>
    <t>13865226;2b126ae6-c221-43a3-9112-2255176f1951;;111111118;Vodacom Life 20260324;;;;;QAVET;4;2026-05-07 13:36:11+02;Millicent Motsuku;2026-03-24 09:54:08+02;2026-03-24 09:54:08+02;;;;;;;;;27767086238;;;;;;;;prepaid life;;;;;</t>
  </si>
  <si>
    <t>ID_3987</t>
  </si>
  <si>
    <t>13865227;021773d3-f4d1-4573-9471-939c7cf45bde;;111111118;Vodacom Life 20260324;;;;;NI;2;2026-04-01 1</t>
  </si>
  <si>
    <t>13865227;021773d3-f4d1-4573-9471-939c7cf45bde;;111111118;Vodacom Life 20260324;;;;;NI;2;2026-04-01 10:36:00+02;Maureen Ntsoko;2026-03-24 09:54:08+02;2026-03-24 09:54:08+02;;;;;;;;;27767192666;;;;;;;;prepaid life;;;;;</t>
  </si>
  <si>
    <t>ID_3988</t>
  </si>
  <si>
    <t>13865116;74440f40-caf3-4c4b-bc08-484b296345e9;;111111118;Vodacom Life 20260324;;;;;DROP;5;2026-05-22</t>
  </si>
  <si>
    <t>13865116;74440f40-caf3-4c4b-bc08-484b296345e9;;111111118;Vodacom Life 20260324;;;;;DROP;5;2026-05-22 11:42:01+02;system;2026-03-24 09:54:08+02;2026-03-24 09:54:08+02;;;;;;;;;27711978324;;;;;;;;prepaid life;;;;;</t>
  </si>
  <si>
    <t>ID_3989</t>
  </si>
  <si>
    <t>13865201;9051807c-bd39-46d1-8445-18186e89f625;;111111118;Vodacom Life 20260324;;;27762058004;;NA;5;2</t>
  </si>
  <si>
    <t>13865201;9051807c-bd39-46d1-8445-18186e89f625;;111111118;Vodacom Life 20260324;;;27762058004;;NA;5;2026-05-22 11:29:00+02;system;2026-03-24 09:54:08+02;2026-03-24 09:54:08+02;;;;;;;;;27762058004;;;;;;;;prepaid life;;;;;</t>
  </si>
  <si>
    <t>ID_3990</t>
  </si>
  <si>
    <t>13865117;eea6a48c-70d9-431d-9499-01c6d8966bc2;;111111118;Vodacom Life 20260324;;;;;NA;5;2026-05-22 1</t>
  </si>
  <si>
    <t>13865117;eea6a48c-70d9-431d-9499-01c6d8966bc2;;111111118;Vodacom Life 20260324;;;;;NA;5;2026-05-22 11:42:04+02;system;2026-03-24 09:54:08+02;2026-03-24 09:54:08+02;;;;;;;;;27712087232;;;;;;;;prepaid life;;;;;</t>
  </si>
  <si>
    <t>ID_3991</t>
  </si>
  <si>
    <t>13865202;091dd551-8209-48a5-914d-efd9a5b4672f;;111111118;Vodacom Life 20260324;;;;;NI;2;2026-04-01 1</t>
  </si>
  <si>
    <t>13865202;091dd551-8209-48a5-914d-efd9a5b4672f;;111111118;Vodacom Life 20260324;;;;;NI;2;2026-04-01 14:43:12+02;Thandile Nokubeni;2026-03-24 09:54:08+02;2026-03-24 09:54:08+02;;;;;;;;;27762670257;;;;;;;;prepaid life;;;;;</t>
  </si>
  <si>
    <t>ID_3992</t>
  </si>
  <si>
    <t>13865313;310b28c0-08a2-4c7c-a568-977ed8cec7b4;;111111118;Vodacom Life 20260324;;;27825477297;;IABDN;</t>
  </si>
  <si>
    <t>13865313;310b28c0-08a2-4c7c-a568-977ed8cec7b4;;111111118;Vodacom Life 20260324;;;27825477297;;IABDN;5;2026-05-27 10:57:44+02;system;2026-03-24 09:54:08+02;2026-03-24 09:54:08+02;;;;;;;;;27825477297;;;;;;;;prepaid life;;;;;</t>
  </si>
  <si>
    <t>ID_3993</t>
  </si>
  <si>
    <t>13865228;e94acb49-a55d-4738-aace-f5b9ac0bae40;;111111118;Vodacom Life 20260324;;;;;CU;5;2026-05-22 1</t>
  </si>
  <si>
    <t>13865228;e94acb49-a55d-4738-aace-f5b9ac0bae40;;111111118;Vodacom Life 20260324;;;;;CU;5;2026-05-22 12:03:02+02;Khensane Mabasa;2026-03-24 09:54:08+02;2026-03-24 09:54:08+02;;;;;;;;;27767222163;;;;;;;;prepaid life;;;;;</t>
  </si>
  <si>
    <t>ID_3994</t>
  </si>
  <si>
    <t>13865203;c1e2e8a1-b8ab-476f-a894-d6f60ba44373;;111111118;Vodacom Life 20260324;;;;;NI;3;2026-04-14 1</t>
  </si>
  <si>
    <t>13865203;c1e2e8a1-b8ab-476f-a894-d6f60ba44373;;111111118;Vodacom Life 20260324;;;;;NI;3;2026-04-14 12:38:12+02;Maureen Ntsoko;2026-03-24 09:54:08+02;2026-03-24 09:54:08+02;;;;;;;;;27762743665;;;;;;;;prepaid life;;;;;</t>
  </si>
  <si>
    <t>ID_3995</t>
  </si>
  <si>
    <t>13865229;a39c2a95-3fa0-4231-96ab-77e6a869825f;;111111118;Vodacom Life 20260324;;;27767503399;;NA;5;2</t>
  </si>
  <si>
    <t>13865229;a39c2a95-3fa0-4231-96ab-77e6a869825f;;111111118;Vodacom Life 20260324;;;27767503399;;NA;5;2026-05-22 12:02:10+02;system;2026-03-24 09:54:08+02;2026-03-24 09:54:08+02;;;;;;;;;27767503399;;;;;;;;prepaid life;;;;;</t>
  </si>
  <si>
    <t>ID_3996</t>
  </si>
  <si>
    <t>13865314;5ba57eb1-54c0-424b-9c5f-ab3c19d010c2;;111111118;Vodacom Life 20260324;;;;;SELECTED;3;2026-0</t>
  </si>
  <si>
    <t>13865314;5ba57eb1-54c0-424b-9c5f-ab3c19d010c2;;111111118;Vodacom Life 20260324;;;;;SELECTED;3;2026-04-08 15:44:41+02;system;2026-03-24 09:54:08+02;2026-03-24 09:54:08+02;;;;;;;;;27825810862;;;;;;;;prepaid life;;;;;</t>
  </si>
  <si>
    <t>ID_3997</t>
  </si>
  <si>
    <t>13865315;37ae9781-135d-49eb-abc2-6bfe361b3746;;111111118;Vodacom Life 20260324;;;;;DROP;5;2026-05-22</t>
  </si>
  <si>
    <t>13865315;37ae9781-135d-49eb-abc2-6bfe361b3746;;111111118;Vodacom Life 20260324;;;;;DROP;5;2026-05-22 11:13:02+02;system;2026-03-24 09:54:08+02;2026-03-24 09:54:08+02;;;;;;;;;27825833666;;;;;;;;prepaid life;;;;;</t>
  </si>
  <si>
    <t>ID_3998</t>
  </si>
  <si>
    <t>13865230;d1d6b812-7c25-40fb-a891-d253fc2c45d1;;111111118;Vodacom Life 20260324;;;;;CBACK;2;2026-03-2</t>
  </si>
  <si>
    <t>13865230;d1d6b812-7c25-40fb-a891-d253fc2c45d1;;111111118;Vodacom Life 20260324;;;;;CBACK;2;2026-03-27 13:12:59+02;Maureen Ntsoko;2026-03-24 09:54:08+02;2026-03-24 09:54:08+02;;;;;;;;;27767557073;;;;;;;;prepaid life;;;;;</t>
  </si>
  <si>
    <t>ID_3999</t>
  </si>
  <si>
    <t>13865205;4ee02622-b6a5-4fc6-9d8d-6a7893da40ea;;111111118;Vodacom Life 20260324;;;27762957003;;DROP;5</t>
  </si>
  <si>
    <t>13865205;4ee02622-b6a5-4fc6-9d8d-6a7893da40ea;;111111118;Vodacom Life 20260324;;;27762957003;;DROP;5;2026-05-22 13:05:31+02;system;2026-03-24 09:54:08+02;2026-03-24 09:54:08+02;;;;;;;;;27762957003;;;;;;;;prepaid life;;;;;</t>
  </si>
  <si>
    <t>ID_4000</t>
  </si>
  <si>
    <t>13865231;785bb591-b9b3-4647-b528-a3b4c1b01ecd;;111111118;Vodacom Life 20260324;;;;;DNQS;1;2026-03-26</t>
  </si>
  <si>
    <t>13865231;785bb591-b9b3-4647-b528-a3b4c1b01ecd;;111111118;Vodacom Life 20260324;;;;;DNQS;1;2026-03-26 12:43:29+02;Mahlatse Manamela;2026-03-24 09:54:08+02;2026-03-24 09:54:08+02;;;;;;;;;27767583174;;;;;;;;prepaid life;;;;;</t>
  </si>
  <si>
    <t>ID_4001</t>
  </si>
  <si>
    <t>13865316;34d75598-19e7-4eba-a42b-17d7335dae21;;111111118;Vodacom Life 20260324;;;;;AA;5;2026-05-22 1</t>
  </si>
  <si>
    <t>13865316;34d75598-19e7-4eba-a42b-17d7335dae21;;111111118;Vodacom Life 20260324;;;;;AA;5;2026-05-22 11:13:00+02;system;2026-03-24 09:54:08+02;2026-03-24 09:54:08+02;;;;;;;;;27825983070;;;;;;;;prepaid life;;;;;</t>
  </si>
  <si>
    <t>ID_4002</t>
  </si>
  <si>
    <t>13865206;ac5acb4e-bf2c-4658-9606-7469ef49db9e;;111111118;Vodacom Life 20260324;;;;;CU;5;2026-05-22 1</t>
  </si>
  <si>
    <t>13865206;ac5acb4e-bf2c-4658-9606-7469ef49db9e;;111111118;Vodacom Life 20260324;;;;;CU;5;2026-05-22 13:05:31+02;Khensane Mabasa;2026-03-24 09:54:08+02;2026-03-24 09:54:08+02;;;;;;;;;27763342743;;;;;;;;prepaid life;;;;;</t>
  </si>
  <si>
    <t>ID_4003</t>
  </si>
  <si>
    <t>13865317;2057b0a0-10ea-476f-a54b-9f2005e55bda;;111111118;Vodacom Life 20260324;;;;;SELECTED;1;;;2026</t>
  </si>
  <si>
    <t>13865317;2057b0a0-10ea-476f-a54b-9f2005e55bda;;111111118;Vodacom Life 20260324;;;;;SELECTED;1;;;2026-03-24 09:54:08+02;2026-03-24 09:54:08+02;;;;;;;;;27826163599;;;;;;;;prepaid life;;;;;</t>
  </si>
  <si>
    <t>ID_4004</t>
  </si>
  <si>
    <t>13865318;15498416-b886-47d0-90f7-15e55256d849;;111111118;Vodacom Life 20260324;;;;;NA;5;2026-05-22 1</t>
  </si>
  <si>
    <t>13865318;15498416-b886-47d0-90f7-15e55256d849;;111111118;Vodacom Life 20260324;;;;;NA;5;2026-05-22 11:13:02+02;system;2026-03-24 09:54:08+02;2026-03-24 09:54:08+02;;;;;;;;;27826250307;;;;;;;;prepaid life;;;;;</t>
  </si>
  <si>
    <t>ID_4005</t>
  </si>
  <si>
    <t>13865232;29c92acd-62ee-4357-be55-5dfb8b16a80d;;111111118;Vodacom Life 20260324;;;;;AA;5;2026-05-22 1</t>
  </si>
  <si>
    <t>13865232;29c92acd-62ee-4357-be55-5dfb8b16a80d;;111111118;Vodacom Life 20260324;;;;;AA;5;2026-05-22 12:02:10+02;system;2026-03-24 09:54:08+02;2026-03-24 09:54:08+02;;;;;;;;;27767840357;;;;;;;;prepaid life;;;;;</t>
  </si>
  <si>
    <t>ID_4006</t>
  </si>
  <si>
    <t>13865207;ae25773b-655f-46ff-a78b-577318b0c171;;111111118;Vodacom Life 20260324;;;;;CU;5;2026-05-22 1</t>
  </si>
  <si>
    <t>13865207;ae25773b-655f-46ff-a78b-577318b0c171;;111111118;Vodacom Life 20260324;;;;;CU;5;2026-05-22 13:05:31+02;bongiwe lushaba;2026-03-24 09:54:08+02;2026-03-24 09:54:08+02;;;;;;;;;27763516391;;;;;;;;prepaid life;;;;;</t>
  </si>
  <si>
    <t>ID_4007</t>
  </si>
  <si>
    <t>13865233;8ac34dfa-e4fc-481e-b8fe-e8d09d0b3992;;111111118;Vodacom Life 20260324;;;;;AE;5;2026-05-22 1</t>
  </si>
  <si>
    <t>13865233;8ac34dfa-e4fc-481e-b8fe-e8d09d0b3992;;111111118;Vodacom Life 20260324;;;;;AE;5;2026-05-22 12:02:10+02;system;2026-03-24 09:54:08+02;2026-03-24 09:54:08+02;;;;;;;;;27767869661;;;;;;;;prepaid life;;;;;</t>
  </si>
  <si>
    <t>ID_4008</t>
  </si>
  <si>
    <t>13865319;14d5a16b-bc72-499f-8714-17d39d277c9b;;111111118;Vodacom Life 20260324;;;;;DROP;5;2026-05-22</t>
  </si>
  <si>
    <t>13865319;14d5a16b-bc72-499f-8714-17d39d277c9b;;111111118;Vodacom Life 20260324;;;;;DROP;5;2026-05-22 11:46:04+02;system;2026-03-24 09:54:08+02;2026-03-24 09:54:08+02;;;;;;;;;27826836764;;;;;;;;prepaid life;;;;;</t>
  </si>
  <si>
    <t>ID_4009</t>
  </si>
  <si>
    <t>13865208;a67ed77d-35ce-4f19-aa97-4aa009d19a66;;111111118;Vodacom Life 20260324;;;;;EC;8;2026-05-22 1</t>
  </si>
  <si>
    <t>13865208;a67ed77d-35ce-4f19-aa97-4aa009d19a66;;111111118;Vodacom Life 20260324;;;;;EC;8;2026-05-22 13:50:51+02;Maureen Ntsoko;2026-03-24 09:54:08+02;2026-03-24 09:54:08+02;;;;;;;;;27763531472;;;;;;;;prepaid life;;;;;</t>
  </si>
  <si>
    <t>ID_4010</t>
  </si>
  <si>
    <t>13865320;d3f37011-0d28-456b-996d-faad516c8474;;111111118;Vodacom Life 20260324;;;;;AE;5;2026-05-22 1</t>
  </si>
  <si>
    <t>13865320;d3f37011-0d28-456b-996d-faad516c8474;;111111118;Vodacom Life 20260324;;;;;AE;5;2026-05-22 11:45:58+02;system;2026-03-24 09:54:08+02;2026-03-24 09:54:08+02;;;;;;;;;27827401747;;;;;;;;prepaid life;;;;;</t>
  </si>
  <si>
    <t>ID_4011</t>
  </si>
  <si>
    <t>13865234;43f14544-25bf-41c1-a630-99df61666cb8;;111111118;Vodacom Life 20260324;;;;;CBACK;1;2026-04-0</t>
  </si>
  <si>
    <t>13865234;43f14544-25bf-41c1-a630-99df61666cb8;;111111118;Vodacom Life 20260324;;;;;CBACK;1;2026-04-01 09:31:40+02;Maureen Ntsoko;2026-03-24 09:54:08+02;2026-03-24 09:54:08+02;;;;;;;;;27767922220;;;;;;;;prepaid life;;;;;</t>
  </si>
  <si>
    <t>ID_4012</t>
  </si>
  <si>
    <t>13865209;238e9d84-2e5b-4278-932d-7a361d227202;;111111118;Vodacom Life 20260324;;;;;RP;1;2026-03-26 1</t>
  </si>
  <si>
    <t>13865209;238e9d84-2e5b-4278-932d-7a361d227202;;111111118;Vodacom Life 20260324;;;;;RP;1;2026-03-26 12:17:24+02;Maureen Ntsoko;2026-03-24 09:54:08+02;2026-03-24 09:54:08+02;;;;;;;;;27763748566;;;;;;;;prepaid life;;;;;</t>
  </si>
  <si>
    <t>ID_4013</t>
  </si>
  <si>
    <t>13865235;16deace5-29c2-4132-94d3-a395a6deaeb3;;111111118;Vodacom Life 20260324;;;;;CU;5;2026-05-22 1</t>
  </si>
  <si>
    <t>13865235;16deace5-29c2-4132-94d3-a395a6deaeb3;;111111118;Vodacom Life 20260324;;;;;CU;5;2026-05-22 12:02:09+02;Khensane Mabasa;2026-03-24 09:54:08+02;2026-03-24 09:54:08+02;;;;;;;;;27768094534;;;;;;;;prepaid life;;;;;</t>
  </si>
  <si>
    <t>ID_4014</t>
  </si>
  <si>
    <t>13865321;7d21abe5-51c5-4d70-912c-c54182f6fe96;;111111118;Vodacom Life 20260324;;;;;AA;5;2026-05-22 1</t>
  </si>
  <si>
    <t>13865321;7d21abe5-51c5-4d70-912c-c54182f6fe96;;111111118;Vodacom Life 20260324;;;;;AA;5;2026-05-22 11:45:56+02;system;2026-03-24 09:54:08+02;2026-03-24 09:54:08+02;;;;;;;;;27827468843;;;;;;;;prepaid life;;;;;</t>
  </si>
  <si>
    <t>ID_4015</t>
  </si>
  <si>
    <t>13865322;20896c8c-d410-4c07-a2c1-128c7ef2ddb1;;111111118;Vodacom Life 20260324;;;27827536229;;IABDN;</t>
  </si>
  <si>
    <t>13865322;20896c8c-d410-4c07-a2c1-128c7ef2ddb1;;111111118;Vodacom Life 20260324;;;27827536229;;IABDN;5;2026-05-22 11:49:06+02;system;2026-03-24 09:54:08+02;2026-03-24 09:54:08+02;;;;;;;;;27827536229;;;;;;;;prepaid life;;;;;</t>
  </si>
  <si>
    <t>ID_4016</t>
  </si>
  <si>
    <t xml:space="preserve">13865210;9b71964d-3241-4bb5-b4eb-11b0fa9b5d6b;;111111118;Vodacom Life 20260324;;;;;OAL;2;2026-04-08 </t>
  </si>
  <si>
    <t>13865210;9b71964d-3241-4bb5-b4eb-11b0fa9b5d6b;;111111118;Vodacom Life 20260324;;;;;OAL;2;2026-04-08 16:34:50+02;Thandile Nokubeni;2026-03-24 09:54:08+02;2026-03-24 09:54:08+02;;;;;;;;;27763757931;;;;;;;;prepaid life;;;;;</t>
  </si>
  <si>
    <t>ID_4017</t>
  </si>
  <si>
    <t>13865323;61f6ab62-64c5-47c8-9035-15a3654272f9;;111111118;Vodacom Life 20260324;;;27827559930;;AE;5;2</t>
  </si>
  <si>
    <t>13865323;61f6ab62-64c5-47c8-9035-15a3654272f9;;111111118;Vodacom Life 20260324;;;27827559930;;AE;5;2026-05-22 11:45:26+02;system;2026-03-24 09:54:08+02;2026-03-24 09:54:08+02;;;;;;;;;27827559930;;;;;;;;prepaid life;;;;;</t>
  </si>
  <si>
    <t>ID_4018</t>
  </si>
  <si>
    <t>13865236;9f90b03f-142d-43f8-ae53-f5d3ad35214b;;111111118;Vodacom Life 20260324;;;;;DROP;5;2026-05-22</t>
  </si>
  <si>
    <t>13865236;9f90b03f-142d-43f8-ae53-f5d3ad35214b;;111111118;Vodacom Life 20260324;;;;;DROP;5;2026-05-22 12:00:38+02;system;2026-03-24 09:54:08+02;2026-03-24 09:54:08+02;;;;;;;;;27768260847;;;;;;;;prepaid life;;;;;</t>
  </si>
  <si>
    <t>ID_4019</t>
  </si>
  <si>
    <t>13865211;81d7ddba-af8e-4a45-b3be-250ffafc45a8;;111111118;Vodacom Life 20260324;;;;;NI;3;2026-04-15 1</t>
  </si>
  <si>
    <t>13865211;81d7ddba-af8e-4a45-b3be-250ffafc45a8;;111111118;Vodacom Life 20260324;;;;;NI;3;2026-04-15 15:16:32+02;Thandile Nokubeni;2026-03-24 09:54:08+02;2026-03-24 09:54:08+02;;;;;;;;;27763953633;;;;;;;;prepaid life;;;;;</t>
  </si>
  <si>
    <t>ID_4020</t>
  </si>
  <si>
    <t>13865324;ac3d5853-8e5c-4845-996e-2c0c3ac6e836;;111111118;Vodacom Life 20260324;;;;;CU;5;2026-05-22 1</t>
  </si>
  <si>
    <t>13865324;ac3d5853-8e5c-4845-996e-2c0c3ac6e836;;111111118;Vodacom Life 20260324;;;;;CU;5;2026-05-22 11:45:25+02;Maureen Ntsoko;2026-03-24 09:54:08+02;2026-03-24 09:54:08+02;;;;;;;;;27827713313;;;;;;;;prepaid life;;;;;</t>
  </si>
  <si>
    <t>ID_4021</t>
  </si>
  <si>
    <t>13865212;c62f1127-8ac5-4c91-a17d-1452eb611957;;111111118;Vodacom Life 20260324;;;;;DNCLIFE;1;2026-04</t>
  </si>
  <si>
    <t>13865212;c62f1127-8ac5-4c91-a17d-1452eb611957;;111111118;Vodacom Life 20260324;;;;;DNCLIFE;1;2026-04-01 10:40:36+02;Maureen Ntsoko;2026-03-24 09:54:08+02;2026-03-24 09:54:08+02;;;;;;;;;27764062672;;;;;;;;prepaid life;;;;;</t>
  </si>
  <si>
    <t>ID_4022</t>
  </si>
  <si>
    <t>13865325;a46dcdad-a9c9-4641-a0b1-cf0fb46bdd66;;111111118;Vodacom Life 20260324;;;;;CBACK;2;2026-04-0</t>
  </si>
  <si>
    <t>13865325;a46dcdad-a9c9-4641-a0b1-cf0fb46bdd66;;111111118;Vodacom Life 20260324;;;;;CBACK;2;2026-04-09 08:41:17+02;bongiwe lushaba;2026-03-24 09:54:08+02;2026-03-24 09:54:08+02;;;;;;;;;27828695911;;;;;;;;prepaid life;;;;;</t>
  </si>
  <si>
    <t>ID_4023</t>
  </si>
  <si>
    <t>13865213;607ba53e-5444-4e33-9e76-da11f620511f;;111111118;Vodacom Life 20260324;;;;;NA;5;2026-05-22 1</t>
  </si>
  <si>
    <t>13865213;607ba53e-5444-4e33-9e76-da11f620511f;;111111118;Vodacom Life 20260324;;;;;NA;5;2026-05-22 13:05:15+02;system;2026-03-24 09:54:08+02;2026-03-24 09:54:08+02;;;;;;;;;27764067240;;;;;;;;prepaid life;;;;;</t>
  </si>
  <si>
    <t>ID_4024</t>
  </si>
  <si>
    <t>13865326;42701612-58e6-4f04-95cb-bcaef8d48cfb;;111111118;Vodacom Life 20260324;;;;;NA;5;2026-05-22 1</t>
  </si>
  <si>
    <t>13865326;42701612-58e6-4f04-95cb-bcaef8d48cfb;;111111118;Vodacom Life 20260324;;;;;NA;5;2026-05-22 11:45:25+02;system;2026-03-24 09:54:08+02;2026-03-24 09:54:08+02;;;;;;;;;27829313171;;;;;;;;prepaid life;;;;;</t>
  </si>
  <si>
    <t>ID_4025</t>
  </si>
  <si>
    <t>13865238;b62f3484-333f-4452-b540-d55c8bea43b3;;111111118;Vodacom Life 20260324;;;27768368380;;IABDN;</t>
  </si>
  <si>
    <t>13865238;b62f3484-333f-4452-b540-d55c8bea43b3;;111111118;Vodacom Life 20260324;;;27768368380;;IABDN;5;2026-05-22 12:15:54+02;system;2026-03-24 09:54:08+02;2026-03-24 09:54:08+02;;;;;;;;;27768368380;;;;;;;;prepaid life;;;;;</t>
  </si>
  <si>
    <t>ID_4026</t>
  </si>
  <si>
    <t>13865214;f837e7e3-f2c4-4742-87f2-18bb9df43e99;;111111118;Vodacom Life 20260324;;;;;AA;5;2026-05-22 1</t>
  </si>
  <si>
    <t>13865214;f837e7e3-f2c4-4742-87f2-18bb9df43e99;;111111118;Vodacom Life 20260324;;;;;AA;5;2026-05-22 13:05:12+02;system;2026-03-24 09:54:08+02;2026-03-24 09:54:08+02;;;;;;;;;27764404348;;;;;;;;prepaid life;;;;;</t>
  </si>
  <si>
    <t>ID_4027</t>
  </si>
  <si>
    <t>13865239;87f825f1-4582-4553-84b7-9b4c58d5acc8;;111111118;Vodacom Life 20260324;;;;;A;19;2026-04-07 0</t>
  </si>
  <si>
    <t>13865239;87f825f1-4582-4553-84b7-9b4c58d5acc8;;111111118;Vodacom Life 20260324;;;;;A;19;2026-04-07 09:08:15+02;Seboifeng Mogola;2026-03-24 09:54:08+02;2026-03-24 09:54:08+02;;;;;;;;;27768559395;;;;;;;;prepaid life;;;;;</t>
  </si>
  <si>
    <t>ID_4028</t>
  </si>
  <si>
    <t>13865327;f72442d6-08c7-4f1b-b1ea-f44cc4859e58;;111111118;Vodacom Life 20260324;;;;;AE;5;2026-05-22 1</t>
  </si>
  <si>
    <t>13865327;f72442d6-08c7-4f1b-b1ea-f44cc4859e58;;111111118;Vodacom Life 20260324;;;;;AE;5;2026-05-22 11:44:18+02;system;2026-03-24 09:54:08+02;2026-03-24 09:54:08+02;;;;;;;;;27829565078;;;;;;;;prepaid life;;;;;</t>
  </si>
  <si>
    <t>ID_4029</t>
  </si>
  <si>
    <t>13865215;daa0478e-fab9-458a-8111-779ade88b2c4;;111111118;Vodacom Life 20260324;;;;;AA;5;2026-05-22 1</t>
  </si>
  <si>
    <t>13865215;daa0478e-fab9-458a-8111-779ade88b2c4;;111111118;Vodacom Life 20260324;;;;;AA;5;2026-05-22 13:04:45+02;system;2026-03-24 09:54:08+02;2026-03-24 09:54:08+02;;;;;;;;;27764535186;;;;;;;;prepaid life;;;;;</t>
  </si>
  <si>
    <t>ID_4030</t>
  </si>
  <si>
    <t>13865328;82145010-4d15-4a6d-8d93-7b0a0041fe62;;111111118;Vodacom Life 20260324;;;;;AE;5;2026-05-22 1</t>
  </si>
  <si>
    <t>13865328;82145010-4d15-4a6d-8d93-7b0a0041fe62;;111111118;Vodacom Life 20260324;;;;;AE;5;2026-05-22 11:44:15+02;system;2026-03-24 09:54:08+02;2026-03-24 09:54:08+02;;;;;;;;;27835432358;;;;;;;;prepaid life;;;;;</t>
  </si>
  <si>
    <t>ID_4031</t>
  </si>
  <si>
    <t>13865240;4872dcc7-982b-4b33-a5a2-f05484b714fd;;111111118;Vodacom Life 20260324;;;;;AA;5;2026-05-22 1</t>
  </si>
  <si>
    <t>13865240;4872dcc7-982b-4b33-a5a2-f05484b714fd;;111111118;Vodacom Life 20260324;;;;;AA;5;2026-05-22 11:24:36+02;system;2026-03-24 09:54:08+02;2026-03-24 09:54:08+02;;;;;;;;;27769079235;;;;;;;;prepaid life;;;;;</t>
  </si>
  <si>
    <t>ID_4032</t>
  </si>
  <si>
    <t>13865411;e8ba7cf0-624e-41b0-bd7b-617a39739313;;111111118;Vodacom Life 20260324;;;27716928533;;CU;5;2</t>
  </si>
  <si>
    <t>13865411;e8ba7cf0-624e-41b0-bd7b-617a39739313;;111111118;Vodacom Life 20260324;;;27716928533;;CU;5;2026-05-22 10:58:32+02;bongiwe lushaba;2026-03-24 09:54:08+02;2026-03-24 09:54:08+02;;;;;;;;;27716928533;;;;;;;;prepaid life;;;;;</t>
  </si>
  <si>
    <t>ID_4033</t>
  </si>
  <si>
    <t>13865241;42a2ced8-630b-40a4-8177-30a2b56a24db;;111111118;Vodacom Life 20260324;;;27769245516;;CU;5;2</t>
  </si>
  <si>
    <t>13865241;42a2ced8-630b-40a4-8177-30a2b56a24db;;111111118;Vodacom Life 20260324;;;27769245516;;CU;5;2026-05-22 11:25:17+02;Maureen Ntsoko;2026-03-24 09:54:08+02;2026-03-24 09:54:08+02;;;;;;;;;27769245516;;;;;;;;prepaid life;;;;;</t>
  </si>
  <si>
    <t>ID_4034</t>
  </si>
  <si>
    <t>13865329;082afdf8-9ff3-47e1-8c9c-64943236fbda;;111111118;Vodacom Life 20260324;;;;;SELECTED;1;;;2026</t>
  </si>
  <si>
    <t>13865329;082afdf8-9ff3-47e1-8c9c-64943236fbda;;111111118;Vodacom Life 20260324;;;;;SELECTED;1;;;2026-03-24 09:54:08+02;2026-03-24 09:54:08+02;;;;;;;;;27837650884;;;;;;;;prepaid life;;;;;</t>
  </si>
  <si>
    <t>ID_4035</t>
  </si>
  <si>
    <t>13865412;c9acc07b-b0db-4655-9618-805c3acd4218;;111111118;Vodacom Life 20260324;;;;;CBACK;3;2026-04-1</t>
  </si>
  <si>
    <t>13865412;c9acc07b-b0db-4655-9618-805c3acd4218;;111111118;Vodacom Life 20260324;;;;;CBACK;3;2026-04-14 12:15:59+02;Maureen Ntsoko;2026-03-24 09:54:08+02;2026-03-24 09:54:08+02;;;;;;;;;27719983551;;;;;;;;prepaid life;;;;;</t>
  </si>
  <si>
    <t>ID_4036</t>
  </si>
  <si>
    <t>13865242;4b8000f4-ada6-4cc5-a766-e2d098d76518;;111111118;Vodacom Life 20260324;;;27769342931;;IABDN;</t>
  </si>
  <si>
    <t>13865242;4b8000f4-ada6-4cc5-a766-e2d098d76518;;111111118;Vodacom Life 20260324;;;27769342931;;IABDN;5;2026-05-22 11:31:57+02;system;2026-03-24 09:54:08+02;2026-03-24 09:54:08+02;;;;;;;;;27769342931;;;;;;;;prepaid life;;;;;</t>
  </si>
  <si>
    <t>ID_4037</t>
  </si>
  <si>
    <t>13865413;195f9c52-1bcb-4dd1-bd71-79cac9d15eee;;111111118;Vodacom Life 20260324;;;;;CBACK;5;2026-05-2</t>
  </si>
  <si>
    <t>13865413;195f9c52-1bcb-4dd1-bd71-79cac9d15eee;;111111118;Vodacom Life 20260324;;;;;CBACK;5;2026-05-22 10:58:32+02;Maureen Ntsoko;2026-03-24 09:54:08+02;2026-03-24 09:54:08+02;;;;;;;;;27720325920;;;;;;;;prepaid life;;;;;</t>
  </si>
  <si>
    <t>ID_4038</t>
  </si>
  <si>
    <t>13865243;b244e460-7840-463f-961d-98b122ba1b20;;111111118;Vodacom Life 20260324;;;;;NA;5;2026-05-22 1</t>
  </si>
  <si>
    <t>13865243;b244e460-7840-463f-961d-98b122ba1b20;;111111118;Vodacom Life 20260324;;;;;NA;5;2026-05-22 12:00:31+02;system;2026-03-24 09:54:08+02;2026-03-24 09:54:08+02;;;;;;;;;27769373283;;;;;;;;prepaid life;;;;;</t>
  </si>
  <si>
    <t>ID_4039</t>
  </si>
  <si>
    <t>13865330;265a95c6-50e9-41e5-a686-c10c5557b59c;;111111118;Vodacom Life 20260324;;;;;AA;5;2026-05-22 1</t>
  </si>
  <si>
    <t>13865330;265a95c6-50e9-41e5-a686-c10c5557b59c;;111111118;Vodacom Life 20260324;;;;;AA;5;2026-05-22 11:12:09+02;system;2026-03-24 09:54:08+02;2026-03-24 09:54:08+02;;;;;;;;;27844445259;;;;;;;;prepaid life;;;;;</t>
  </si>
  <si>
    <t>ID_4040</t>
  </si>
  <si>
    <t>13865414;4d78cf76-38d9-424a-a4a7-59eb6ef1018e;;111111118;Vodacom Life 20260324;;;;;AA;5;2026-05-22 1</t>
  </si>
  <si>
    <t>13865414;4d78cf76-38d9-424a-a4a7-59eb6ef1018e;;111111118;Vodacom Life 20260324;;;;;AA;5;2026-05-22 10:58:32+02;system;2026-03-24 09:54:08+02;2026-03-24 09:54:08+02;;;;;;;;;27720477475;;;;;;;;prepaid life;;;;;</t>
  </si>
  <si>
    <t>ID_4041</t>
  </si>
  <si>
    <t>13865331;1f4897ff-5a2c-4392-9a52-b2b855473e1b;;111111118;Vodacom Life 20260324;;;;;A;5;2026-05-22 11</t>
  </si>
  <si>
    <t>13865331;1f4897ff-5a2c-4392-9a52-b2b855473e1b;;111111118;Vodacom Life 20260324;;;;;A;5;2026-05-22 11:12:09+02;Khensane Mabasa;2026-03-24 09:54:08+02;2026-03-24 09:54:08+02;;;;;;;;;27847605245;;;;;;;;prepaid life;;;;;</t>
  </si>
  <si>
    <t>ID_4042</t>
  </si>
  <si>
    <t>13865244;14a0ec1a-182b-4b58-9941-497301973950;;111111118;Vodacom Life 20260324;;;;;NI;1;2026-04-01 1</t>
  </si>
  <si>
    <t>13865244;14a0ec1a-182b-4b58-9941-497301973950;;111111118;Vodacom Life 20260324;;;;;NI;1;2026-04-01 12:59:48+02;Seboifeng Mogola;2026-03-24 09:54:08+02;2026-03-24 09:54:08+02;;;;;;;;;27769706779;;;;;;;;prepaid life;;;;;</t>
  </si>
  <si>
    <t>ID_4043</t>
  </si>
  <si>
    <t>13865415;f104cd3e-459f-4c3d-a190-7d5a64dd7248;;111111118;Vodacom Life 20260324;;;;;NA;5;2026-05-22 1</t>
  </si>
  <si>
    <t>13865415;f104cd3e-459f-4c3d-a190-7d5a64dd7248;;111111118;Vodacom Life 20260324;;;;;NA;5;2026-05-22 10:58:32+02;system;2026-03-24 09:54:08+02;2026-03-24 09:54:08+02;;;;;;;;;27720552731;;;;;;;;prepaid life;;;;;</t>
  </si>
  <si>
    <t>ID_4044</t>
  </si>
  <si>
    <t>13865245;ae7bb7ef-63f2-46ba-a1f2-03f72ba85c6f;;111111118;Vodacom Life 20260324;;;;;AA;5;2026-05-22 1</t>
  </si>
  <si>
    <t>13865245;ae7bb7ef-63f2-46ba-a1f2-03f72ba85c6f;;111111118;Vodacom Life 20260324;;;;;AA;5;2026-05-22 12:00:28+02;system;2026-03-24 09:54:08+02;2026-03-24 09:54:08+02;;;;;;;;;27769711184;;;;;;;;prepaid life;;;;;</t>
  </si>
  <si>
    <t>ID_4045</t>
  </si>
  <si>
    <t>13865332;2cb5e578-7677-4a64-afd0-d1f5a5ad119a;;111111118;Vodacom Life 20260324;;;;;AE;5;2026-05-22 1</t>
  </si>
  <si>
    <t>13865332;2cb5e578-7677-4a64-afd0-d1f5a5ad119a;;111111118;Vodacom Life 20260324;;;;;AE;5;2026-05-22 11:12:09+02;system;2026-03-24 09:54:08+02;2026-03-24 09:54:08+02;;;;;;;;;27606004829;;;;;;;;prepaid life;;;;;</t>
  </si>
  <si>
    <t>ID_4046</t>
  </si>
  <si>
    <t>13865333;a8237fef-dc96-4fa7-8346-e7b9d2bb51f0;;111111118;Vodacom Life 20260324;;;;;AA;5;2026-05-22 1</t>
  </si>
  <si>
    <t>13865333;a8237fef-dc96-4fa7-8346-e7b9d2bb51f0;;111111118;Vodacom Life 20260324;;;;;AA;5;2026-05-22 11:12:15+02;system;2026-03-24 09:54:08+02;2026-03-24 09:54:08+02;;;;;;;;;27606047323;;;;;;;;prepaid life;;;;;</t>
  </si>
  <si>
    <t>ID_4047</t>
  </si>
  <si>
    <t>13865246;d7df78df-03f0-43c8-b139-b1a97f646585;;111111118;Vodacom Life 20260324;;;;;CBACK;1;2026-04-0</t>
  </si>
  <si>
    <t>13865246;d7df78df-03f0-43c8-b139-b1a97f646585;;111111118;Vodacom Life 20260324;;;;;CBACK;1;2026-04-07 12:34:05+02;Esther Ramalete;2026-03-24 09:54:08+02;2026-03-24 09:54:08+02;;;;;;;;;27769889148;;;;;;;;prepaid life;;;;;</t>
  </si>
  <si>
    <t>ID_4048</t>
  </si>
  <si>
    <t>13865417;9df0edd4-8b76-4ac1-8b6b-8df80ec173a1;;111111118;Vodacom Life 20260324;;;;;AE;5;2026-05-22 1</t>
  </si>
  <si>
    <t>13865417;9df0edd4-8b76-4ac1-8b6b-8df80ec173a1;;111111118;Vodacom Life 20260324;;;;;AE;5;2026-05-22 10:56:38+02;system;2026-03-24 09:54:08+02;2026-03-24 09:54:08+02;;;;;;;;;27721352751;;;;;;;;prepaid life;;;;;</t>
  </si>
  <si>
    <t>ID_4049</t>
  </si>
  <si>
    <t xml:space="preserve">13865247;4a258d27-b0ba-4b13-8332-87c41e7b041c;;111111118;Vodacom Life 20260324;;;;;ADC;5;2026-05-22 </t>
  </si>
  <si>
    <t>13865247;4a258d27-b0ba-4b13-8332-87c41e7b041c;;111111118;Vodacom Life 20260324;;;;;ADC;5;2026-05-22 12:00:27+02;system;2026-03-24 09:54:08+02;2026-03-24 09:54:08+02;;;;;;;;;27773899911;;;;;;;;prepaid life;;;;;</t>
  </si>
  <si>
    <t>ID_4050</t>
  </si>
  <si>
    <t>13865334;2ca1107d-159f-46e3-8f5f-4854f5ddaeb4;;111111118;Vodacom Life 20260324;;;;;AE;5;2026-05-22 1</t>
  </si>
  <si>
    <t>13865334;2ca1107d-159f-46e3-8f5f-4854f5ddaeb4;;111111118;Vodacom Life 20260324;;;;;AE;5;2026-05-22 11:44:13+02;system;2026-03-24 09:54:08+02;2026-03-24 09:54:08+02;;;;;;;;;27606329700;;;;;;;;prepaid life;;;;;</t>
  </si>
  <si>
    <t>ID_4051</t>
  </si>
  <si>
    <t>13865418;0548de62-568c-45d0-9860-e208cb8837a6;;111111118;Vodacom Life 20260324;;;27721719190;;OAL;5;</t>
  </si>
  <si>
    <t>13865418;0548de62-568c-45d0-9860-e208cb8837a6;;111111118;Vodacom Life 20260324;;;27721719190;;OAL;5;2026-05-07 12:11:44+02;bongiwe lushaba;2026-03-24 09:54:08+02;2026-03-24 09:54:08+02;;;;;;;;;27721719190;;;;;;;;prepaid life;;;;;</t>
  </si>
  <si>
    <t>ID_4052</t>
  </si>
  <si>
    <t>13865335;de64f7a5-9a52-4ef2-8184-6d938bcabb59;;111111118;Vodacom Life 20260324;;;;;NI;1;2026-03-30 1</t>
  </si>
  <si>
    <t>13865335;de64f7a5-9a52-4ef2-8184-6d938bcabb59;;111111118;Vodacom Life 20260324;;;;;NI;1;2026-03-30 12:12:07+02;Thandile Nokubeni;2026-03-24 09:54:08+02;2026-03-24 09:54:08+02;;;;;;;;;27606710680;;;;;;;;prepaid life;;;;;</t>
  </si>
  <si>
    <t>ID_4053</t>
  </si>
  <si>
    <t>13865248;d0326c58-b221-400a-8232-05fd9b30c795;;111111118;Vodacom Life 20260324;;;;;AE;5;2026-05-22 1</t>
  </si>
  <si>
    <t>13865248;d0326c58-b221-400a-8232-05fd9b30c795;;111111118;Vodacom Life 20260324;;;;;AE;5;2026-05-22 12:00:26+02;system;2026-03-24 09:54:08+02;2026-03-24 09:54:08+02;;;;;;;;;27774122160;;;;;;;;prepaid life;;;;;</t>
  </si>
  <si>
    <t>ID_4054</t>
  </si>
  <si>
    <t>13865419;82162798-5deb-4faa-b7d5-9edfec296cb3;;111111118;Vodacom Life 20260324;;;;;AE;5;2026-05-22 1</t>
  </si>
  <si>
    <t>13865419;82162798-5deb-4faa-b7d5-9edfec296cb3;;111111118;Vodacom Life 20260324;;;;;AE;5;2026-05-22 10:56:38+02;system;2026-03-24 09:54:08+02;2026-03-24 09:54:08+02;;;;;;;;;27721738505;;;;;;;;prepaid life;;;;;</t>
  </si>
  <si>
    <t>ID_4055</t>
  </si>
  <si>
    <t>13865249;0632665c-bbd1-44c6-8134-2abec733110b;;111111118;Vodacom Life 20260324;;;;;CU;5;2026-05-22 1</t>
  </si>
  <si>
    <t>13865249;0632665c-bbd1-44c6-8134-2abec733110b;;111111118;Vodacom Life 20260324;;;;;CU;5;2026-05-22 12:00:23+02;bongiwe lushaba;2026-03-24 09:54:08+02;2026-03-24 09:54:08+02;;;;;;;;;27774729347;;;;;;;;prepaid life;;;;;</t>
  </si>
  <si>
    <t>ID_4056</t>
  </si>
  <si>
    <t>13865336;1629410d-a218-44fa-80e9-7112c7ae2189;;111111118;Vodacom Life 20260324;;;;;DROP;5;2026-05-22</t>
  </si>
  <si>
    <t>13865336;1629410d-a218-44fa-80e9-7112c7ae2189;;111111118;Vodacom Life 20260324;;;;;DROP;5;2026-05-22 11:44:13+02;system;2026-03-24 09:54:08+02;2026-03-24 09:54:08+02;;;;;;;;;27606859314;;;;;;;;prepaid life;;;;;</t>
  </si>
  <si>
    <t>ID_4057</t>
  </si>
  <si>
    <t>13865337;0c453e38-4a6a-47a5-82f2-af0404b1c528;;111111118;Vodacom Life 20260324;;;;;DROP;5;2026-05-22</t>
  </si>
  <si>
    <t>13865337;0c453e38-4a6a-47a5-82f2-af0404b1c528;;111111118;Vodacom Life 20260324;;;;;DROP;5;2026-05-22 11:44:13+02;system;2026-03-24 09:54:08+02;2026-03-24 09:54:08+02;;;;;;;;;27607077935;;;;;;;;prepaid life;;;;;</t>
  </si>
  <si>
    <t>ID_4058</t>
  </si>
  <si>
    <t>13865420;5bea5c97-011e-4f8f-a724-8aee12865bac;;111111118;Vodacom Life 20260324;;;;;NA;5;2026-05-22 1</t>
  </si>
  <si>
    <t>13865420;5bea5c97-011e-4f8f-a724-8aee12865bac;;111111118;Vodacom Life 20260324;;;;;NA;5;2026-05-22 10:56:39+02;system;2026-03-24 09:54:08+02;2026-03-24 09:54:08+02;;;;;;;;;27721752550;;;;;;;;prepaid life;;;;;</t>
  </si>
  <si>
    <t>ID_4059</t>
  </si>
  <si>
    <t xml:space="preserve">13865338;69255314-1a14-4936-a589-866684b85bb5;;111111118;Vodacom Life 20260324;;;;;ADC;5;2026-05-22 </t>
  </si>
  <si>
    <t>13865338;69255314-1a14-4936-a589-866684b85bb5;;111111118;Vodacom Life 20260324;;;;;ADC;5;2026-05-22 11:43:33+02;system;2026-03-24 09:54:08+02;2026-03-24 09:54:08+02;;;;;;;;;27607180602;;;;;;;;prepaid life;;;;;</t>
  </si>
  <si>
    <t>ID_4060</t>
  </si>
  <si>
    <t xml:space="preserve">13865339;34eeda3a-aa75-4084-8a3e-f031599fc1ab;;111111118;Vodacom Life 20260324;;;;;CCB;5;2026-05-22 </t>
  </si>
  <si>
    <t>13865339;34eeda3a-aa75-4084-8a3e-f031599fc1ab;;111111118;Vodacom Life 20260324;;;;;CCB;5;2026-05-22 11:10:41+02;Khensane Mabasa;2026-03-24 09:54:08+02;2026-03-24 09:54:08+02;;;;;;;;;27607481471;;;;;;;;prepaid life;;;;;</t>
  </si>
  <si>
    <t>ID_4061</t>
  </si>
  <si>
    <t>13865421;547d635f-5dd7-459b-aa60-97578efe7cc9;;111111118;Vodacom Life 20260324;;;;;NA;5;2026-05-22 1</t>
  </si>
  <si>
    <t>13865421;547d635f-5dd7-459b-aa60-97578efe7cc9;;111111118;Vodacom Life 20260324;;;;;NA;5;2026-05-22 11:33:48+02;system;2026-03-24 09:54:08+02;2026-03-24 09:54:08+02;;;;;;;;;27721830665;;;;;;;;prepaid life;;;;;</t>
  </si>
  <si>
    <t>ID_4062</t>
  </si>
  <si>
    <t>13865251;52866d90-d370-4b9e-b181-fbc01693d308;;111111118;Vodacom Life 20260324;;;;;NA;5;2026-05-22 1</t>
  </si>
  <si>
    <t>13865251;52866d90-d370-4b9e-b181-fbc01693d308;;111111118;Vodacom Life 20260324;;;;;NA;5;2026-05-22 12:00:22+02;system;2026-03-24 09:54:08+02;2026-03-24 09:54:08+02;;;;;;;;;27774872490;;;;;;;;prepaid life;;;;;</t>
  </si>
  <si>
    <t>ID_4063</t>
  </si>
  <si>
    <t>13865422;fbd762aa-68cb-4bd6-ba5d-e04bd78d1c0d;;111111118;Vodacom Life 20260324;;;;;NA;5;2026-05-22 1</t>
  </si>
  <si>
    <t>13865422;fbd762aa-68cb-4bd6-ba5d-e04bd78d1c0d;;111111118;Vodacom Life 20260324;;;;;NA;5;2026-05-22 11:30:07+02;system;2026-03-24 09:54:08+02;2026-03-24 09:54:08+02;;;;;;;;;27721998099;;;;;;;;prepaid life;;;;;</t>
  </si>
  <si>
    <t>ID_4064</t>
  </si>
  <si>
    <t>13865252;6d68cf27-001c-449c-81d4-07c095990029;;111111118;Vodacom Life 20260324;;;;;AE;5;2026-05-22 1</t>
  </si>
  <si>
    <t>13865252;6d68cf27-001c-449c-81d4-07c095990029;;111111118;Vodacom Life 20260324;;;;;AE;5;2026-05-22 12:00:22+02;system;2026-03-24 09:54:08+02;2026-03-24 09:54:08+02;;;;;;;;;27774967146;;;;;;;;prepaid life;;;;;</t>
  </si>
  <si>
    <t>ID_4065</t>
  </si>
  <si>
    <t>13865423;d5f31cd0-41fe-49b0-9610-a9443e617da0;;111111118;Vodacom Life 20260324;;;;;U;2;2026-04-09 08</t>
  </si>
  <si>
    <t>13865423;d5f31cd0-41fe-49b0-9610-a9443e617da0;;111111118;Vodacom Life 20260324;;;;;U;2;2026-04-09 08:32:47+02;Mahlatse Manamela;2026-03-24 09:54:08+02;2026-03-24 09:54:08+02;;;;;;;;;27722010755;;;;;;;;prepaid life;;;;;</t>
  </si>
  <si>
    <t>ID_4066</t>
  </si>
  <si>
    <t>13865341;887fb384-7c4f-47ca-bdec-a058e8db9f28;;111111118;Vodacom Life 20260324;;;;;U;1;2026-04-01 10</t>
  </si>
  <si>
    <t>13865341;887fb384-7c4f-47ca-bdec-a058e8db9f28;;111111118;Vodacom Life 20260324;;;;;U;1;2026-04-01 10:15:01+02;Thandile Nokubeni;2026-03-24 09:54:08+02;2026-03-24 09:54:08+02;;;;;;;;;27608488657;;;;;;;;prepaid life;;;;;</t>
  </si>
  <si>
    <t>ID_4067</t>
  </si>
  <si>
    <t>13865342;45a04757-ac24-4974-ba6f-0aae7f6ec8fa;;111111118;Vodacom Life 20260324;;;27608832863;;CU;5;2</t>
  </si>
  <si>
    <t>13865342;45a04757-ac24-4974-ba6f-0aae7f6ec8fa;;111111118;Vodacom Life 20260324;;;27608832863;;CU;5;2026-05-22 11:11:34+02;Khensane Mabasa;2026-03-24 09:54:08+02;2026-03-24 09:54:08+02;;;;;;;;;27608832863;;;;;;;;prepaid life;;;;;</t>
  </si>
  <si>
    <t>ID_4068</t>
  </si>
  <si>
    <t>13865253;b7c0e6af-49ed-4042-9e7a-1681f0119a92;;111111118;Vodacom Life 20260324;;;;;AA;5;2026-05-22 1</t>
  </si>
  <si>
    <t>13865253;b7c0e6af-49ed-4042-9e7a-1681f0119a92;;111111118;Vodacom Life 20260324;;;;;AA;5;2026-05-22 12:00:19+02;system;2026-03-24 09:54:08+02;2026-03-24 09:54:08+02;;;;;;;;;27780391238;;;;;;;;prepaid life;;;;;</t>
  </si>
  <si>
    <t>ID_4069</t>
  </si>
  <si>
    <t>13865254;a26db77d-023f-42bc-928d-c95f774c99f0;;111111118;Vodacom Life 20260324;;;;;AA;5;2026-05-22 1</t>
  </si>
  <si>
    <t>13865254;a26db77d-023f-42bc-928d-c95f774c99f0;;111111118;Vodacom Life 20260324;;;;;AA;5;2026-05-22 11:22:16+02;system;2026-03-24 09:54:08+02;2026-03-24 09:54:08+02;;;;;;;;;27785336457;;;;;;;;prepaid life;;;;;</t>
  </si>
  <si>
    <t>ID_4070</t>
  </si>
  <si>
    <t>13865424;d42fac17-7f47-44f8-be04-de6f503ab33d;;111111118;Vodacom Life 20260324;;;;;DROP;5;2026-05-22</t>
  </si>
  <si>
    <t>13865424;d42fac17-7f47-44f8-be04-de6f503ab33d;;111111118;Vodacom Life 20260324;;;;;DROP;5;2026-05-22 11:30:01+02;system;2026-03-24 09:54:08+02;2026-03-24 09:54:08+02;;;;;;;;;27722030177;;;;;;;;prepaid life;;;;;</t>
  </si>
  <si>
    <t>ID_4071</t>
  </si>
  <si>
    <t>13865255;d79848b8-6e20-4023-a84e-85566d1861f4;;111111118;Vodacom Life 20260324;;;;;CU;5;2026-05-11 0</t>
  </si>
  <si>
    <t>13865255;d79848b8-6e20-4023-a84e-85566d1861f4;;111111118;Vodacom Life 20260324;;;;;CU;5;2026-05-11 08:19:19+02;Musiiwa Mary Mabirimisa;2026-03-24 09:54:08+02;2026-03-24 09:54:08+02;;;;;;;;;27790231287;;;;;;;;prepaid life;;;;;</t>
  </si>
  <si>
    <t>ID_4072</t>
  </si>
  <si>
    <t>13865256;590a7bdf-bad3-42ff-8dc5-1866e8647a34;;111111118;Vodacom Life 20260324;;;;;CU;5;2026-05-22 1</t>
  </si>
  <si>
    <t>13865256;590a7bdf-bad3-42ff-8dc5-1866e8647a34;;111111118;Vodacom Life 20260324;;;;;CU;5;2026-05-22 11:22:15+02;Maureen Ntsoko;2026-03-24 09:54:08+02;2026-03-24 09:54:08+02;;;;;;;;;27790285695;;;;;;;;prepaid life;;;;;</t>
  </si>
  <si>
    <t>ID_4073</t>
  </si>
  <si>
    <t>13865343;4e5fac75-c219-4a20-a434-d5d97000c9e5;;111111118;Vodacom Life 20260324;;;;;NA;5;2026-05-22 1</t>
  </si>
  <si>
    <t>13865343;4e5fac75-c219-4a20-a434-d5d97000c9e5;;111111118;Vodacom Life 20260324;;;;;NA;5;2026-05-22 11:10:55+02;system;2026-03-24 09:54:08+02;2026-03-24 09:54:08+02;;;;;;;;;27609401906;;;;;;;;prepaid life;;;;;</t>
  </si>
  <si>
    <t>ID_4074</t>
  </si>
  <si>
    <t xml:space="preserve">13865425;d4c3cec8-60ea-464d-a35d-0e8ab82a2ee9;;111111118;Vodacom Life 20260324;;;;;OAL;3;2026-04-14 </t>
  </si>
  <si>
    <t>13865425;d4c3cec8-60ea-464d-a35d-0e8ab82a2ee9;;111111118;Vodacom Life 20260324;;;;;OAL;3;2026-04-14 12:15:04+02;Esther Ramalete;2026-03-24 09:54:08+02;2026-03-24 09:54:08+02;;;;;;;;;27722320582;;;;;;;;prepaid life;;;;;</t>
  </si>
  <si>
    <t>ID_4075</t>
  </si>
  <si>
    <t>13865344;b5474f30-f8e8-4a04-bb53-fc84a71588ae;;111111118;Vodacom Life 20260324;;;;;CBACK;3;2026-04-1</t>
  </si>
  <si>
    <t>13865344;b5474f30-f8e8-4a04-bb53-fc84a71588ae;;111111118;Vodacom Life 20260324;;;;;CBACK;3;2026-04-14 12:22:14+02;Maureen Ntsoko;2026-03-24 09:54:08+02;2026-03-24 09:54:08+02;;;;;;;;;27612008399;;;;;;;;prepaid life;;;;;</t>
  </si>
  <si>
    <t>ID_4076</t>
  </si>
  <si>
    <t>13865345;194983e9-df7f-4191-af30-a0bd0a3f323e;;111111118;Vodacom Life 20260324;;;;;NA;5;2026-05-22 1</t>
  </si>
  <si>
    <t>13865345;194983e9-df7f-4191-af30-a0bd0a3f323e;;111111118;Vodacom Life 20260324;;;;;NA;5;2026-05-22 11:43:30+02;system;2026-03-24 09:54:08+02;2026-03-24 09:54:08+02;;;;;;;;;27627963374;;;;;;;;prepaid life;;;;;</t>
  </si>
  <si>
    <t>ID_4077</t>
  </si>
  <si>
    <t>13865257;90a73867-3b0d-417f-8e71-d7420cce21fd;;111111118;Vodacom Life 20260324;;;;;CBACK;2;2026-04-0</t>
  </si>
  <si>
    <t>13865257;90a73867-3b0d-417f-8e71-d7420cce21fd;;111111118;Vodacom Life 20260324;;;;;CBACK;2;2026-04-09 08:46:22+02;Maureen Ntsoko;2026-03-24 09:54:08+02;2026-03-24 09:54:08+02;;;;;;;;;27790490591;;;;;;;;prepaid life;;;;;</t>
  </si>
  <si>
    <t>ID_4078</t>
  </si>
  <si>
    <t>13865426;991ae64f-32ca-4806-ae2e-e2afbf22e299;;111111118;Vodacom Life 20260324;;;;;NI;1;2026-04-01 1</t>
  </si>
  <si>
    <t>13865426;991ae64f-32ca-4806-ae2e-e2afbf22e299;;111111118;Vodacom Life 20260324;;;;;NI;1;2026-04-01 11:35:16+02;Esther Ramalete;2026-03-24 09:54:08+02;2026-03-24 09:54:08+02;;;;;;;;;27722567448;;;;;;;;prepaid life;;;;;</t>
  </si>
  <si>
    <t>ID_4079</t>
  </si>
  <si>
    <t>13865427;be2b9ac4-3cce-43d4-8280-0e57cf8d899e;;111111118;Vodacom Life 20260324;;;27722902738;;AE;5;2</t>
  </si>
  <si>
    <t>13865427;be2b9ac4-3cce-43d4-8280-0e57cf8d899e;;111111118;Vodacom Life 20260324;;;27722902738;;AE;5;2026-05-22 11:29:55+02;system;2026-03-24 09:54:08+02;2026-03-24 09:54:08+02;;;;;;;;;27722902738;;;;;;;;prepaid life;;;;;</t>
  </si>
  <si>
    <t>ID_4080</t>
  </si>
  <si>
    <t>13865259;25a8c065-fa1e-4550-aae1-acd807262ff3;;111111118;Vodacom Life 20260324;;;;;AA;5;2026-05-22 1</t>
  </si>
  <si>
    <t>13865259;25a8c065-fa1e-4550-aae1-acd807262ff3;;111111118;Vodacom Life 20260324;;;;;AA;5;2026-05-22 11:21:04+02;system;2026-03-24 09:54:08+02;2026-03-24 09:54:08+02;;;;;;;;;27790995339;;;;;;;;prepaid life;;;;;</t>
  </si>
  <si>
    <t>ID_4081</t>
  </si>
  <si>
    <t>13865346;9d9518a3-9f07-4f23-9bcc-d07b79bb999e;;111111118;Vodacom Life 20260324;;;;;AA;5;2026-05-22 1</t>
  </si>
  <si>
    <t>13865346;9d9518a3-9f07-4f23-9bcc-d07b79bb999e;;111111118;Vodacom Life 20260324;;;;;AA;5;2026-05-22 11:43:24+02;system;2026-03-24 09:54:08+02;2026-03-24 09:54:08+02;;;;;;;;;27636044103;;;;;;;;prepaid life;;;;;</t>
  </si>
  <si>
    <t>ID_4082</t>
  </si>
  <si>
    <t>13865428;8dcc1123-7111-4ae8-b704-24ae53eb3808;;111111118;Vodacom Life 20260324;;;;;AE;5;2026-05-22 1</t>
  </si>
  <si>
    <t>13865428;8dcc1123-7111-4ae8-b704-24ae53eb3808;;111111118;Vodacom Life 20260324;;;;;AE;5;2026-05-22 10:54:10+02;system;2026-03-24 09:54:08+02;2026-03-24 09:54:08+02;;;;;;;;;27723745500;;;;;;;;prepaid life;;;;;</t>
  </si>
  <si>
    <t>ID_4083</t>
  </si>
  <si>
    <t>13865347;b4921818-7dbf-4e22-8fea-31a662f6c3fc;;111111118;Vodacom Life 20260324;;;;;AA;5;2026-05-22 1</t>
  </si>
  <si>
    <t>13865347;b4921818-7dbf-4e22-8fea-31a662f6c3fc;;111111118;Vodacom Life 20260324;;;;;AA;5;2026-05-22 11:43:24+02;system;2026-03-24 09:54:08+02;2026-03-24 09:54:08+02;;;;;;;;;27636763265;;;;;;;;prepaid life;;;;;</t>
  </si>
  <si>
    <t>ID_4084</t>
  </si>
  <si>
    <t>13865260;92c3a5e1-0e8a-4e32-a85c-97893efe30b8;;111111118;Vodacom Life 20260324;;;;;CU;5;2026-05-22 1</t>
  </si>
  <si>
    <t>13865260;92c3a5e1-0e8a-4e32-a85c-97893efe30b8;;111111118;Vodacom Life 20260324;;;;;CU;5;2026-05-22 11:21:11+02;bongiwe lushaba;2026-03-24 09:54:08+02;2026-03-24 09:54:08+02;;;;;;;;;27791054872;;;;;;;;prepaid life;;;;;</t>
  </si>
  <si>
    <t>ID_4085</t>
  </si>
  <si>
    <t>13865429;0ca0e72d-b62c-40c4-9066-f85c64b6f647;;111111118;Vodacom Life 20260324;;;;;DROP;5;2026-05-22</t>
  </si>
  <si>
    <t>13865429;0ca0e72d-b62c-40c4-9066-f85c64b6f647;;111111118;Vodacom Life 20260324;;;;;DROP;5;2026-05-22 10:54:10+02;system;2026-03-24 09:54:08+02;2026-03-24 09:54:08+02;;;;;;;;;27724023616;;;;;;;;prepaid life;;;;;</t>
  </si>
  <si>
    <t>ID_4086</t>
  </si>
  <si>
    <t>13865261;21474d95-a292-45ee-bff3-8e405447398d;;111111118;Vodacom Life 20260324;;;;;N;5;2026-05-22 11</t>
  </si>
  <si>
    <t>13865261;21474d95-a292-45ee-bff3-8e405447398d;;111111118;Vodacom Life 20260324;;;;;N;5;2026-05-22 11:20:58+02;Khensane Mabasa;2026-03-24 09:54:08+02;2026-03-24 09:54:08+02;;;;;;;;;27791056818;;;;;;;;prepaid life;;;;;</t>
  </si>
  <si>
    <t>ID_4087</t>
  </si>
  <si>
    <t>13865348;f5ca5243-b3a6-4eed-bcac-89e976c6e4fb;;111111118;Vodacom Life 20260324;;;;;DNQS;4;2026-05-19</t>
  </si>
  <si>
    <t>13865348;f5ca5243-b3a6-4eed-bcac-89e976c6e4fb;;111111118;Vodacom Life 20260324;;;;;DNQS;4;2026-05-19 10:02:39+02;Maureen Ntsoko;2026-03-24 09:54:08+02;2026-03-24 09:54:08+02;;;;;;;;;27637468834;;;;;;;;prepaid life;;;;;</t>
  </si>
  <si>
    <t>ID_4088</t>
  </si>
  <si>
    <t>13865430;97fd750e-4aa5-4802-8ed7-5de784e7f717;;111111118;Vodacom Life 20260324;;;;;AA;5;2026-05-22 1</t>
  </si>
  <si>
    <t>13865430;97fd750e-4aa5-4802-8ed7-5de784e7f717;;111111118;Vodacom Life 20260324;;;;;AA;5;2026-05-22 10:54:10+02;system;2026-03-24 09:54:08+02;2026-03-24 09:54:08+02;;;;;;;;;27724418007;;;;;;;;prepaid life;;;;;</t>
  </si>
  <si>
    <t>ID_4089</t>
  </si>
  <si>
    <t>13865349;9cd4b1a5-9ac7-49b2-905e-e7bbca6a309c;;111111118;Vodacom Life 20260324;;;;;AE;5;2026-05-22 1</t>
  </si>
  <si>
    <t>13865349;9cd4b1a5-9ac7-49b2-905e-e7bbca6a309c;;111111118;Vodacom Life 20260324;;;;;AE;5;2026-05-22 11:43:24+02;system;2026-03-24 09:54:08+02;2026-03-24 09:54:08+02;;;;;;;;;27637505285;;;;;;;;prepaid life;;;;;</t>
  </si>
  <si>
    <t>ID_4090</t>
  </si>
  <si>
    <t>13865350;6a83cd05-725b-4669-8f5f-f45e7f766270;;111111118;Vodacom Life 20260324;;;;;AA;5;2026-05-22 1</t>
  </si>
  <si>
    <t>13865350;6a83cd05-725b-4669-8f5f-f45e7f766270;;111111118;Vodacom Life 20260324;;;;;AA;5;2026-05-22 11:42:47+02;system;2026-03-24 09:54:08+02;2026-03-24 09:54:08+02;;;;;;;;;27637603560;;;;;;;;prepaid life;;;;;</t>
  </si>
  <si>
    <t>ID_4091</t>
  </si>
  <si>
    <t>13865262;266da937-a702-4f96-a59f-86c714a8bd5f;;111111118;Vodacom Life 20260324;;;27791078664;;AE;5;2</t>
  </si>
  <si>
    <t>13865262;266da937-a702-4f96-a59f-86c714a8bd5f;;111111118;Vodacom Life 20260324;;;27791078664;;AE;5;2026-05-22 11:21:42+02;system;2026-03-24 09:54:08+02;2026-03-24 09:54:08+02;;;;;;;;;27791078664;;;;;;;;prepaid life;;;;;</t>
  </si>
  <si>
    <t>ID_4092</t>
  </si>
  <si>
    <t>13865431;171931f8-82fa-4b8b-b7af-2d905803e437;;111111118;Vodacom Life 20260324;;;;;DROP;5;2026-05-22</t>
  </si>
  <si>
    <t>13865431;171931f8-82fa-4b8b-b7af-2d905803e437;;111111118;Vodacom Life 20260324;;;;;DROP;5;2026-05-22 10:54:10+02;system;2026-03-24 09:54:08+02;2026-03-24 09:54:08+02;;;;;;;;;27724882862;;;;;;;;prepaid life;;;;;</t>
  </si>
  <si>
    <t>ID_4093</t>
  </si>
  <si>
    <t>13865263;99aa5359-df30-4a1b-b8b5-c2c20a51282b;;111111118;Vodacom Life 20260324;;;;;AE;5;2026-05-22 1</t>
  </si>
  <si>
    <t>13865263;99aa5359-df30-4a1b-b8b5-c2c20a51282b;;111111118;Vodacom Life 20260324;;;;;AE;5;2026-05-22 11:22:16+02;system;2026-03-24 09:54:08+02;2026-03-24 09:54:08+02;;;;;;;;;27791181634;;;;;;;;prepaid life;;;;;</t>
  </si>
  <si>
    <t>ID_4094</t>
  </si>
  <si>
    <t>13865351;ad38037a-f991-446b-8479-59d9b463c746;;111111118;Vodacom Life 20260324;;;;;NI;2;2026-04-09 0</t>
  </si>
  <si>
    <t>13865351;ad38037a-f991-446b-8479-59d9b463c746;;111111118;Vodacom Life 20260324;;;;;NI;2;2026-04-09 08:38:34+02;Maureen Ntsoko;2026-03-24 09:54:08+02;2026-03-24 09:54:08+02;;;;;;;;;27637638502;;;;;;;;prepaid life;;;;;</t>
  </si>
  <si>
    <t>ID_4095</t>
  </si>
  <si>
    <t>13865432;32acf668-ed4f-4377-aa4f-5133500ce2fa;;111111118;Vodacom Life 20260324;;;;;DROP;5;2026-05-22</t>
  </si>
  <si>
    <t>13865432;32acf668-ed4f-4377-aa4f-5133500ce2fa;;111111118;Vodacom Life 20260324;;;;;DROP;5;2026-05-22 11:29:55+02;system;2026-03-24 09:54:08+02;2026-03-24 09:54:08+02;;;;;;;;;27725261188;;;;;;;;prepaid life;;;;;</t>
  </si>
  <si>
    <t>ID_4096</t>
  </si>
  <si>
    <t>13865352;693186df-e24b-4668-9393-aba217f20773;;111111118;Vodacom Life 20260324;;;;;NA;5;2026-05-22 1</t>
  </si>
  <si>
    <t>13865352;693186df-e24b-4668-9393-aba217f20773;;111111118;Vodacom Life 20260324;;;;;NA;5;2026-05-22 11:41:35+02;system;2026-03-24 09:54:08+02;2026-03-24 09:54:08+02;;;;;;;;;27637868143;;;;;;;;prepaid life;;;;;</t>
  </si>
  <si>
    <t>ID_4097</t>
  </si>
  <si>
    <t>13865264;45370c9f-1dd9-4b2d-8b69-b49670ecdd89;;111111118;Vodacom Life 20260324;;;;;AA;5;2026-05-22 1</t>
  </si>
  <si>
    <t>13865264;45370c9f-1dd9-4b2d-8b69-b49670ecdd89;;111111118;Vodacom Life 20260324;;;;;AA;5;2026-05-22 12:00:16+02;system;2026-03-24 09:54:08+02;2026-03-24 09:54:08+02;;;;;;;;;27791544054;;;;;;;;prepaid life;;;;;</t>
  </si>
  <si>
    <t>ID_4098</t>
  </si>
  <si>
    <t>13865265;8ac2b2eb-ce42-49d5-94a1-2805686276df;;111111118;Vodacom Life 20260324;;;;;AE;5;2026-05-22 1</t>
  </si>
  <si>
    <t>13865265;8ac2b2eb-ce42-49d5-94a1-2805686276df;;111111118;Vodacom Life 20260324;;;;;AE;5;2026-05-22 12:00:16+02;system;2026-03-24 09:54:08+02;2026-03-24 09:54:08+02;;;;;;;;;27791622220;;;;;;;;prepaid life;;;;;</t>
  </si>
  <si>
    <t>ID_4099</t>
  </si>
  <si>
    <t>13865433;5d0e0272-83ac-472a-84bf-ad5bb0a4b7dd;;111111118;Vodacom Life 20260324;;;27725355522;;CU;5;2</t>
  </si>
  <si>
    <t>13865433;5d0e0272-83ac-472a-84bf-ad5bb0a4b7dd;;111111118;Vodacom Life 20260324;;;27725355522;;CU;5;2026-05-22 10:56:41+02;bongiwe lushaba;2026-03-24 09:54:08+02;2026-03-24 09:54:08+02;;;;;;;;;27725355522;;;;;;;;prepaid life;;;;;</t>
  </si>
  <si>
    <t>ID_4100</t>
  </si>
  <si>
    <t>13865266;8f651692-413d-46d1-94f2-98e3947b7501;;111111118;Vodacom Life 20260324;;;;;AE;5;2026-05-22 1</t>
  </si>
  <si>
    <t>13865266;8f651692-413d-46d1-94f2-98e3947b7501;;111111118;Vodacom Life 20260324;;;;;AE;5;2026-05-22 12:00:15+02;system;2026-03-24 09:54:08+02;2026-03-24 09:54:08+02;;;;;;;;;27792116187;;;;;;;;prepaid life;;;;;</t>
  </si>
  <si>
    <t>ID_4101</t>
  </si>
  <si>
    <t>13865434;f8e7f33e-ec26-44c6-9a20-7cb957c97366;;111111118;Vodacom Life 20260324;;;27725407300;;AA;5;2</t>
  </si>
  <si>
    <t>13865434;f8e7f33e-ec26-44c6-9a20-7cb957c97366;;111111118;Vodacom Life 20260324;;;27725407300;;AA;5;2026-05-07 16:01:19+02;system;2026-03-24 09:54:08+02;2026-03-24 09:54:08+02;;;;;;;;;27725407300;;;;;;;;prepaid life;;;;;</t>
  </si>
  <si>
    <t>ID_4102</t>
  </si>
  <si>
    <t>13865267;a3f62d36-9f1e-4f27-87a3-78c4502a50f9;;111111118;Vodacom Life 20260324;;;;;AA;5;2026-05-22 1</t>
  </si>
  <si>
    <t>13865267;a3f62d36-9f1e-4f27-87a3-78c4502a50f9;;111111118;Vodacom Life 20260324;;;;;AA;5;2026-05-22 12:00:15+02;system;2026-03-24 09:54:08+02;2026-03-24 09:54:08+02;;;;;;;;;27792148543;;;;;;;;prepaid life;;;;;</t>
  </si>
  <si>
    <t>ID_4103</t>
  </si>
  <si>
    <t>13865353;0d09cb7d-307e-4348-abb7-5f670c02487f;;111111118;Vodacom Life 20260324;;;;;DROP;5;2026-05-22</t>
  </si>
  <si>
    <t>13865353;0d09cb7d-307e-4348-abb7-5f670c02487f;;111111118;Vodacom Life 20260324;;;;;DROP;5;2026-05-22 11:41:26+02;system;2026-03-24 09:54:08+02;2026-03-24 09:54:08+02;;;;;;;;;27637901683;;;;;;;;prepaid life;;;;;</t>
  </si>
  <si>
    <t>ID_4104</t>
  </si>
  <si>
    <t xml:space="preserve">13865435;a1cdf0e8-c25f-4e3b-8a92-53fc2ed9a573;;111111118;Vodacom Life 20260324;;;;;TDN;5;2026-05-22 </t>
  </si>
  <si>
    <t>13865435;a1cdf0e8-c25f-4e3b-8a92-53fc2ed9a573;;111111118;Vodacom Life 20260324;;;;;TDN;5;2026-05-22 10:52:24+02;system;2026-03-24 09:54:08+02;2026-03-24 09:54:08+02;;;;;;;;;27725614468;;;;;;;;prepaid life;;;;;</t>
  </si>
  <si>
    <t>ID_4105</t>
  </si>
  <si>
    <t>13865354;f0e953fa-68b3-4100-b6a6-4bb2010a5aa7;;111111118;Vodacom Life 20260324;;;;;NIUP;1;2026-03-26</t>
  </si>
  <si>
    <t>13865354;f0e953fa-68b3-4100-b6a6-4bb2010a5aa7;;111111118;Vodacom Life 20260324;;;;;NIUP;1;2026-03-26 13:54:06+02;Thandile Nokubeni;2026-03-24 09:54:08+02;2026-03-24 09:54:08+02;;;;;;;;;27646071357;;;;;;;;prepaid life;;;;;</t>
  </si>
  <si>
    <t>ID_4106</t>
  </si>
  <si>
    <t>13865355;b996bb48-d8d0-4fba-ae1f-93ce5242c8d7;;111111118;Vodacom Life 20260324;;;;;NI;5;2026-05-22 1</t>
  </si>
  <si>
    <t>13865355;b996bb48-d8d0-4fba-ae1f-93ce5242c8d7;;111111118;Vodacom Life 20260324;;;;;NI;5;2026-05-22 11:41:26+02;Maureen Ntsoko;2026-03-24 09:54:08+02;2026-03-24 09:54:08+02;;;;;;;;;27646332885;;;;;;;;prepaid life;;;;;</t>
  </si>
  <si>
    <t>ID_4107</t>
  </si>
  <si>
    <t>13865356;16a3d9ce-b03f-443d-b1df-53ef846eff45;;111111118;Vodacom Life 20260324;;;;;AA;5;2026-05-22 1</t>
  </si>
  <si>
    <t>13865356;16a3d9ce-b03f-443d-b1df-53ef846eff45;;111111118;Vodacom Life 20260324;;;;;AA;5;2026-05-22 11:39:44+02;system;2026-03-24 09:54:08+02;2026-03-24 09:54:08+02;;;;;;;;;27646580992;;;;;;;;prepaid life;;;;;</t>
  </si>
  <si>
    <t>ID_4108</t>
  </si>
  <si>
    <t>13865268;fe5dc98a-e1f2-4c72-8e3a-84f68298faae;;111111118;Vodacom Life 20260324;;;;;NA;5;2026-05-22 1</t>
  </si>
  <si>
    <t>13865268;fe5dc98a-e1f2-4c72-8e3a-84f68298faae;;111111118;Vodacom Life 20260324;;;;;NA;5;2026-05-22 11:57:43+02;system;2026-03-24 09:54:08+02;2026-03-24 09:54:08+02;;;;;;;;;27792336376;;;;;;;;prepaid life;;;;;</t>
  </si>
  <si>
    <t>ID_4109</t>
  </si>
  <si>
    <t>13865437;7a1fdb6f-89da-49f0-b063-b00c8c216caf;;111111118;Vodacom Life 20260324;;;;;DROP;5;2026-05-22</t>
  </si>
  <si>
    <t>13865437;7a1fdb6f-89da-49f0-b063-b00c8c216caf;;111111118;Vodacom Life 20260324;;;;;DROP;5;2026-05-22 10:52:24+02;system;2026-03-24 09:54:08+02;2026-03-24 09:54:08+02;;;;;;;;;27726276939;;;;;;;;prepaid life;;;;;</t>
  </si>
  <si>
    <t>ID_4110</t>
  </si>
  <si>
    <t>13865269;e2f953ff-d9ee-4f5c-aa3d-78af36eb94a0;;111111118;Vodacom Life 20260324;;;27792699323;;AA;5;2</t>
  </si>
  <si>
    <t>13865269;e2f953ff-d9ee-4f5c-aa3d-78af36eb94a0;;111111118;Vodacom Life 20260324;;;27792699323;;AA;5;2026-05-22 11:55:28+02;system;2026-03-24 09:54:08+02;2026-03-24 09:54:08+02;;;;;;;;;27792699323;;;;;;;;prepaid life;;;;;</t>
  </si>
  <si>
    <t>ID_4111</t>
  </si>
  <si>
    <t>13865357;30d928ed-ac0c-4c29-880d-a1f3428aff11;;111111118;Vodacom Life 20260324;;;;;DROP;5;2026-05-22</t>
  </si>
  <si>
    <t>13865357;30d928ed-ac0c-4c29-880d-a1f3428aff11;;111111118;Vodacom Life 20260324;;;;;DROP;5;2026-05-22 11:08:38+02;system;2026-03-24 09:54:08+02;2026-03-24 09:54:08+02;;;;;;;;;27646725602;;;;;;;;prepaid life;;;;;</t>
  </si>
  <si>
    <t>ID_4112</t>
  </si>
  <si>
    <t>13865438;fe840d9a-d56b-4d6e-b3e6-213aaf4eca5d;;111111118;Vodacom Life 20260324;;;;;NA;5;2026-05-22 1</t>
  </si>
  <si>
    <t>13865438;fe840d9a-d56b-4d6e-b3e6-213aaf4eca5d;;111111118;Vodacom Life 20260324;;;;;NA;5;2026-05-22 11:29:40+02;system;2026-03-24 09:54:08+02;2026-03-24 09:54:08+02;;;;;;;;;27726569298;;;;;;;;prepaid life;;;;;</t>
  </si>
  <si>
    <t>ID_4113</t>
  </si>
  <si>
    <t>13865439;e4e49038-2615-4017-97f3-ae51ab0cf86a;;111111118;Vodacom Life 20260324;;;;;AA;5;2026-05-22 1</t>
  </si>
  <si>
    <t>13865439;e4e49038-2615-4017-97f3-ae51ab0cf86a;;111111118;Vodacom Life 20260324;;;;;AA;5;2026-05-22 11:29:40+02;system;2026-03-24 09:54:08+02;2026-03-24 09:54:08+02;;;;;;;;;27726590981;;;;;;;;prepaid life;;;;;</t>
  </si>
  <si>
    <t>ID_4114</t>
  </si>
  <si>
    <t>13865358;9d3a2424-9080-4e7c-97c2-972eb7f83762;;111111118;Vodacom Life 20260324;;;27646906904;;AA;5;2</t>
  </si>
  <si>
    <t>13865358;9d3a2424-9080-4e7c-97c2-972eb7f83762;;111111118;Vodacom Life 20260324;;;27646906904;;AA;5;2026-05-22 11:08:38+02;system;2026-03-24 09:54:08+02;2026-03-24 09:54:08+02;;;;;;;;;27646906904;;;;;;;;prepaid life;;;;;</t>
  </si>
  <si>
    <t>ID_4115</t>
  </si>
  <si>
    <t>13865270;74d82b3a-c413-4c99-9de6-501075f0e0c1;;111111118;Vodacom Life 20260324;;;;;NA;5;2026-05-22 1</t>
  </si>
  <si>
    <t>13865270;74d82b3a-c413-4c99-9de6-501075f0e0c1;;111111118;Vodacom Life 20260324;;;;;NA;5;2026-05-22 11:55:28+02;system;2026-03-24 09:54:08+02;2026-03-24 09:54:08+02;;;;;;;;;27792718092;;;;;;;;prepaid life;;;;;</t>
  </si>
  <si>
    <t>ID_4116</t>
  </si>
  <si>
    <t>13865440;6acbabf6-13d6-4f63-bdfd-ffd1b5ab7a4d;;111111118;Vodacom Life 20260324;;;;;DROP;5;2026-05-22</t>
  </si>
  <si>
    <t>13865440;6acbabf6-13d6-4f63-bdfd-ffd1b5ab7a4d;;111111118;Vodacom Life 20260324;;;;;DROP;5;2026-05-22 10:50:37+02;system;2026-03-24 09:54:08+02;2026-03-24 09:54:08+02;;;;;;;;;27726645698;;;;;;;;prepaid life;;;;;</t>
  </si>
  <si>
    <t>ID_4117</t>
  </si>
  <si>
    <t>13865271;2a14a2f1-1a5c-49d4-98ae-f9d541428ec5;;111111118;Vodacom Life 20260324;;;;;AE;5;2026-05-22 1</t>
  </si>
  <si>
    <t>13865271;2a14a2f1-1a5c-49d4-98ae-f9d541428ec5;;111111118;Vodacom Life 20260324;;;;;AE;5;2026-05-22 11:55:28+02;system;2026-03-24 09:54:08+02;2026-03-24 09:54:08+02;;;;;;;;;27792938150;;;;;;;;prepaid life;;;;;</t>
  </si>
  <si>
    <t>ID_4118</t>
  </si>
  <si>
    <t>13865359;f6001ce3-fc90-4d1f-baa3-51e22ab82fee;;111111118;Vodacom Life 20260324;;;;;U;3;2026-04-14 12</t>
  </si>
  <si>
    <t>13865359;f6001ce3-fc90-4d1f-baa3-51e22ab82fee;;111111118;Vodacom Life 20260324;;;;;U;3;2026-04-14 12:20:49+02;Esther Ramalete;2026-03-24 09:54:08+02;2026-03-24 09:54:08+02;;;;;;;;;27646968075;;;;;;;;prepaid life;;;;;</t>
  </si>
  <si>
    <t>ID_4119</t>
  </si>
  <si>
    <t>13865441;840925af-aa48-4a71-a494-0d72e05a4d48;;111111118;Vodacom Life 20260324;;;;;CBACK;2;2026-04-0</t>
  </si>
  <si>
    <t>13865441;840925af-aa48-4a71-a494-0d72e05a4d48;;111111118;Vodacom Life 20260324;;;;;CBACK;2;2026-04-09 08:30:33+02;Thandile Nokubeni;2026-03-24 09:54:08+02;2026-03-24 09:54:08+02;;;;;;;;;27726724824;;;;;;;;prepaid life;;;;;</t>
  </si>
  <si>
    <t>ID_4120</t>
  </si>
  <si>
    <t>13865360;36432422-3b6a-402b-8a02-48f3fd197ae1;;111111118;Vodacom Life 20260324;;;27647387881;;CU;6;2</t>
  </si>
  <si>
    <t>13865360;36432422-3b6a-402b-8a02-48f3fd197ae1;;111111118;Vodacom Life 20260324;;;27647387881;;CU;6;2026-05-25 14:55:00+02;system;2026-03-24 09:54:08+02;2026-03-24 09:54:08+02;;;;;;;;;27647387881;;;;;;;;prepaid life;;;;;</t>
  </si>
  <si>
    <t>ID_4121</t>
  </si>
  <si>
    <t>13865272;a2abc3ee-ebd3-489e-b231-c7e6d519ecee;;111111118;Vodacom Life 20260324;;;;;U;3;2026-04-14 12</t>
  </si>
  <si>
    <t>13865272;a2abc3ee-ebd3-489e-b231-c7e6d519ecee;;111111118;Vodacom Life 20260324;;;;;U;3;2026-04-14 12:31:18+02;Esther Ramalete;2026-03-24 09:54:08+02;2026-03-24 09:54:08+02;;;;;;;;;27793059212;;;;;;;;prepaid life;;;;;</t>
  </si>
  <si>
    <t>ID_4122</t>
  </si>
  <si>
    <t>13865442;ba4c1651-47a5-4b8e-b23a-ac9d48895d23;;111111118;Vodacom Life 20260324;;;;;NA;5;2026-05-22 1</t>
  </si>
  <si>
    <t>13865442;ba4c1651-47a5-4b8e-b23a-ac9d48895d23;;111111118;Vodacom Life 20260324;;;;;NA;5;2026-05-22 10:50:37+02;system;2026-03-24 09:54:08+02;2026-03-24 09:54:08+02;;;;;;;;;27726764227;;;;;;;;prepaid life;;;;;</t>
  </si>
  <si>
    <t>ID_4123</t>
  </si>
  <si>
    <t>13865273;3af67be3-9d34-4fb7-ba06-8f0800af6dd2;;111111118;Vodacom Life 20260324;;;;;DROP;5;2026-05-22</t>
  </si>
  <si>
    <t>13865273;3af67be3-9d34-4fb7-ba06-8f0800af6dd2;;111111118;Vodacom Life 20260324;;;;;DROP;5;2026-05-22 11:55:28+02;system;2026-03-24 09:54:08+02;2026-03-24 09:54:08+02;;;;;;;;;27793153925;;;;;;;;prepaid life;;;;;</t>
  </si>
  <si>
    <t>ID_4124</t>
  </si>
  <si>
    <t>13865361;864114ab-5334-4ea8-a55b-803b467a4b84;;111111118;Vodacom Life 20260324;;;;;AE;5;2026-05-22 1</t>
  </si>
  <si>
    <t>13865361;864114ab-5334-4ea8-a55b-803b467a4b84;;111111118;Vodacom Life 20260324;;;;;AE;5;2026-05-22 11:09:31+02;system;2026-03-24 09:54:08+02;2026-03-24 09:54:08+02;;;;;;;;;27648128747;;;;;;;;prepaid life;;;;;</t>
  </si>
  <si>
    <t>ID_4125</t>
  </si>
  <si>
    <t>13865443;16bd4a6d-b662-4230-a6a7-130e1a6164c0;;111111118;Vodacom Life 20260324;;;;;AE;5;2026-05-22 1</t>
  </si>
  <si>
    <t>13865443;16bd4a6d-b662-4230-a6a7-130e1a6164c0;;111111118;Vodacom Life 20260324;;;;;AE;5;2026-05-22 10:50:26+02;system;2026-03-24 09:54:08+02;2026-03-24 09:54:08+02;;;;;;;;;27726787142;;;;;;;;prepaid life;;;;;</t>
  </si>
  <si>
    <t>ID_4126</t>
  </si>
  <si>
    <t>13865362;0d9c5100-1a37-4a63-be6b-4a6697cfb6ee;;111111118;Vodacom Life 20260324;;;;;DROP;5;2026-05-22</t>
  </si>
  <si>
    <t>13865362;0d9c5100-1a37-4a63-be6b-4a6697cfb6ee;;111111118;Vodacom Life 20260324;;;;;DROP;5;2026-05-22 11:07:29+02;system;2026-03-24 09:54:08+02;2026-03-24 09:54:08+02;;;;;;;;;27648780753;;;;;;;;prepaid life;;;;;</t>
  </si>
  <si>
    <t>ID_4127</t>
  </si>
  <si>
    <t>13865274;26bdd8d1-c0ce-4df4-b0fd-05e972c8f4a4;;111111118;Vodacom Life 20260324;;;;;CU;5;2026-05-22 1</t>
  </si>
  <si>
    <t>13865274;26bdd8d1-c0ce-4df4-b0fd-05e972c8f4a4;;111111118;Vodacom Life 20260324;;;;;CU;5;2026-05-22 11:19:29+02;Khensane Mabasa;2026-03-24 09:54:08+02;2026-03-24 09:54:08+02;;;;;;;;;27793709445;;;;;;;;prepaid life;;;;;</t>
  </si>
  <si>
    <t>ID_4128</t>
  </si>
  <si>
    <t>13865444;7568e76b-72c7-4519-a99e-3050237d1944;;111111118;Vodacom Life 20260324;;;;;AE;5;2026-05-22 1</t>
  </si>
  <si>
    <t>13865444;7568e76b-72c7-4519-a99e-3050237d1944;;111111118;Vodacom Life 20260324;;;;;AE;5;2026-05-22 10:50:39+02;system;2026-03-24 09:54:08+02;2026-03-24 09:54:08+02;;;;;;;;;27726808725;;;;;;;;prepaid life;;;;;</t>
  </si>
  <si>
    <t>ID_4129</t>
  </si>
  <si>
    <t>13865275;4ea09c6b-712e-4e83-8d4a-31c537d833e9;;111111118;Vodacom Life 20260324;;;;;NA;5;2026-05-22 1</t>
  </si>
  <si>
    <t>13865275;4ea09c6b-712e-4e83-8d4a-31c537d833e9;;111111118;Vodacom Life 20260324;;;;;NA;5;2026-05-22 11:19:29+02;system;2026-03-24 09:54:08+02;2026-03-24 09:54:08+02;;;;;;;;;27793811945;;;;;;;;prepaid life;;;;;</t>
  </si>
  <si>
    <t>ID_4130</t>
  </si>
  <si>
    <t>13865363;5532985f-38ba-4aa1-9117-5482be981989;;111111118;Vodacom Life 20260324;;;;;NI;1;2026-04-01 1</t>
  </si>
  <si>
    <t>13865363;5532985f-38ba-4aa1-9117-5482be981989;;111111118;Vodacom Life 20260324;;;;;NI;1;2026-04-01 10:12:06+02;Musiiwa Mary Mabirimisa;2026-03-24 09:54:08+02;2026-03-24 09:54:08+02;;;;;;;;;27649784827;;;;;;;;prepaid life;;;;;</t>
  </si>
  <si>
    <t>ID_4131</t>
  </si>
  <si>
    <t>13865445;80973395-d670-4053-9579-f77faaf4840b;;111111118;Vodacom Life 20260324;;;;;AA;5;2026-05-22 1</t>
  </si>
  <si>
    <t>13865445;80973395-d670-4053-9579-f77faaf4840b;;111111118;Vodacom Life 20260324;;;;;AA;5;2026-05-22 11:29:39+02;system;2026-03-24 09:54:08+02;2026-03-24 09:54:08+02;;;;;;;;;27727031136;;;;;;;;prepaid life;;;;;</t>
  </si>
  <si>
    <t>ID_4132</t>
  </si>
  <si>
    <t>13865364;85812e25-f945-40d4-970c-cb962088de53;;111111118;Vodacom Life 20260324;;;;;AA;5;2026-05-22 1</t>
  </si>
  <si>
    <t>13865364;85812e25-f945-40d4-970c-cb962088de53;;111111118;Vodacom Life 20260324;;;;;AA;5;2026-05-22 11:07:29+02;system;2026-03-24 09:54:08+02;2026-03-24 09:54:08+02;;;;;;;;;27649852386;;;;;;;;prepaid life;;;;;</t>
  </si>
  <si>
    <t>ID_4133</t>
  </si>
  <si>
    <t>13865276;0915a33f-ac91-4c6e-8951-0ca7119372a6;;111111118;Vodacom Life 20260324;;;;;AE;5;2026-05-22 1</t>
  </si>
  <si>
    <t>13865276;0915a33f-ac91-4c6e-8951-0ca7119372a6;;111111118;Vodacom Life 20260324;;;;;AE;5;2026-05-22 11:19:28+02;system;2026-03-24 09:54:08+02;2026-03-24 09:54:08+02;;;;;;;;;27793984279;;;;;;;;prepaid life;;;;;</t>
  </si>
  <si>
    <t>ID_4134</t>
  </si>
  <si>
    <t>13865446;56a43957-4188-4dc8-91fc-bfcc839c1f3b;;111111118;Vodacom Life 20260324;;;;;DROP;5;2026-05-22</t>
  </si>
  <si>
    <t>13865446;56a43957-4188-4dc8-91fc-bfcc839c1f3b;;111111118;Vodacom Life 20260324;;;;;DROP;5;2026-05-22 11:29:00+02;system;2026-03-24 09:54:08+02;2026-03-24 09:54:08+02;;;;;;;;;27727038084;;;;;;;;prepaid life;;;;;</t>
  </si>
  <si>
    <t>ID_4135</t>
  </si>
  <si>
    <t>13865277;cb994437-d2f2-450c-b22a-c823642a19bf;;111111118;Vodacom Life 20260324;;;;;AA;5;2026-05-22 1</t>
  </si>
  <si>
    <t>13865277;cb994437-d2f2-450c-b22a-c823642a19bf;;111111118;Vodacom Life 20260324;;;;;AA;5;2026-05-22 11:19:30+02;system;2026-03-24 09:54:08+02;2026-03-24 09:54:08+02;;;;;;;;;27794040574;;;;;;;;prepaid life;;;;;</t>
  </si>
  <si>
    <t>ID_4136</t>
  </si>
  <si>
    <t>13865365;4d581f43-0494-4513-82d7-9f724158141b;;111111118;Vodacom Life 20260324;;;27660431966;;IABDN;</t>
  </si>
  <si>
    <t>13865365;4d581f43-0494-4513-82d7-9f724158141b;;111111118;Vodacom Life 20260324;;;27660431966;;IABDN;5;2026-05-22 11:07:46+02;system;2026-03-24 09:54:08+02;2026-03-24 09:54:08+02;;;;;;;;;27660431966;;;;;;;;prepaid life;;;;;</t>
  </si>
  <si>
    <t>ID_4137</t>
  </si>
  <si>
    <t>13865447;028a3225-1525-471d-814d-7fea5c9f673c;;111111118;Vodacom Life 20260324;;;;;AE;5;2026-05-22 1</t>
  </si>
  <si>
    <t>13865447;028a3225-1525-471d-814d-7fea5c9f673c;;111111118;Vodacom Life 20260324;;;;;AE;5;2026-05-22 11:29:00+02;system;2026-03-24 09:54:08+02;2026-03-24 09:54:08+02;;;;;;;;;27727066931;;;;;;;;prepaid life;;;;;</t>
  </si>
  <si>
    <t>ID_4138</t>
  </si>
  <si>
    <t>13865278;986f5099-8b0a-4e5a-9a46-516a75fa3d9c;;111111118;Vodacom Life 20260324;;;27794074415;;DROP;5</t>
  </si>
  <si>
    <t>13865278;986f5099-8b0a-4e5a-9a46-516a75fa3d9c;;111111118;Vodacom Life 20260324;;;27794074415;;DROP;5;2026-05-22 11:54:18+02;system;2026-03-24 09:54:08+02;2026-03-24 09:54:08+02;;;;;;;;;27794074415;;;;;;;;prepaid life;;;;;</t>
  </si>
  <si>
    <t>ID_4139</t>
  </si>
  <si>
    <t>13865448;42ed4729-045e-48c4-97f8-5c0bc587bfd7;;111111118;Vodacom Life 20260324;;;27727174447;;AA;5;2</t>
  </si>
  <si>
    <t>13865448;42ed4729-045e-48c4-97f8-5c0bc587bfd7;;111111118;Vodacom Life 20260324;;;27727174447;;AA;5;2026-05-22 11:29:00+02;system;2026-03-24 09:54:08+02;2026-03-24 09:54:08+02;;;;;;;;;27727174447;;;;;;;;prepaid life;;;;;</t>
  </si>
  <si>
    <t>ID_4140</t>
  </si>
  <si>
    <t>13865366;bba040df-821e-4dd1-aa43-465b9c425a02;;111111118;Vodacom Life 20260324;;;;;DNQF;4;2026-04-08</t>
  </si>
  <si>
    <t>13865366;bba040df-821e-4dd1-aa43-465b9c425a02;;111111118;Vodacom Life 20260324;;;;;DNQF;4;2026-04-08 12:08:51+02;Thandile Nokubeni;2026-03-24 09:54:08+02;2026-03-24 09:54:08+02;;;;;;;;;27660702630;;;;;;;;prepaid life;;;;;</t>
  </si>
  <si>
    <t>ID_4141</t>
  </si>
  <si>
    <t>13865449;a945e6c4-424d-4378-99b1-6e676321912c;;111111118;Vodacom Life 20260324;;;;;AE;5;2026-05-22 1</t>
  </si>
  <si>
    <t>13865449;a945e6c4-424d-4378-99b1-6e676321912c;;111111118;Vodacom Life 20260324;;;;;AE;5;2026-05-22 11:28:18+02;system;2026-03-24 09:54:08+02;2026-03-24 09:54:08+02;;;;;;;;;27727190428;;;;;;;;prepaid life;;;;;</t>
  </si>
  <si>
    <t>ID_4142</t>
  </si>
  <si>
    <t>13865367;f3ff14ca-5e58-46bf-8746-c4adfe2030e6;;111111118;Vodacom Life 20260324;;;;;SELECTED;2;2026-0</t>
  </si>
  <si>
    <t>13865367;f3ff14ca-5e58-46bf-8746-c4adfe2030e6;;111111118;Vodacom Life 20260324;;;;;SELECTED;2;2026-04-01 10:12:03+02;system;2026-03-24 09:54:08+02;2026-03-24 09:54:08+02;;;;;;;;;27661230830;;;;;;;;prepaid life;;;;;</t>
  </si>
  <si>
    <t>ID_4143</t>
  </si>
  <si>
    <t>13865279;a7702b01-637c-4bd8-b2fe-8fc752c0d97e;;111111118;Vodacom Life 20260324;;;;;DROP;5;2026-05-22</t>
  </si>
  <si>
    <t>13865279;a7702b01-637c-4bd8-b2fe-8fc752c0d97e;;111111118;Vodacom Life 20260324;;;;;DROP;5;2026-05-22 11:53:07+02;system;2026-03-24 09:54:08+02;2026-03-24 09:54:08+02;;;;;;;;;27794157565;;;;;;;;prepaid life;;;;;</t>
  </si>
  <si>
    <t>ID_4144</t>
  </si>
  <si>
    <t>13865280;def8a08d-c406-4030-a559-f69fce346c86;;111111118;Vodacom Life 20260324;;;;;NI;2;2026-04-08 1</t>
  </si>
  <si>
    <t>13865280;def8a08d-c406-4030-a559-f69fce346c86;;111111118;Vodacom Life 20260324;;;;;NI;2;2026-04-08 16:21:09+02;Musiiwa Mary Mabirimisa;2026-03-24 09:54:08+02;2026-03-24 09:54:08+02;;;;;;;;;27794372196;;;;;;;;prepaid life;;;;;</t>
  </si>
  <si>
    <t>ID_4145</t>
  </si>
  <si>
    <t>13865450;f72fc482-bacd-453c-bcca-ac892d8b13ec;;111111118;Vodacom Life 20260324;;;;;AA;5;2026-05-22 1</t>
  </si>
  <si>
    <t>13865450;f72fc482-bacd-453c-bcca-ac892d8b13ec;;111111118;Vodacom Life 20260324;;;;;AA;5;2026-05-22 10:49:06+02;system;2026-03-24 09:54:08+02;2026-03-24 09:54:08+02;;;;;;;;;27727407441;;;;;;;;prepaid life;;;;;</t>
  </si>
  <si>
    <t>ID_4146</t>
  </si>
  <si>
    <t>13865281;fc298267-b6d3-4425-920a-1b970375f234;;111111118;Vodacom Life 20260324;;;;;AA;5;2026-05-22 1</t>
  </si>
  <si>
    <t>13865281;fc298267-b6d3-4425-920a-1b970375f234;;111111118;Vodacom Life 20260324;;;;;AA;5;2026-05-22 11:53:02+02;system;2026-03-24 09:54:08+02;2026-03-24 09:54:08+02;;;;;;;;;27794509854;;;;;;;;prepaid life;;;;;</t>
  </si>
  <si>
    <t>ID_4147</t>
  </si>
  <si>
    <t>13865368;ae64dec6-a1c0-4af3-a4b5-9a17214498b4;;111111118;Vodacom Life 20260324;;;;;NA;5;2026-05-22 1</t>
  </si>
  <si>
    <t>13865368;ae64dec6-a1c0-4af3-a4b5-9a17214498b4;;111111118;Vodacom Life 20260324;;;;;NA;5;2026-05-22 11:08:38+02;system;2026-03-24 09:54:08+02;2026-03-24 09:54:08+02;;;;;;;;;27661838914;;;;;;;;prepaid life;;;;;</t>
  </si>
  <si>
    <t>ID_4148</t>
  </si>
  <si>
    <t>13865451;1442bdf4-fdb3-4ebb-9998-1ade05ba1e46;;111111118;Vodacom Life 20260324;;;;;AF;1;2026-03-26 1</t>
  </si>
  <si>
    <t>13865451;1442bdf4-fdb3-4ebb-9998-1ade05ba1e46;;111111118;Vodacom Life 20260324;;;;;AF;1;2026-03-26 12:01:54+02;Seboifeng Mogola;2026-03-24 09:54:08+02;2026-03-24 09:54:08+02;;;;;;;;;27727495990;;;;;;;;prepaid life;;;;;</t>
  </si>
  <si>
    <t>ID_4149</t>
  </si>
  <si>
    <t>13865369;8e2ab102-1dea-46cb-baed-51a41fc5801f;;111111118;Vodacom Life 20260324;;;27661971034;;IABDN;</t>
  </si>
  <si>
    <t>13865369;8e2ab102-1dea-46cb-baed-51a41fc5801f;;111111118;Vodacom Life 20260324;;;27661971034;;IABDN;5;2026-05-22 11:39:04+02;system;2026-03-24 09:54:08+02;2026-03-24 09:54:08+02;;;;;;;;;27661971034;;;;;;;;prepaid life;;;;;</t>
  </si>
  <si>
    <t>ID_4150</t>
  </si>
  <si>
    <t>13865282;d95de871-7b15-4b84-bcdd-683ddf69e3ab;;111111118;Vodacom Life 20260324;;;;;AA;5;2026-05-22 1</t>
  </si>
  <si>
    <t>13865282;d95de871-7b15-4b84-bcdd-683ddf69e3ab;;111111118;Vodacom Life 20260324;;;;;AA;5;2026-05-22 11:52:00+02;system;2026-03-24 09:54:08+02;2026-03-24 09:54:08+02;;;;;;;;;27794577142;;;;;;;;prepaid life;;;;;</t>
  </si>
  <si>
    <t>ID_4151</t>
  </si>
  <si>
    <t>13865283;f32e6de5-bd43-470e-84a5-16788894b83f;;111111118;Vodacom Life 20260324;;;;;AA;5;2026-05-22 1</t>
  </si>
  <si>
    <t>13865283;f32e6de5-bd43-470e-84a5-16788894b83f;;111111118;Vodacom Life 20260324;;;;;AA;5;2026-05-22 11:17:38+02;system;2026-03-24 09:54:08+02;2026-03-24 09:54:08+02;;;;;;;;;27794794094;;;;;;;;prepaid life;;;;;</t>
  </si>
  <si>
    <t>ID_4152</t>
  </si>
  <si>
    <t>13865452;200071ec-8b43-4dbc-8755-a3e9273e3297;;111111118;Vodacom Life 20260324;;;;;DNCLIFE;1;2026-04</t>
  </si>
  <si>
    <t>13865452;200071ec-8b43-4dbc-8755-a3e9273e3297;;111111118;Vodacom Life 20260324;;;;;DNCLIFE;1;2026-04-01 12:52:25+02;Maureen Ntsoko;2026-03-24 09:54:08+02;2026-03-24 09:54:08+02;;;;;;;;;27728053001;;;;;;;;prepaid life;;;;;</t>
  </si>
  <si>
    <t>ID_4153</t>
  </si>
  <si>
    <t>13865284;a99d8ddb-5820-42d3-abd2-09503165b350;;111111118;Vodacom Life 20260324;;;27796353461;;CU;6;2</t>
  </si>
  <si>
    <t>13865284;a99d8ddb-5820-42d3-abd2-09503165b350;;111111118;Vodacom Life 20260324;;;27796353461;;CU;6;2026-05-22 11:28:30+02;Maureen Ntsoko;2026-03-24 09:54:08+02;2026-03-24 09:54:08+02;;;;;;;;;27796353461;;;;;;;;prepaid life;;;;;</t>
  </si>
  <si>
    <t>ID_4154</t>
  </si>
  <si>
    <t>13865285;b4b931fe-5baf-455b-92bb-403cc4f34c0f;;111111118;Vodacom Life 20260324;;;;;CBACK;5;2026-05-2</t>
  </si>
  <si>
    <t>13865285;b4b931fe-5baf-455b-92bb-403cc4f34c0f;;111111118;Vodacom Life 20260324;;;;;CBACK;5;2026-05-22 11:17:38+02;Maureen Ntsoko;2026-03-24 09:54:08+02;2026-03-24 09:54:08+02;;;;;;;;;27796396458;;;;;;;;prepaid life;;;;;</t>
  </si>
  <si>
    <t>ID_4155</t>
  </si>
  <si>
    <t>13865370;858eb0ec-61cf-42f8-8bc3-9c9ab27510ea;;111111118;Vodacom Life 20260324;;;;;AA;5;2026-05-22 1</t>
  </si>
  <si>
    <t>13865370;858eb0ec-61cf-42f8-8bc3-9c9ab27510ea;;111111118;Vodacom Life 20260324;;;;;AA;5;2026-05-22 11:37:07+02;system;2026-03-24 09:54:08+02;2026-03-24 09:54:08+02;;;;;;;;;27662495619;;;;;;;;prepaid life;;;;;</t>
  </si>
  <si>
    <t>ID_4156</t>
  </si>
  <si>
    <t>13865453;1f384a3f-4477-4453-96af-e1f907268c7a;;111111118;Vodacom Life 20260324;;;;;NI;4;2026-05-07 1</t>
  </si>
  <si>
    <t>13865453;1f384a3f-4477-4453-96af-e1f907268c7a;;111111118;Vodacom Life 20260324;;;;;NI;4;2026-05-07 11:55:54+02;Musiiwa Mary Mabirimisa;2026-03-24 09:54:08+02;2026-03-24 09:54:08+02;;;;;;;;;27728524757;;;;;;;;prepaid life;;;;;</t>
  </si>
  <si>
    <t>ID_4157</t>
  </si>
  <si>
    <t>13865371;af89c245-9eda-4d3d-8653-40a9b92c9ec6;;111111118;Vodacom Life 20260324;;;;;NA;5;2026-05-22 1</t>
  </si>
  <si>
    <t>13865371;af89c245-9eda-4d3d-8653-40a9b92c9ec6;;111111118;Vodacom Life 20260324;;;;;NA;5;2026-05-22 11:36:50+02;system;2026-03-24 09:54:08+02;2026-03-24 09:54:08+02;;;;;;;;;27663400407;;;;;;;;prepaid life;;;;;</t>
  </si>
  <si>
    <t>ID_4158</t>
  </si>
  <si>
    <t>13865286;205beece-9c79-4484-99b7-8449e89b7f04;;111111118;Vodacom Life 20260324;;;;;AA;5;2026-05-22 1</t>
  </si>
  <si>
    <t>13865286;205beece-9c79-4484-99b7-8449e89b7f04;;111111118;Vodacom Life 20260324;;;;;AA;5;2026-05-22 11:19:04+02;system;2026-03-24 09:54:08+02;2026-03-24 09:54:08+02;;;;;;;;;27796684843;;;;;;;;prepaid life;;;;;</t>
  </si>
  <si>
    <t>ID_4159</t>
  </si>
  <si>
    <t>13865454;b0a4c0cd-ea41-4a8d-bf83-64e65b72d859;;111111118;Vodacom Life 20260324;;;;;NA;5;2026-05-22 1</t>
  </si>
  <si>
    <t>13865454;b0a4c0cd-ea41-4a8d-bf83-64e65b72d859;;111111118;Vodacom Life 20260324;;;;;NA;5;2026-05-22 10:49:06+02;system;2026-03-24 09:54:08+02;2026-03-24 09:54:08+02;;;;;;;;;27728913133;;;;;;;;prepaid life;;;;;</t>
  </si>
  <si>
    <t>ID_4160</t>
  </si>
  <si>
    <t>13865287;e95ec32a-58c5-413c-8892-1cb15f9abf2d;;111111118;Vodacom Life 20260324;;;27796730890;;IABDN;</t>
  </si>
  <si>
    <t>13865287;e95ec32a-58c5-413c-8892-1cb15f9abf2d;;111111118;Vodacom Life 20260324;;;27796730890;;IABDN;5;2026-05-22 12:03:39+02;system;2026-03-24 09:54:08+02;2026-03-24 09:54:08+02;;;;;;;;;27796730890;;;;;;;;prepaid life;;;;;</t>
  </si>
  <si>
    <t>ID_4161</t>
  </si>
  <si>
    <t>13865455;1b070d47-d89f-48a4-89b2-78b75a4b6b74;;111111118;Vodacom Life 20260324;;;;;BLQ;10;2026-05-23</t>
  </si>
  <si>
    <t>13865455;1b070d47-d89f-48a4-89b2-78b75a4b6b74;;111111118;Vodacom Life 20260324;;;;;BLQ;10;2026-05-23 10:44:08+02;Maureen Ntsoko;2026-03-24 09:54:08+02;2026-03-24 09:54:08+02;;;;;;;;;27728926561;;;;;;;;prepaid life;;;;;</t>
  </si>
  <si>
    <t>ID_4162</t>
  </si>
  <si>
    <t>13865288;1c7c2b29-57af-471c-a3cc-9dbb4a5a6b5b;;111111118;Vodacom Life 20260324;;;;;AE;5;2026-05-22 1</t>
  </si>
  <si>
    <t>13865288;1c7c2b29-57af-471c-a3cc-9dbb4a5a6b5b;;111111118;Vodacom Life 20260324;;;;;AE;5;2026-05-22 11:49:47+02;system;2026-03-24 09:54:08+02;2026-03-24 09:54:08+02;;;;;;;;;27796784923;;;;;;;;prepaid life;;;;;</t>
  </si>
  <si>
    <t>ID_4163</t>
  </si>
  <si>
    <t>13865372;a55849b7-27c2-48bc-99cb-361035fa410e;;111111118;Vodacom Life 20260324;;;;;CBACK;3;2026-04-1</t>
  </si>
  <si>
    <t>13865372;a55849b7-27c2-48bc-99cb-361035fa410e;;111111118;Vodacom Life 20260324;;;;;CBACK;3;2026-04-14 12:19:02+02;bongiwe lushaba;2026-03-24 09:54:08+02;2026-03-24 09:54:08+02;;;;;;;;;27664033203;;;;;;;;prepaid life;;;;;</t>
  </si>
  <si>
    <t>ID_4164</t>
  </si>
  <si>
    <t>13865456;50b0d1e9-590d-4f5c-a4c8-825ffe2b9523;;111111118;Vodacom Life 20260324;;;;;NA;5;2026-05-22 1</t>
  </si>
  <si>
    <t>13865456;50b0d1e9-590d-4f5c-a4c8-825ffe2b9523;;111111118;Vodacom Life 20260324;;;;;NA;5;2026-05-22 10:49:07+02;system;2026-03-24 09:54:08+02;2026-03-24 09:54:08+02;;;;;;;;;27728946228;;;;;;;;prepaid life;;;;;</t>
  </si>
  <si>
    <t>ID_4165</t>
  </si>
  <si>
    <t>13865373;baf534af-b1b4-4870-b798-de1ad0ecdda0;;111111118;Vodacom Life 20260324;;;;;AE;5;2026-05-22 1</t>
  </si>
  <si>
    <t>13865373;baf534af-b1b4-4870-b798-de1ad0ecdda0;;111111118;Vodacom Life 20260324;;;;;AE;5;2026-05-22 11:36:47+02;system;2026-03-24 09:54:08+02;2026-03-24 09:54:08+02;;;;;;;;;27664498850;;;;;;;;prepaid life;;;;;</t>
  </si>
  <si>
    <t>ID_4166</t>
  </si>
  <si>
    <t>13865289;83d56909-c091-4fcb-9bd9-8bc804c5e2bf;;111111118;Vodacom Life 20260324;;;;;AA;5;2026-05-22 1</t>
  </si>
  <si>
    <t>13865289;83d56909-c091-4fcb-9bd9-8bc804c5e2bf;;111111118;Vodacom Life 20260324;;;;;AA;5;2026-05-22 11:49:47+02;system;2026-03-24 09:54:08+02;2026-03-24 09:54:08+02;;;;;;;;;27796891253;;;;;;;;prepaid life;;;;;</t>
  </si>
  <si>
    <t>ID_4167</t>
  </si>
  <si>
    <t>13865457;c6fcbe05-2784-4fad-a521-62cea1a88b46;;111111118;Vodacom Life 20260324;;;27729068631;;IABDN;</t>
  </si>
  <si>
    <t>13865457;c6fcbe05-2784-4fad-a521-62cea1a88b46;;111111118;Vodacom Life 20260324;;;27729068631;;IABDN;5;2026-05-22 11:29:24+02;system;2026-03-24 09:54:08+02;2026-03-24 09:54:08+02;;;;;;;;;27729068631;;;;;;;;prepaid life;;;;;</t>
  </si>
  <si>
    <t>ID_4168</t>
  </si>
  <si>
    <t>13865290;e8c322f7-2de4-47c4-a8d9-3513779ce6e1;;111111118;Vodacom Life 20260324;;;27797392735;;DROP;5</t>
  </si>
  <si>
    <t>13865290;e8c322f7-2de4-47c4-a8d9-3513779ce6e1;;111111118;Vodacom Life 20260324;;;27797392735;;DROP;5;2026-05-22 11:48:44+02;system;2026-03-24 09:54:08+02;2026-03-24 09:54:08+02;;;;;;;;;27797392735;;;;;;;;prepaid life;;;;;</t>
  </si>
  <si>
    <t>ID_4169</t>
  </si>
  <si>
    <t>13865458;09f8abb6-a71a-45e0-9944-8faa81443b53;;111111118;Vodacom Life 20260324;;;27729093696;;AA;5;2</t>
  </si>
  <si>
    <t>13865458;09f8abb6-a71a-45e0-9944-8faa81443b53;;111111118;Vodacom Life 20260324;;;27729093696;;AA;5;2026-05-22 11:27:28+02;system;2026-03-24 09:54:08+02;2026-03-24 09:54:08+02;;;;;;;;;27729093696;;;;;;;;prepaid life;;;;;</t>
  </si>
  <si>
    <t>ID_4170</t>
  </si>
  <si>
    <t>13865374;32107995-a65c-4534-9a9d-30820041275d;;111111118;Vodacom Life 20260324;;;27664795166;;CU;5;2</t>
  </si>
  <si>
    <t>13865374;32107995-a65c-4534-9a9d-30820041275d;;111111118;Vodacom Life 20260324;;;27664795166;;CU;5;2026-05-07 12:17:51+02;Musiiwa Mary Mabirimisa;2026-03-24 09:54:08+02;2026-03-24 09:54:08+02;;;;;;;;;27664795166;;;;;;;;prepaid life;;;;;</t>
  </si>
  <si>
    <t>ID_4171</t>
  </si>
  <si>
    <t>13865459;13d3e409-0af5-4c57-958a-c369ff19c575;;111111118;Vodacom Life 20260324;;;;;DROP;5;2026-05-22</t>
  </si>
  <si>
    <t>13865459;13d3e409-0af5-4c57-958a-c369ff19c575;;111111118;Vodacom Life 20260324;;;;;DROP;5;2026-05-22 11:27:28+02;system;2026-03-24 09:54:08+02;2026-03-24 09:54:08+02;;;;;;;;;27729369282;;;;;;;;prepaid life;;;;;</t>
  </si>
  <si>
    <t>ID_4172</t>
  </si>
  <si>
    <t>13865375;fbe664a0-68d3-43c0-8bbd-d2abd71251c2;;111111118;Vodacom Life 20260324;;;;;AA;5;2026-05-22 1</t>
  </si>
  <si>
    <t>13865375;fbe664a0-68d3-43c0-8bbd-d2abd71251c2;;111111118;Vodacom Life 20260324;;;;;AA;5;2026-05-22 11:06:19+02;system;2026-03-24 09:54:08+02;2026-03-24 09:54:08+02;;;;;;;;;27665188649;;;;;;;;prepaid life;;;;;</t>
  </si>
  <si>
    <t>ID_4173</t>
  </si>
  <si>
    <t>13865376;81fa47a3-1179-4c7b-9239-7739076d7422;;111111118;Vodacom Life 20260324;;;;;AA;5;2026-05-22 1</t>
  </si>
  <si>
    <t>13865376;81fa47a3-1179-4c7b-9239-7739076d7422;;111111118;Vodacom Life 20260324;;;;;AA;5;2026-05-22 11:06:18+02;system;2026-03-24 09:54:08+02;2026-03-24 09:54:08+02;;;;;;;;;27665432260;;;;;;;;prepaid life;;;;;</t>
  </si>
  <si>
    <t>ID_4174</t>
  </si>
  <si>
    <t>13865291;996ef7c5-db2a-432b-a7c2-746f991bcc49;;111111118;Vodacom Life 20260324;;;;;AA;5;2026-05-22 1</t>
  </si>
  <si>
    <t>13865291;996ef7c5-db2a-432b-a7c2-746f991bcc49;;111111118;Vodacom Life 20260324;;;;;AA;5;2026-05-22 11:48:44+02;system;2026-03-24 09:54:08+02;2026-03-24 09:54:08+02;;;;;;;;;27797966608;;;;;;;;prepaid life;;;;;</t>
  </si>
  <si>
    <t>ID_4175</t>
  </si>
  <si>
    <t>13865292;6aa0fe45-2fbb-44b0-ae23-c07247f0b4a2;;111111118;Vodacom Life 20260324;;;;;A;5;2026-04-14 14</t>
  </si>
  <si>
    <t>13865292;6aa0fe45-2fbb-44b0-ae23-c07247f0b4a2;;111111118;Vodacom Life 20260324;;;;;A;5;2026-04-14 14:19:06+02;Seboifeng Mogola;2026-03-24 09:54:08+02;2026-03-24 09:54:08+02;;;;;;;;;27798589575;;;;;;;;prepaid life;;;;;</t>
  </si>
  <si>
    <t>ID_4176</t>
  </si>
  <si>
    <t>13865460;ec4b555f-7a15-41ec-8347-d5b537fc213b;;111111118;Vodacom Life 20260324;;;;;AA;5;2026-05-22 1</t>
  </si>
  <si>
    <t>13865460;ec4b555f-7a15-41ec-8347-d5b537fc213b;;111111118;Vodacom Life 20260324;;;;;AA;5;2026-05-22 11:27:23+02;system;2026-03-24 09:54:08+02;2026-03-24 09:54:08+02;;;;;;;;;27729377948;;;;;;;;prepaid life;;;;;</t>
  </si>
  <si>
    <t>ID_4177</t>
  </si>
  <si>
    <t>13865293;764b72d2-27c2-449a-b514-d61f9d728dfd;;111111118;Vodacom Life 20260324;;;;;NI;3;2026-04-14 1</t>
  </si>
  <si>
    <t>13865293;764b72d2-27c2-449a-b514-d61f9d728dfd;;111111118;Vodacom Life 20260324;;;;;NI;3;2026-04-14 12:28:21+02;Thandile Nokubeni;2026-03-24 09:54:08+02;2026-03-24 09:54:08+02;;;;;;;;;27799306410;;;;;;;;prepaid life;;;;;</t>
  </si>
  <si>
    <t>ID_4178</t>
  </si>
  <si>
    <t>13865294;2ac89700-3952-4cfe-b4b9-8f79402ba9eb;;111111118;Vodacom Life 20260324;;;;;CBACK;2;2026-04-0</t>
  </si>
  <si>
    <t>13865294;2ac89700-3952-4cfe-b4b9-8f79402ba9eb;;111111118;Vodacom Life 20260324;;;;;CBACK;2;2026-04-08 16:19:45+02;Musiiwa Mary Mabirimisa;2026-03-24 09:54:08+02;2026-03-24 09:54:08+02;;;;;;;;;27799387752;;;;;;;;prepaid life;;;;;</t>
  </si>
  <si>
    <t>ID_4179</t>
  </si>
  <si>
    <t>13865461;4db54d5f-e454-45b6-9fc3-065b1c2540db;;111111118;Vodacom Life 20260324;;;27729386643;;AA;5;2</t>
  </si>
  <si>
    <t>13865461;4db54d5f-e454-45b6-9fc3-065b1c2540db;;111111118;Vodacom Life 20260324;;;27729386643;;AA;5;2026-05-22 11:27:23+02;system;2026-03-24 09:54:08+02;2026-03-24 09:54:08+02;;;;;;;;;27729386643;;;;;;;;prepaid life;;;;;</t>
  </si>
  <si>
    <t>ID_4180</t>
  </si>
  <si>
    <t>13865295;2b7950dc-ba34-4652-be45-4a751419c5a3;;111111118;Vodacom Life 20260324;;;;;DROP;5;2026-05-22</t>
  </si>
  <si>
    <t>13865295;2b7950dc-ba34-4652-be45-4a751419c5a3;;111111118;Vodacom Life 20260324;;;;;DROP;5;2026-05-22 11:48:43+02;system;2026-03-24 09:54:08+02;2026-03-24 09:54:08+02;;;;;;;;;27799442384;;;;;;;;prepaid life;;;;;</t>
  </si>
  <si>
    <t>ID_4181</t>
  </si>
  <si>
    <t>13865377;95b8d848-05c9-4b8c-9230-81ea80abd8de;;111111118;Vodacom Life 20260324;;;;;NA;5;2026-05-22 1</t>
  </si>
  <si>
    <t>13865377;95b8d848-05c9-4b8c-9230-81ea80abd8de;;111111118;Vodacom Life 20260324;;;;;NA;5;2026-05-22 11:06:19+02;system;2026-03-24 09:54:08+02;2026-03-24 09:54:08+02;;;;;;;;;27665757240;;;;;;;;prepaid life;;;;;</t>
  </si>
  <si>
    <t>ID_4182</t>
  </si>
  <si>
    <t>13865462;bb39934c-e7dd-4b6f-896b-52d0183b5b51;;111111118;Vodacom Life 20260324;;;;;AA;5;2026-05-22 1</t>
  </si>
  <si>
    <t>13865462;bb39934c-e7dd-4b6f-896b-52d0183b5b51;;111111118;Vodacom Life 20260324;;;;;AA;5;2026-05-22 11:26:55+02;system;2026-03-24 09:54:08+02;2026-03-24 09:54:08+02;;;;;;;;;27729849301;;;;;;;;prepaid life;;;;;</t>
  </si>
  <si>
    <t>ID_4183</t>
  </si>
  <si>
    <t>13865378;5441cf91-7f68-4382-b5bd-ac0e64a918ee;;111111118;Vodacom Life 20260324;;;;;AA;5;2026-05-22 1</t>
  </si>
  <si>
    <t>13865378;5441cf91-7f68-4382-b5bd-ac0e64a918ee;;111111118;Vodacom Life 20260324;;;;;AA;5;2026-05-22 11:06:18+02;system;2026-03-24 09:54:08+02;2026-03-24 09:54:08+02;;;;;;;;;27673285558;;;;;;;;prepaid life;;;;;</t>
  </si>
  <si>
    <t>ID_4184</t>
  </si>
  <si>
    <t>13865296;8b37a594-37aa-42e2-89fb-f118667bfdea;;111111118;Vodacom Life 20260324;;;;;AA;5;2026-05-22 1</t>
  </si>
  <si>
    <t>13865296;8b37a594-37aa-42e2-89fb-f118667bfdea;;111111118;Vodacom Life 20260324;;;;;AA;5;2026-05-22 11:15:35+02;system;2026-03-24 09:54:08+02;2026-03-24 09:54:08+02;;;;;;;;;27799757314;;;;;;;;prepaid life;;;;;</t>
  </si>
  <si>
    <t>ID_4185</t>
  </si>
  <si>
    <t>13865463;bceab7a0-f118-42d6-bd7b-d4bde6dda481;;111111118;Vodacom Life 20260324;;;;;DROP;5;2026-05-22</t>
  </si>
  <si>
    <t>13865463;bceab7a0-f118-42d6-bd7b-d4bde6dda481;;111111118;Vodacom Life 20260324;;;;;DROP;5;2026-05-22 11:26:48+02;system;2026-03-24 09:54:08+02;2026-03-24 09:54:08+02;;;;;;;;;27730358406;;;;;;;;prepaid life;;;;;</t>
  </si>
  <si>
    <t>ID_4186</t>
  </si>
  <si>
    <t>13865297;7eb69f3a-a13d-4857-a9a0-c419312cba32;;111111118;Vodacom Life 20260324;;;;;CD;5;2026-05-19 1</t>
  </si>
  <si>
    <t>13865297;7eb69f3a-a13d-4857-a9a0-c419312cba32;;111111118;Vodacom Life 20260324;;;;;CD;5;2026-05-19 12:05:17+02;Maureen Ntsoko;2026-03-24 09:54:08+02;2026-03-24 09:54:08+02;;;;;;;;;27799913150;;;;;;;;prepaid life;;;;;</t>
  </si>
  <si>
    <t>ID_4187</t>
  </si>
  <si>
    <t>13865298;ca38caa8-e3fd-43b2-8bd6-202db5f57e09;;111111118;Vodacom Life 20260324;;;;;AA;5;2026-05-22 1</t>
  </si>
  <si>
    <t>13865298;ca38caa8-e3fd-43b2-8bd6-202db5f57e09;;111111118;Vodacom Life 20260324;;;;;AA;5;2026-05-22 11:16:01+02;system;2026-03-24 09:54:08+02;2026-03-24 09:54:08+02;;;;;;;;;27818197201;;;;;;;;prepaid life;;;;;</t>
  </si>
  <si>
    <t>ID_4188</t>
  </si>
  <si>
    <t>13865379;a32a4505-d255-41ca-b7a3-47ab000d85cf;;111111118;Vodacom Life 20260324;;;;;AA;5;2026-05-22 1</t>
  </si>
  <si>
    <t>13865379;a32a4505-d255-41ca-b7a3-47ab000d85cf;;111111118;Vodacom Life 20260324;;;;;AA;5;2026-05-22 11:36:46+02;system;2026-03-24 09:54:08+02;2026-03-24 09:54:08+02;;;;;;;;;27673492449;;;;;;;;prepaid life;;;;;</t>
  </si>
  <si>
    <t>ID_4189</t>
  </si>
  <si>
    <t>13865380;c0e327e6-ec5c-4453-a9d8-c9e789b86964;;111111118;Vodacom Life 20260324;;;;;NA;5;2026-05-22 1</t>
  </si>
  <si>
    <t>13865380;c0e327e6-ec5c-4453-a9d8-c9e789b86964;;111111118;Vodacom Life 20260324;;;;;NA;5;2026-05-22 11:36:46+02;system;2026-03-24 09:54:08+02;2026-03-24 09:54:08+02;;;;;;;;;27673575317;;;;;;;;prepaid life;;;;;</t>
  </si>
  <si>
    <t>ID_4190</t>
  </si>
  <si>
    <t>13865464;0065b478-7d92-499f-a288-3a13e011ad4c;;111111118;Vodacom Life 20260324;;;27731771817;;ADC;5;</t>
  </si>
  <si>
    <t>13865464;0065b478-7d92-499f-a288-3a13e011ad4c;;111111118;Vodacom Life 20260324;;;27731771817;;ADC;5;2026-05-22 11:26:45+02;system;2026-03-24 09:54:08+02;2026-03-24 09:54:08+02;;;;;;;;;27731771817;;;;;;;;prepaid life;;;;;</t>
  </si>
  <si>
    <t>ID_4191</t>
  </si>
  <si>
    <t xml:space="preserve">13865381;1fd0f00d-6cf6-493e-8b09-b43d81d390ff;;111111118;Vodacom Life 20260324;;;;;ADC;5;2026-05-22 </t>
  </si>
  <si>
    <t>13865381;1fd0f00d-6cf6-493e-8b09-b43d81d390ff;;111111118;Vodacom Life 20260324;;;;;ADC;5;2026-05-22 11:36:30+02;system;2026-03-24 09:54:08+02;2026-03-24 09:54:08+02;;;;;;;;;27673615762;;;;;;;;prepaid life;;;;;</t>
  </si>
  <si>
    <t>ID_4192</t>
  </si>
  <si>
    <t>13865299;d5969d28-2a2d-404a-b396-8267ce749b0a;;111111118;Vodacom Life 20260324;;;;;NA;5;2026-05-22 1</t>
  </si>
  <si>
    <t>13865299;d5969d28-2a2d-404a-b396-8267ce749b0a;;111111118;Vodacom Life 20260324;;;;;NA;5;2026-05-22 11:15:35+02;system;2026-03-24 09:54:08+02;2026-03-24 09:54:08+02;;;;;;;;;27818244119;;;;;;;;prepaid life;;;;;</t>
  </si>
  <si>
    <t>ID_4193</t>
  </si>
  <si>
    <t>13865465;c10c16d1-5487-4a81-a422-027cec69a0e4;;111111118;Vodacom Life 20260324;;;27732298888;;IABDN;</t>
  </si>
  <si>
    <t>13865465;c10c16d1-5487-4a81-a422-027cec69a0e4;;111111118;Vodacom Life 20260324;;;27732298888;;IABDN;5;2026-05-22 11:29:14+02;system;2026-03-24 09:54:08+02;2026-03-24 09:54:08+02;;;;;;;;;27732298888;;;;;;;;prepaid life;;;;;</t>
  </si>
  <si>
    <t>ID_4194</t>
  </si>
  <si>
    <t>13865300;380d56ee-cf35-46ff-9e5e-aa9ab441c573;;111111118;Vodacom Life 20260324;;;;;AA;5;2026-05-22 1</t>
  </si>
  <si>
    <t>13865300;380d56ee-cf35-46ff-9e5e-aa9ab441c573;;111111118;Vodacom Life 20260324;;;;;AA;5;2026-05-22 11:16:04+02;system;2026-03-24 09:54:08+02;2026-03-24 09:54:08+02;;;;;;;;;27818486541;;;;;;;;prepaid life;;;;;</t>
  </si>
  <si>
    <t>ID_4195</t>
  </si>
  <si>
    <t>13865382;2928309a-aa55-4233-812b-e64a3a2ad08e;;111111118;Vodacom Life 20260324;;;;;NA;5;2026-05-22 1</t>
  </si>
  <si>
    <t>13865382;2928309a-aa55-4233-812b-e64a3a2ad08e;;111111118;Vodacom Life 20260324;;;;;NA;5;2026-05-22 11:36:14+02;system;2026-03-24 09:54:08+02;2026-03-24 09:54:08+02;;;;;;;;;27674277844;;;;;;;;prepaid life;;;;;</t>
  </si>
  <si>
    <t>ID_4196</t>
  </si>
  <si>
    <t>13865466;1844c1d3-e916-4298-8a3f-47025b1fce4e;;111111118;Vodacom Life 20260324;;;;;CBACK;4;2026-05-0</t>
  </si>
  <si>
    <t>13865466;1844c1d3-e916-4298-8a3f-47025b1fce4e;;111111118;Vodacom Life 20260324;;;;;CBACK;4;2026-05-07 11:52:34+02;Khensane Mabasa;2026-03-24 09:54:08+02;2026-03-24 09:54:08+02;;;;;;;;;27736339369;;;;;;;;prepaid life;;;;;</t>
  </si>
  <si>
    <t>ID_4197</t>
  </si>
  <si>
    <t>13865383;ad27108e-832f-44b7-be21-abec52085db1;;111111118;Vodacom Life 20260324;;;27675368705;;CCB;5;</t>
  </si>
  <si>
    <t>13865383;ad27108e-832f-44b7-be21-abec52085db1;;111111118;Vodacom Life 20260324;;;27675368705;;CCB;5;2026-05-22 11:36:05+02;Maureen Ntsoko;2026-03-24 09:54:08+02;2026-03-24 09:54:08+02;;;;;;;;;27675368705;;;;;;;;prepaid life;;;;;</t>
  </si>
  <si>
    <t>ID_4198</t>
  </si>
  <si>
    <t>13865384;5704a960-18a3-427c-9a68-1629236d6542;;111111118;Vodacom Life 20260324;;;;;NI;1;2026-04-01 0</t>
  </si>
  <si>
    <t>13865384;5704a960-18a3-427c-9a68-1629236d6542;;111111118;Vodacom Life 20260324;;;;;NI;1;2026-04-01 09:23:51+02;Maureen Ntsoko;2026-03-24 09:54:08+02;2026-03-24 09:54:08+02;;;;;;;;;27711121617;;;;;;;;prepaid life;;;;;</t>
  </si>
  <si>
    <t>ID_4199</t>
  </si>
  <si>
    <t>13865301;a40d36f1-06e5-42ca-b585-973511f55b9b;;111111118;Vodacom Life 20260324;;;;;AA;5;2026-05-22 1</t>
  </si>
  <si>
    <t>13865301;a40d36f1-06e5-42ca-b585-973511f55b9b;;111111118;Vodacom Life 20260324;;;;;AA;5;2026-05-22 11:48:43+02;system;2026-03-24 09:54:08+02;2026-03-24 09:54:08+02;;;;;;;;;27818705149;;;;;;;;prepaid life;;;;;</t>
  </si>
  <si>
    <t>ID_4200</t>
  </si>
  <si>
    <t>13865467;0bff012c-f737-4915-b1fd-e3ad33104f81;;111111118;Vodacom Life 20260324;;;;;AE;5;2026-05-22 1</t>
  </si>
  <si>
    <t>13865467;0bff012c-f737-4915-b1fd-e3ad33104f81;;111111118;Vodacom Life 20260324;;;;;AE;5;2026-05-22 11:25:29+02;system;2026-03-24 09:54:08+02;2026-03-24 09:54:08+02;;;;;;;;;27747907505;;;;;;;;prepaid life;;;;;</t>
  </si>
  <si>
    <t>ID_4201</t>
  </si>
  <si>
    <t>13865302;15a505cc-dd1e-4b86-8fcf-16f565918b46;;111111118;Vodacom Life 20260324;;;;;AA;5;2026-05-22 1</t>
  </si>
  <si>
    <t>13865302;15a505cc-dd1e-4b86-8fcf-16f565918b46;;111111118;Vodacom Life 20260324;;;;;AA;5;2026-05-22 11:48:43+02;system;2026-03-24 09:54:08+02;2026-03-24 09:54:08+02;;;;;;;;;27818853538;;;;;;;;prepaid life;;;;;</t>
  </si>
  <si>
    <t>ID_4202</t>
  </si>
  <si>
    <t>13865468;67f5eb09-ade5-443a-a0ca-6a7d7daf690e;;111111118;Vodacom Life 20260324;;;;;DROP;5;2026-05-22</t>
  </si>
  <si>
    <t>13865468;67f5eb09-ade5-443a-a0ca-6a7d7daf690e;;111111118;Vodacom Life 20260324;;;;;DROP;5;2026-05-22 11:25:29+02;system;2026-03-24 09:54:08+02;2026-03-24 09:54:08+02;;;;;;;;;27760697439;;;;;;;;prepaid life;;;;;</t>
  </si>
  <si>
    <t>ID_4203</t>
  </si>
  <si>
    <t>13865303;d225a8c8-0985-4386-be78-a013ea916e63;;111111118;Vodacom Life 20260324;;;;;WN;6;2026-05-25 0</t>
  </si>
  <si>
    <t>13865303;d225a8c8-0985-4386-be78-a013ea916e63;;111111118;Vodacom Life 20260324;;;;;WN;6;2026-05-25 08:22:26+02;Maureen Ntsoko;2026-03-24 09:54:08+02;2026-03-24 09:54:08+02;;;;;;;;;27820437138;;;;;;;;prepaid life;;;;;</t>
  </si>
  <si>
    <t>ID_4204</t>
  </si>
  <si>
    <t xml:space="preserve">13865304;bcea683c-e718-40a0-9483-26898bd13fe4;;111111118;Vodacom Life 20260324;;;;;AGE;1;2026-04-01 </t>
  </si>
  <si>
    <t>13865304;bcea683c-e718-40a0-9483-26898bd13fe4;;111111118;Vodacom Life 20260324;;;;;AGE;1;2026-04-01 10:31:37+02;Thandile Nokubeni;2026-03-24 09:54:08+02;2026-03-24 09:54:08+02;;;;;;;;;27820706382;;;;;;;;prepaid life;;;;;</t>
  </si>
  <si>
    <t>ID_4205</t>
  </si>
  <si>
    <t>13865385;9ad7a67d-b5ed-4c7a-877e-4a4774ab9002;;111111118;Vodacom Life 20260324;;;;;A;5;2026-05-22 11</t>
  </si>
  <si>
    <t>13865385;9ad7a67d-b5ed-4c7a-877e-4a4774ab9002;;111111118;Vodacom Life 20260324;;;;;A;5;2026-05-22 11:36:05+02;Maureen Ntsoko;2026-03-24 09:54:08+02;2026-03-24 09:54:08+02;;;;;;;;;27711153128;;;;;;;;prepaid life;;;;;</t>
  </si>
  <si>
    <t>ID_4206</t>
  </si>
  <si>
    <t>13865469;9d9f7e7c-8c9e-45fe-8b0e-4c090cd8d388;;111111118;Vodacom Life 20260324;;;;;AA;5;2026-05-22 1</t>
  </si>
  <si>
    <t>13865469;9d9f7e7c-8c9e-45fe-8b0e-4c090cd8d388;;111111118;Vodacom Life 20260324;;;;;AA;5;2026-05-22 10:46:37+02;system;2026-03-24 09:54:08+02;2026-03-24 09:54:08+02;;;;;;;;;27760748605;;;;;;;;prepaid life;;;;;</t>
  </si>
  <si>
    <t>ID_4207</t>
  </si>
  <si>
    <t>13865386;8a76a3e7-d138-48ea-a77d-9ddd0cb8f4a5;;111111118;Vodacom Life 20260324;;;;;LANG;5;2026-05-19</t>
  </si>
  <si>
    <t>13865386;8a76a3e7-d138-48ea-a77d-9ddd0cb8f4a5;;111111118;Vodacom Life 20260324;;;;;LANG;5;2026-05-19 12:15:09+02;bongiwe lushaba;2026-03-24 09:54:08+02;2026-03-24 09:54:08+02;;;;;;;;;27711400160;;;;;;;;prepaid life;;;;;</t>
  </si>
  <si>
    <t>ID_4208</t>
  </si>
  <si>
    <t>13865305;f53292f2-901e-4f50-8c03-a2a337caaa3c;;111111118;Vodacom Life 20260324;;;;;AA;5;2026-05-22 1</t>
  </si>
  <si>
    <t>13865305;f53292f2-901e-4f50-8c03-a2a337caaa3c;;111111118;Vodacom Life 20260324;;;;;AA;5;2026-05-22 11:48:33+02;system;2026-03-24 09:54:08+02;2026-03-24 09:54:08+02;;;;;;;;;27822128004;;;;;;;;prepaid life;;;;;</t>
  </si>
  <si>
    <t>ID_4209</t>
  </si>
  <si>
    <t>13865470;d49d5219-fc4e-4ace-99d5-db145e8ae442;;111111118;Vodacom Life 20260324;;;;;AE;5;2026-05-22 1</t>
  </si>
  <si>
    <t>13865470;d49d5219-fc4e-4ace-99d5-db145e8ae442;;111111118;Vodacom Life 20260324;;;;;AE;5;2026-05-22 10:46:37+02;system;2026-03-24 09:54:08+02;2026-03-24 09:54:08+02;;;;;;;;;27760752677;;;;;;;;prepaid life;;;;;</t>
  </si>
  <si>
    <t>ID_4210</t>
  </si>
  <si>
    <t>13865306;73cf6e20-c856-4f28-a004-81e06bf69be1;;111111118;Vodacom Life 20260324;;;;;AA;5;2026-05-22 1</t>
  </si>
  <si>
    <t>13865306;73cf6e20-c856-4f28-a004-81e06bf69be1;;111111118;Vodacom Life 20260324;;;;;AA;5;2026-05-22 11:48:33+02;system;2026-03-24 09:54:08+02;2026-03-24 09:54:08+02;;;;;;;;;27823533579;;;;;;;;prepaid life;;;;;</t>
  </si>
  <si>
    <t>ID_4211</t>
  </si>
  <si>
    <t>13865387;99220229-60b7-4c7d-9517-a37f46235681;;111111118;Vodacom Life 20260324;;;;;CU;5;2026-05-22 1</t>
  </si>
  <si>
    <t>13865387;99220229-60b7-4c7d-9517-a37f46235681;;111111118;Vodacom Life 20260324;;;;;CU;5;2026-05-22 11:04:39+02;bongiwe lushaba;2026-03-24 09:54:08+02;2026-03-24 09:54:08+02;;;;;;;;;27711690726;;;;;;;;prepaid life;;;;;</t>
  </si>
  <si>
    <t>ID_4212</t>
  </si>
  <si>
    <t>13865471;52280f74-1120-49f4-8b9a-696690958d42;;111111118;Vodacom Life 20260324;;;;;NI;2;2026-04-08 1</t>
  </si>
  <si>
    <t>13865471;52280f74-1120-49f4-8b9a-696690958d42;;111111118;Vodacom Life 20260324;;;;;NI;2;2026-04-08 15:01:25+02;Thandile Nokubeni;2026-03-24 09:54:08+02;2026-03-24 09:54:08+02;;;;;;;;;27760825825;;;;;;;;prepaid life;;;;;</t>
  </si>
  <si>
    <t>ID_4213</t>
  </si>
  <si>
    <t>13865388;4c6510c9-4f6d-4cfb-b682-85ee9d45a75e;;111111118;Vodacom Life 20260324;;;;;CB;5;2026-05-19 1</t>
  </si>
  <si>
    <t>13865388;4c6510c9-4f6d-4cfb-b682-85ee9d45a75e;;111111118;Vodacom Life 20260324;;;;;CB;5;2026-05-19 10:50:15+02;Khensane Mabasa;2026-03-24 09:54:08+02;2026-03-24 09:54:08+02;;;;;;;;;27711836162;;;;;;;;prepaid life;;;;;</t>
  </si>
  <si>
    <t>ID_4214</t>
  </si>
  <si>
    <t>13865307;32c3313f-060a-4470-9bdb-de8e849a7e25;;111111118;Vodacom Life 20260324;;;;;AA;5;2026-05-22 1</t>
  </si>
  <si>
    <t>13865307;32c3313f-060a-4470-9bdb-de8e849a7e25;;111111118;Vodacom Life 20260324;;;;;AA;5;2026-05-22 11:48:32+02;system;2026-03-24 09:54:08+02;2026-03-24 09:54:08+02;;;;;;;;;27823542172;;;;;;;;prepaid life;;;;;</t>
  </si>
  <si>
    <t>ID_4215</t>
  </si>
  <si>
    <t>13865472;be2ab5ec-481d-4fa9-9f0f-01d5b4c810a1;;111111118;Vodacom Life 20260324;;;;;AA;5;2026-05-22 1</t>
  </si>
  <si>
    <t>13865472;be2ab5ec-481d-4fa9-9f0f-01d5b4c810a1;;111111118;Vodacom Life 20260324;;;;;AA;5;2026-05-22 10:46:37+02;system;2026-03-24 09:54:08+02;2026-03-24 09:54:08+02;;;;;;;;;27761590757;;;;;;;;prepaid life;;;;;</t>
  </si>
  <si>
    <t>ID_4216</t>
  </si>
  <si>
    <t>13865308;0c777561-5a89-4f7c-910c-8257fb191b26;;111111118;Vodacom Life 20260324;;;;;NI;4;2026-05-07 1</t>
  </si>
  <si>
    <t>13865308;0c777561-5a89-4f7c-910c-8257fb191b26;;111111118;Vodacom Life 20260324;;;;;NI;4;2026-05-07 13:06:54+02;Siyabonga Khoza;2026-03-24 09:54:08+02;2026-03-24 09:54:08+02;;;;;;;;;27823571387;;;;;;;;prepaid life;;;;;</t>
  </si>
  <si>
    <t>ID_4217</t>
  </si>
  <si>
    <t>13865309;d3f61df8-32c4-4a14-a502-7330b5afed20;;111111118;Vodacom Life 20260324;;;27823948300;;IABDN;</t>
  </si>
  <si>
    <t>13865309;d3f61df8-32c4-4a14-a502-7330b5afed20;;111111118;Vodacom Life 20260324;;;27823948300;;IABDN;5;2026-05-22 12:00:50+02;system;2026-03-24 09:54:08+02;2026-03-24 09:54:08+02;;;;;;;;;27823948300;;;;;;;;prepaid life;;;;;</t>
  </si>
  <si>
    <t>ID_4218</t>
  </si>
  <si>
    <t>13865310;5c8c85ee-43c8-43d4-a4c4-0d896b5a4ac0;;111111118;Vodacom Life 20260324;;;;;AA;5;2026-05-22 1</t>
  </si>
  <si>
    <t>13865310;5c8c85ee-43c8-43d4-a4c4-0d896b5a4ac0;;111111118;Vodacom Life 20260324;;;;;AA;5;2026-05-22 11:46:08+02;system;2026-03-24 09:54:08+02;2026-03-24 09:54:08+02;;;;;;;;;27823985732;;;;;;;;prepaid life;;;;;</t>
  </si>
  <si>
    <t>ID_4219</t>
  </si>
  <si>
    <t>13865473;d05eeea0-894f-4882-91da-437180fc3109;;111111118;Vodacom Life 20260324;;;;;AA;5;2026-05-22 1</t>
  </si>
  <si>
    <t>13865473;d05eeea0-894f-4882-91da-437180fc3109;;111111118;Vodacom Life 20260324;;;;;AA;5;2026-05-22 10:46:48+02;system;2026-03-24 09:54:08+02;2026-03-24 09:54:08+02;;;;;;;;;27761598854;;;;;;;;prepaid life;;;;;</t>
  </si>
  <si>
    <t>ID_4220</t>
  </si>
  <si>
    <t>13865391;24758be6-54f7-429c-b457-2d843cb55285;;111111118;Vodacom Life 20260324;;;;;AE;5;2026-05-22 1</t>
  </si>
  <si>
    <t>13865391;24758be6-54f7-429c-b457-2d843cb55285;;111111118;Vodacom Life 20260324;;;;;AE;5;2026-05-22 11:04:39+02;system;2026-03-24 09:54:08+02;2026-03-24 09:54:08+02;;;;;;;;;27712994809;;;;;;;;prepaid life;;;;;</t>
  </si>
  <si>
    <t>ID_4221</t>
  </si>
  <si>
    <t>13865311;cc9e58cf-af65-4481-9628-e62bcbba7679;;111111118;Vodacom Life 20260324;;;;;AA;5;2026-05-22 1</t>
  </si>
  <si>
    <t>13865311;cc9e58cf-af65-4481-9628-e62bcbba7679;;111111118;Vodacom Life 20260324;;;;;AA;5;2026-05-22 11:46:08+02;system;2026-03-24 09:54:08+02;2026-03-24 09:54:08+02;;;;;;;;;27824172693;;;;;;;;prepaid life;;;;;</t>
  </si>
  <si>
    <t>ID_4222</t>
  </si>
  <si>
    <t>13865312;69f2095e-cb22-43a8-9849-6c6d0eceb810;;111111118;Vodacom Life 20260324;;;;;NA;5;2026-05-22 1</t>
  </si>
  <si>
    <t>13865312;69f2095e-cb22-43a8-9849-6c6d0eceb810;;111111118;Vodacom Life 20260324;;;;;NA;5;2026-05-22 11:46:08+02;system;2026-03-24 09:54:08+02;2026-03-24 09:54:08+02;;;;;;;;;27824204281;;;;;;;;prepaid life;;;;;</t>
  </si>
  <si>
    <t>ID_4223</t>
  </si>
  <si>
    <t>13865508;b98bb089-b5f9-4021-9253-6005342f3796;;111111118;Vodacom Life 20260324;;;;;NA;5;2026-05-22 1</t>
  </si>
  <si>
    <t>13865508;b98bb089-b5f9-4021-9253-6005342f3796;;111111118;Vodacom Life 20260324;;;;;NA;5;2026-05-22 11:22:23+02;system;2026-03-24 09:54:08+02;2026-03-24 09:54:08+02;;;;;;;;;27782123636;;;;;;;;prepaid life;;;;;</t>
  </si>
  <si>
    <t>ID_4224</t>
  </si>
  <si>
    <t>13865474;6fba17a1-9ef4-4fc5-9a17-7be0200c2c26;;111111118;Vodacom Life 20260324;;;;;AA;5;2026-05-22 1</t>
  </si>
  <si>
    <t>13865474;6fba17a1-9ef4-4fc5-9a17-7be0200c2c26;;111111118;Vodacom Life 20260324;;;;;AA;5;2026-05-22 11:25:28+02;system;2026-03-24 09:54:08+02;2026-03-24 09:54:08+02;;;;;;;;;27761801804;;;;;;;;prepaid life;;;;;</t>
  </si>
  <si>
    <t>ID_4225</t>
  </si>
  <si>
    <t>13865392;0e8be188-e467-4bca-bcf7-e8c844cbe4fc;;111111118;Vodacom Life 20260324;;;;;CBACK;4;2026-05-1</t>
  </si>
  <si>
    <t>13865392;0e8be188-e467-4bca-bcf7-e8c844cbe4fc;;111111118;Vodacom Life 20260324;;;;;CBACK;4;2026-05-19 09:58:34+02;Maureen Ntsoko;2026-03-24 09:54:08+02;2026-03-24 09:54:08+02;;;;;;;;;27713048928;;;;;;;;prepaid life;;;;;</t>
  </si>
  <si>
    <t>ID_4226</t>
  </si>
  <si>
    <t>13865475;e98d4c0f-ed60-4312-9c3e-3de030f67848;;111111118;Vodacom Life 20260324;;;;;DNQS;2;2026-04-09</t>
  </si>
  <si>
    <t>13865475;e98d4c0f-ed60-4312-9c3e-3de030f67848;;111111118;Vodacom Life 20260324;;;;;DNQS;2;2026-04-09 08:23:30+02;Millicent Motsuku;2026-03-24 09:54:08+02;2026-03-24 09:54:08+02;;;;;;;;;27761823817;;;;;;;;prepaid life;;;;;</t>
  </si>
  <si>
    <t>ID_4227</t>
  </si>
  <si>
    <t xml:space="preserve">13865393;738146bd-d3bb-420a-9c0b-0ae143949ace;;111111118;Vodacom Life 20260324;;;;;ADC;5;2026-05-22 </t>
  </si>
  <si>
    <t>13865393;738146bd-d3bb-420a-9c0b-0ae143949ace;;111111118;Vodacom Life 20260324;;;;;ADC;5;2026-05-22 11:03:10+02;system;2026-03-24 09:54:08+02;2026-03-24 09:54:08+02;;;;;;;;;27713828540;;;;;;;;prepaid life;;;;;</t>
  </si>
  <si>
    <t>ID_4228</t>
  </si>
  <si>
    <t>13865394;59394b22-e031-4172-afdc-c9c109649cab;;111111118;Vodacom Life 20260324;;;27713974889;;NA;5;2</t>
  </si>
  <si>
    <t>13865394;59394b22-e031-4172-afdc-c9c109649cab;;111111118;Vodacom Life 20260324;;;27713974889;;NA;5;2026-05-22 11:03:58+02;system;2026-03-24 09:54:08+02;2026-03-24 09:54:08+02;;;;;;;;;27713974889;;;;;;;;prepaid life;;;;;</t>
  </si>
  <si>
    <t>ID_4229</t>
  </si>
  <si>
    <t>13865509;f101eab1-4301-41b7-9a35-326faaf8ac78;;111111118;Vodacom Life 20260324;;;;;AE;5;2026-05-22 1</t>
  </si>
  <si>
    <t>13865509;f101eab1-4301-41b7-9a35-326faaf8ac78;;111111118;Vodacom Life 20260324;;;;;AE;5;2026-05-22 11:22:23+02;system;2026-03-24 09:54:08+02;2026-03-24 09:54:08+02;;;;;;;;;27782862720;;;;;;;;prepaid life;;;;;</t>
  </si>
  <si>
    <t>ID_4230</t>
  </si>
  <si>
    <t>13865510;e8be4d53-6be3-47c3-9b65-7167e75bccad;;111111118;Vodacom Life 20260324;;;;;AA;5;2026-05-22 1</t>
  </si>
  <si>
    <t>13865510;e8be4d53-6be3-47c3-9b65-7167e75bccad;;111111118;Vodacom Life 20260324;;;;;AA;5;2026-05-22 11:22:18+02;system;2026-03-24 09:54:08+02;2026-03-24 09:54:08+02;;;;;;;;;27790614374;;;;;;;;prepaid life;;;;;</t>
  </si>
  <si>
    <t>ID_4231</t>
  </si>
  <si>
    <t>13865476;21657ae9-5efb-4a18-aa60-d532e275d42c;;111111118;Vodacom Life 20260324;;;;;AA;5;2026-05-22 1</t>
  </si>
  <si>
    <t>13865476;21657ae9-5efb-4a18-aa60-d532e275d42c;;111111118;Vodacom Life 20260324;;;;;AA;5;2026-05-22 11:24:57+02;system;2026-03-24 09:54:08+02;2026-03-24 09:54:08+02;;;;;;;;;27761958059;;;;;;;;prepaid life;;;;;</t>
  </si>
  <si>
    <t>ID_4232</t>
  </si>
  <si>
    <t>13865511;d406ee42-d7c5-4b67-9e4a-304d16f9f5d8;;111111118;Vodacom Life 20260324;;;;;N;8;2026-04-15 12</t>
  </si>
  <si>
    <t>13865511;d406ee42-d7c5-4b67-9e4a-304d16f9f5d8;;111111118;Vodacom Life 20260324;;;;;N;8;2026-04-15 12:07:38+02;Musiiwa Mary Mabirimisa;2026-03-24 09:54:08+02;2026-03-24 09:54:08+02;;;;;;;;;27790748045;;;;;;;;prepaid life;;;;;</t>
  </si>
  <si>
    <t>ID_4233</t>
  </si>
  <si>
    <t>13865512;5f40455c-05f9-47db-9b8c-2571e20afe5a;;111111118;Vodacom Life 20260324;;;;;DNQS;2;2026-04-01</t>
  </si>
  <si>
    <t>13865512;5f40455c-05f9-47db-9b8c-2571e20afe5a;;111111118;Vodacom Life 20260324;;;;;DNQS;2;2026-04-01 14:41:50+02;Seboifeng Mogola;2026-03-24 09:54:08+02;2026-03-24 09:54:08+02;;;;;;;;;27790821965;;;;;;;;prepaid life;;;;;</t>
  </si>
  <si>
    <t>ID_4234</t>
  </si>
  <si>
    <t>13865395;9eb6bd08-ab2f-45cb-9f9c-da0f3d2b2020;;111111118;Vodacom Life 20260324;;;;;NA;5;2026-05-22 1</t>
  </si>
  <si>
    <t>13865395;9eb6bd08-ab2f-45cb-9f9c-da0f3d2b2020;;111111118;Vodacom Life 20260324;;;;;NA;5;2026-05-22 11:03:10+02;system;2026-03-24 09:54:08+02;2026-03-24 09:54:08+02;;;;;;;;;27713989831;;;;;;;;prepaid life;;;;;</t>
  </si>
  <si>
    <t>ID_4235</t>
  </si>
  <si>
    <t>13865396;b0ba0f11-da36-4b85-a962-cf4f8ca0613f;;111111118;Vodacom Life 20260324;;;27714130751;;IABDN;</t>
  </si>
  <si>
    <t>13865396;b0ba0f11-da36-4b85-a962-cf4f8ca0613f;;111111118;Vodacom Life 20260324;;;27714130751;;IABDN;5;2026-05-22 11:04:01+02;system;2026-03-24 09:54:08+02;2026-03-24 09:54:08+02;;;;;;;;;27714130751;;;;;;;;prepaid life;;;;;</t>
  </si>
  <si>
    <t>ID_4236</t>
  </si>
  <si>
    <t>13865477;a953cc4a-8f07-4b48-9495-508efdd7dff3;;111111118;Vodacom Life 20260324;;;;;DROP;5;2026-05-22</t>
  </si>
  <si>
    <t>13865477;a953cc4a-8f07-4b48-9495-508efdd7dff3;;111111118;Vodacom Life 20260324;;;;;DROP;5;2026-05-22 11:24:54+02;system;2026-03-24 09:54:08+02;2026-03-24 09:54:08+02;;;;;;;;;27762258295;;;;;;;;prepaid life;;;;;</t>
  </si>
  <si>
    <t>ID_4237</t>
  </si>
  <si>
    <t>13865478;bea930bf-6d77-41cb-86c6-9a7aaf8cb116;;111111118;Vodacom Life 20260324;;;;;CBACK;5;2026-05-2</t>
  </si>
  <si>
    <t>13865478;bea930bf-6d77-41cb-86c6-9a7aaf8cb116;;111111118;Vodacom Life 20260324;;;;;CBACK;5;2026-05-22 10:45:20+02;Maureen Ntsoko;2026-03-24 09:54:08+02;2026-03-24 09:54:08+02;;;;;;;;;27763257367;;;;;;;;prepaid life;;;;;</t>
  </si>
  <si>
    <t>ID_4238</t>
  </si>
  <si>
    <t>13865397;25f26123-b46a-437d-af60-d4b42f23d5d7;;111111118;Vodacom Life 20260324;;;;;AA;5;2026-05-22 1</t>
  </si>
  <si>
    <t>13865397;25f26123-b46a-437d-af60-d4b42f23d5d7;;111111118;Vodacom Life 20260324;;;;;AA;5;2026-05-22 11:04:35+02;system;2026-03-24 09:54:08+02;2026-03-24 09:54:08+02;;;;;;;;;27714242507;;;;;;;;prepaid life;;;;;</t>
  </si>
  <si>
    <t>ID_4239</t>
  </si>
  <si>
    <t>13865398;4b073f3d-69eb-44a1-b8bc-10da6447b457;;111111118;Vodacom Life 20260324;;;;;NIUP;3;2026-04-14</t>
  </si>
  <si>
    <t>13865398;4b073f3d-69eb-44a1-b8bc-10da6447b457;;111111118;Vodacom Life 20260324;;;;;NIUP;3;2026-04-14 12:17:48+02;Seboifeng Mogola;2026-03-24 09:54:08+02;2026-03-24 09:54:08+02;;;;;;;;;27714336365;;;;;;;;prepaid life;;;;;</t>
  </si>
  <si>
    <t>ID_4240</t>
  </si>
  <si>
    <t>13865513;25cfdb75-1a2d-45d8-ab3c-e5870326fa66;;111111118;Vodacom Life 20260324;;;;;AA;5;2026-05-22 1</t>
  </si>
  <si>
    <t>13865513;25cfdb75-1a2d-45d8-ab3c-e5870326fa66;;111111118;Vodacom Life 20260324;;;;;AA;5;2026-05-22 10:41:00+02;system;2026-03-24 09:54:08+02;2026-03-24 09:54:08+02;;;;;;;;;27790988731;;;;;;;;prepaid life;;;;;</t>
  </si>
  <si>
    <t>ID_4241</t>
  </si>
  <si>
    <t>13865479;4f3008cb-ee49-487f-bf0c-1955f65758e3;;111111118;Vodacom Life 20260324;;;27763387358;;CBACK;</t>
  </si>
  <si>
    <t>13865479;4f3008cb-ee49-487f-bf0c-1955f65758e3;;111111118;Vodacom Life 20260324;;;27763387358;;CBACK;5;2026-05-22 10:53:29+02;Maureen Ntsoko;2026-03-24 09:54:08+02;2026-03-24 09:54:08+02;;;;;;;;;27763387358;;;;;;;;prepaid life;;;;;</t>
  </si>
  <si>
    <t>ID_4242</t>
  </si>
  <si>
    <t>13865514;9cd8b2ce-c32d-45c3-9170-843e38ea4c9f;;111111118;Vodacom Life 20260324;;;;;AA;5;2026-05-22 1</t>
  </si>
  <si>
    <t>13865514;9cd8b2ce-c32d-45c3-9170-843e38ea4c9f;;111111118;Vodacom Life 20260324;;;;;AA;5;2026-05-22 10:41:00+02;system;2026-03-24 09:54:08+02;2026-03-24 09:54:08+02;;;;;;;;;27791014887;;;;;;;;prepaid life;;;;;</t>
  </si>
  <si>
    <t>ID_4243</t>
  </si>
  <si>
    <t>13865399;67ceb000-3ada-4022-a1da-260c2026d8be;;111111118;Vodacom Life 20260324;;;;;DROP;5;2026-05-22</t>
  </si>
  <si>
    <t>13865399;67ceb000-3ada-4022-a1da-260c2026d8be;;111111118;Vodacom Life 20260324;;;;;DROP;5;2026-05-22 11:00:32+02;system;2026-03-24 09:54:08+02;2026-03-24 09:54:08+02;;;;;;;;;27714380897;;;;;;;;prepaid life;;;;;</t>
  </si>
  <si>
    <t>ID_4244</t>
  </si>
  <si>
    <t>13865480;be972e6a-bb38-4eba-a1be-27f0134d324b;;111111118;Vodacom Life 20260324;;;;;CU;5;2026-05-22 1</t>
  </si>
  <si>
    <t>13865480;be972e6a-bb38-4eba-a1be-27f0134d324b;;111111118;Vodacom Life 20260324;;;;;CU;5;2026-05-22 10:45:07+02;bongiwe lushaba;2026-03-24 09:54:08+02;2026-03-24 09:54:08+02;;;;;;;;;27763409166;;;;;;;;prepaid life;;;;;</t>
  </si>
  <si>
    <t>ID_4245</t>
  </si>
  <si>
    <t>13865400;33f71620-5f21-4199-8899-660d624ec0e3;;111111118;Vodacom Life 20260324;;;;;AA;5;2026-05-22 1</t>
  </si>
  <si>
    <t>13865400;33f71620-5f21-4199-8899-660d624ec0e3;;111111118;Vodacom Life 20260324;;;;;AA;5;2026-05-22 11:00:32+02;system;2026-03-24 09:54:08+02;2026-03-24 09:54:08+02;;;;;;;;;27714464404;;;;;;;;prepaid life;;;;;</t>
  </si>
  <si>
    <t>ID_4246</t>
  </si>
  <si>
    <t>13865401;d8fa8e55-7f1a-4d51-a69a-7d51ccf1e48a;;111111118;Vodacom Life 20260324;;;;;NI;4;2026-05-07 1</t>
  </si>
  <si>
    <t>13865401;d8fa8e55-7f1a-4d51-a69a-7d51ccf1e48a;;111111118;Vodacom Life 20260324;;;;;NI;4;2026-05-07 12:09:50+02;Siyabonga Khoza;2026-03-24 09:54:08+02;2026-03-24 09:54:08+02;;;;;;;;;27714570998;;;;;;;;prepaid life;;;;;</t>
  </si>
  <si>
    <t>ID_4247</t>
  </si>
  <si>
    <t>13865515;9ee816da-ab45-4b19-88f2-cf6c74e71d19;;111111118;Vodacom Life 20260324;;;;;CU;5;2026-05-22 1</t>
  </si>
  <si>
    <t>13865515;9ee816da-ab45-4b19-88f2-cf6c74e71d19;;111111118;Vodacom Life 20260324;;;;;CU;5;2026-05-22 10:40:42+02;Maureen Ntsoko;2026-03-24 09:54:08+02;2026-03-24 09:54:08+02;;;;;;;;;27791135376;;;;;;;;prepaid life;;;;;</t>
  </si>
  <si>
    <t>ID_4248</t>
  </si>
  <si>
    <t>13865516;8b685f1d-1a2f-4e49-b9f1-1158ee51c322;;111111118;Vodacom Life 20260324;;;;;AC;1;2026-04-01 1</t>
  </si>
  <si>
    <t>13865516;8b685f1d-1a2f-4e49-b9f1-1158ee51c322;;111111118;Vodacom Life 20260324;;;;;AC;1;2026-04-01 11:37:47+02;Esther Ramalete;2026-03-24 09:54:08+02;2026-03-24 09:54:08+02;;;;;;;;;27791206761;;;;;;;;prepaid life;;;;;</t>
  </si>
  <si>
    <t>ID_4249</t>
  </si>
  <si>
    <t>13865402;d237375b-03db-4e12-b219-e3c956937d64;;111111118;Vodacom Life 20260324;;;;;AA;5;2026-05-22 1</t>
  </si>
  <si>
    <t>13865402;d237375b-03db-4e12-b219-e3c956937d64;;111111118;Vodacom Life 20260324;;;;;AA;5;2026-05-22 11:00:32+02;system;2026-03-24 09:54:08+02;2026-03-24 09:54:08+02;;;;;;;;;27714760708;;;;;;;;prepaid life;;;;;</t>
  </si>
  <si>
    <t>ID_4250</t>
  </si>
  <si>
    <t>13865403;81fa6210-3fb0-4b37-a146-1c17f8195d98;;111111118;Vodacom Life 20260324;;;;;AE;5;2026-05-22 1</t>
  </si>
  <si>
    <t>13865403;81fa6210-3fb0-4b37-a146-1c17f8195d98;;111111118;Vodacom Life 20260324;;;;;AE;5;2026-05-22 11:00:32+02;system;2026-03-24 09:54:08+02;2026-03-24 09:54:08+02;;;;;;;;;27715036912;;;;;;;;prepaid life;;;;;</t>
  </si>
  <si>
    <t>ID_4251</t>
  </si>
  <si>
    <t>13865482;f30b281d-012d-479c-af12-e92e0dc000ea;;111111118;Vodacom Life 20260324;;;;;NI;4;2026-05-07 1</t>
  </si>
  <si>
    <t>13865482;f30b281d-012d-479c-af12-e92e0dc000ea;;111111118;Vodacom Life 20260324;;;;;NI;4;2026-05-07 11:53:44+02;Esther Ramalete;2026-03-24 09:54:08+02;2026-03-24 09:54:08+02;;;;;;;;;27764011431;;;;;;;;prepaid life;;;;;</t>
  </si>
  <si>
    <t>ID_4252</t>
  </si>
  <si>
    <t>13865404;7659a543-875b-44ee-9f6a-e7e71ec78b5a;;111111118;Vodacom Life 20260324;;;;;AA;5;2026-05-22 1</t>
  </si>
  <si>
    <t>13865404;7659a543-875b-44ee-9f6a-e7e71ec78b5a;;111111118;Vodacom Life 20260324;;;;;AA;5;2026-05-22 11:04:35+02;system;2026-03-24 09:54:08+02;2026-03-24 09:54:08+02;;;;;;;;;27715187942;;;;;;;;prepaid life;;;;;</t>
  </si>
  <si>
    <t>ID_4253</t>
  </si>
  <si>
    <t>13865517;f1b563b5-771b-4c8e-aef9-ad30b20411d5;;111111118;Vodacom Life 20260324;;;27791658417;;IABDN;</t>
  </si>
  <si>
    <t>13865517;f1b563b5-771b-4c8e-aef9-ad30b20411d5;;111111118;Vodacom Life 20260324;;;27791658417;;IABDN;5;2026-05-22 10:41:42+02;system;2026-03-24 09:54:08+02;2026-03-24 09:54:08+02;;;;;;;;;27791658417;;;;;;;;prepaid life;;;;;</t>
  </si>
  <si>
    <t>ID_4254</t>
  </si>
  <si>
    <t>13865483;5a318355-66b5-4e0c-b513-1959828cc5a6;;111111118;Vodacom Life 20260324;;;;;DROP;5;2026-05-22</t>
  </si>
  <si>
    <t>13865483;5a318355-66b5-4e0c-b513-1959828cc5a6;;111111118;Vodacom Life 20260324;;;;;DROP;5;2026-05-22 11:24:51+02;system;2026-03-24 09:54:08+02;2026-03-24 09:54:08+02;;;;;;;;;27764563764;;;;;;;;prepaid life;;;;;</t>
  </si>
  <si>
    <t>ID_4255</t>
  </si>
  <si>
    <t>13865518;cbb223fe-1b71-4bec-ba0d-4122c544c2cf;;111111118;Vodacom Life 20260324;;;;;AA;5;2026-05-22 1</t>
  </si>
  <si>
    <t>13865518;cbb223fe-1b71-4bec-ba0d-4122c544c2cf;;111111118;Vodacom Life 20260324;;;;;AA;5;2026-05-22 11:20:32+02;system;2026-03-24 09:54:08+02;2026-03-24 09:54:08+02;;;;;;;;;27791709585;;;;;;;;prepaid life;;;;;</t>
  </si>
  <si>
    <t>ID_4256</t>
  </si>
  <si>
    <t>13865405;5110baa0-d763-4360-acab-8c85c0b2c982;;111111118;Vodacom Life 20260324;;;27715481341;;CU;6;2</t>
  </si>
  <si>
    <t>13865405;5110baa0-d763-4360-acab-8c85c0b2c982;;111111118;Vodacom Life 20260324;;;27715481341;;CU;6;2026-05-22 11:45:29+02;bongiwe lushaba;2026-03-24 09:54:08+02;2026-03-24 09:54:08+02;;;;;;;;;27715481341;;;;;;;;prepaid life;;;;;</t>
  </si>
  <si>
    <t>ID_4257</t>
  </si>
  <si>
    <t>13865484;c557a495-f728-44ee-87d8-94856db4a35b;;111111118;Vodacom Life 20260324;;;27764646603;;CU;5;2</t>
  </si>
  <si>
    <t>13865484;c557a495-f728-44ee-87d8-94856db4a35b;;111111118;Vodacom Life 20260324;;;27764646603;;CU;5;2026-05-22 11:24:51+02;Maureen Ntsoko;2026-03-24 09:54:08+02;2026-03-24 09:54:08+02;;;;;;;;;27764646603;;;;;;;;prepaid life;;;;;</t>
  </si>
  <si>
    <t>ID_4258</t>
  </si>
  <si>
    <t>13865406;54ed3834-cbbe-4e37-965b-af57ea06b1e9;;111111118;Vodacom Life 20260324;;;;;AA;5;2026-05-22 1</t>
  </si>
  <si>
    <t>13865406;54ed3834-cbbe-4e37-965b-af57ea06b1e9;;111111118;Vodacom Life 20260324;;;;;AA;5;2026-05-22 11:33:51+02;system;2026-03-24 09:54:08+02;2026-03-24 09:54:08+02;;;;;;;;;27715800483;;;;;;;;prepaid life;;;;;</t>
  </si>
  <si>
    <t>ID_4259</t>
  </si>
  <si>
    <t>13865519;ff6eca72-ea0b-4a1d-b3cb-9c9326515d51;;111111118;Vodacom Life 20260324;;;;;AA;5;2026-05-22 1</t>
  </si>
  <si>
    <t>13865519;ff6eca72-ea0b-4a1d-b3cb-9c9326515d51;;111111118;Vodacom Life 20260324;;;;;AA;5;2026-05-22 11:19:46+02;system;2026-03-24 09:54:08+02;2026-03-24 09:54:08+02;;;;;;;;;27791925370;;;;;;;;prepaid life;;;;;</t>
  </si>
  <si>
    <t>ID_4260</t>
  </si>
  <si>
    <t>13865485;f50bce92-20c8-4779-91f4-d7b8e9e1f4f6;;111111118;Vodacom Life 20260324;;;;;AA;5;2026-05-22 1</t>
  </si>
  <si>
    <t>13865485;f50bce92-20c8-4779-91f4-d7b8e9e1f4f6;;111111118;Vodacom Life 20260324;;;;;AA;5;2026-05-22 11:24:51+02;system;2026-03-24 09:54:08+02;2026-03-24 09:54:08+02;;;;;;;;;27764691071;;;;;;;;prepaid life;;;;;</t>
  </si>
  <si>
    <t>ID_4261</t>
  </si>
  <si>
    <t>13865520;b841e788-af00-4995-908f-d3018c82f697;;111111118;Vodacom Life 20260324;;;;;CBACK;5;2026-05-2</t>
  </si>
  <si>
    <t>13865520;b841e788-af00-4995-908f-d3018c82f697;;111111118;Vodacom Life 20260324;;;;;CBACK;5;2026-05-22 10:39:31+02;Maureen Ntsoko;2026-03-24 09:54:08+02;2026-03-24 09:54:08+02;;;;;;;;;27792381320;;;;;;;;prepaid life;;;;;</t>
  </si>
  <si>
    <t>ID_4262</t>
  </si>
  <si>
    <t>13865407;4ebfbcc4-26a9-4aca-8564-2b1788c7ddf3;;111111118;Vodacom Life 20260324;;;;;AE;5;2026-05-22 1</t>
  </si>
  <si>
    <t>13865407;4ebfbcc4-26a9-4aca-8564-2b1788c7ddf3;;111111118;Vodacom Life 20260324;;;;;AE;5;2026-05-22 11:33:49+02;system;2026-03-24 09:54:08+02;2026-03-24 09:54:08+02;;;;;;;;;27715826179;;;;;;;;prepaid life;;;;;</t>
  </si>
  <si>
    <t>ID_4263</t>
  </si>
  <si>
    <t>13865486;ec30cbb4-ce16-4367-bc09-217c473d84bf;;111111118;Vodacom Life 20260324;;;;;AE;5;2026-05-22 1</t>
  </si>
  <si>
    <t>13865486;ec30cbb4-ce16-4367-bc09-217c473d84bf;;111111118;Vodacom Life 20260324;;;;;AE;5;2026-05-22 11:24:51+02;system;2026-03-24 09:54:08+02;2026-03-24 09:54:08+02;;;;;;;;;27764858229;;;;;;;;prepaid life;;;;;</t>
  </si>
  <si>
    <t>ID_4264</t>
  </si>
  <si>
    <t>13865408;5537921a-fcef-468f-bac2-1946be5dd7b3;;111111118;Vodacom Life 20260324;;;;;DROP;5;2026-05-22</t>
  </si>
  <si>
    <t>13865408;5537921a-fcef-468f-bac2-1946be5dd7b3;;111111118;Vodacom Life 20260324;;;;;DROP;5;2026-05-22 11:33:49+02;system;2026-03-24 09:54:08+02;2026-03-24 09:54:08+02;;;;;;;;;27716039283;;;;;;;;prepaid life;;;;;</t>
  </si>
  <si>
    <t>ID_4265</t>
  </si>
  <si>
    <t>13865521;8a39c448-2b54-4d41-be12-ec8cbf9338cd;;111111118;Vodacom Life 20260324;;;;;NA;5;2026-05-22 1</t>
  </si>
  <si>
    <t>13865521;8a39c448-2b54-4d41-be12-ec8cbf9338cd;;111111118;Vodacom Life 20260324;;;;;NA;5;2026-05-22 10:39:31+02;system;2026-03-24 09:54:08+02;2026-03-24 09:54:08+02;;;;;;;;;27792710247;;;;;;;;prepaid life;;;;;</t>
  </si>
  <si>
    <t>ID_4266</t>
  </si>
  <si>
    <t>13865522;c18dfeb5-e148-486d-a286-c1f4bdfb72cb;;111111118;Vodacom Life 20260324;;;;;NA;5;2026-05-22 1</t>
  </si>
  <si>
    <t>13865522;c18dfeb5-e148-486d-a286-c1f4bdfb72cb;;111111118;Vodacom Life 20260324;;;;;NA;5;2026-05-22 10:36:52+02;system;2026-03-24 09:54:08+02;2026-03-24 09:54:08+02;;;;;;;;;27792909845;;;;;;;;prepaid life;;;;;</t>
  </si>
  <si>
    <t>ID_4267</t>
  </si>
  <si>
    <t>13865487;e30c2306-6b74-451d-85aa-5fe3b6a0317f;;111111118;Vodacom Life 20260324;;;;;AE;5;2026-05-22 1</t>
  </si>
  <si>
    <t>13865487;e30c2306-6b74-451d-85aa-5fe3b6a0317f;;111111118;Vodacom Life 20260324;;;;;AE;5;2026-05-22 11:24:50+02;system;2026-03-24 09:54:08+02;2026-03-24 09:54:08+02;;;;;;;;;27764943393;;;;;;;;prepaid life;;;;;</t>
  </si>
  <si>
    <t>ID_4268</t>
  </si>
  <si>
    <t>13865409;2675592d-9a85-42b1-a226-381f32175bd7;;111111118;Vodacom Life 20260324;;;;;NA;5;2026-05-22 1</t>
  </si>
  <si>
    <t>13865409;2675592d-9a85-42b1-a226-381f32175bd7;;111111118;Vodacom Life 20260324;;;;;NA;5;2026-05-22 11:33:48+02;system;2026-03-24 09:54:08+02;2026-03-24 09:54:08+02;;;;;;;;;27716126811;;;;;;;;prepaid life;;;;;</t>
  </si>
  <si>
    <t>ID_4269</t>
  </si>
  <si>
    <t>13865488;153c06e8-c1e8-43a7-99eb-7a2e7d5337bc;;111111118;Vodacom Life 20260324;;;27765097543;;NI;5;2</t>
  </si>
  <si>
    <t>13865488;153c06e8-c1e8-43a7-99eb-7a2e7d5337bc;;111111118;Vodacom Life 20260324;;;27765097543;;NI;5;2026-05-07 11:52:26+02;Esther Ramalete;2026-03-24 09:54:08+02;2026-03-24 09:54:08+02;;;;;;;;;27765097543;;;;;;;;prepaid life;;;;;</t>
  </si>
  <si>
    <t>ID_4270</t>
  </si>
  <si>
    <t>13865410;a46ab09a-d4ca-4a43-a270-be5e9ccc498e;;111111118;Vodacom Life 20260324;;;;;NI;3;2026-04-08 1</t>
  </si>
  <si>
    <t>13865410;a46ab09a-d4ca-4a43-a270-be5e9ccc498e;;111111118;Vodacom Life 20260324;;;;;NI;3;2026-04-08 15:16:22+02;Musiiwa Mary Mabirimisa;2026-03-24 09:54:08+02;2026-03-24 09:54:08+02;;;;;;;;;27716647390;;;;;;;;prepaid life;;;;;</t>
  </si>
  <si>
    <t>ID_4271</t>
  </si>
  <si>
    <t>13865523;a3c907ac-bc03-4a21-9e45-9ad1c473aace;;111111118;Vodacom Life 20260324;;;27793351857;;NA;5;2</t>
  </si>
  <si>
    <t>13865523;a3c907ac-bc03-4a21-9e45-9ad1c473aace;;111111118;Vodacom Life 20260324;;;27793351857;;NA;5;2026-05-22 10:40:23+02;system;2026-03-24 09:54:08+02;2026-03-24 09:54:08+02;;;;;;;;;27793351857;;;;;;;;prepaid life;;;;;</t>
  </si>
  <si>
    <t>ID_4272</t>
  </si>
  <si>
    <t>13865489;49004e9a-74ec-4468-bb67-10a748c96c52;;111111118;Vodacom Life 20260324;;;;;CBACK;1;2026-03-2</t>
  </si>
  <si>
    <t>13865489;49004e9a-74ec-4468-bb67-10a748c96c52;;111111118;Vodacom Life 20260324;;;;;CBACK;1;2026-03-26 12:24:04+02;Maureen Ntsoko;2026-03-24 09:54:08+02;2026-03-24 09:54:08+02;;;;;;;;;27765156508;;;;;;;;prepaid life;;;;;</t>
  </si>
  <si>
    <t>ID_4273</t>
  </si>
  <si>
    <t>13865524;8a848b21-f3b7-4830-ad86-47aa88b0dbaf;;111111118;Vodacom Life 20260324;;;;;AA;5;2026-05-22 1</t>
  </si>
  <si>
    <t>13865524;8a848b21-f3b7-4830-ad86-47aa88b0dbaf;;111111118;Vodacom Life 20260324;;;;;AA;5;2026-05-22 10:36:52+02;system;2026-03-24 09:54:08+02;2026-03-24 09:54:08+02;;;;;;;;;27793519719;;;;;;;;prepaid life;;;;;</t>
  </si>
  <si>
    <t>ID_4274</t>
  </si>
  <si>
    <t>13865606;1ce46379-fb69-4104-9a68-748444cba153;;111111118;Vodacom Life 20260324;;;;;U;2;2026-04-08 14</t>
  </si>
  <si>
    <t>13865606;1ce46379-fb69-4104-9a68-748444cba153;;111111118;Vodacom Life 20260324;;;;;U;2;2026-04-08 14:25:48+02;Thandile Nokubeni;2026-03-24 09:54:08+02;2026-03-24 09:54:08+02;;;;;;;;;27636685565;;;;;;;;prepaid life;;;;;</t>
  </si>
  <si>
    <t>ID_4275</t>
  </si>
  <si>
    <t>13865490;a6fd4b05-1937-424d-a23e-cc6906d40a71;;111111118;Vodacom Life 20260324;;;;;U;2;2026-04-08 15</t>
  </si>
  <si>
    <t>13865490;a6fd4b05-1937-424d-a23e-cc6906d40a71;;111111118;Vodacom Life 20260324;;;;;U;2;2026-04-08 15:21:36+02;bongiwe lushaba;2026-03-24 09:54:08+02;2026-03-24 09:54:08+02;;;;;;;;;27765270583;;;;;;;;prepaid life;;;;;</t>
  </si>
  <si>
    <t>ID_4276</t>
  </si>
  <si>
    <t>13865607;1b4d8abc-ca65-48a7-8a06-21fcbf3b6ab3;;111111118;Vodacom Life 20260324;;;;;NA;5;2026-05-22 1</t>
  </si>
  <si>
    <t>13865607;1b4d8abc-ca65-48a7-8a06-21fcbf3b6ab3;;111111118;Vodacom Life 20260324;;;;;NA;5;2026-05-22 10:21:54+02;system;2026-03-24 09:54:08+02;2026-03-24 09:54:08+02;;;;;;;;;27637278150;;;;;;;;prepaid life;;;;;</t>
  </si>
  <si>
    <t>ID_4277</t>
  </si>
  <si>
    <t>13865525;0f56f33b-572a-42c2-acd8-3de52d8fc901;;111111118;Vodacom Life 20260324;;;27793832775;;A;5;20</t>
  </si>
  <si>
    <t>13865525;0f56f33b-572a-42c2-acd8-3de52d8fc901;;111111118;Vodacom Life 20260324;;;27793832775;;A;5;2026-05-22 10:40:22+02;system;2026-03-24 09:54:08+02;2026-03-24 09:54:08+02;;;;;;;;;27793832775;;;;;;;;prepaid life;;;;;</t>
  </si>
  <si>
    <t>ID_4278</t>
  </si>
  <si>
    <t>13865491;ed5c5839-7146-4d51-aa21-f475736405c4;;111111118;Vodacom Life 20260324;;;27765901565;;AA;5;2</t>
  </si>
  <si>
    <t>13865491;ed5c5839-7146-4d51-aa21-f475736405c4;;111111118;Vodacom Life 20260324;;;27765901565;;AA;5;2026-05-22 11:22:48+02;system;2026-03-24 09:54:08+02;2026-03-24 09:54:08+02;;;;;;;;;27765901565;;;;;;;;prepaid life;;;;;</t>
  </si>
  <si>
    <t>ID_4279</t>
  </si>
  <si>
    <t>13865526;3345a233-8c98-4f9f-beaf-3ee4ce2ce8ba;;111111118;Vodacom Life 20260324;;;;;AA;5;2026-05-22 1</t>
  </si>
  <si>
    <t>13865526;3345a233-8c98-4f9f-beaf-3ee4ce2ce8ba;;111111118;Vodacom Life 20260324;;;;;AA;5;2026-05-22 11:19:45+02;system;2026-03-24 09:54:08+02;2026-03-24 09:54:08+02;;;;;;;;;27794386575;;;;;;;;prepaid life;;;;;</t>
  </si>
  <si>
    <t>ID_4280</t>
  </si>
  <si>
    <t>13865608;56a953f7-8a50-4dd2-a828-0e1bb4b17718;;111111118;Vodacom Life 20260324;;;;;NI;1;2026-03-26 0</t>
  </si>
  <si>
    <t>13865608;56a953f7-8a50-4dd2-a828-0e1bb4b17718;;111111118;Vodacom Life 20260324;;;;;NI;1;2026-03-26 09:50:18+02;Musiiwa Mary Mabirimisa;2026-03-24 09:54:08+02;2026-03-24 09:54:08+02;;;;;;;;;27637353853;;;;;;;;prepaid life;;;;;</t>
  </si>
  <si>
    <t>ID_4281</t>
  </si>
  <si>
    <t>13865609;67435320-deb7-444b-972f-ed47715ac0c7;;111111118;Vodacom Life 20260324;;;;;AA;5;2026-05-22 1</t>
  </si>
  <si>
    <t>13865609;67435320-deb7-444b-972f-ed47715ac0c7;;111111118;Vodacom Life 20260324;;;;;AA;5;2026-05-22 10:12:46+02;system;2026-03-24 09:54:08+02;2026-03-24 09:54:08+02;;;;;;;;;27637812043;;;;;;;;prepaid life;;;;;</t>
  </si>
  <si>
    <t>ID_4282</t>
  </si>
  <si>
    <t>13865492;87628f25-2235-43fe-9e5e-6572f16740cb;;111111118;Vodacom Life 20260324;;;27766558787;;ADC;5;</t>
  </si>
  <si>
    <t>13865492;87628f25-2235-43fe-9e5e-6572f16740cb;;111111118;Vodacom Life 20260324;;;27766558787;;ADC;5;2026-05-22 10:44:18+02;system;2026-03-24 09:54:08+02;2026-03-24 09:54:08+02;;;;;;;;;27766558787;;;;;;;;prepaid life;;;;;</t>
  </si>
  <si>
    <t>ID_4283</t>
  </si>
  <si>
    <t>13865610;0c29c3d4-906a-4f6f-b859-7c56d1f14ed5;;111111118;Vodacom Life 20260324;;;;;NI;1;2026-03-26 0</t>
  </si>
  <si>
    <t>13865610;0c29c3d4-906a-4f6f-b859-7c56d1f14ed5;;111111118;Vodacom Life 20260324;;;;;NI;1;2026-03-26 09:50:18+02;Maureen Ntsoko;2026-03-24 09:54:08+02;2026-03-24 09:54:08+02;;;;;;;;;27639808652;;;;;;;;prepaid life;;;;;</t>
  </si>
  <si>
    <t>ID_4284</t>
  </si>
  <si>
    <t>13865527;d0b3263e-3bd1-45a1-b902-6b5ca01111b6;;111111118;Vodacom Life 20260324;;;;;AA;5;2026-05-22 1</t>
  </si>
  <si>
    <t>13865527;d0b3263e-3bd1-45a1-b902-6b5ca01111b6;;111111118;Vodacom Life 20260324;;;;;AA;5;2026-05-22 11:19:45+02;system;2026-03-24 09:54:08+02;2026-03-24 09:54:08+02;;;;;;;;;27794395583;;;;;;;;prepaid life;;;;;</t>
  </si>
  <si>
    <t>ID_4285</t>
  </si>
  <si>
    <t>13865493;ea54f0d6-3a7a-413b-bdb0-39e635eb21c5;;111111118;Vodacom Life 20260324;;;;;AE;5;2026-05-22 1</t>
  </si>
  <si>
    <t>13865493;ea54f0d6-3a7a-413b-bdb0-39e635eb21c5;;111111118;Vodacom Life 20260324;;;;;AE;5;2026-05-22 10:44:18+02;system;2026-03-24 09:54:08+02;2026-03-24 09:54:08+02;;;;;;;;;27766685436;;;;;;;;prepaid life;;;;;</t>
  </si>
  <si>
    <t>ID_4286</t>
  </si>
  <si>
    <t>13865528;404608f9-5f3a-47b6-8d56-4057fec36f4c;;111111118;Vodacom Life 20260324;;;;;AA;5;2026-05-22 1</t>
  </si>
  <si>
    <t>13865528;404608f9-5f3a-47b6-8d56-4057fec36f4c;;111111118;Vodacom Life 20260324;;;;;AA;5;2026-05-22 11:19:45+02;system;2026-03-24 09:54:08+02;2026-03-24 09:54:08+02;;;;;;;;;27794514656;;;;;;;;prepaid life;;;;;</t>
  </si>
  <si>
    <t>ID_4287</t>
  </si>
  <si>
    <t>13865529;7978a311-f1d6-43f5-8918-9ad742df821e;;111111118;Vodacom Life 20260324;;;27794946836;;N;5;20</t>
  </si>
  <si>
    <t>13865529;7978a311-f1d6-43f5-8918-9ad742df821e;;111111118;Vodacom Life 20260324;;;27794946836;;N;5;2026-05-22 11:19:36+02;Khensane Mabasa;2026-03-24 09:54:08+02;2026-03-24 09:54:08+02;;;;;;;;;27794946836;;;;;;;;prepaid life;;;;;</t>
  </si>
  <si>
    <t>ID_4288</t>
  </si>
  <si>
    <t>13865611;f2395c00-841a-47fa-a43c-e40ef54c327f;;111111118;Vodacom Life 20260324;;;;;DROP;5;2026-05-22</t>
  </si>
  <si>
    <t>13865611;f2395c00-841a-47fa-a43c-e40ef54c327f;;111111118;Vodacom Life 20260324;;;;;DROP;5;2026-05-22 10:12:46+02;system;2026-03-24 09:54:08+02;2026-03-24 09:54:08+02;;;;;;;;;27646194945;;;;;;;;prepaid life;;;;;</t>
  </si>
  <si>
    <t>ID_4289</t>
  </si>
  <si>
    <t>13865494;e32f7459-0844-4abf-8b06-d0c820f967b3;;111111118;Vodacom Life 20260324;;;27766957322;;AE;5;2</t>
  </si>
  <si>
    <t>13865494;e32f7459-0844-4abf-8b06-d0c820f967b3;;111111118;Vodacom Life 20260324;;;27766957322;;AE;5;2026-05-22 10:44:18+02;system;2026-03-24 09:54:08+02;2026-03-24 09:54:08+02;;;;;;;;;27766957322;;;;;;;;prepaid life;;;;;</t>
  </si>
  <si>
    <t>ID_4290</t>
  </si>
  <si>
    <t>13865612;87d5b10f-162a-4607-9705-e4909541094c;;111111118;Vodacom Life 20260324;;;;;U;1;2026-03-26 09</t>
  </si>
  <si>
    <t>13865612;87d5b10f-162a-4607-9705-e4909541094c;;111111118;Vodacom Life 20260324;;;;;U;1;2026-03-26 09:50:16+02;bongiwe lushaba;2026-03-24 09:54:08+02;2026-03-24 09:54:08+02;;;;;;;;;27646463144;;;;;;;;prepaid life;;;;;</t>
  </si>
  <si>
    <t>ID_4291</t>
  </si>
  <si>
    <t>13865613;bfa57857-4dff-4263-9ebb-5827573a1c7e;;111111118;Vodacom Life 20260324;;;;;DROP;5;2026-05-22</t>
  </si>
  <si>
    <t>13865613;bfa57857-4dff-4263-9ebb-5827573a1c7e;;111111118;Vodacom Life 20260324;;;;;DROP;5;2026-05-22 10:12:45+02;system;2026-03-24 09:54:08+02;2026-03-24 09:54:08+02;;;;;;;;;27646758821;;;;;;;;prepaid life;;;;;</t>
  </si>
  <si>
    <t>ID_4292</t>
  </si>
  <si>
    <t>13865530;52a00ee7-b34a-456c-911b-830fe93527dd;;111111118;Vodacom Life 20260324;;;27795231138;;CU;6;2</t>
  </si>
  <si>
    <t>13865530;52a00ee7-b34a-456c-911b-830fe93527dd;;111111118;Vodacom Life 20260324;;;27795231138;;CU;6;2026-05-22 11:33:51+02;bongiwe lushaba;2026-03-24 09:54:08+02;2026-03-24 09:54:08+02;;;;;;;;;27795231138;;;;;;;;prepaid life;;;;;</t>
  </si>
  <si>
    <t>ID_4293</t>
  </si>
  <si>
    <t>13865495;78f661a0-ab16-4ad5-933e-6dfe3fe68286;;111111118;Vodacom Life 20260324;;;;;CU;5;2026-05-22 1</t>
  </si>
  <si>
    <t>13865495;78f661a0-ab16-4ad5-933e-6dfe3fe68286;;111111118;Vodacom Life 20260324;;;;;CU;5;2026-05-22 10:43:19+02;bongiwe lushaba;2026-03-24 09:54:08+02;2026-03-24 09:54:08+02;;;;;;;;;27767000404;;;;;;;;prepaid life;;;;;</t>
  </si>
  <si>
    <t>ID_4294</t>
  </si>
  <si>
    <t xml:space="preserve">13865531;b0483b00-47da-4f27-bf78-4cd247871f86;;111111118;Vodacom Life 20260324;;;;;ADC;5;2026-05-22 </t>
  </si>
  <si>
    <t>13865531;b0483b00-47da-4f27-bf78-4cd247871f86;;111111118;Vodacom Life 20260324;;;;;ADC;5;2026-05-22 10:35:30+02;system;2026-03-24 09:54:08+02;2026-03-24 09:54:08+02;;;;;;;;;27795259418;;;;;;;;prepaid life;;;;;</t>
  </si>
  <si>
    <t>ID_4295</t>
  </si>
  <si>
    <t>13865614;ff2eba61-ed8f-4864-9c51-8d8d515c9036;;111111118;Vodacom Life 20260324;;;;;AA;5;2026-05-22 1</t>
  </si>
  <si>
    <t>13865614;ff2eba61-ed8f-4864-9c51-8d8d515c9036;;111111118;Vodacom Life 20260324;;;;;AA;5;2026-05-22 10:12:46+02;system;2026-03-24 09:54:08+02;2026-03-24 09:54:08+02;;;;;;;;;27646887639;;;;;;;;prepaid life;;;;;</t>
  </si>
  <si>
    <t>ID_4296</t>
  </si>
  <si>
    <t>13865496;e79c6e77-7345-4359-ae84-82ed48fa0e77;;111111118;Vodacom Life 20260324;;;;;NI;3;2026-04-14 1</t>
  </si>
  <si>
    <t>13865496;e79c6e77-7345-4359-ae84-82ed48fa0e77;;111111118;Vodacom Life 20260324;;;;;NI;3;2026-04-14 11:57:24+02;Esther Ramalete;2026-03-24 09:54:08+02;2026-03-24 09:54:08+02;;;;;;;;;27767168230;;;;;;;;prepaid life;;;;;</t>
  </si>
  <si>
    <t>ID_4297</t>
  </si>
  <si>
    <t>13865615;64289e5b-559b-4602-9ccc-8fd06de7284a;;111111118;Vodacom Life 20260324;;;;;AA;5;2026-05-22 1</t>
  </si>
  <si>
    <t>13865615;64289e5b-559b-4602-9ccc-8fd06de7284a;;111111118;Vodacom Life 20260324;;;;;AA;5;2026-05-22 10:11:26+02;system;2026-03-24 09:54:08+02;2026-03-24 09:54:08+02;;;;;;;;;27647035602;;;;;;;;prepaid life;;;;;</t>
  </si>
  <si>
    <t>ID_4298</t>
  </si>
  <si>
    <t xml:space="preserve">13865616;b5f5bb99-6586-4723-9911-5b9d01b16e51;;111111118;Vodacom Life 20260324;;;;;ADC;5;2026-05-22 </t>
  </si>
  <si>
    <t>13865616;b5f5bb99-6586-4723-9911-5b9d01b16e51;;111111118;Vodacom Life 20260324;;;;;ADC;5;2026-05-22 10:11:26+02;system;2026-03-24 09:54:08+02;2026-03-24 09:54:08+02;;;;;;;;;27647781011;;;;;;;;prepaid life;;;;;</t>
  </si>
  <si>
    <t>ID_4299</t>
  </si>
  <si>
    <t>13865532;02e1ba0a-425f-443a-8a67-e6db1e151352;;111111118;Vodacom Life 20260324;;;;;NI;1;2026-03-26 1</t>
  </si>
  <si>
    <t>13865532;02e1ba0a-425f-443a-8a67-e6db1e151352;;111111118;Vodacom Life 20260324;;;;;NI;1;2026-03-26 11:10:15+02;Thandile Nokubeni;2026-03-24 09:54:08+02;2026-03-24 09:54:08+02;;;;;;;;;27795379450;;;;;;;;prepaid life;;;;;</t>
  </si>
  <si>
    <t>ID_4300</t>
  </si>
  <si>
    <t>13865497;2fc39f5e-61ec-463d-ba43-598c7c2bbedf;;111111118;Vodacom Life 20260324;;;;;DROP;5;2026-05-22</t>
  </si>
  <si>
    <t>13865497;2fc39f5e-61ec-463d-ba43-598c7c2bbedf;;111111118;Vodacom Life 20260324;;;;;DROP;5;2026-05-22 10:43:29+02;system;2026-03-24 09:54:08+02;2026-03-24 09:54:08+02;;;;;;;;;27768054765;;;;;;;;prepaid life;;;;;</t>
  </si>
  <si>
    <t>ID_4301</t>
  </si>
  <si>
    <t>13865533;bae6440b-7a06-4e1a-8322-390b00e50941;;111111118;Vodacom Life 20260324;;;;;NA;5;2026-05-22 1</t>
  </si>
  <si>
    <t>13865533;bae6440b-7a06-4e1a-8322-390b00e50941;;111111118;Vodacom Life 20260324;;;;;NA;5;2026-05-22 10:35:44+02;system;2026-03-24 09:54:08+02;2026-03-24 09:54:08+02;;;;;;;;;27795395536;;;;;;;;prepaid life;;;;;</t>
  </si>
  <si>
    <t>ID_4302</t>
  </si>
  <si>
    <t>13865617;d5af43be-99a4-4ad5-a41b-bb18fc51ebb2;;111111118;Vodacom Life 20260324;;;;;DROP;5;2026-05-22</t>
  </si>
  <si>
    <t>13865617;d5af43be-99a4-4ad5-a41b-bb18fc51ebb2;;111111118;Vodacom Life 20260324;;;;;DROP;5;2026-05-22 10:11:26+02;system;2026-03-24 09:54:08+02;2026-03-24 09:54:08+02;;;;;;;;;27648255042;;;;;;;;prepaid life;;;;;</t>
  </si>
  <si>
    <t>ID_4303</t>
  </si>
  <si>
    <t>13865618;a6506396-e71a-4c95-bbbd-80e73399452b;;111111118;Vodacom Life 20260324;;;27649403839;;IABDN;</t>
  </si>
  <si>
    <t>13865618;a6506396-e71a-4c95-bbbd-80e73399452b;;111111118;Vodacom Life 20260324;;;27649403839;;IABDN;5;2026-05-22 10:11:45+02;system;2026-03-24 09:54:08+02;2026-03-24 09:54:08+02;;;;;;;;;27649403839;;;;;;;;prepaid life;;;;;</t>
  </si>
  <si>
    <t>ID_4304</t>
  </si>
  <si>
    <t>13865498;0dd6811a-320a-48a7-8741-2a4c5a4c68f6;;111111118;Vodacom Life 20260324;;;;;DROP;5;2026-05-22</t>
  </si>
  <si>
    <t>13865498;0dd6811a-320a-48a7-8741-2a4c5a4c68f6;;111111118;Vodacom Life 20260324;;;;;DROP;5;2026-05-22 10:43:19+02;system;2026-03-24 09:54:08+02;2026-03-24 09:54:08+02;;;;;;;;;27768060968;;;;;;;;prepaid life;;;;;</t>
  </si>
  <si>
    <t>ID_4305</t>
  </si>
  <si>
    <t>13865619;0eeae785-e324-47f8-9de0-51ebf0c5b8e9;;111111118;Vodacom Life 20260324;;;27649617836;;IABDN;</t>
  </si>
  <si>
    <t>13865619;0eeae785-e324-47f8-9de0-51ebf0c5b8e9;;111111118;Vodacom Life 20260324;;;27649617836;;IABDN;5;2026-05-22 10:10:07+02;system;2026-03-24 09:54:08+02;2026-03-24 09:54:08+02;;;;;;;;;27649617836;;;;;;;;prepaid life;;;;;</t>
  </si>
  <si>
    <t>ID_4306</t>
  </si>
  <si>
    <t>13865534;99d8afc6-66df-4cc2-8d15-88833df474ce;;111111118;Vodacom Life 20260324;;;;;AA;5;2026-05-22 1</t>
  </si>
  <si>
    <t>13865534;99d8afc6-66df-4cc2-8d15-88833df474ce;;111111118;Vodacom Life 20260324;;;;;AA;5;2026-05-22 10:35:30+02;system;2026-03-24 09:54:08+02;2026-03-24 09:54:08+02;;;;;;;;;27796231487;;;;;;;;prepaid life;;;;;</t>
  </si>
  <si>
    <t>ID_4307</t>
  </si>
  <si>
    <t>13865499;bc80aeeb-c44d-4af1-9332-0583eeb9b604;;111111118;Vodacom Life 20260324;;;;;NA;5;2026-05-22 1</t>
  </si>
  <si>
    <t>13865499;bc80aeeb-c44d-4af1-9332-0583eeb9b604;;111111118;Vodacom Life 20260324;;;;;NA;5;2026-05-22 10:44:19+02;system;2026-03-24 09:54:08+02;2026-03-24 09:54:08+02;;;;;;;;;27768070444;;;;;;;;prepaid life;;;;;</t>
  </si>
  <si>
    <t>ID_4308</t>
  </si>
  <si>
    <t>13865620;caa99c95-c6fa-4465-bd73-103de16c1c02;;111111118;Vodacom Life 20260324;;;;;U;1;2026-03-26 12</t>
  </si>
  <si>
    <t>13865620;caa99c95-c6fa-4465-bd73-103de16c1c02;;111111118;Vodacom Life 20260324;;;;;U;1;2026-03-26 12:19:54+02;Mahlatse Manamela;2026-03-24 09:54:08+02;2026-03-24 09:54:08+02;;;;;;;;;27660305684;;;;;;;;prepaid life;;;;;</t>
  </si>
  <si>
    <t>ID_4309</t>
  </si>
  <si>
    <t>13865500;5a66bc1d-d3fd-4b94-9940-c9d89c32e751;;111111118;Vodacom Life 20260324;;;;;N;5;2026-05-22 11</t>
  </si>
  <si>
    <t>13865500;5a66bc1d-d3fd-4b94-9940-c9d89c32e751;;111111118;Vodacom Life 20260324;;;;;N;5;2026-05-22 11:22:47+02;Khensane Mabasa;2026-03-24 09:54:08+02;2026-03-24 09:54:08+02;;;;;;;;;27768098496;;;;;;;;prepaid life;;;;;</t>
  </si>
  <si>
    <t>ID_4310</t>
  </si>
  <si>
    <t>13865621;dad2509e-ee46-4d11-a351-9097eaac11c3;;111111118;Vodacom Life 20260324;;;;;CU;5;2026-05-22 1</t>
  </si>
  <si>
    <t>13865621;dad2509e-ee46-4d11-a351-9097eaac11c3;;111111118;Vodacom Life 20260324;;;;;CU;5;2026-05-22 10:09:47+02;bongiwe lushaba;2026-03-24 09:54:08+02;2026-03-24 09:54:08+02;;;;;;;;;27660686349;;;;;;;;prepaid life;;;;;</t>
  </si>
  <si>
    <t>ID_4311</t>
  </si>
  <si>
    <t>13865536;9ed0078c-e690-4ec6-bf84-b8a99d8470ad;;111111118;Vodacom Life 20260324;;;;;AA;5;2026-05-22 1</t>
  </si>
  <si>
    <t>13865536;9ed0078c-e690-4ec6-bf84-b8a99d8470ad;;111111118;Vodacom Life 20260324;;;;;AA;5;2026-05-22 10:35:47+02;system;2026-03-24 09:54:08+02;2026-03-24 09:54:08+02;;;;;;;;;27796554108;;;;;;;;prepaid life;;;;;</t>
  </si>
  <si>
    <t>ID_4312</t>
  </si>
  <si>
    <t>13865501;7d89b2f2-cde3-4225-a9cf-96fae435746b;;111111118;Vodacom Life 20260324;;;;;AA;5;2026-05-22 1</t>
  </si>
  <si>
    <t>13865501;7d89b2f2-cde3-4225-a9cf-96fae435746b;;111111118;Vodacom Life 20260324;;;;;AA;5;2026-05-22 11:22:30+02;system;2026-03-24 09:54:08+02;2026-03-24 09:54:08+02;;;;;;;;;27768454665;;;;;;;;prepaid life;;;;;</t>
  </si>
  <si>
    <t>ID_4313</t>
  </si>
  <si>
    <t>13865537;8ebeeae2-dc88-4eaf-bc69-46dae79a9a4a;;111111118;Vodacom Life 20260324;;;;;CU;5;2026-05-22 1</t>
  </si>
  <si>
    <t>13865537;8ebeeae2-dc88-4eaf-bc69-46dae79a9a4a;;111111118;Vodacom Life 20260324;;;;;CU;5;2026-05-22 11:19:30+02;bongiwe lushaba;2026-03-24 09:54:08+02;2026-03-24 09:54:08+02;;;;;;;;;27796666791;;;;;;;;prepaid life;;;;;</t>
  </si>
  <si>
    <t>ID_4314</t>
  </si>
  <si>
    <t>13865538;db2544a0-6ec1-41f8-b8bd-8ede683ddacf;;111111118;Vodacom Life 20260324;;;;;AA;5;2026-05-22 1</t>
  </si>
  <si>
    <t>13865538;db2544a0-6ec1-41f8-b8bd-8ede683ddacf;;111111118;Vodacom Life 20260324;;;;;AA;5;2026-05-22 11:19:30+02;system;2026-03-24 09:54:08+02;2026-03-24 09:54:08+02;;;;;;;;;27796744758;;;;;;;;prepaid life;;;;;</t>
  </si>
  <si>
    <t>ID_4315</t>
  </si>
  <si>
    <t>13865622;88999ec7-922b-4309-ba8b-96084338134d;;111111118;Vodacom Life 20260324;;;;;SELECTED;3;2026-0</t>
  </si>
  <si>
    <t>13865622;88999ec7-922b-4309-ba8b-96084338134d;;111111118;Vodacom Life 20260324;;;;;SELECTED;3;2026-04-08 14:24:06+02;system;2026-03-24 09:54:08+02;2026-03-24 09:54:08+02;;;;;;;;;27661042873;;;;;;;;prepaid life;;;;;</t>
  </si>
  <si>
    <t>ID_4316</t>
  </si>
  <si>
    <t>13865502;2ea2344c-9e3b-4bd1-ada7-85cc84378e97;;111111118;Vodacom Life 20260324;;;;;AE;5;2026-05-22 1</t>
  </si>
  <si>
    <t>13865502;2ea2344c-9e3b-4bd1-ada7-85cc84378e97;;111111118;Vodacom Life 20260324;;;;;AE;5;2026-05-22 11:22:29+02;system;2026-03-24 09:54:08+02;2026-03-24 09:54:08+02;;;;;;;;;27768785735;;;;;;;;prepaid life;;;;;</t>
  </si>
  <si>
    <t>ID_4317</t>
  </si>
  <si>
    <t>13865623;cadfbe49-579f-48ba-bd07-e2b8aa218405;;111111118;Vodacom Life 20260324;;;27661044116;;CBACK;</t>
  </si>
  <si>
    <t>13865623;cadfbe49-579f-48ba-bd07-e2b8aa218405;;111111118;Vodacom Life 20260324;;;27661044116;;CBACK;5;2026-05-22 10:11:27+02;bongiwe lushaba;2026-03-24 09:54:08+02;2026-03-24 09:54:08+02;;;;;;;;;27661044116;;;;;;;;prepaid life;;;;;</t>
  </si>
  <si>
    <t>ID_4318</t>
  </si>
  <si>
    <t>13865503;5f76a709-06cd-4985-85c5-39d23390e9f7;;111111118;Vodacom Life 20260324;;;;;AA;5;2026-05-22 1</t>
  </si>
  <si>
    <t>13865503;5f76a709-06cd-4985-85c5-39d23390e9f7;;111111118;Vodacom Life 20260324;;;;;AA;5;2026-05-22 11:22:26+02;system;2026-03-24 09:54:08+02;2026-03-24 09:54:08+02;;;;;;;;;27769576245;;;;;;;;prepaid life;;;;;</t>
  </si>
  <si>
    <t>ID_4319</t>
  </si>
  <si>
    <t>13865624;24431d29-77d6-4ad2-83f1-8ff4433dbda8;;111111118;Vodacom Life 20260324;;;27661448291;;NA;5;2</t>
  </si>
  <si>
    <t>13865624;24431d29-77d6-4ad2-83f1-8ff4433dbda8;;111111118;Vodacom Life 20260324;;;27661448291;;NA;5;2026-05-22 10:10:03+02;system;2026-03-24 09:54:08+02;2026-03-24 09:54:08+02;;;;;;;;;27661448291;;;;;;;;prepaid life;;;;;</t>
  </si>
  <si>
    <t>ID_4320</t>
  </si>
  <si>
    <t>13865504;ac30581a-e7d7-4ed4-ab5b-f65b91d4f394;;111111118;Vodacom Life 20260324;;;;;NI;1;2026-03-26 1</t>
  </si>
  <si>
    <t>13865504;ac30581a-e7d7-4ed4-ab5b-f65b91d4f394;;111111118;Vodacom Life 20260324;;;;;NI;1;2026-03-26 12:23:15+02;Thandile Nokubeni;2026-03-24 09:54:08+02;2026-03-24 09:54:08+02;;;;;;;;;27772639270;;;;;;;;prepaid life;;;;;</t>
  </si>
  <si>
    <t>ID_4321</t>
  </si>
  <si>
    <t>13865625;e117dab1-c6bc-40f1-8013-6a212def04cd;;111111118;Vodacom Life 20260324;;;;;AA;5;2026-05-22 1</t>
  </si>
  <si>
    <t>13865625;e117dab1-c6bc-40f1-8013-6a212def04cd;;111111118;Vodacom Life 20260324;;;;;AA;5;2026-05-22 11:13:31+02;system;2026-03-24 09:54:08+02;2026-03-24 09:54:08+02;;;;;;;;;27661621811;;;;;;;;prepaid life;;;;;</t>
  </si>
  <si>
    <t>ID_4322</t>
  </si>
  <si>
    <t>13865540;0925cd17-2850-48c3-a0f1-e33ccc188f46;;111111118;Vodacom Life 20260324;;;27797949564;;IABDN;</t>
  </si>
  <si>
    <t>13865540;0925cd17-2850-48c3-a0f1-e33ccc188f46;;111111118;Vodacom Life 20260324;;;27797949564;;IABDN;5;2026-05-22 12:30:52+02;system;2026-03-24 09:54:08+02;2026-03-24 09:54:08+02;;;;;;;;;27797949564;;;;;;;;prepaid life;;;;;</t>
  </si>
  <si>
    <t>ID_4323</t>
  </si>
  <si>
    <t>13865505;1fced493-2af3-444e-bca1-0981d5252467;;111111118;Vodacom Life 20260324;;;;;AA;5;2026-05-22 1</t>
  </si>
  <si>
    <t>13865505;1fced493-2af3-444e-bca1-0981d5252467;;111111118;Vodacom Life 20260324;;;;;AA;5;2026-05-22 11:22:24+02;system;2026-03-24 09:54:08+02;2026-03-24 09:54:08+02;;;;;;;;;27772789674;;;;;;;;prepaid life;;;;;</t>
  </si>
  <si>
    <t>ID_4324</t>
  </si>
  <si>
    <t>13865541;ac9d589f-ddf4-4802-963d-c14d6867ddf4;;111111118;Vodacom Life 20260324;;;;;DROP;5;2026-05-22</t>
  </si>
  <si>
    <t>13865541;ac9d589f-ddf4-4802-963d-c14d6867ddf4;;111111118;Vodacom Life 20260324;;;;;DROP;5;2026-05-22 10:34:12+02;system;2026-03-24 09:54:08+02;2026-03-24 09:54:08+02;;;;;;;;;27798047663;;;;;;;;prepaid life;;;;;</t>
  </si>
  <si>
    <t>ID_4325</t>
  </si>
  <si>
    <t>13865626;0af4c1d3-a374-4c67-a57d-8b1ad4f4ac80;;111111118;Vodacom Life 20260324;;;;;AA;5;2026-05-22 1</t>
  </si>
  <si>
    <t>13865626;0af4c1d3-a374-4c67-a57d-8b1ad4f4ac80;;111111118;Vodacom Life 20260324;;;;;AA;5;2026-05-22 11:13:20+02;system;2026-03-24 09:54:08+02;2026-03-24 09:54:08+02;;;;;;;;;27661749422;;;;;;;;prepaid life;;;;;</t>
  </si>
  <si>
    <t>ID_4326</t>
  </si>
  <si>
    <t>13865506;4ca5013b-57f5-47ca-b37d-bbfba07da159;;111111118;Vodacom Life 20260324;;;;;NI;3;2026-04-14 1</t>
  </si>
  <si>
    <t>13865506;4ca5013b-57f5-47ca-b37d-bbfba07da159;;111111118;Vodacom Life 20260324;;;;;NI;3;2026-04-14 11:56:04+02;Thandile Nokubeni;2026-03-24 09:54:08+02;2026-03-24 09:54:08+02;;;;;;;;;27781070336;;;;;;;;prepaid life;;;;;</t>
  </si>
  <si>
    <t>ID_4327</t>
  </si>
  <si>
    <t>13865542;945b5d03-2eec-4b34-97bf-a13d3941944d;;111111118;Vodacom Life 20260324;;;27798323155;;AA;5;2</t>
  </si>
  <si>
    <t>13865542;945b5d03-2eec-4b34-97bf-a13d3941944d;;111111118;Vodacom Life 20260324;;;27798323155;;AA;5;2026-05-22 10:34:12+02;system;2026-03-24 09:54:08+02;2026-03-24 09:54:08+02;;;;;;;;;27798323155;;;;;;;;prepaid life;;;;;</t>
  </si>
  <si>
    <t>ID_4328</t>
  </si>
  <si>
    <t>13865507;56874f8d-1345-422d-9b8e-ccfdc5ceee32;;111111118;Vodacom Life 20260324;;;;;NA;5;2026-05-22 1</t>
  </si>
  <si>
    <t>13865507;56874f8d-1345-422d-9b8e-ccfdc5ceee32;;111111118;Vodacom Life 20260324;;;;;NA;5;2026-05-22 11:22:24+02;system;2026-03-24 09:54:08+02;2026-03-24 09:54:08+02;;;;;;;;;27782000465;;;;;;;;prepaid life;;;;;</t>
  </si>
  <si>
    <t>ID_4329</t>
  </si>
  <si>
    <t>13865627;79174aa7-aec3-49f4-a99e-eecb8840d285;;111111118;Vodacom Life 20260324;;;;;AE;5;2026-05-22 1</t>
  </si>
  <si>
    <t>13865627;79174aa7-aec3-49f4-a99e-eecb8840d285;;111111118;Vodacom Life 20260324;;;;;AE;5;2026-05-22 10:08:24+02;system;2026-03-24 09:54:08+02;2026-03-24 09:54:08+02;;;;;;;;;27661844280;;;;;;;;prepaid life;;;;;</t>
  </si>
  <si>
    <t>ID_4330</t>
  </si>
  <si>
    <t>13865703;c36a0e02-dfe6-4c88-ae6f-7995a0782441;;111111118;Vodacom Life 20260324;;;;;A;5;2026-05-22 09</t>
  </si>
  <si>
    <t>13865703;c36a0e02-dfe6-4c88-ae6f-7995a0782441;;111111118;Vodacom Life 20260324;;;;;A;5;2026-05-22 09:54:27+02;bongiwe lushaba;2026-03-24 09:54:08+02;2026-03-24 09:54:08+02;;;;;;;;;27726664617;;;;;;;;prepaid life;;;;;</t>
  </si>
  <si>
    <t>ID_4331</t>
  </si>
  <si>
    <t>13865543;6ebe78ec-077e-441a-9983-36a1d8aca170;;111111118;Vodacom Life 20260324;;;;;CBACK;4;2026-05-1</t>
  </si>
  <si>
    <t>13865543;6ebe78ec-077e-441a-9983-36a1d8aca170;;111111118;Vodacom Life 20260324;;;;;CBACK;4;2026-05-19 09:54:15+02;Maureen Ntsoko;2026-03-24 09:54:08+02;2026-03-24 09:54:08+02;;;;;;;;;27798324917;;;;;;;;prepaid life;;;;;</t>
  </si>
  <si>
    <t>ID_4332</t>
  </si>
  <si>
    <t>13865704;288315c1-0b59-4c42-9d63-df11860e7b9f;;111111118;Vodacom Life 20260324;;;;;AA;5;2026-05-22 0</t>
  </si>
  <si>
    <t>13865704;288315c1-0b59-4c42-9d63-df11860e7b9f;;111111118;Vodacom Life 20260324;;;;;AA;5;2026-05-22 09:54:34+02;system;2026-03-24 09:54:08+02;2026-03-24 09:54:08+02;;;;;;;;;27726678671;;;;;;;;prepaid life;;;;;</t>
  </si>
  <si>
    <t>ID_4333</t>
  </si>
  <si>
    <t>13865628;fe4fe57c-e14f-423a-af5b-a36a0f5b799e;;111111118;Vodacom Life 20260324;;;;;AA;5;2026-05-22 1</t>
  </si>
  <si>
    <t>13865628;fe4fe57c-e14f-423a-af5b-a36a0f5b799e;;111111118;Vodacom Life 20260324;;;;;AA;5;2026-05-22 10:08:24+02;system;2026-03-24 09:54:08+02;2026-03-24 09:54:08+02;;;;;;;;;27662388890;;;;;;;;prepaid life;;;;;</t>
  </si>
  <si>
    <t>ID_4334</t>
  </si>
  <si>
    <t>13865629;d9ed3430-d18b-4a71-abfa-1fabb90f8520;;111111118;Vodacom Life 20260324;;;;;NI;2;2026-04-08 1</t>
  </si>
  <si>
    <t>13865629;d9ed3430-d18b-4a71-abfa-1fabb90f8520;;111111118;Vodacom Life 20260324;;;;;NI;2;2026-04-08 14:22:22+02;Mahlatse Manamela;2026-03-24 09:54:08+02;2026-03-24 09:54:08+02;;;;;;;;;27663212593;;;;;;;;prepaid life;;;;;</t>
  </si>
  <si>
    <t>ID_4335</t>
  </si>
  <si>
    <t>13865705;4a280cdc-77cd-433a-aecb-1b17e92bdbfa;;111111118;Vodacom Life 20260324;;;;;DROP;5;2026-05-22</t>
  </si>
  <si>
    <t>13865705;4a280cdc-77cd-433a-aecb-1b17e92bdbfa;;111111118;Vodacom Life 20260324;;;;;DROP;5;2026-05-22 10:47:34+02;system;2026-03-24 09:54:08+02;2026-03-24 09:54:08+02;;;;;;;;;27727004738;;;;;;;;prepaid life;;;;;</t>
  </si>
  <si>
    <t>ID_4336</t>
  </si>
  <si>
    <t>13865544;9420d5ac-7f13-40f9-84a3-f19058056c67;;111111118;Vodacom Life 20260324;;;;;NA;5;2026-05-22 1</t>
  </si>
  <si>
    <t>13865544;9420d5ac-7f13-40f9-84a3-f19058056c67;;111111118;Vodacom Life 20260324;;;;;NA;5;2026-05-22 10:32:05+02;system;2026-03-24 09:54:08+02;2026-03-24 09:54:08+02;;;;;;;;;27798527691;;;;;;;;prepaid life;;;;;</t>
  </si>
  <si>
    <t>ID_4337</t>
  </si>
  <si>
    <t>13865706;e3c9ec65-c81d-48e6-98c7-c24383e8f255;;111111118;Vodacom Life 20260324;;;;;CU;5;2026-05-19 1</t>
  </si>
  <si>
    <t>13865706;e3c9ec65-c81d-48e6-98c7-c24383e8f255;;111111118;Vodacom Life 20260324;;;;;CU;5;2026-05-19 12:11:15+02;bongiwe lushaba;2026-03-24 09:54:08+02;2026-03-24 09:54:08+02;;;;;;;;;27727142627;;;;;;;;prepaid life;;;;;</t>
  </si>
  <si>
    <t>ID_4338</t>
  </si>
  <si>
    <t>13865545;fc1cda7e-8da7-4145-bc4b-9651a2f09bf7;;111111118;Vodacom Life 20260324;;;;;NIUP;1;2026-04-02</t>
  </si>
  <si>
    <t>13865545;fc1cda7e-8da7-4145-bc4b-9651a2f09bf7;;111111118;Vodacom Life 20260324;;;;;NIUP;1;2026-04-02 11:46:12+02;Seboifeng Mogola;2026-03-24 09:54:08+02;2026-03-24 09:54:08+02;;;;;;;;;27798652936;;;;;;;;prepaid life;;;;;</t>
  </si>
  <si>
    <t>ID_4339</t>
  </si>
  <si>
    <t>13865630;73503df2-84c1-4b2f-80c2-03c586d7144d;;111111118;Vodacom Life 20260324;;;;;NA;5;2026-05-22 1</t>
  </si>
  <si>
    <t>13865630;73503df2-84c1-4b2f-80c2-03c586d7144d;;111111118;Vodacom Life 20260324;;;;;NA;5;2026-05-22 10:07:46+02;system;2026-03-24 09:54:08+02;2026-03-24 09:54:08+02;;;;;;;;;27663258433;;;;;;;;prepaid life;;;;;</t>
  </si>
  <si>
    <t>ID_4340</t>
  </si>
  <si>
    <t>13865707;19523f42-1280-43ee-9a3a-c889c9b2e876;;111111118;Vodacom Life 20260324;;;;;DROP;5;2026-05-22</t>
  </si>
  <si>
    <t>13865707;19523f42-1280-43ee-9a3a-c889c9b2e876;;111111118;Vodacom Life 20260324;;;;;DROP;5;2026-05-22 11:11:23+02;system;2026-03-24 09:54:08+02;2026-03-24 09:54:08+02;;;;;;;;;27727165651;;;;;;;;prepaid life;;;;;</t>
  </si>
  <si>
    <t>ID_4341</t>
  </si>
  <si>
    <t>13865546;76cfd168-cb23-4da4-8929-6fdee948dc99;;111111118;Vodacom Life 20260324;;;;;AA;5;2026-05-22 1</t>
  </si>
  <si>
    <t>13865546;76cfd168-cb23-4da4-8929-6fdee948dc99;;111111118;Vodacom Life 20260324;;;;;AA;5;2026-05-22 10:32:19+02;system;2026-03-24 09:54:08+02;2026-03-24 09:54:08+02;;;;;;;;;27798896704;;;;;;;;prepaid life;;;;;</t>
  </si>
  <si>
    <t>ID_4342</t>
  </si>
  <si>
    <t>13865547;16d51ba3-94f3-4362-bc61-fae0487df86a;;111111118;Vodacom Life 20260324;;;;;CU;5;2026-05-22 1</t>
  </si>
  <si>
    <t>13865547;16d51ba3-94f3-4362-bc61-fae0487df86a;;111111118;Vodacom Life 20260324;;;;;CU;5;2026-05-22 10:32:05+02;Maureen Ntsoko;2026-03-24 09:54:08+02;2026-03-24 09:54:08+02;;;;;;;;;27799050081;;;;;;;;prepaid life;;;;;</t>
  </si>
  <si>
    <t>ID_4343</t>
  </si>
  <si>
    <t>13865708;2bc889ec-b04d-4c90-8462-a7f541e8b0f4;;111111118;Vodacom Life 20260324;;;;;NA;5;2026-05-22 0</t>
  </si>
  <si>
    <t>13865708;2bc889ec-b04d-4c90-8462-a7f541e8b0f4;;111111118;Vodacom Life 20260324;;;;;NA;5;2026-05-22 09:52:37+02;system;2026-03-24 09:54:08+02;2026-03-24 09:54:08+02;;;;;;;;;27727609028;;;;;;;;prepaid life;;;;;</t>
  </si>
  <si>
    <t>ID_4344</t>
  </si>
  <si>
    <t>13865548;7b1ce38b-34ac-46a5-83c7-0ecc9ff4ba0e;;111111118;Vodacom Life 20260324;;;;;DROP;5;2026-05-22</t>
  </si>
  <si>
    <t>13865548;7b1ce38b-34ac-46a5-83c7-0ecc9ff4ba0e;;111111118;Vodacom Life 20260324;;;;;DROP;5;2026-05-22 10:32:19+02;system;2026-03-24 09:54:08+02;2026-03-24 09:54:08+02;;;;;;;;;27799128452;;;;;;;;prepaid life;;;;;</t>
  </si>
  <si>
    <t>ID_4345</t>
  </si>
  <si>
    <t>13865632;344bab46-fcd0-48d3-88c4-dd75e0037f68;;111111118;Vodacom Life 20260324;;;;;AA;5;2026-05-22 1</t>
  </si>
  <si>
    <t>13865632;344bab46-fcd0-48d3-88c4-dd75e0037f68;;111111118;Vodacom Life 20260324;;;;;AA;5;2026-05-22 11:13:04+02;system;2026-03-24 09:54:08+02;2026-03-24 09:54:08+02;;;;;;;;;27663332412;;;;;;;;prepaid life;;;;;</t>
  </si>
  <si>
    <t>ID_4346</t>
  </si>
  <si>
    <t>13865633;1717f60c-16ec-4ecd-a495-34b21e284a60;;111111118;Vodacom Life 20260324;;;;;AA;5;2026-05-22 1</t>
  </si>
  <si>
    <t>13865633;1717f60c-16ec-4ecd-a495-34b21e284a60;;111111118;Vodacom Life 20260324;;;;;AA;5;2026-05-22 11:13:03+02;system;2026-03-24 09:54:08+02;2026-03-24 09:54:08+02;;;;;;;;;27663457758;;;;;;;;prepaid life;;;;;</t>
  </si>
  <si>
    <t>ID_4347</t>
  </si>
  <si>
    <t>13865709;62fbcf08-84b1-449a-a6eb-831773c3b214;;111111118;Vodacom Life 20260324;;;;;SELECTED;1;;;2026</t>
  </si>
  <si>
    <t>13865709;62fbcf08-84b1-449a-a6eb-831773c3b214;;111111118;Vodacom Life 20260324;;;;;SELECTED;1;;;2026-03-24 09:54:08+02;2026-03-24 09:54:08+02;;;;;;;;;27727694399;;;;;;;;prepaid life;;;;;</t>
  </si>
  <si>
    <t>ID_4348</t>
  </si>
  <si>
    <t>13865634;dd83cd79-0530-4974-8175-4ccd7bd18ee3;;111111118;Vodacom Life 20260324;;;27663528678;;CU;5;2</t>
  </si>
  <si>
    <t>13865634;dd83cd79-0530-4974-8175-4ccd7bd18ee3;;111111118;Vodacom Life 20260324;;;27663528678;;CU;5;2026-05-22 11:13:43+02;Maureen Ntsoko;2026-03-24 09:54:08+02;2026-03-24 09:54:08+02;;;;;;;;;27663528678;;;;;;;;prepaid life;;;;;</t>
  </si>
  <si>
    <t>ID_4349</t>
  </si>
  <si>
    <t>13865635;a2249794-b6fd-4eeb-bf8f-b936e126db5a;;111111118;Vodacom Life 20260324;;;;;AC;6;2026-05-04 1</t>
  </si>
  <si>
    <t>13865635;a2249794-b6fd-4eeb-bf8f-b936e126db5a;;111111118;Vodacom Life 20260324;;;;;AC;6;2026-05-04 16:29:04+02;Maureen Ntsoko;2026-03-24 09:54:08+02;2026-03-24 09:54:08+02;;;;;;;;;27663828195;;;;;;;;prepaid life;;;;;</t>
  </si>
  <si>
    <t>ID_4350</t>
  </si>
  <si>
    <t>13865549;ebd5ce39-8957-4957-8a64-5cf7b54c4800;;111111118;Vodacom Life 20260324;;;;;AA;5;2026-05-22 1</t>
  </si>
  <si>
    <t>13865549;ebd5ce39-8957-4957-8a64-5cf7b54c4800;;111111118;Vodacom Life 20260324;;;;;AA;5;2026-05-22 10:34:12+02;system;2026-03-24 09:54:08+02;2026-03-24 09:54:08+02;;;;;;;;;27799413265;;;;;;;;prepaid life;;;;;</t>
  </si>
  <si>
    <t>ID_4351</t>
  </si>
  <si>
    <t>13865550;1eeeb62f-0db5-491b-b9bf-98c4a766de81;;111111118;Vodacom Life 20260324;;;;;CBACK;5;2026-05-2</t>
  </si>
  <si>
    <t>13865550;1eeeb62f-0db5-491b-b9bf-98c4a766de81;;111111118;Vodacom Life 20260324;;;;;CBACK;5;2026-05-22 11:19:30+02;Maureen Ntsoko;2026-03-24 09:54:08+02;2026-03-24 09:54:08+02;;;;;;;;;27799457325;;;;;;;;prepaid life;;;;;</t>
  </si>
  <si>
    <t>ID_4352</t>
  </si>
  <si>
    <t xml:space="preserve">13865710;b8de629d-5342-493d-aa67-5d16179e1f5b;;111111118;Vodacom Life 20260324;;;;;OAL;3;2026-04-14 </t>
  </si>
  <si>
    <t>13865710;b8de629d-5342-493d-aa67-5d16179e1f5b;;111111118;Vodacom Life 20260324;;;;;OAL;3;2026-04-14 11:37:12+02;bongiwe lushaba;2026-03-24 09:54:08+02;2026-03-24 09:54:08+02;;;;;;;;;27727770920;;;;;;;;prepaid life;;;;;</t>
  </si>
  <si>
    <t>ID_4353</t>
  </si>
  <si>
    <t>13865551;b6d41152-b219-405d-af62-160aecb777a4;;111111118;Vodacom Life 20260324;;;27799712498;;CU;5;2</t>
  </si>
  <si>
    <t>13865551;b6d41152-b219-405d-af62-160aecb777a4;;111111118;Vodacom Life 20260324;;;27799712498;;CU;5;2026-05-22 11:20:16+02;Maureen Ntsoko;2026-03-24 09:54:08+02;2026-03-24 09:54:08+02;;;;;;;;;27799712498;;;;;;;;prepaid life;;;;;</t>
  </si>
  <si>
    <t>ID_4354</t>
  </si>
  <si>
    <t>13865636;d9096b28-d1e7-4a30-9eb7-37982cf126ce;;111111118;Vodacom Life 20260324;;;;;CU;5;2026-05-22 1</t>
  </si>
  <si>
    <t>13865636;d9096b28-d1e7-4a30-9eb7-37982cf126ce;;111111118;Vodacom Life 20260324;;;;;CU;5;2026-05-22 11:12:41+02;Maureen Ntsoko;2026-03-24 09:54:08+02;2026-03-24 09:54:08+02;;;;;;;;;27664085052;;;;;;;;prepaid life;;;;;</t>
  </si>
  <si>
    <t>ID_4355</t>
  </si>
  <si>
    <t>13865711;1f9aa1c7-f3c4-4fda-84d7-35a19ae39b40;;111111118;Vodacom Life 20260324;;;;;NA;5;2026-05-22 0</t>
  </si>
  <si>
    <t>13865711;1f9aa1c7-f3c4-4fda-84d7-35a19ae39b40;;111111118;Vodacom Life 20260324;;;;;NA;5;2026-05-22 09:52:39+02;system;2026-03-24 09:54:08+02;2026-03-24 09:54:08+02;;;;;;;;;27727951002;;;;;;;;prepaid life;;;;;</t>
  </si>
  <si>
    <t>ID_4356</t>
  </si>
  <si>
    <t>13865637;acfa7b43-27d9-4f8e-9b07-584f53f8f616;;111111118;Vodacom Life 20260324;;;;;AA;5;2026-05-22 1</t>
  </si>
  <si>
    <t>13865637;acfa7b43-27d9-4f8e-9b07-584f53f8f616;;111111118;Vodacom Life 20260324;;;;;AA;5;2026-05-22 10:07:09+02;system;2026-03-24 09:54:08+02;2026-03-24 09:54:08+02;;;;;;;;;27664123023;;;;;;;;prepaid life;;;;;</t>
  </si>
  <si>
    <t>ID_4357</t>
  </si>
  <si>
    <t>13865552;178b9f3f-781f-412c-a359-3af34aabd655;;111111118;Vodacom Life 20260324;;;;;NA;5;2026-05-22 1</t>
  </si>
  <si>
    <t>13865552;178b9f3f-781f-412c-a359-3af34aabd655;;111111118;Vodacom Life 20260324;;;;;NA;5;2026-05-22 11:19:07+02;system;2026-03-24 09:54:08+02;2026-03-24 09:54:08+02;;;;;;;;;27814818086;;;;;;;;prepaid life;;;;;</t>
  </si>
  <si>
    <t>ID_4358</t>
  </si>
  <si>
    <t>13865712;f4b6da1f-965b-4ee2-ba3b-4f72089f6ab5;;111111118;Vodacom Life 20260324;;;;;CU;5;2026-05-20 1</t>
  </si>
  <si>
    <t>13865712;f4b6da1f-965b-4ee2-ba3b-4f72089f6ab5;;111111118;Vodacom Life 20260324;;;;;CU;5;2026-05-20 11:13:20+02;Khensane Mabasa;2026-03-24 09:54:08+02;2026-03-24 09:54:08+02;;;;;;;;;27728192921;;;;;;;;prepaid life;;;;;</t>
  </si>
  <si>
    <t>ID_4359</t>
  </si>
  <si>
    <t>13865553;6ff16026-5f64-4ce5-a75e-678fa715e717;;111111118;Vodacom Life 20260324;;;;;AA;5;2026-05-22 1</t>
  </si>
  <si>
    <t>13865553;6ff16026-5f64-4ce5-a75e-678fa715e717;;111111118;Vodacom Life 20260324;;;;;AA;5;2026-05-22 11:19:04+02;system;2026-03-24 09:54:08+02;2026-03-24 09:54:08+02;;;;;;;;;27817200084;;;;;;;;prepaid life;;;;;</t>
  </si>
  <si>
    <t>ID_4360</t>
  </si>
  <si>
    <t>13865554;102286f3-fe21-4f9e-bf87-2d50273f3553;;111111118;Vodacom Life 20260324;;;;;DROP;5;2026-05-22</t>
  </si>
  <si>
    <t>13865554;102286f3-fe21-4f9e-bf87-2d50273f3553;;111111118;Vodacom Life 20260324;;;;;DROP;5;2026-05-22 10:30:22+02;system;2026-03-24 09:54:08+02;2026-03-24 09:54:08+02;;;;;;;;;27818756606;;;;;;;;prepaid life;;;;;</t>
  </si>
  <si>
    <t>ID_4361</t>
  </si>
  <si>
    <t>13865638;c4ec5a73-fd92-4de3-b71f-549b7639a672;;111111118;Vodacom Life 20260324;;;27664130519;;CU;5;2</t>
  </si>
  <si>
    <t>13865638;c4ec5a73-fd92-4de3-b71f-549b7639a672;;111111118;Vodacom Life 20260324;;;27664130519;;CU;5;2026-05-19 09:42:13+02;bongiwe lushaba;2026-03-24 09:54:08+02;2026-03-24 09:54:08+02;;;;;;;;;27664130519;;;;;;;;prepaid life;;;;;</t>
  </si>
  <si>
    <t>ID_4362</t>
  </si>
  <si>
    <t>13865713;056e3b15-6c58-4645-a214-3509bb02b953;;111111118;Vodacom Life 20260324;;;;;AE;5;2026-05-22 0</t>
  </si>
  <si>
    <t>13865713;056e3b15-6c58-4645-a214-3509bb02b953;;111111118;Vodacom Life 20260324;;;;;AE;5;2026-05-22 09:53:10+02;system;2026-03-24 09:54:08+02;2026-03-24 09:54:08+02;;;;;;;;;27728700579;;;;;;;;prepaid life;;;;;</t>
  </si>
  <si>
    <t>ID_4363</t>
  </si>
  <si>
    <t>13865555;16c90a30-92e3-40a7-a277-b3442216d96b;;111111118;Vodacom Life 20260324;;;;;AA;5;2026-05-22 1</t>
  </si>
  <si>
    <t>13865555;16c90a30-92e3-40a7-a277-b3442216d96b;;111111118;Vodacom Life 20260324;;;;;AA;5;2026-05-22 10:30:22+02;system;2026-03-24 09:54:08+02;2026-03-24 09:54:08+02;;;;;;;;;27818884110;;;;;;;;prepaid life;;;;;</t>
  </si>
  <si>
    <t>ID_4364</t>
  </si>
  <si>
    <t>13865714;0d7f2557-3715-4ad9-af4a-d7ada5b35368;;111111118;Vodacom Life 20260324;;;;;AA;5;2026-05-22 0</t>
  </si>
  <si>
    <t>13865714;0d7f2557-3715-4ad9-af4a-d7ada5b35368;;111111118;Vodacom Life 20260324;;;;;AA;5;2026-05-22 09:52:37+02;system;2026-03-24 09:54:08+02;2026-03-24 09:54:08+02;;;;;;;;;27728924397;;;;;;;;prepaid life;;;;;</t>
  </si>
  <si>
    <t>ID_4365</t>
  </si>
  <si>
    <t>13865557;4afa257b-d737-4bf8-963e-1c4bdbfc3040;;111111118;Vodacom Life 20260324;;;;;AA;5;2026-05-22 1</t>
  </si>
  <si>
    <t>13865557;4afa257b-d737-4bf8-963e-1c4bdbfc3040;;111111118;Vodacom Life 20260324;;;;;AA;5;2026-05-22 10:30:22+02;system;2026-03-24 09:54:08+02;2026-03-24 09:54:08+02;;;;;;;;;27820438418;;;;;;;;prepaid life;;;;;</t>
  </si>
  <si>
    <t>ID_4366</t>
  </si>
  <si>
    <t>13865558;52867013-7382-4cfa-b0ad-61d56d71aee2;;111111118;Vodacom Life 20260324;;;;;NA;5;2026-05-22 1</t>
  </si>
  <si>
    <t>13865558;52867013-7382-4cfa-b0ad-61d56d71aee2;;111111118;Vodacom Life 20260324;;;;;NA;5;2026-05-22 10:30:22+02;system;2026-03-24 09:54:08+02;2026-03-24 09:54:08+02;;;;;;;;;27820827088;;;;;;;;prepaid life;;;;;</t>
  </si>
  <si>
    <t>ID_4367</t>
  </si>
  <si>
    <t>13865639;3f6b3350-3bc6-4b2b-8f43-ed4143d592b8;;111111118;Vodacom Life 20260324;;;;;NA;5;2026-05-22 1</t>
  </si>
  <si>
    <t>13865639;3f6b3350-3bc6-4b2b-8f43-ed4143d592b8;;111111118;Vodacom Life 20260324;;;;;NA;5;2026-05-22 10:07:09+02;system;2026-03-24 09:54:08+02;2026-03-24 09:54:08+02;;;;;;;;;27664538660;;;;;;;;prepaid life;;;;;</t>
  </si>
  <si>
    <t>ID_4368</t>
  </si>
  <si>
    <t>13865715;e6e5d3d6-32ab-436d-af2b-28557abd6093;;111111118;Vodacom Life 20260324;;;;;AA;5;2026-05-22 1</t>
  </si>
  <si>
    <t>13865715;e6e5d3d6-32ab-436d-af2b-28557abd6093;;111111118;Vodacom Life 20260324;;;;;AA;5;2026-05-22 11:11:15+02;system;2026-03-24 09:54:08+02;2026-03-24 09:54:08+02;;;;;;;;;27728978321;;;;;;;;prepaid life;;;;;</t>
  </si>
  <si>
    <t>ID_4369</t>
  </si>
  <si>
    <t>13865640;48d85d6f-7846-4b0b-8452-bd29cce1e891;;111111118;Vodacom Life 20260324;;;27665048107;;IABDN;</t>
  </si>
  <si>
    <t>13865640;48d85d6f-7846-4b0b-8452-bd29cce1e891;;111111118;Vodacom Life 20260324;;;27665048107;;IABDN;5;2026-05-22 10:07:28+02;system;2026-03-24 09:54:08+02;2026-03-24 09:54:08+02;;;;;;;;;27665048107;;;;;;;;prepaid life;;;;;</t>
  </si>
  <si>
    <t>ID_4370</t>
  </si>
  <si>
    <t>13865716;3a2a0301-21f2-43e6-b5a6-eb4ce2cee026;;111111118;Vodacom Life 20260324;;;;;AE;5;2026-05-22 1</t>
  </si>
  <si>
    <t>13865716;3a2a0301-21f2-43e6-b5a6-eb4ce2cee026;;111111118;Vodacom Life 20260324;;;;;AE;5;2026-05-22 11:11:15+02;system;2026-03-24 09:54:08+02;2026-03-24 09:54:08+02;;;;;;;;;27729463471;;;;;;;;prepaid life;;;;;</t>
  </si>
  <si>
    <t>ID_4371</t>
  </si>
  <si>
    <t>13865641;318f5e16-62cd-4243-b178-203b8e0db483;;111111118;Vodacom Life 20260324;;;;;DROP;5;2026-05-22</t>
  </si>
  <si>
    <t>13865641;318f5e16-62cd-4243-b178-203b8e0db483;;111111118;Vodacom Life 20260324;;;;;DROP;5;2026-05-22 10:07:09+02;system;2026-03-24 09:54:08+02;2026-03-24 09:54:08+02;;;;;;;;;27665200342;;;;;;;;prepaid life;;;;;</t>
  </si>
  <si>
    <t>ID_4372</t>
  </si>
  <si>
    <t>13865559;817b1831-ff86-4377-b729-4da4eb90ace1;;111111118;Vodacom Life 20260324;;;;;DROP;5;2026-05-22</t>
  </si>
  <si>
    <t>13865559;817b1831-ff86-4377-b729-4da4eb90ace1;;111111118;Vodacom Life 20260324;;;;;DROP;5;2026-05-22 11:19:04+02;system;2026-03-24 09:54:08+02;2026-03-24 09:54:08+02;;;;;;;;;27820972506;;;;;;;;prepaid life;;;;;</t>
  </si>
  <si>
    <t>ID_4373</t>
  </si>
  <si>
    <t>13865717;ab28ddb7-f68a-4029-b4ca-eef2baca0487;;111111118;Vodacom Life 20260324;;;;;AA;5;2026-05-22 0</t>
  </si>
  <si>
    <t>13865717;ab28ddb7-f68a-4029-b4ca-eef2baca0487;;111111118;Vodacom Life 20260324;;;;;AA;5;2026-05-22 09:51:04+02;system;2026-03-24 09:54:08+02;2026-03-24 09:54:08+02;;;;;;;;;27729653202;;;;;;;;prepaid life;;;;;</t>
  </si>
  <si>
    <t>ID_4374</t>
  </si>
  <si>
    <t>13865560;8bab63e7-0afd-4d2e-aca6-68fe976e9b28;;111111118;Vodacom Life 20260324;;;;;CU;5;2026-05-22 1</t>
  </si>
  <si>
    <t>13865560;8bab63e7-0afd-4d2e-aca6-68fe976e9b28;;111111118;Vodacom Life 20260324;;;;;CU;5;2026-05-22 10:29:49+02;Maureen Ntsoko;2026-03-24 09:54:08+02;2026-03-24 09:54:08+02;;;;;;;;;27822156925;;;;;;;;prepaid life;;;;;</t>
  </si>
  <si>
    <t>ID_4375</t>
  </si>
  <si>
    <t>13865642;9257957e-6fb2-4f4b-9fc8-842fb3ae9c03;;111111118;Vodacom Life 20260324;;;;;NI;1;2026-04-01 1</t>
  </si>
  <si>
    <t>13865642;9257957e-6fb2-4f4b-9fc8-842fb3ae9c03;;111111118;Vodacom Life 20260324;;;;;NI;1;2026-04-01 10:42:57+02;Maureen Ntsoko;2026-03-24 09:54:08+02;2026-03-24 09:54:08+02;;;;;;;;;27665614027;;;;;;;;prepaid life;;;;;</t>
  </si>
  <si>
    <t>ID_4376</t>
  </si>
  <si>
    <t>13865718;aac2c489-1540-4f87-8caf-422b495fcbc0;;111111118;Vodacom Life 20260324;;;;;U;3;2026-04-09 15</t>
  </si>
  <si>
    <t>13865718;aac2c489-1540-4f87-8caf-422b495fcbc0;;111111118;Vodacom Life 20260324;;;;;U;3;2026-04-09 15:51:07+02;Musiiwa Mary Mabirimisa;2026-03-24 09:54:08+02;2026-03-24 09:54:08+02;;;;;;;;;27729827719;;;;;;;;prepaid life;;;;;</t>
  </si>
  <si>
    <t>ID_4377</t>
  </si>
  <si>
    <t>13865719;8aefeea7-ebc6-4156-ae70-0dd33921d6d5;;111111118;Vodacom Life 20260324;;;;;NI;3;2026-04-14 1</t>
  </si>
  <si>
    <t>13865719;8aefeea7-ebc6-4156-ae70-0dd33921d6d5;;111111118;Vodacom Life 20260324;;;;;NI;3;2026-04-14 10:59:42+02;Thandile Nokubeni;2026-03-24 09:54:08+02;2026-03-24 09:54:08+02;;;;;;;;;27729956842;;;;;;;;prepaid life;;;;;</t>
  </si>
  <si>
    <t>ID_4378</t>
  </si>
  <si>
    <t>13865643;fc80b273-59a9-4397-b4db-3b40fb45939a;;111111118;Vodacom Life 20260324;;;;;SELECTED;1;;;2026</t>
  </si>
  <si>
    <t>13865643;fc80b273-59a9-4397-b4db-3b40fb45939a;;111111118;Vodacom Life 20260324;;;;;SELECTED;1;;;2026-03-24 09:54:08+02;2026-03-24 09:54:08+02;;;;;;;;;27673018566;;;;;;;;prepaid life;;;;;</t>
  </si>
  <si>
    <t>ID_4379</t>
  </si>
  <si>
    <t>13865644;df0a29f5-6e6d-4a62-89b8-1c5b0eda41a4;;111111118;Vodacom Life 20260324;;;;;CBACK;4;2026-05-1</t>
  </si>
  <si>
    <t>13865644;df0a29f5-6e6d-4a62-89b8-1c5b0eda41a4;;111111118;Vodacom Life 20260324;;;;;CBACK;4;2026-05-19 09:33:43+02;Maureen Ntsoko;2026-03-24 09:54:08+02;2026-03-24 09:54:08+02;;;;;;;;;27673316077;;;;;;;;prepaid life;;;;;</t>
  </si>
  <si>
    <t>ID_4380</t>
  </si>
  <si>
    <t>13865561;ad88e346-093f-48c2-b780-0b4898b67f91;;111111118;Vodacom Life 20260324;;;;;AA;5;2026-05-22 1</t>
  </si>
  <si>
    <t>13865561;ad88e346-093f-48c2-b780-0b4898b67f91;;111111118;Vodacom Life 20260324;;;;;AA;5;2026-05-22 10:29:49+02;system;2026-03-24 09:54:08+02;2026-03-24 09:54:08+02;;;;;;;;;27823075783;;;;;;;;prepaid life;;;;;</t>
  </si>
  <si>
    <t>ID_4381</t>
  </si>
  <si>
    <t>13865720;b233ba0c-3f65-4fb9-b207-d300042d567e;;111111118;Vodacom Life 20260324;;;;;CBACK;5;2026-05-2</t>
  </si>
  <si>
    <t>13865720;b233ba0c-3f65-4fb9-b207-d300042d567e;;111111118;Vodacom Life 20260324;;;;;CBACK;5;2026-05-22 09:51:04+02;Maureen Ntsoko;2026-03-24 09:54:08+02;2026-03-24 09:54:08+02;;;;;;;;;27729974296;;;;;;;;prepaid life;;;;;</t>
  </si>
  <si>
    <t>ID_4382</t>
  </si>
  <si>
    <t>13865721;fc17b910-8811-489b-bac0-309e15f3bc21;;111111118;Vodacom Life 20260324;;;;;AA;5;2026-05-22 0</t>
  </si>
  <si>
    <t>13865721;fc17b910-8811-489b-bac0-309e15f3bc21;;111111118;Vodacom Life 20260324;;;;;AA;5;2026-05-22 09:51:04+02;system;2026-03-24 09:54:08+02;2026-03-24 09:54:08+02;;;;;;;;;27731808454;;;;;;;;prepaid life;;;;;</t>
  </si>
  <si>
    <t>ID_4383</t>
  </si>
  <si>
    <t>13865722;69fb6f36-85bd-4804-898d-4ec01d884c1b;;111111118;Vodacom Life 20260324;;;;;AE;5;2026-05-22 0</t>
  </si>
  <si>
    <t>13865722;69fb6f36-85bd-4804-898d-4ec01d884c1b;;111111118;Vodacom Life 20260324;;;;;AE;5;2026-05-22 09:51:10+02;system;2026-03-24 09:54:08+02;2026-03-24 09:54:08+02;;;;;;;;;27760181617;;;;;;;;prepaid life;;;;;</t>
  </si>
  <si>
    <t>ID_4384</t>
  </si>
  <si>
    <t>13865562;d6302aa8-23ca-44ad-812e-051c41258c0a;;111111118;Vodacom Life 20260324;;;;;NA;5;2026-05-22 1</t>
  </si>
  <si>
    <t>13865562;d6302aa8-23ca-44ad-812e-051c41258c0a;;111111118;Vodacom Life 20260324;;;;;NA;5;2026-05-22 10:27:45+02;system;2026-03-24 09:54:08+02;2026-03-24 09:54:08+02;;;;;;;;;27823491825;;;;;;;;prepaid life;;;;;</t>
  </si>
  <si>
    <t>ID_4385</t>
  </si>
  <si>
    <t>13865645;efe8cfe9-0bd6-4260-871c-91d5b04bec77;;111111118;Vodacom Life 20260324;;;;;AA;5;2026-05-22 1</t>
  </si>
  <si>
    <t>13865645;efe8cfe9-0bd6-4260-871c-91d5b04bec77;;111111118;Vodacom Life 20260324;;;;;AA;5;2026-05-22 11:12:41+02;system;2026-03-24 09:54:08+02;2026-03-24 09:54:08+02;;;;;;;;;27673730883;;;;;;;;prepaid life;;;;;</t>
  </si>
  <si>
    <t>ID_4386</t>
  </si>
  <si>
    <t>13865723;ec4c46fc-d81f-4282-bc99-c280c730ea67;;111111118;Vodacom Life 20260324;;;;;U;5;2026-05-22 11</t>
  </si>
  <si>
    <t>13865723;ec4c46fc-d81f-4282-bc99-c280c730ea67;;111111118;Vodacom Life 20260324;;;;;U;5;2026-05-22 11:11:15+02;bongiwe lushaba;2026-03-24 09:54:08+02;2026-03-24 09:54:08+02;;;;;;;;;27760401992;;;;;;;;prepaid life;;;;;</t>
  </si>
  <si>
    <t>ID_4387</t>
  </si>
  <si>
    <t>13865646;236bafab-035e-452f-9eef-961471c9c85d;;111111118;Vodacom Life 20260324;;;;;AA;5;2026-05-22 1</t>
  </si>
  <si>
    <t>13865646;236bafab-035e-452f-9eef-961471c9c85d;;111111118;Vodacom Life 20260324;;;;;AA;5;2026-05-22 11:12:30+02;system;2026-03-24 09:54:08+02;2026-03-24 09:54:08+02;;;;;;;;;27674208294;;;;;;;;prepaid life;;;;;</t>
  </si>
  <si>
    <t>ID_4388</t>
  </si>
  <si>
    <t>13865563;b6f72042-4bff-4eb7-802c-bbca85ddd8f1;;111111118;Vodacom Life 20260324;;;;;AE;5;2026-05-22 1</t>
  </si>
  <si>
    <t>13865563;b6f72042-4bff-4eb7-802c-bbca85ddd8f1;;111111118;Vodacom Life 20260324;;;;;AE;5;2026-05-22 10:29:49+02;system;2026-03-24 09:54:08+02;2026-03-24 09:54:08+02;;;;;;;;;27823584735;;;;;;;;prepaid life;;;;;</t>
  </si>
  <si>
    <t>ID_4389</t>
  </si>
  <si>
    <t>13865724;d2d6a482-a0e2-4ea4-86f7-b03b5b1ae347;;111111118;Vodacom Life 20260324;;;;;U;1;2026-03-27 10</t>
  </si>
  <si>
    <t>13865724;d2d6a482-a0e2-4ea4-86f7-b03b5b1ae347;;111111118;Vodacom Life 20260324;;;;;U;1;2026-03-27 10:59:48+02;Musiiwa Mary Mabirimisa;2026-03-24 09:54:08+02;2026-03-24 09:54:08+02;;;;;;;;;27760517652;;;;;;;;prepaid life;;;;;</t>
  </si>
  <si>
    <t>ID_4390</t>
  </si>
  <si>
    <t>13865564;cb4f5450-277c-4b0f-80ae-4fcdedc5670f;;111111118;Vodacom Life 20260324;;;;;NA;5;2026-05-22 1</t>
  </si>
  <si>
    <t>13865564;cb4f5450-277c-4b0f-80ae-4fcdedc5670f;;111111118;Vodacom Life 20260324;;;;;NA;5;2026-05-22 10:27:45+02;system;2026-03-24 09:54:08+02;2026-03-24 09:54:08+02;;;;;;;;;27824059650;;;;;;;;prepaid life;;;;;</t>
  </si>
  <si>
    <t>ID_4391</t>
  </si>
  <si>
    <t>13865565;a5d18be3-4264-4709-bcb6-c04c5b720e4c;;111111118;Vodacom Life 20260324;;;;;AA;5;2026-05-22 1</t>
  </si>
  <si>
    <t>13865565;a5d18be3-4264-4709-bcb6-c04c5b720e4c;;111111118;Vodacom Life 20260324;;;;;AA;5;2026-05-22 10:29:49+02;system;2026-03-24 09:54:08+02;2026-03-24 09:54:08+02;;;;;;;;;27824215703;;;;;;;;prepaid life;;;;;</t>
  </si>
  <si>
    <t>ID_4392</t>
  </si>
  <si>
    <t>13865647;e61d5651-3918-4c12-ba41-7c730f20a87b;;111111118;Vodacom Life 20260324;;;;;N;5;2026-04-15 08</t>
  </si>
  <si>
    <t>13865647;e61d5651-3918-4c12-ba41-7c730f20a87b;;111111118;Vodacom Life 20260324;;;;;N;5;2026-04-15 08:46:51+02;Musiiwa Mary Mabirimisa;2026-03-24 09:54:08+02;2026-03-24 09:54:08+02;;;;;;;;;27675520759;;;;;;;;prepaid life;;;;;</t>
  </si>
  <si>
    <t>ID_4393</t>
  </si>
  <si>
    <t>13865648;13f55c68-1314-48e1-a5f9-782b909a4285;;111111118;Vodacom Life 20260324;;;;;AA;5;2026-05-22 1</t>
  </si>
  <si>
    <t>13865648;13f55c68-1314-48e1-a5f9-782b909a4285;;111111118;Vodacom Life 20260324;;;;;AA;5;2026-05-22 10:05:08+02;system;2026-03-24 09:54:08+02;2026-03-24 09:54:08+02;;;;;;;;;27711190060;;;;;;;;prepaid life;;;;;</t>
  </si>
  <si>
    <t>ID_4394</t>
  </si>
  <si>
    <t>13865725;6cab839e-1ea1-4c67-b6e8-1a091b113448;;111111118;Vodacom Life 20260324;;;;;NI;2;2026-04-08 1</t>
  </si>
  <si>
    <t>13865725;6cab839e-1ea1-4c67-b6e8-1a091b113448;;111111118;Vodacom Life 20260324;;;;;NI;2;2026-04-08 16:44:36+02;Musiiwa Mary Mabirimisa;2026-03-24 09:54:08+02;2026-03-24 09:54:08+02;;;;;;;;;27760647031;;;;;;;;prepaid life;;;;;</t>
  </si>
  <si>
    <t>ID_4395</t>
  </si>
  <si>
    <t>13865649;b4ef297d-a395-4ff3-b441-94f6d4b19af4;;111111118;Vodacom Life 20260324;;;27711276867;;CU;6;2</t>
  </si>
  <si>
    <t>13865649;b4ef297d-a395-4ff3-b441-94f6d4b19af4;;111111118;Vodacom Life 20260324;;;27711276867;;CU;6;2026-05-19 13:48:06+02;bongiwe lushaba;2026-03-24 09:54:08+02;2026-03-24 09:54:08+02;;;;;;;;;27711276867;;;;;;;;prepaid life;;;;;</t>
  </si>
  <si>
    <t>ID_4396</t>
  </si>
  <si>
    <t>13865566;9fd62d73-a157-4167-bf2a-4f6c5884a189;;111111118;Vodacom Life 20260324;;;;;U;1;2026-04-01 11</t>
  </si>
  <si>
    <t>13865566;9fd62d73-a157-4167-bf2a-4f6c5884a189;;111111118;Vodacom Life 20260324;;;;;U;1;2026-04-01 11:13:35+02;Esther Ramalete;2026-03-24 09:54:08+02;2026-03-24 09:54:08+02;;;;;;;;;27824262263;;;;;;;;prepaid life;;;;;</t>
  </si>
  <si>
    <t>ID_4397</t>
  </si>
  <si>
    <t>13865726;35c84beb-d2a0-4502-a73c-6cc25cfaba3a;;111111118;Vodacom Life 20260324;;;;;DROP;5;2026-05-22</t>
  </si>
  <si>
    <t>13865726;35c84beb-d2a0-4502-a73c-6cc25cfaba3a;;111111118;Vodacom Life 20260324;;;;;DROP;5;2026-05-22 11:10:07+02;system;2026-03-24 09:54:08+02;2026-03-24 09:54:08+02;;;;;;;;;27760736963;;;;;;;;prepaid life;;;;;</t>
  </si>
  <si>
    <t>ID_4398</t>
  </si>
  <si>
    <t>13865727;274ee017-77b1-427c-9453-5141213ab7f5;;111111118;Vodacom Life 20260324;;;;;AA;5;2026-05-22 0</t>
  </si>
  <si>
    <t>13865727;274ee017-77b1-427c-9453-5141213ab7f5;;111111118;Vodacom Life 20260324;;;;;AA;5;2026-05-22 09:49:58+02;system;2026-03-24 09:54:08+02;2026-03-24 09:54:08+02;;;;;;;;;27760796790;;;;;;;;prepaid life;;;;;</t>
  </si>
  <si>
    <t>ID_4399</t>
  </si>
  <si>
    <t>13865567;547ac29c-615e-4d3c-8908-9c0157fdc077;;111111118;Vodacom Life 20260324;;;;;DNQF;1;2026-04-01</t>
  </si>
  <si>
    <t>13865567;547ac29c-615e-4d3c-8908-9c0157fdc077;;111111118;Vodacom Life 20260324;;;;;DNQF;1;2026-04-01 12:32:19+02;Millicent Motsuku;2026-03-24 09:54:08+02;2026-03-24 09:54:08+02;;;;;;;;;27824880490;;;;;;;;prepaid life;;;;;</t>
  </si>
  <si>
    <t>ID_4400</t>
  </si>
  <si>
    <t>13865568;270ae61a-6c75-4fc7-90ca-11376eef228f;;111111118;Vodacom Life 20260324;;;;;DNQS;3;2026-04-08</t>
  </si>
  <si>
    <t>13865568;270ae61a-6c75-4fc7-90ca-11376eef228f;;111111118;Vodacom Life 20260324;;;;;DNQS;3;2026-04-08 14:38:48+02;Thandile Nokubeni;2026-03-24 09:54:08+02;2026-03-24 09:54:08+02;;;;;;;;;27825302499;;;;;;;;prepaid life;;;;;</t>
  </si>
  <si>
    <t>ID_4401</t>
  </si>
  <si>
    <t>13865650;7ce25662-99a8-4d55-8746-660e1acc276d;;111111118;Vodacom Life 20260324;;;;;AE;5;2026-05-22 1</t>
  </si>
  <si>
    <t>13865650;7ce25662-99a8-4d55-8746-660e1acc276d;;111111118;Vodacom Life 20260324;;;;;AE;5;2026-05-22 10:05:09+02;system;2026-03-24 09:54:08+02;2026-03-24 09:54:08+02;;;;;;;;;27711371076;;;;;;;;prepaid life;;;;;</t>
  </si>
  <si>
    <t>ID_4402</t>
  </si>
  <si>
    <t>13865728;0f8b292d-d824-4378-814a-ca6e55ce4928;;111111118;Vodacom Life 20260324;;;;;AA;5;2026-05-22 0</t>
  </si>
  <si>
    <t>13865728;0f8b292d-d824-4378-814a-ca6e55ce4928;;111111118;Vodacom Life 20260324;;;;;AA;5;2026-05-22 09:49:58+02;system;2026-03-24 09:54:08+02;2026-03-24 09:54:08+02;;;;;;;;;27761198326;;;;;;;;prepaid life;;;;;</t>
  </si>
  <si>
    <t>ID_4403</t>
  </si>
  <si>
    <t>13865651;69f9155e-40f6-4116-9f91-6f21c3d80c4c;;111111118;Vodacom Life 20260324;;;;;NI;1;2026-03-25 1</t>
  </si>
  <si>
    <t>13865651;69f9155e-40f6-4116-9f91-6f21c3d80c4c;;111111118;Vodacom Life 20260324;;;;;NI;1;2026-03-25 10:44:34+02;Musiiwa Mary Mabirimisa;2026-03-24 09:54:08+02;2026-03-24 09:54:08+02;;;;;;;;;27711477958;;;;;;;;prepaid life;;;;;</t>
  </si>
  <si>
    <t>ID_4404</t>
  </si>
  <si>
    <t>13865729;fe211422-bfa1-42eb-9829-864417095e9f;;111111118;Vodacom Life 20260324;;;;;CU;5;2026-05-22 0</t>
  </si>
  <si>
    <t>13865729;fe211422-bfa1-42eb-9829-864417095e9f;;111111118;Vodacom Life 20260324;;;;;CU;5;2026-05-22 09:49:58+02;Maureen Ntsoko;2026-03-24 09:54:08+02;2026-03-24 09:54:08+02;;;;;;;;;27761505181;;;;;;;;prepaid life;;;;;</t>
  </si>
  <si>
    <t>ID_4405</t>
  </si>
  <si>
    <t>13865570;5a052866-5946-43fb-b16f-c9d7d9da51b2;;111111118;Vodacom Life 20260324;;;;;NA;5;2026-05-22 1</t>
  </si>
  <si>
    <t>13865570;5a052866-5946-43fb-b16f-c9d7d9da51b2;;111111118;Vodacom Life 20260324;;;;;NA;5;2026-05-22 11:17:06+02;system;2026-03-24 09:54:08+02;2026-03-24 09:54:08+02;;;;;;;;;27825477917;;;;;;;;prepaid life;;;;;</t>
  </si>
  <si>
    <t>ID_4406</t>
  </si>
  <si>
    <t>13865652;73f87f6e-397d-4fb3-a3ea-b95a89465368;;111111118;Vodacom Life 20260324;;;;;U;2;2026-04-08 14</t>
  </si>
  <si>
    <t>13865652;73f87f6e-397d-4fb3-a3ea-b95a89465368;;111111118;Vodacom Life 20260324;;;;;U;2;2026-04-08 14:15:55+02;Millicent Motsuku;2026-03-24 09:54:08+02;2026-03-24 09:54:08+02;;;;;;;;;27711615812;;;;;;;;prepaid life;;;;;</t>
  </si>
  <si>
    <t>ID_4407</t>
  </si>
  <si>
    <t>13865653;b51693ff-b88f-48e4-961e-55e777144200;;111111118;Vodacom Life 20260324;;;;;AA;5;2026-05-22 1</t>
  </si>
  <si>
    <t>13865653;b51693ff-b88f-48e4-961e-55e777144200;;111111118;Vodacom Life 20260324;;;;;AA;5;2026-05-22 10:05:08+02;system;2026-03-24 09:54:08+02;2026-03-24 09:54:08+02;;;;;;;;;27711626503;;;;;;;;prepaid life;;;;;</t>
  </si>
  <si>
    <t>ID_4408</t>
  </si>
  <si>
    <t xml:space="preserve">13865730;86bef527-c07a-4017-a3ed-224c030f5998;;111111118;Vodacom Life 20260324;;;;;BLQ;5;2026-05-22 </t>
  </si>
  <si>
    <t>13865730;86bef527-c07a-4017-a3ed-224c030f5998;;111111118;Vodacom Life 20260324;;;;;BLQ;5;2026-05-22 09:49:59+02;Maureen Ntsoko;2026-03-24 09:54:08+02;2026-03-24 09:54:08+02;;;;;;;;;27761583037;;;;;;;;prepaid life;;;;;</t>
  </si>
  <si>
    <t>ID_4409</t>
  </si>
  <si>
    <t>13865654;97883aaa-9f2e-40e5-b74d-e861e78b4079;;111111118;Vodacom Life 20260324;;;27711695920;;CU;7;2</t>
  </si>
  <si>
    <t>13865654;97883aaa-9f2e-40e5-b74d-e861e78b4079;;111111118;Vodacom Life 20260324;;;27711695920;;CU;7;2026-05-22 11:10:03+02;bongiwe lushaba;2026-03-24 09:54:08+02;2026-03-24 09:54:08+02;;;;;;;;;27711695920;;;;;;;;prepaid life;;;;;</t>
  </si>
  <si>
    <t>ID_4410</t>
  </si>
  <si>
    <t>13865571;52ca1041-6813-4d09-8bb4-b6c95f20e430;;111111118;Vodacom Life 20260324;;;;;DNQS;10;2026-04-1</t>
  </si>
  <si>
    <t>13865571;52ca1041-6813-4d09-8bb4-b6c95f20e430;;111111118;Vodacom Life 20260324;;;;;DNQS;10;2026-04-10 09:18:06+02;Musiiwa Mary Mabirimisa;2026-03-24 09:54:08+02;2026-03-24 09:54:08+02;;;;;;;;;27825509083;;;;;;;;prepaid life;;;;;</t>
  </si>
  <si>
    <t>ID_4411</t>
  </si>
  <si>
    <t>13865731;95cf7638-6a96-4bb4-9bba-f2244d1f817e;;111111118;Vodacom Life 20260324;;;;;CU;5;2026-05-22 0</t>
  </si>
  <si>
    <t>13865731;95cf7638-6a96-4bb4-9bba-f2244d1f817e;;111111118;Vodacom Life 20260324;;;;;CU;5;2026-05-22 09:49:11+02;Maureen Ntsoko;2026-03-24 09:54:08+02;2026-03-24 09:54:08+02;;;;;;;;;27761700284;;;;;;;;prepaid life;;;;;</t>
  </si>
  <si>
    <t>ID_4412</t>
  </si>
  <si>
    <t>13865572;7c35150c-7b02-4c06-9782-79190f8224c9;;111111118;Vodacom Life 20260324;;;;;AA;5;2026-05-22 1</t>
  </si>
  <si>
    <t>13865572;7c35150c-7b02-4c06-9782-79190f8224c9;;111111118;Vodacom Life 20260324;;;;;AA;5;2026-05-22 10:26:47+02;system;2026-03-24 09:54:08+02;2026-03-24 09:54:08+02;;;;;;;;;27825828343;;;;;;;;prepaid life;;;;;</t>
  </si>
  <si>
    <t>ID_4413</t>
  </si>
  <si>
    <t>13865655;dac94952-3a85-4279-a11c-4fd4217194ef;;111111118;Vodacom Life 20260324;;;;;A;5;2026-05-19 10</t>
  </si>
  <si>
    <t>13865655;dac94952-3a85-4279-a11c-4fd4217194ef;;111111118;Vodacom Life 20260324;;;;;A;5;2026-05-19 10:43:04+02;Khensane Mabasa;2026-03-24 09:54:08+02;2026-03-24 09:54:08+02;;;;;;;;;27711879190;;;;;;;;prepaid life;;;;;</t>
  </si>
  <si>
    <t>ID_4414</t>
  </si>
  <si>
    <t>13865732;cf0d83aa-ac59-48cc-90de-eb92c0447591;;111111118;Vodacom Life 20260324;;;;;NI;4;2026-05-19 0</t>
  </si>
  <si>
    <t>13865732;cf0d83aa-ac59-48cc-90de-eb92c0447591;;111111118;Vodacom Life 20260324;;;;;NI;4;2026-05-19 09:04:01+02;Maureen Ntsoko;2026-03-24 09:54:08+02;2026-03-24 09:54:08+02;;;;;;;;;27762060697;;;;;;;;prepaid life;;;;;</t>
  </si>
  <si>
    <t>ID_4415</t>
  </si>
  <si>
    <t>13865733;6d3eb14e-cfc4-49f6-8d01-9a1079fbd631;;111111118;Vodacom Life 20260324;;;;;AA;5;2026-05-22 0</t>
  </si>
  <si>
    <t>13865733;6d3eb14e-cfc4-49f6-8d01-9a1079fbd631;;111111118;Vodacom Life 20260324;;;;;AA;5;2026-05-22 09:49:11+02;system;2026-03-24 09:54:08+02;2026-03-24 09:54:08+02;;;;;;;;;27762065795;;;;;;;;prepaid life;;;;;</t>
  </si>
  <si>
    <t>ID_4416</t>
  </si>
  <si>
    <t>13865656;d0eb20f3-3306-4421-a065-7ae691539cc7;;111111118;Vodacom Life 20260324;;;27712016187;;CU;5;2</t>
  </si>
  <si>
    <t>13865656;d0eb20f3-3306-4421-a065-7ae691539cc7;;111111118;Vodacom Life 20260324;;;27712016187;;CU;5;2026-05-19 09:29:46+02;Maureen Ntsoko;2026-03-24 09:54:08+02;2026-03-24 09:54:08+02;;;;;;;;;27712016187;;;;;;;;prepaid life;;;;;</t>
  </si>
  <si>
    <t>ID_4417</t>
  </si>
  <si>
    <t>13865573;8c175480-207a-435d-8544-42fee0629d38;;111111118;Vodacom Life 20260324;;;;;CBACK;2;2026-04-0</t>
  </si>
  <si>
    <t>13865573;8c175480-207a-435d-8544-42fee0629d38;;111111118;Vodacom Life 20260324;;;;;CBACK;2;2026-04-08 14:36:14+02;Maureen Ntsoko;2026-03-24 09:54:08+02;2026-03-24 09:54:08+02;;;;;;;;;27826301625;;;;;;;;prepaid life;;;;;</t>
  </si>
  <si>
    <t>ID_4418</t>
  </si>
  <si>
    <t>13865734;6c92fa3e-a83b-47cd-bb0a-393a9c894ee1;;111111118;Vodacom Life 20260324;;;27762163728;;ADC;5;</t>
  </si>
  <si>
    <t>13865734;6c92fa3e-a83b-47cd-bb0a-393a9c894ee1;;111111118;Vodacom Life 20260324;;;27762163728;;ADC;5;2026-05-22 09:49:11+02;system;2026-03-24 09:54:08+02;2026-03-24 09:54:08+02;;;;;;;;;27762163728;;;;;;;;prepaid life;;;;;</t>
  </si>
  <si>
    <t>ID_4419</t>
  </si>
  <si>
    <t>13865574;519287c8-2c97-4d62-8bae-1e20f40aa240;;111111118;Vodacom Life 20260324;;;;;NA;5;2026-05-22 1</t>
  </si>
  <si>
    <t>13865574;519287c8-2c97-4d62-8bae-1e20f40aa240;;111111118;Vodacom Life 20260324;;;;;NA;5;2026-05-22 10:26:48+02;system;2026-03-24 09:54:08+02;2026-03-24 09:54:08+02;;;;;;;;;27826448493;;;;;;;;prepaid life;;;;;</t>
  </si>
  <si>
    <t>ID_4420</t>
  </si>
  <si>
    <t>13865575;47e9c71b-f924-41d6-a4a7-729bd0327505;;111111118;Vodacom Life 20260324;;;;;DROP;5;2026-05-22</t>
  </si>
  <si>
    <t>13865575;47e9c71b-f924-41d6-a4a7-729bd0327505;;111111118;Vodacom Life 20260324;;;;;DROP;5;2026-05-22 10:25:53+02;system;2026-03-24 09:54:08+02;2026-03-24 09:54:08+02;;;;;;;;;27826955176;;;;;;;;prepaid life;;;;;</t>
  </si>
  <si>
    <t>ID_4421</t>
  </si>
  <si>
    <t>13865657;44150bbe-a6c3-44b0-99fa-13eda8d5639b;;111111118;Vodacom Life 20260324;;;;;NI;2;2026-04-08 1</t>
  </si>
  <si>
    <t>13865657;44150bbe-a6c3-44b0-99fa-13eda8d5639b;;111111118;Vodacom Life 20260324;;;;;NI;2;2026-04-08 14:15:11+02;Thandile Nokubeni;2026-03-24 09:54:08+02;2026-03-24 09:54:08+02;;;;;;;;;27712382561;;;;;;;;prepaid life;;;;;</t>
  </si>
  <si>
    <t>ID_4422</t>
  </si>
  <si>
    <t xml:space="preserve">13865735;8db2a292-5d0d-4c5c-81fe-bea6badc6e81;;111111118;Vodacom Life 20260324;;;;;OAL;3;2026-04-14 </t>
  </si>
  <si>
    <t>13865735;8db2a292-5d0d-4c5c-81fe-bea6badc6e81;;111111118;Vodacom Life 20260324;;;;;OAL;3;2026-04-14 11:34:34+02;bongiwe lushaba;2026-03-24 09:54:08+02;2026-03-24 09:54:08+02;;;;;;;;;27762231117;;;;;;;;prepaid life;;;;;</t>
  </si>
  <si>
    <t>ID_4423</t>
  </si>
  <si>
    <t>13865658;d24e5029-91e4-4d4e-bc77-34e745d5b65e;;111111118;Vodacom Life 20260324;;;;;NI;5;2026-05-20 1</t>
  </si>
  <si>
    <t>13865658;d24e5029-91e4-4d4e-bc77-34e745d5b65e;;111111118;Vodacom Life 20260324;;;;;NI;5;2026-05-20 11:23:03+02;Maureen Ntsoko;2026-03-24 09:54:08+02;2026-03-24 09:54:08+02;;;;;;;;;27712592348;;;;;;;;prepaid life;;;;;</t>
  </si>
  <si>
    <t>ID_4424</t>
  </si>
  <si>
    <t>13865736;870c4e2c-68a7-404c-95a8-a1f84c86df6f;;111111118;Vodacom Life 20260324;;;;;CU;5;2026-05-19 1</t>
  </si>
  <si>
    <t>13865736;870c4e2c-68a7-404c-95a8-a1f84c86df6f;;111111118;Vodacom Life 20260324;;;;;CU;5;2026-05-19 15:45:21+02;Khensane Mabasa;2026-03-24 09:54:08+02;2026-03-24 09:54:08+02;;;;;;;;;27762256240;;;;;;;;prepaid life;;;;;</t>
  </si>
  <si>
    <t>ID_4425</t>
  </si>
  <si>
    <t>13865737;91af00bc-b29b-4048-9fa7-f83c26c5d7c0;;111111118;Vodacom Life 20260324;;;;;AE;5;2026-05-22 0</t>
  </si>
  <si>
    <t>13865737;91af00bc-b29b-4048-9fa7-f83c26c5d7c0;;111111118;Vodacom Life 20260324;;;;;AE;5;2026-05-22 09:49:13+02;system;2026-03-24 09:54:08+02;2026-03-24 09:54:08+02;;;;;;;;;27762300443;;;;;;;;prepaid life;;;;;</t>
  </si>
  <si>
    <t>ID_4426</t>
  </si>
  <si>
    <t>13865577;944ded81-cb90-4eb7-9d3e-7c61bf5b7e97;;111111118;Vodacom Life 20260324;;;27827483012;;CCB;5;</t>
  </si>
  <si>
    <t>13865577;944ded81-cb90-4eb7-9d3e-7c61bf5b7e97;;111111118;Vodacom Life 20260324;;;27827483012;;CCB;5;2026-05-22 11:17:06+02;Maureen Ntsoko;2026-03-24 09:54:08+02;2026-03-24 09:54:08+02;;;;;;;;;27827483012;;;;;;;;prepaid life;;;;;</t>
  </si>
  <si>
    <t>ID_4427</t>
  </si>
  <si>
    <t>13865659;0426223c-d7bc-4971-ae8c-d04ddb2bc7a2;;111111118;Vodacom Life 20260324;;;27712629436;;AA;5;2</t>
  </si>
  <si>
    <t>13865659;0426223c-d7bc-4971-ae8c-d04ddb2bc7a2;;111111118;Vodacom Life 20260324;;;27712629436;;AA;5;2026-05-22 10:03:10+02;system;2026-03-24 09:54:08+02;2026-03-24 09:54:08+02;;;;;;;;;27712629436;;;;;;;;prepaid life;;;;;</t>
  </si>
  <si>
    <t>ID_4428</t>
  </si>
  <si>
    <t>13865738;9d7bf70d-33fb-4885-a9ba-91e3b38f7c16;;111111118;Vodacom Life 20260324;;;;;AA;5;2026-05-22 1</t>
  </si>
  <si>
    <t>13865738;9d7bf70d-33fb-4885-a9ba-91e3b38f7c16;;111111118;Vodacom Life 20260324;;;;;AA;5;2026-05-22 11:09:47+02;system;2026-03-24 09:54:08+02;2026-03-24 09:54:08+02;;;;;;;;;27762302364;;;;;;;;prepaid life;;;;;</t>
  </si>
  <si>
    <t>ID_4429</t>
  </si>
  <si>
    <t>13865660;5e9f7974-1aee-4d2e-a37a-e7edaf793d3a;;111111118;Vodacom Life 20260324;;;;;N;5;2026-05-22 10</t>
  </si>
  <si>
    <t>13865660;5e9f7974-1aee-4d2e-a37a-e7edaf793d3a;;111111118;Vodacom Life 20260324;;;;;N;5;2026-05-22 10:03:10+02;bongiwe lushaba;2026-03-24 09:54:08+02;2026-03-24 09:54:08+02;;;;;;;;;27712646841;;;;;;;;prepaid life;;;;;</t>
  </si>
  <si>
    <t>ID_4430</t>
  </si>
  <si>
    <t>13865578;a2adacb8-199c-42da-a0a3-0d205c4b17a4;;111111118;Vodacom Life 20260324;;;;;AE;5;2026-05-22 1</t>
  </si>
  <si>
    <t>13865578;a2adacb8-199c-42da-a0a3-0d205c4b17a4;;111111118;Vodacom Life 20260324;;;;;AE;5;2026-05-22 10:25:26+02;system;2026-03-24 09:54:08+02;2026-03-24 09:54:08+02;;;;;;;;;27827527693;;;;;;;;prepaid life;;;;;</t>
  </si>
  <si>
    <t>ID_4431</t>
  </si>
  <si>
    <t>13865739;ca6a9969-8637-4118-9807-f44ce8e24ae0;;111111118;Vodacom Life 20260324;;;;;AA;5;2026-05-22 1</t>
  </si>
  <si>
    <t>13865739;ca6a9969-8637-4118-9807-f44ce8e24ae0;;111111118;Vodacom Life 20260324;;;;;AA;5;2026-05-22 11:09:46+02;system;2026-03-24 09:54:08+02;2026-03-24 09:54:08+02;;;;;;;;;27762578373;;;;;;;;prepaid life;;;;;</t>
  </si>
  <si>
    <t>ID_4432</t>
  </si>
  <si>
    <t>13865579;ba09811c-a0e7-46fc-a573-f7998704e99f;;111111118;Vodacom Life 20260324;;;;;CU;5;2026-05-22 1</t>
  </si>
  <si>
    <t>13865579;ba09811c-a0e7-46fc-a573-f7998704e99f;;111111118;Vodacom Life 20260324;;;;;CU;5;2026-05-22 10:25:26+02;Maureen Ntsoko;2026-03-24 09:54:08+02;2026-03-24 09:54:08+02;;;;;;;;;27827536851;;;;;;;;prepaid life;;;;;</t>
  </si>
  <si>
    <t>ID_4433</t>
  </si>
  <si>
    <t>13865661;c4081f30-7857-4c6d-81c6-0fa2de24b291;;111111118;Vodacom Life 20260324;;;27712679473;;IABDN;</t>
  </si>
  <si>
    <t>13865661;c4081f30-7857-4c6d-81c6-0fa2de24b291;;111111118;Vodacom Life 20260324;;;27712679473;;IABDN;6;2026-05-22 13:12:14+02;system;2026-03-24 09:54:08+02;2026-03-24 09:54:08+02;;;;;;;;;27712679473;;;;;;;;prepaid life;;;;;</t>
  </si>
  <si>
    <t>ID_4434</t>
  </si>
  <si>
    <t>13865740;ffec73b3-089a-47ff-95f7-eb4dc32d164f;;111111118;Vodacom Life 20260324;;;;;AA;5;2026-05-22 0</t>
  </si>
  <si>
    <t>13865740;ffec73b3-089a-47ff-95f7-eb4dc32d164f;;111111118;Vodacom Life 20260324;;;;;AA;5;2026-05-22 09:48:07+02;system;2026-03-24 09:54:08+02;2026-03-24 09:54:08+02;;;;;;;;;27763003192;;;;;;;;prepaid life;;;;;</t>
  </si>
  <si>
    <t>ID_4435</t>
  </si>
  <si>
    <t>13865662;a87376b2-f04c-4ce5-a7c3-a8612a32a284;;111111118;Vodacom Life 20260324;;;;;AA;5;2026-05-22 1</t>
  </si>
  <si>
    <t>13865662;a87376b2-f04c-4ce5-a7c3-a8612a32a284;;111111118;Vodacom Life 20260324;;;;;AA;5;2026-05-22 10:03:10+02;system;2026-03-24 09:54:08+02;2026-03-24 09:54:08+02;;;;;;;;;27712920480;;;;;;;;prepaid life;;;;;</t>
  </si>
  <si>
    <t>ID_4436</t>
  </si>
  <si>
    <t>13865580;2229ca78-9d09-4b0e-bb80-5daec2f81786;;111111118;Vodacom Life 20260324;;;;;NA;5;2026-05-22 1</t>
  </si>
  <si>
    <t>13865580;2229ca78-9d09-4b0e-bb80-5daec2f81786;;111111118;Vodacom Life 20260324;;;;;NA;5;2026-05-22 10:25:26+02;system;2026-03-24 09:54:08+02;2026-03-24 09:54:08+02;;;;;;;;;27827952774;;;;;;;;prepaid life;;;;;</t>
  </si>
  <si>
    <t>ID_4437</t>
  </si>
  <si>
    <t>13865741;d9253806-d695-435d-8566-b0c5231afcb3;;111111118;Vodacom Life 20260324;;;;;AA;5;2026-05-22 0</t>
  </si>
  <si>
    <t>13865741;d9253806-d695-435d-8566-b0c5231afcb3;;111111118;Vodacom Life 20260324;;;;;AA;5;2026-05-22 09:48:07+02;system;2026-03-24 09:54:08+02;2026-03-24 09:54:08+02;;;;;;;;;27763054780;;;;;;;;prepaid life;;;;;</t>
  </si>
  <si>
    <t>ID_4438</t>
  </si>
  <si>
    <t>13865581;4f5c2825-ccba-4ba8-ad7b-e943e48ec7d0;;111111118;Vodacom Life 20260324;;;;;CBACK;3;2026-04-0</t>
  </si>
  <si>
    <t>13865581;4f5c2825-ccba-4ba8-ad7b-e943e48ec7d0;;111111118;Vodacom Life 20260324;;;;;CBACK;3;2026-04-09 15:48:38+02;Mahlatse Manamela;2026-03-24 09:54:08+02;2026-03-24 09:54:08+02;;;;;;;;;27828309848;;;;;;;;prepaid life;;;;;</t>
  </si>
  <si>
    <t>ID_4439</t>
  </si>
  <si>
    <t>13865663;7b388474-8956-4188-9a41-f1d90a773ad1;;111111118;Vodacom Life 20260324;;;;;AC;2;2026-04-09 0</t>
  </si>
  <si>
    <t>13865663;7b388474-8956-4188-9a41-f1d90a773ad1;;111111118;Vodacom Life 20260324;;;;;AC;2;2026-04-09 08:12:24+02;Esther Ramalete;2026-03-24 09:54:08+02;2026-03-24 09:54:08+02;;;;;;;;;27713136322;;;;;;;;prepaid life;;;;;</t>
  </si>
  <si>
    <t>ID_4440</t>
  </si>
  <si>
    <t>13865742;3fd6b8ae-62c4-441c-908d-45487b677e0d;;111111118;Vodacom Life 20260324;;;;;AA;5;2026-05-22 0</t>
  </si>
  <si>
    <t>13865742;3fd6b8ae-62c4-441c-908d-45487b677e0d;;111111118;Vodacom Life 20260324;;;;;AA;5;2026-05-22 09:48:07+02;system;2026-03-24 09:54:08+02;2026-03-24 09:54:08+02;;;;;;;;;27763208587;;;;;;;;prepaid life;;;;;</t>
  </si>
  <si>
    <t>ID_4441</t>
  </si>
  <si>
    <t>13865664;0f4a7cc9-5ec5-4b3c-8c58-4e7153d4736b;;111111118;Vodacom Life 20260324;;;;;A;5;2026-05-22 11</t>
  </si>
  <si>
    <t>13865664;0f4a7cc9-5ec5-4b3c-8c58-4e7153d4736b;;111111118;Vodacom Life 20260324;;;;;A;5;2026-05-22 11:12:25+02;bongiwe lushaba;2026-03-24 09:54:08+02;2026-03-24 09:54:08+02;;;;;;;;;27713614108;;;;;;;;prepaid life;;;;;</t>
  </si>
  <si>
    <t>ID_4442</t>
  </si>
  <si>
    <t>13865743;498bdc8a-67bc-4941-b773-18da58894f4f;;111111118;Vodacom Life 20260324;;;;;N;6;2026-04-14 14</t>
  </si>
  <si>
    <t>13865743;498bdc8a-67bc-4941-b773-18da58894f4f;;111111118;Vodacom Life 20260324;;;;;N;6;2026-04-14 14:42:23+02;Musiiwa Mary Mabirimisa;2026-03-24 09:54:08+02;2026-03-24 09:54:08+02;;;;;;;;;27763265039;;;;;;;;prepaid life;;;;;</t>
  </si>
  <si>
    <t>ID_4443</t>
  </si>
  <si>
    <t>13865665;a00ebc0f-88ff-4bbb-a41c-c47c431902b5;;111111118;Vodacom Life 20260324;;;27713654750;;NI;5;2</t>
  </si>
  <si>
    <t>13865665;a00ebc0f-88ff-4bbb-a41c-c47c431902b5;;111111118;Vodacom Life 20260324;;;27713654750;;NI;5;2026-05-20 10:30:07+02;Khensane Mabasa;2026-03-24 09:54:08+02;2026-03-24 09:54:08+02;;;;;;;;;27713654750;;;;;;;;prepaid life;;;;;</t>
  </si>
  <si>
    <t>ID_4444</t>
  </si>
  <si>
    <t>13865582;1b99b9af-4379-4eee-873a-4b73ff10794d;;111111118;Vodacom Life 20260324;;;;;N;6;2026-05-22 10</t>
  </si>
  <si>
    <t>13865582;1b99b9af-4379-4eee-873a-4b73ff10794d;;111111118;Vodacom Life 20260324;;;;;N;6;2026-05-22 10:52:34+02;Maureen Ntsoko;2026-03-24 09:54:08+02;2026-03-24 09:54:08+02;;;;;;;;;27829362518;;;;;;;;prepaid life;;;;;</t>
  </si>
  <si>
    <t>ID_4445</t>
  </si>
  <si>
    <t>13865744;90f5e440-ef1a-4c3e-8158-9077108d0ced;;111111118;Vodacom Life 20260324;;;;;CU;5;2026-05-22 0</t>
  </si>
  <si>
    <t>13865744;90f5e440-ef1a-4c3e-8158-9077108d0ced;;111111118;Vodacom Life 20260324;;;;;CU;5;2026-05-22 09:48:07+02;Maureen Ntsoko;2026-03-24 09:54:08+02;2026-03-24 09:54:08+02;;;;;;;;;27763370360;;;;;;;;prepaid life;;;;;</t>
  </si>
  <si>
    <t>ID_4446</t>
  </si>
  <si>
    <t>13865583;3ac0d8bf-04df-4f34-bc45-bcb8fd07d4f2;;111111118;Vodacom Life 20260324;;;;;DROP;5;2026-05-22</t>
  </si>
  <si>
    <t>13865583;3ac0d8bf-04df-4f34-bc45-bcb8fd07d4f2;;111111118;Vodacom Life 20260324;;;;;DROP;5;2026-05-22 11:17:06+02;system;2026-03-24 09:54:08+02;2026-03-24 09:54:08+02;;;;;;;;;27829523739;;;;;;;;prepaid life;;;;;</t>
  </si>
  <si>
    <t>ID_4447</t>
  </si>
  <si>
    <t>13865666;1ec835af-c124-4219-9534-0ff3062d5285;;111111118;Vodacom Life 20260324;;;;;AA;5;2026-05-22 1</t>
  </si>
  <si>
    <t>13865666;1ec835af-c124-4219-9534-0ff3062d5285;;111111118;Vodacom Life 20260324;;;;;AA;5;2026-05-22 11:12:25+02;system;2026-03-24 09:54:08+02;2026-03-24 09:54:08+02;;;;;;;;;27713782096;;;;;;;;prepaid life;;;;;</t>
  </si>
  <si>
    <t>ID_4448</t>
  </si>
  <si>
    <t>13865745;e3ba403c-9b6e-402e-8082-ec9062732b12;;111111118;Vodacom Life 20260324;;;;;AA;5;2026-05-22 1</t>
  </si>
  <si>
    <t>13865745;e3ba403c-9b6e-402e-8082-ec9062732b12;;111111118;Vodacom Life 20260324;;;;;AA;5;2026-05-22 11:09:46+02;system;2026-03-24 09:54:08+02;2026-03-24 09:54:08+02;;;;;;;;;27763511422;;;;;;;;prepaid life;;;;;</t>
  </si>
  <si>
    <t>ID_4449</t>
  </si>
  <si>
    <t>13865584;3195f84d-5f27-4cdc-858d-fd2cc9461418;;111111118;Vodacom Life 20260324;;;;;DNCLIFE;5;2026-05</t>
  </si>
  <si>
    <t>13865584;3195f84d-5f27-4cdc-858d-fd2cc9461418;;111111118;Vodacom Life 20260324;;;;;DNCLIFE;5;2026-05-22 11:16:04+02;Maureen Ntsoko;2026-03-24 09:54:08+02;2026-03-24 09:54:08+02;;;;;;;;;27834212927;;;;;;;;prepaid life;;;;;</t>
  </si>
  <si>
    <t>ID_4450</t>
  </si>
  <si>
    <t>13865746;10c1221c-662d-4d00-bf14-32dc891cad43;;111111118;Vodacom Life 20260324;;;;;AE;5;2026-05-22 1</t>
  </si>
  <si>
    <t>13865746;10c1221c-662d-4d00-bf14-32dc891cad43;;111111118;Vodacom Life 20260324;;;;;AE;5;2026-05-22 11:09:46+02;system;2026-03-24 09:54:08+02;2026-03-24 09:54:08+02;;;;;;;;;27763645640;;;;;;;;prepaid life;;;;;</t>
  </si>
  <si>
    <t>ID_4451</t>
  </si>
  <si>
    <t>13865585;8ce43929-64e0-4c02-84a1-150d52b60802;;111111118;Vodacom Life 20260324;;;;;DROP;5;2026-05-22</t>
  </si>
  <si>
    <t>13865585;8ce43929-64e0-4c02-84a1-150d52b60802;;111111118;Vodacom Life 20260324;;;;;DROP;5;2026-05-22 11:16:04+02;system;2026-03-24 09:54:08+02;2026-03-24 09:54:08+02;;;;;;;;;27835449775;;;;;;;;prepaid life;;;;;</t>
  </si>
  <si>
    <t>ID_4452</t>
  </si>
  <si>
    <t>13865667;b5190eac-7280-41f2-94ba-799b012a2907;;111111118;Vodacom Life 20260324;;;27713989549;;AA;5;2</t>
  </si>
  <si>
    <t>13865667;b5190eac-7280-41f2-94ba-799b012a2907;;111111118;Vodacom Life 20260324;;;27713989549;;AA;5;2026-05-22 11:12:25+02;system;2026-03-24 09:54:08+02;2026-03-24 09:54:08+02;;;;;;;;;27713989549;;;;;;;;prepaid life;;;;;</t>
  </si>
  <si>
    <t>ID_4453</t>
  </si>
  <si>
    <t>13865668;2bbe092d-b277-4893-adb6-18135af9bbf8;;111111118;Vodacom Life 20260324;;;;;AA;5;2026-05-22 1</t>
  </si>
  <si>
    <t>13865668;2bbe092d-b277-4893-adb6-18135af9bbf8;;111111118;Vodacom Life 20260324;;;;;AA;5;2026-05-22 11:12:25+02;system;2026-03-24 09:54:08+02;2026-03-24 09:54:08+02;;;;;;;;;27714910266;;;;;;;;prepaid life;;;;;</t>
  </si>
  <si>
    <t>ID_4454</t>
  </si>
  <si>
    <t>13865747;c8c05d11-011a-42c4-8596-e0eee2c055a2;;111111118;Vodacom Life 20260324;;;;;AE;5;2026-05-22 0</t>
  </si>
  <si>
    <t>13865747;c8c05d11-011a-42c4-8596-e0eee2c055a2;;111111118;Vodacom Life 20260324;;;;;AE;5;2026-05-22 09:44:55+02;system;2026-03-24 09:54:08+02;2026-03-24 09:54:08+02;;;;;;;;;27763771657;;;;;;;;prepaid life;;;;;</t>
  </si>
  <si>
    <t>ID_4455</t>
  </si>
  <si>
    <t>13865586;5eccc384-f89b-40b3-bad4-83a849360326;;111111118;Vodacom Life 20260324;;;;;AA;5;2026-05-22 1</t>
  </si>
  <si>
    <t>13865586;5eccc384-f89b-40b3-bad4-83a849360326;;111111118;Vodacom Life 20260324;;;;;AA;5;2026-05-22 11:16:04+02;system;2026-03-24 09:54:08+02;2026-03-24 09:54:08+02;;;;;;;;;27839407280;;;;;;;;prepaid life;;;;;</t>
  </si>
  <si>
    <t>ID_4456</t>
  </si>
  <si>
    <t>13865748;d7ae2d72-0cb8-4cd2-918e-dfa7884a0c2a;;111111118;Vodacom Life 20260324;;;;;NI;3;2026-04-14 1</t>
  </si>
  <si>
    <t>13865748;d7ae2d72-0cb8-4cd2-918e-dfa7884a0c2a;;111111118;Vodacom Life 20260324;;;;;NI;3;2026-04-14 11:33:38+02;Thandile Nokubeni;2026-03-24 09:54:08+02;2026-03-24 09:54:08+02;;;;;;;;;27763930358;;;;;;;;prepaid life;;;;;</t>
  </si>
  <si>
    <t>ID_4457</t>
  </si>
  <si>
    <t>13865587;d2154cc4-6683-4bd2-b3f2-8b0636484364;;111111118;Vodacom Life 20260324;;;;;AE;5;2026-05-22 1</t>
  </si>
  <si>
    <t>13865587;d2154cc4-6683-4bd2-b3f2-8b0636484364;;111111118;Vodacom Life 20260324;;;;;AE;5;2026-05-22 11:14:13+02;system;2026-03-24 09:54:08+02;2026-03-24 09:54:08+02;;;;;;;;;27847043839;;;;;;;;prepaid life;;;;;</t>
  </si>
  <si>
    <t>ID_4458</t>
  </si>
  <si>
    <t>13865588;d554c9e4-8eb1-4a0a-b442-673f20d09e5d;;111111118;Vodacom Life 20260324;;;;;NIUP;2;2026-04-09</t>
  </si>
  <si>
    <t>13865588;d554c9e4-8eb1-4a0a-b442-673f20d09e5d;;111111118;Vodacom Life 20260324;;;;;NIUP;2;2026-04-09 08:18:07+02;Millicent Motsuku;2026-03-24 09:54:08+02;2026-03-24 09:54:08+02;;;;;;;;;27847611707;;;;;;;;prepaid life;;;;;</t>
  </si>
  <si>
    <t>ID_4459</t>
  </si>
  <si>
    <t>13865669;68b7e2ae-584f-4cbf-80f7-86f7e77afcf6;;111111118;Vodacom Life 20260324;;;27715053483;;CU;6;2</t>
  </si>
  <si>
    <t>13865669;68b7e2ae-584f-4cbf-80f7-86f7e77afcf6;;111111118;Vodacom Life 20260324;;;27715053483;;CU;6;2026-05-19 09:27:12+02;bongiwe lushaba;2026-03-24 09:54:08+02;2026-03-24 09:54:08+02;;;;;;;;;27715053483;;;;;;;;prepaid life;;;;;</t>
  </si>
  <si>
    <t>ID_4460</t>
  </si>
  <si>
    <t>13865670;21f5bc07-d7a1-4354-8a1f-6c1c2f1c29f1;;111111118;Vodacom Life 20260324;;;27715204415;;AA;5;2</t>
  </si>
  <si>
    <t>13865670;21f5bc07-d7a1-4354-8a1f-6c1c2f1c29f1;;111111118;Vodacom Life 20260324;;;27715204415;;AA;5;2026-05-22 11:12:24+02;system;2026-03-24 09:54:08+02;2026-03-24 09:54:08+02;;;;;;;;;27715204415;;;;;;;;prepaid life;;;;;</t>
  </si>
  <si>
    <t>ID_4461</t>
  </si>
  <si>
    <t>13865749;b0918e73-0a6f-4f51-ad1b-8ceabf212a32;;111111118;Vodacom Life 20260324;;;;;AE;5;2026-05-22 0</t>
  </si>
  <si>
    <t>13865749;b0918e73-0a6f-4f51-ad1b-8ceabf212a32;;111111118;Vodacom Life 20260324;;;;;AE;5;2026-05-22 09:44:55+02;system;2026-03-24 09:54:08+02;2026-03-24 09:54:08+02;;;;;;;;;27764243735;;;;;;;;prepaid life;;;;;</t>
  </si>
  <si>
    <t>ID_4462</t>
  </si>
  <si>
    <t>13865589;bddfa145-6b61-4aac-81c4-66125a878013;;111111118;Vodacom Life 20260324;;;;;AA;5;2026-05-22 1</t>
  </si>
  <si>
    <t>13865589;bddfa145-6b61-4aac-81c4-66125a878013;;111111118;Vodacom Life 20260324;;;;;AA;5;2026-05-22 10:23:57+02;system;2026-03-24 09:54:08+02;2026-03-24 09:54:08+02;;;;;;;;;27603568107;;;;;;;;prepaid life;;;;;</t>
  </si>
  <si>
    <t>ID_4463</t>
  </si>
  <si>
    <t>13865750;74caa8df-52e4-41a4-b54e-af1490a5a70c;;111111118;Vodacom Life 20260324;;;27764392599;;CU;5;2</t>
  </si>
  <si>
    <t>13865750;74caa8df-52e4-41a4-b54e-af1490a5a70c;;111111118;Vodacom Life 20260324;;;27764392599;;CU;5;2026-05-22 10:30:32+02;Maureen Ntsoko;2026-03-24 09:54:08+02;2026-03-24 09:54:08+02;;;;;;;;;27764392599;;;;;;;;prepaid life;;;;;</t>
  </si>
  <si>
    <t>ID_4464</t>
  </si>
  <si>
    <t>13865590;82340288-032b-4dbf-8c83-8a38b5648112;;111111118;Vodacom Life 20260324;;;;;NA;5;2026-05-22 1</t>
  </si>
  <si>
    <t>13865590;82340288-032b-4dbf-8c83-8a38b5648112;;111111118;Vodacom Life 20260324;;;;;NA;5;2026-05-22 10:23:57+02;system;2026-03-24 09:54:08+02;2026-03-24 09:54:08+02;;;;;;;;;27606102066;;;;;;;;prepaid life;;;;;</t>
  </si>
  <si>
    <t>ID_4465</t>
  </si>
  <si>
    <t>13865672;39768288-0cc1-436c-a831-fef301b6e436;;111111118;Vodacom Life 20260324;;;;;CBACK;2;2026-04-0</t>
  </si>
  <si>
    <t>13865672;39768288-0cc1-436c-a831-fef301b6e436;;111111118;Vodacom Life 20260324;;;;;CBACK;2;2026-04-08 14:12:38+02;Mahlatse Manamela;2026-03-24 09:54:08+02;2026-03-24 09:54:08+02;;;;;;;;;27715647454;;;;;;;;prepaid life;;;;;</t>
  </si>
  <si>
    <t>ID_4466</t>
  </si>
  <si>
    <t>13865751;8f08aaf5-52ba-4332-8904-c197381a818d;;111111118;Vodacom Life 20260324;;;;;AE;5;2026-05-22 0</t>
  </si>
  <si>
    <t>13865751;8f08aaf5-52ba-4332-8904-c197381a818d;;111111118;Vodacom Life 20260324;;;;;AE;5;2026-05-22 09:44:55+02;system;2026-03-24 09:54:08+02;2026-03-24 09:54:08+02;;;;;;;;;27764472863;;;;;;;;prepaid life;;;;;</t>
  </si>
  <si>
    <t>ID_4467</t>
  </si>
  <si>
    <t>13865673;e7c55351-340d-492a-a72d-dff27b8d3f9d;;111111118;Vodacom Life 20260324;;;;;AA;5;2026-05-22 1</t>
  </si>
  <si>
    <t>13865673;e7c55351-340d-492a-a72d-dff27b8d3f9d;;111111118;Vodacom Life 20260324;;;;;AA;5;2026-05-22 11:12:21+02;system;2026-03-24 09:54:08+02;2026-03-24 09:54:08+02;;;;;;;;;27716193277;;;;;;;;prepaid life;;;;;</t>
  </si>
  <si>
    <t>ID_4468</t>
  </si>
  <si>
    <t>13865752;8f316b18-6914-49d5-9786-2d234c68161b;;111111118;Vodacom Life 20260324;;;;;CU;5;2026-05-22 1</t>
  </si>
  <si>
    <t>13865752;8f316b18-6914-49d5-9786-2d234c68161b;;111111118;Vodacom Life 20260324;;;;;CU;5;2026-05-22 11:09:34+02;Khensane Mabasa;2026-03-24 09:54:08+02;2026-03-24 09:54:08+02;;;;;;;;;27764585905;;;;;;;;prepaid life;;;;;</t>
  </si>
  <si>
    <t>ID_4469</t>
  </si>
  <si>
    <t>13865592;c650afa5-fcaa-4e93-98a2-1371da12a5e7;;111111118;Vodacom Life 20260324;;;;;AA;5;2026-05-22 1</t>
  </si>
  <si>
    <t>13865592;c650afa5-fcaa-4e93-98a2-1371da12a5e7;;111111118;Vodacom Life 20260324;;;;;AA;5;2026-05-22 10:24:03+02;system;2026-03-24 09:54:08+02;2026-03-24 09:54:08+02;;;;;;;;;27606541526;;;;;;;;prepaid life;;;;;</t>
  </si>
  <si>
    <t>ID_4470</t>
  </si>
  <si>
    <t>13865674;9202bbe9-8a01-41fb-8c18-fe8d7b430298;;111111118;Vodacom Life 20260324;;;;;CBACK;3;2026-04-1</t>
  </si>
  <si>
    <t>13865674;9202bbe9-8a01-41fb-8c18-fe8d7b430298;;111111118;Vodacom Life 20260324;;;;;CBACK;3;2026-04-14 11:41:23+02;Maureen Ntsoko;2026-03-24 09:54:08+02;2026-03-24 09:54:08+02;;;;;;;;;27716442117;;;;;;;;prepaid life;;;;;</t>
  </si>
  <si>
    <t>ID_4471</t>
  </si>
  <si>
    <t>13865675;69173e59-489d-4061-804f-0be0a8c112a3;;111111118;Vodacom Life 20260324;;;;;AE;5;2026-05-22 1</t>
  </si>
  <si>
    <t>13865675;69173e59-489d-4061-804f-0be0a8c112a3;;111111118;Vodacom Life 20260324;;;;;AE;5;2026-05-22 10:00:17+02;system;2026-03-24 09:54:08+02;2026-03-24 09:54:08+02;;;;;;;;;27717455211;;;;;;;;prepaid life;;;;;</t>
  </si>
  <si>
    <t>ID_4472</t>
  </si>
  <si>
    <t>13865753;dd60d995-eeab-4e2a-9557-502bd32ba726;;111111118;Vodacom Life 20260324;;;;;AA;5;2026-05-22 1</t>
  </si>
  <si>
    <t>13865753;dd60d995-eeab-4e2a-9557-502bd32ba726;;111111118;Vodacom Life 20260324;;;;;AA;5;2026-05-22 11:09:31+02;system;2026-03-24 09:54:08+02;2026-03-24 09:54:08+02;;;;;;;;;27764604671;;;;;;;;prepaid life;;;;;</t>
  </si>
  <si>
    <t>ID_4473</t>
  </si>
  <si>
    <t>13865593;cba0f18a-4b36-4b8e-af95-746f81a3b8b9;;111111118;Vodacom Life 20260324;;;;;U;1;2026-03-26 11</t>
  </si>
  <si>
    <t>13865593;cba0f18a-4b36-4b8e-af95-746f81a3b8b9;;111111118;Vodacom Life 20260324;;;;;U;1;2026-03-26 11:08:59+02;Maureen Ntsoko;2026-03-24 09:54:08+02;2026-03-24 09:54:08+02;;;;;;;;;27606613184;;;;;;;;prepaid life;;;;;</t>
  </si>
  <si>
    <t>ID_4474</t>
  </si>
  <si>
    <t>13865754;b61fc77b-98bc-4b29-a1a8-120a435bfd74;;111111118;Vodacom Life 20260324;;;;;NA;5;2026-05-22 1</t>
  </si>
  <si>
    <t>13865754;b61fc77b-98bc-4b29-a1a8-120a435bfd74;;111111118;Vodacom Life 20260324;;;;;NA;5;2026-05-22 11:09:31+02;system;2026-03-24 09:54:08+02;2026-03-24 09:54:08+02;;;;;;;;;27764630495;;;;;;;;prepaid life;;;;;</t>
  </si>
  <si>
    <t>ID_4475</t>
  </si>
  <si>
    <t>13865594;84e46d8d-461d-405a-abad-3448b4415995;;111111118;Vodacom Life 20260324;;;;;AA;5;2026-05-22 1</t>
  </si>
  <si>
    <t>13865594;84e46d8d-461d-405a-abad-3448b4415995;;111111118;Vodacom Life 20260324;;;;;AA;5;2026-05-22 11:13:41+02;system;2026-03-24 09:54:08+02;2026-03-24 09:54:08+02;;;;;;;;;27606667695;;;;;;;;prepaid life;;;;;</t>
  </si>
  <si>
    <t>ID_4476</t>
  </si>
  <si>
    <t>13865676;7a7bc1b7-9a71-4577-ae25-28153cd23590;;111111118;Vodacom Life 20260324;;;;;NI;2;2026-04-08 1</t>
  </si>
  <si>
    <t>13865676;7a7bc1b7-9a71-4577-ae25-28153cd23590;;111111118;Vodacom Life 20260324;;;;;NI;2;2026-04-08 14:10:44+02;Mahlatse Manamela;2026-03-24 09:54:08+02;2026-03-24 09:54:08+02;;;;;;;;;27717564047;;;;;;;;prepaid life;;;;;</t>
  </si>
  <si>
    <t>ID_4477</t>
  </si>
  <si>
    <t>13865677;388e3a36-be7f-497a-9bba-08cf15b06432;;111111118;Vodacom Life 20260324;;;;;CU;6;2026-05-19 1</t>
  </si>
  <si>
    <t>13865677;388e3a36-be7f-497a-9bba-08cf15b06432;;111111118;Vodacom Life 20260324;;;;;CU;6;2026-05-19 12:14:02+02;bongiwe lushaba;2026-03-24 09:54:08+02;2026-03-24 09:54:08+02;;;;;;;;;27719004001;;;;;;;;prepaid life;;;;;</t>
  </si>
  <si>
    <t>ID_4478</t>
  </si>
  <si>
    <t xml:space="preserve">13865755;42f3d289-10fe-4d8b-b2b9-a14c297d977a;;111111118;Vodacom Life 20260324;;;;;ADC;5;2026-05-22 </t>
  </si>
  <si>
    <t>13865755;42f3d289-10fe-4d8b-b2b9-a14c297d977a;;111111118;Vodacom Life 20260324;;;;;ADC;5;2026-05-22 09:43:57+02;system;2026-03-24 09:54:08+02;2026-03-24 09:54:08+02;;;;;;;;;27764968384;;;;;;;;prepaid life;;;;;</t>
  </si>
  <si>
    <t>ID_4479</t>
  </si>
  <si>
    <t>13865678;a90c74f7-5587-4e9f-b439-0a5f2896a6b7;;111111118;Vodacom Life 20260324;;;;;NA;5;2026-05-22 1</t>
  </si>
  <si>
    <t>13865678;a90c74f7-5587-4e9f-b439-0a5f2896a6b7;;111111118;Vodacom Life 20260324;;;;;NA;5;2026-05-22 10:00:17+02;system;2026-03-24 09:54:08+02;2026-03-24 09:54:08+02;;;;;;;;;27720348085;;;;;;;;prepaid life;;;;;</t>
  </si>
  <si>
    <t>ID_4480</t>
  </si>
  <si>
    <t xml:space="preserve">13865595;585edfdd-ff05-4e33-9339-d77f5876dbaa;;111111118;Vodacom Life 20260324;;;;;ADC;5;2026-05-22 </t>
  </si>
  <si>
    <t>13865595;585edfdd-ff05-4e33-9339-d77f5876dbaa;;111111118;Vodacom Life 20260324;;;;;ADC;5;2026-05-22 11:13:37+02;system;2026-03-24 09:54:08+02;2026-03-24 09:54:08+02;;;;;;;;;27607015533;;;;;;;;prepaid life;;;;;</t>
  </si>
  <si>
    <t>ID_4481</t>
  </si>
  <si>
    <t>13865756;3347bca3-e2f4-4d32-a697-72825d58bd19;;111111118;Vodacom Life 20260324;;;;;CBACK;1;2026-03-2</t>
  </si>
  <si>
    <t>13865756;3347bca3-e2f4-4d32-a697-72825d58bd19;;111111118;Vodacom Life 20260324;;;;;CBACK;1;2026-03-26 10:56:54+02;Thandile Nokubeni;2026-03-24 09:54:08+02;2026-03-24 09:54:08+02;;;;;;;;;27765373309;;;;;;;;prepaid life;;;;;</t>
  </si>
  <si>
    <t>ID_4482</t>
  </si>
  <si>
    <t>13865596;3c8fec80-d697-47e5-a975-b8fd834274d3;;111111118;Vodacom Life 20260324;;;;;AA;5;2026-05-22 1</t>
  </si>
  <si>
    <t>13865596;3c8fec80-d697-47e5-a975-b8fd834274d3;;111111118;Vodacom Life 20260324;;;;;AA;5;2026-05-22 10:22:46+02;system;2026-03-24 09:54:08+02;2026-03-24 09:54:08+02;;;;;;;;;27607601333;;;;;;;;prepaid life;;;;;</t>
  </si>
  <si>
    <t>ID_4483</t>
  </si>
  <si>
    <t>13865597;c613757a-0d5b-40bb-bf7e-eb7b4503e0ca;;111111118;Vodacom Life 20260324;;;;;DROP;5;2026-05-22</t>
  </si>
  <si>
    <t>13865597;c613757a-0d5b-40bb-bf7e-eb7b4503e0ca;;111111118;Vodacom Life 20260324;;;;;DROP;5;2026-05-22 10:23:33+02;system;2026-03-24 09:54:08+02;2026-03-24 09:54:08+02;;;;;;;;;27608911023;;;;;;;;prepaid life;;;;;</t>
  </si>
  <si>
    <t>ID_4484</t>
  </si>
  <si>
    <t>13865679;dc45c26a-7621-4784-84ad-5bb5d74e862e;;111111118;Vodacom Life 20260324;;;27720385835;;CU;5;2</t>
  </si>
  <si>
    <t>13865679;dc45c26a-7621-4784-84ad-5bb5d74e862e;;111111118;Vodacom Life 20260324;;;27720385835;;CU;5;2026-05-22 10:00:20+02;bongiwe lushaba;2026-03-24 09:54:08+02;2026-03-24 09:54:08+02;;;;;;;;;27720385835;;;;;;;;prepaid life;;;;;</t>
  </si>
  <si>
    <t>ID_4485</t>
  </si>
  <si>
    <t>13865680;cc1ee792-a510-4d28-90bd-840abd05c06a;;111111118;Vodacom Life 20260324;;;27720439751;;AA;5;2</t>
  </si>
  <si>
    <t>13865680;cc1ee792-a510-4d28-90bd-840abd05c06a;;111111118;Vodacom Life 20260324;;;27720439751;;AA;5;2026-05-22 09:59:32+02;system;2026-03-24 09:54:08+02;2026-03-24 09:54:08+02;;;;;;;;;27720439751;;;;;;;;prepaid life;;;;;</t>
  </si>
  <si>
    <t>ID_4486</t>
  </si>
  <si>
    <t>13865757;3d639e7f-f8d3-493e-9b28-227b2493f7a1;;111111118;Vodacom Life 20260324;;;;;CU;5;2026-05-22 0</t>
  </si>
  <si>
    <t>13865757;3d639e7f-f8d3-493e-9b28-227b2493f7a1;;111111118;Vodacom Life 20260324;;;;;CU;5;2026-05-22 09:44:03+02;bongiwe lushaba;2026-03-24 09:54:08+02;2026-03-24 09:54:08+02;;;;;;;;;27765381671;;;;;;;;prepaid life;;;;;</t>
  </si>
  <si>
    <t>ID_4487</t>
  </si>
  <si>
    <t>13865681;1737f7dc-e317-432f-808d-124c1ddb88d0;;111111118;Vodacom Life 20260324;;;;;AE;5;2026-05-22 0</t>
  </si>
  <si>
    <t>13865681;1737f7dc-e317-432f-808d-124c1ddb88d0;;111111118;Vodacom Life 20260324;;;;;AE;5;2026-05-22 09:59:33+02;system;2026-03-24 09:54:08+02;2026-03-24 09:54:08+02;;;;;;;;;27721160510;;;;;;;;prepaid life;;;;;</t>
  </si>
  <si>
    <t>ID_4488</t>
  </si>
  <si>
    <t>13865598;671cd5db-ae01-4e4b-b2cc-fa8008e4b8b7;;111111118;Vodacom Life 20260324;;;27609411827;;CU;5;2</t>
  </si>
  <si>
    <t>13865598;671cd5db-ae01-4e4b-b2cc-fa8008e4b8b7;;111111118;Vodacom Life 20260324;;;27609411827;;CU;5;2026-05-22 10:22:46+02;Maureen Ntsoko;2026-03-24 09:54:08+02;2026-03-24 09:54:08+02;;;;;;;;;27609411827;;;;;;;;prepaid life;;;;;</t>
  </si>
  <si>
    <t>ID_4489</t>
  </si>
  <si>
    <t xml:space="preserve">13865599;ad4b1f64-6c65-4383-a9af-dafe852e413c;;111111118;Vodacom Life 20260324;;;;;ADC;5;2026-05-22 </t>
  </si>
  <si>
    <t>13865599;ad4b1f64-6c65-4383-a9af-dafe852e413c;;111111118;Vodacom Life 20260324;;;;;ADC;5;2026-05-22 10:23:33+02;system;2026-03-24 09:54:08+02;2026-03-24 09:54:08+02;;;;;;;;;27609701481;;;;;;;;prepaid life;;;;;</t>
  </si>
  <si>
    <t>ID_4490</t>
  </si>
  <si>
    <t>13865758;0ceb92a9-ea11-4998-a149-5a183cc4ee20;;111111118;Vodacom Life 20260324;;;;;CU;5;2026-05-22 0</t>
  </si>
  <si>
    <t>13865758;0ceb92a9-ea11-4998-a149-5a183cc4ee20;;111111118;Vodacom Life 20260324;;;;;CU;5;2026-05-22 09:43:57+02;Maureen Ntsoko;2026-03-24 09:54:08+02;2026-03-24 09:54:08+02;;;;;;;;;27765488965;;;;;;;;prepaid life;;;;;</t>
  </si>
  <si>
    <t>ID_4491</t>
  </si>
  <si>
    <t>13865759;ff64dcbc-b0e7-4fe1-b1fd-d22ec9c65c7b;;111111118;Vodacom Life 20260324;;;;;U;1;2026-03-26 10</t>
  </si>
  <si>
    <t>13865759;ff64dcbc-b0e7-4fe1-b1fd-d22ec9c65c7b;;111111118;Vodacom Life 20260324;;;;;U;1;2026-03-26 10:57:58+02;Esther Ramalete;2026-03-24 09:54:08+02;2026-03-24 09:54:08+02;;;;;;;;;27765592985;;;;;;;;prepaid life;;;;;</t>
  </si>
  <si>
    <t>ID_4492</t>
  </si>
  <si>
    <t>13865600;c1f89d02-c03c-43fc-8da6-b82f0d1b5ff6;;111111118;Vodacom Life 20260324;;;;;AE;5;2026-05-22 1</t>
  </si>
  <si>
    <t>13865600;c1f89d02-c03c-43fc-8da6-b82f0d1b5ff6;;111111118;Vodacom Life 20260324;;;;;AE;5;2026-05-22 11:13:35+02;system;2026-03-24 09:54:08+02;2026-03-24 09:54:08+02;;;;;;;;;27620433877;;;;;;;;prepaid life;;;;;</t>
  </si>
  <si>
    <t>ID_4493</t>
  </si>
  <si>
    <t>13865601;58b25d39-c150-41e2-8e27-e20dd5976c2d;;111111118;Vodacom Life 20260324;;;27624138256;;IABDN;</t>
  </si>
  <si>
    <t>13865601;58b25d39-c150-41e2-8e27-e20dd5976c2d;;111111118;Vodacom Life 20260324;;;27624138256;;IABDN;5;2026-05-22 11:13:52+02;system;2026-03-24 09:54:08+02;2026-03-24 09:54:08+02;;;;;;;;;27624138256;;;;;;;;prepaid life;;;;;</t>
  </si>
  <si>
    <t>ID_4494</t>
  </si>
  <si>
    <t>13865682;9a587b0d-6da0-422b-b275-b9f48e5f92e0;;111111118;Vodacom Life 20260324;;;;;NI;3;2026-04-14 1</t>
  </si>
  <si>
    <t>13865682;9a587b0d-6da0-422b-b275-b9f48e5f92e0;;111111118;Vodacom Life 20260324;;;;;NI;3;2026-04-14 11:38:24+02;Thandile Nokubeni;2026-03-24 09:54:08+02;2026-03-24 09:54:08+02;;;;;;;;;27721831946;;;;;;;;prepaid life;;;;;</t>
  </si>
  <si>
    <t>ID_4495</t>
  </si>
  <si>
    <t>13865760;2c4a5f1f-ab92-48d5-99c9-63eb228e24f8;;111111118;Vodacom Life 20260324;;;;;AA;5;2026-05-22 0</t>
  </si>
  <si>
    <t>13865760;2c4a5f1f-ab92-48d5-99c9-63eb228e24f8;;111111118;Vodacom Life 20260324;;;;;AA;5;2026-05-22 09:43:52+02;system;2026-03-24 09:54:08+02;2026-03-24 09:54:08+02;;;;;;;;;27765722866;;;;;;;;prepaid life;;;;;</t>
  </si>
  <si>
    <t>ID_4496</t>
  </si>
  <si>
    <t>13865683;9b0f36b2-7c9f-4dac-9c36-0153b274889c;;111111118;Vodacom Life 20260324;;;;;DROP;5;2026-05-22</t>
  </si>
  <si>
    <t>13865683;9b0f36b2-7c9f-4dac-9c36-0153b274889c;;111111118;Vodacom Life 20260324;;;;;DROP;5;2026-05-22 09:58:41+02;system;2026-03-24 09:54:08+02;2026-03-24 09:54:08+02;;;;;;;;;27721896330;;;;;;;;prepaid life;;;;;</t>
  </si>
  <si>
    <t>ID_4497</t>
  </si>
  <si>
    <t>13865684;d1fd570d-0f48-4a4b-a825-a8cfbb7202b5;;111111118;Vodacom Life 20260324;;;;;NI;3;2026-04-14 1</t>
  </si>
  <si>
    <t>13865684;d1fd570d-0f48-4a4b-a825-a8cfbb7202b5;;111111118;Vodacom Life 20260324;;;;;NI;3;2026-04-14 11:38:15+02;Esther Ramalete;2026-03-24 09:54:08+02;2026-03-24 09:54:08+02;;;;;;;;;27722371141;;;;;;;;prepaid life;;;;;</t>
  </si>
  <si>
    <t>ID_4498</t>
  </si>
  <si>
    <t>13865761;d4caa785-ead3-48ae-a68e-fb5cd932af1c;;111111118;Vodacom Life 20260324;;;;;DROP;5;2026-05-22</t>
  </si>
  <si>
    <t>13865761;d4caa785-ead3-48ae-a68e-fb5cd932af1c;;111111118;Vodacom Life 20260324;;;;;DROP;5;2026-05-22 09:44:10+02;system;2026-03-24 09:54:08+02;2026-03-24 09:54:08+02;;;;;;;;;27765813757;;;;;;;;prepaid life;;;;;</t>
  </si>
  <si>
    <t>ID_4499</t>
  </si>
  <si>
    <t>13865603;c7b0c527-f24d-4e65-9104-59e8a19f07d9;;111111118;Vodacom Life 20260324;;;;;AA;5;2026-05-22 1</t>
  </si>
  <si>
    <t>13865603;c7b0c527-f24d-4e65-9104-59e8a19f07d9;;111111118;Vodacom Life 20260324;;;;;AA;5;2026-05-22 10:21:49+02;system;2026-03-24 09:54:08+02;2026-03-24 09:54:08+02;;;;;;;;;27636340049;;;;;;;;prepaid life;;;;;</t>
  </si>
  <si>
    <t>ID_4500</t>
  </si>
  <si>
    <t>13865685;0854f367-abd8-45bb-a0a7-9793c631e140;;111111118;Vodacom Life 20260324;;;;;AE;5;2026-05-22 0</t>
  </si>
  <si>
    <t>13865685;0854f367-abd8-45bb-a0a7-9793c631e140;;111111118;Vodacom Life 20260324;;;;;AE;5;2026-05-22 09:59:33+02;system;2026-03-24 09:54:08+02;2026-03-24 09:54:08+02;;;;;;;;;27722574944;;;;;;;;prepaid life;;;;;</t>
  </si>
  <si>
    <t>ID_4501</t>
  </si>
  <si>
    <t>13865762;0d1143a6-f18d-49fa-b7fd-725017150d4c;;111111118;Vodacom Life 20260324;;;;;DROP;5;2026-05-22</t>
  </si>
  <si>
    <t>13865762;0d1143a6-f18d-49fa-b7fd-725017150d4c;;111111118;Vodacom Life 20260324;;;;;DROP;5;2026-05-22 11:06:53+02;system;2026-03-24 09:54:08+02;2026-03-24 09:54:08+02;;;;;;;;;27765962536;;;;;;;;prepaid life;;;;;</t>
  </si>
  <si>
    <t>ID_4502</t>
  </si>
  <si>
    <t>13865686;c7925b03-6d03-464b-b4f3-e9600b24af5a;;111111118;Vodacom Life 20260324;;;;;AE;5;2026-05-22 1</t>
  </si>
  <si>
    <t>13865686;c7925b03-6d03-464b-b4f3-e9600b24af5a;;111111118;Vodacom Life 20260324;;;;;AE;5;2026-05-22 10:00:37+02;system;2026-03-24 09:54:08+02;2026-03-24 09:54:08+02;;;;;;;;;27722600597;;;;;;;;prepaid life;;;;;</t>
  </si>
  <si>
    <t>ID_4503</t>
  </si>
  <si>
    <t>13865604;41496038-e925-485f-8f5d-e0490fc710ea;;111111118;Vodacom Life 20260324;;;;;AA;5;2026-05-22 1</t>
  </si>
  <si>
    <t>13865604;41496038-e925-485f-8f5d-e0490fc710ea;;111111118;Vodacom Life 20260324;;;;;AA;5;2026-05-22 10:21:48+02;system;2026-03-24 09:54:08+02;2026-03-24 09:54:08+02;;;;;;;;;27636528937;;;;;;;;prepaid life;;;;;</t>
  </si>
  <si>
    <t>ID_4504</t>
  </si>
  <si>
    <t>13865763;4551f818-4790-4a25-a924-3d25087746b3;;111111118;Vodacom Life 20260324;;;;;AA;5;2026-05-22 1</t>
  </si>
  <si>
    <t>13865763;4551f818-4790-4a25-a924-3d25087746b3;;111111118;Vodacom Life 20260324;;;;;AA;5;2026-05-22 11:06:40+02;system;2026-03-24 09:54:08+02;2026-03-24 09:54:08+02;;;;;;;;;27765980561;;;;;;;;prepaid life;;;;;</t>
  </si>
  <si>
    <t>ID_4505</t>
  </si>
  <si>
    <t>13865605;159f7f0b-00b3-4bb3-a58b-d77af780381f;;111111118;Vodacom Life 20260324;;;;;CBACK;5;2026-05-2</t>
  </si>
  <si>
    <t>13865605;159f7f0b-00b3-4bb3-a58b-d77af780381f;;111111118;Vodacom Life 20260324;;;;;CBACK;5;2026-05-22 10:21:49+02;Maureen Ntsoko;2026-03-24 09:54:08+02;2026-03-24 09:54:08+02;;;;;;;;;27636577772;;;;;;;;prepaid life;;;;;</t>
  </si>
  <si>
    <t>ID_4506</t>
  </si>
  <si>
    <t>13865800;4547760e-16f6-4f15-baaf-5e6ab972a7e5;;111111118;Vodacom Life 20260324;;;;;DROP;5;2026-05-22</t>
  </si>
  <si>
    <t>13865800;4547760e-16f6-4f15-baaf-5e6ab972a7e5;;111111118;Vodacom Life 20260324;;;;;DROP;5;2026-05-22 09:32:47+02;system;2026-03-24 09:54:08+02;2026-03-24 09:54:08+02;;;;;;;;;27792519661;;;;;;;;prepaid life;;;;;</t>
  </si>
  <si>
    <t>ID_4507</t>
  </si>
  <si>
    <t>13865687;82a3b831-c337-4a68-a4d2-a5b2a4a4df01;;111111118;Vodacom Life 20260324;;;;;AE;5;2026-05-22 1</t>
  </si>
  <si>
    <t>13865687;82a3b831-c337-4a68-a4d2-a5b2a4a4df01;;111111118;Vodacom Life 20260324;;;;;AE;5;2026-05-22 10:01:24+02;system;2026-03-24 09:54:08+02;2026-03-24 09:54:08+02;;;;;;;;;27722934874;;;;;;;;prepaid life;;;;;</t>
  </si>
  <si>
    <t>ID_4508</t>
  </si>
  <si>
    <t xml:space="preserve">13865764;ae6c2cc1-46d1-4cd0-8689-0161d9845047;;111111118;Vodacom Life 20260324;;;;;BLQ;6;2026-05-22 </t>
  </si>
  <si>
    <t>13865764;ae6c2cc1-46d1-4cd0-8689-0161d9845047;;111111118;Vodacom Life 20260324;;;;;BLQ;6;2026-05-22 11:07:31+02;Khensane Mabasa;2026-03-24 09:54:08+02;2026-03-24 09:54:08+02;;;;;;;;;27765995400;;;;;;;;prepaid life;;;;;</t>
  </si>
  <si>
    <t>ID_4509</t>
  </si>
  <si>
    <t>13865801;a7e61270-fb51-4cfe-852c-e3a43e0abb06;;111111118;Vodacom Life 20260324;;;27792641091;;IABDN;</t>
  </si>
  <si>
    <t>13865801;a7e61270-fb51-4cfe-852c-e3a43e0abb06;;111111118;Vodacom Life 20260324;;;27792641091;;IABDN;6;2026-05-26 18:25:40+02;system;2026-03-24 09:54:08+02;2026-03-24 09:54:08+02;;;;;;;;;27792641091;;;;;;;;prepaid life;;;;;</t>
  </si>
  <si>
    <t>ID_4510</t>
  </si>
  <si>
    <t>13865765;f3e9f1fc-c843-4665-ad82-bd974c2872a2;;111111118;Vodacom Life 20260324;;;;;AE;5;2026-05-22 0</t>
  </si>
  <si>
    <t>13865765;f3e9f1fc-c843-4665-ad82-bd974c2872a2;;111111118;Vodacom Life 20260324;;;;;AE;5;2026-05-22 09:42:12+02;system;2026-03-24 09:54:08+02;2026-03-24 09:54:08+02;;;;;;;;;27766047320;;;;;;;;prepaid life;;;;;</t>
  </si>
  <si>
    <t>ID_4511</t>
  </si>
  <si>
    <t>13865802;c05a6cf1-1083-4ca6-8af8-1cf2c9101d90;;111111118;Vodacom Life 20260324;;;;;AF;3;2026-04-14 1</t>
  </si>
  <si>
    <t>13865802;c05a6cf1-1083-4ca6-8af8-1cf2c9101d90;;111111118;Vodacom Life 20260324;;;;;AF;3;2026-04-14 11:23:08+02;Seboifeng Mogola;2026-03-24 09:54:08+02;2026-03-24 09:54:08+02;;;;;;;;;27792800572;;;;;;;;prepaid life;;;;;</t>
  </si>
  <si>
    <t>ID_4512</t>
  </si>
  <si>
    <t>13865688;300a0f0c-31b2-48df-8dcd-d1d0eaacfd6f;;111111118;Vodacom Life 20260324;;;;;NI;2;2026-04-08 1</t>
  </si>
  <si>
    <t>13865688;300a0f0c-31b2-48df-8dcd-d1d0eaacfd6f;;111111118;Vodacom Life 20260324;;;;;NI;2;2026-04-08 14:07:52+02;Mahlatse Manamela;2026-03-24 09:54:08+02;2026-03-24 09:54:08+02;;;;;;;;;27723060060;;;;;;;;prepaid life;;;;;</t>
  </si>
  <si>
    <t>ID_4513</t>
  </si>
  <si>
    <t>13865689;5b1dce7b-cd0a-494a-ae18-b17d91e0d176;;111111118;Vodacom Life 20260324;;;;;AA;5;2026-05-22 1</t>
  </si>
  <si>
    <t>13865689;5b1dce7b-cd0a-494a-ae18-b17d91e0d176;;111111118;Vodacom Life 20260324;;;;;AA;5;2026-05-22 10:01:24+02;system;2026-03-24 09:54:08+02;2026-03-24 09:54:08+02;;;;;;;;;27723107246;;;;;;;;prepaid life;;;;;</t>
  </si>
  <si>
    <t>ID_4514</t>
  </si>
  <si>
    <t>13865766;4bf43b7a-a622-4ad4-9a90-1b61003a0275;;111111118;Vodacom Life 20260324;;;;;AE;5;2026-05-22 0</t>
  </si>
  <si>
    <t>13865766;4bf43b7a-a622-4ad4-9a90-1b61003a0275;;111111118;Vodacom Life 20260324;;;;;AE;5;2026-05-22 09:42:13+02;system;2026-03-24 09:54:08+02;2026-03-24 09:54:08+02;;;;;;;;;27766353428;;;;;;;;prepaid life;;;;;</t>
  </si>
  <si>
    <t>ID_4515</t>
  </si>
  <si>
    <t>13865690;c5753f74-8bee-4bfc-afef-6dc66a87af7f;;111111118;Vodacom Life 20260324;;;;;CBACK;5;2026-05-2</t>
  </si>
  <si>
    <t>13865690;c5753f74-8bee-4bfc-afef-6dc66a87af7f;;111111118;Vodacom Life 20260324;;;;;CBACK;5;2026-05-22 10:01:26+02;bongiwe lushaba;2026-03-24 09:54:08+02;2026-03-24 09:54:08+02;;;;;;;;;27723284620;;;;;;;;prepaid life;;;;;</t>
  </si>
  <si>
    <t>ID_4516</t>
  </si>
  <si>
    <t>13865803;34dc2bb3-d366-4656-8089-06fb313c3aae;;111111118;Vodacom Life 20260324;;;;;NI;2;2026-04-08 1</t>
  </si>
  <si>
    <t>13865803;34dc2bb3-d366-4656-8089-06fb313c3aae;;111111118;Vodacom Life 20260324;;;;;NI;2;2026-04-08 13:37:04+02;Thandile Nokubeni;2026-03-24 09:54:08+02;2026-03-24 09:54:08+02;;;;;;;;;27792936349;;;;;;;;prepaid life;;;;;</t>
  </si>
  <si>
    <t>ID_4517</t>
  </si>
  <si>
    <t>13865767;9ac48009-2db3-4865-a449-8368c9f63c41;;111111118;Vodacom Life 20260324;;;;;RP;2;2026-04-08 1</t>
  </si>
  <si>
    <t>13865767;9ac48009-2db3-4865-a449-8368c9f63c41;;111111118;Vodacom Life 20260324;;;;;RP;2;2026-04-08 13:49:17+02;Thandile Nokubeni;2026-03-24 09:54:08+02;2026-03-24 09:54:08+02;;;;;;;;;27766384174;;;;;;;;prepaid life;;;;;</t>
  </si>
  <si>
    <t>ID_4518</t>
  </si>
  <si>
    <t>13865804;88e1aad7-436c-47be-a3dc-7fc2db40458d;;111111118;Vodacom Life 20260324;;;;;AA;5;2026-05-22 0</t>
  </si>
  <si>
    <t>13865804;88e1aad7-436c-47be-a3dc-7fc2db40458d;;111111118;Vodacom Life 20260324;;;;;AA;5;2026-05-22 09:32:47+02;system;2026-03-24 09:54:08+02;2026-03-24 09:54:08+02;;;;;;;;;27793276289;;;;;;;;prepaid life;;;;;</t>
  </si>
  <si>
    <t>ID_4519</t>
  </si>
  <si>
    <t>13865691;1a276b5d-3692-4dba-a2e1-57e31b676800;;111111118;Vodacom Life 20260324;;;27723745080;;AA;5;2</t>
  </si>
  <si>
    <t>13865691;1a276b5d-3692-4dba-a2e1-57e31b676800;;111111118;Vodacom Life 20260324;;;27723745080;;AA;5;2026-05-22 09:56:43+02;system;2026-03-24 09:54:08+02;2026-03-24 09:54:08+02;;;;;;;;;27723745080;;;;;;;;prepaid life;;;;;</t>
  </si>
  <si>
    <t>ID_4520</t>
  </si>
  <si>
    <t>13865768;365a5ef3-507a-4c35-84aa-0638fdbc5a72;;111111118;Vodacom Life 20260324;;;;;AA;5;2026-05-22 0</t>
  </si>
  <si>
    <t>13865768;365a5ef3-507a-4c35-84aa-0638fdbc5a72;;111111118;Vodacom Life 20260324;;;;;AA;5;2026-05-22 09:42:00+02;system;2026-03-24 09:54:08+02;2026-03-24 09:54:08+02;;;;;;;;;27766404076;;;;;;;;prepaid life;;;;;</t>
  </si>
  <si>
    <t>ID_4521</t>
  </si>
  <si>
    <t>13865692;490679ca-5c51-416f-b2ad-9d595aad266f;;111111118;Vodacom Life 20260324;;;;;AA;5;2026-05-22 0</t>
  </si>
  <si>
    <t>13865692;490679ca-5c51-416f-b2ad-9d595aad266f;;111111118;Vodacom Life 20260324;;;;;AA;5;2026-05-22 09:56:57+02;system;2026-03-24 09:54:08+02;2026-03-24 09:54:08+02;;;;;;;;;27723822862;;;;;;;;prepaid life;;;;;</t>
  </si>
  <si>
    <t>ID_4522</t>
  </si>
  <si>
    <t>13865805;5af9e77f-238d-47f5-85aa-77a5e14f2bd4;;111111118;Vodacom Life 20260324;;;;;AF;1;2026-03-26 1</t>
  </si>
  <si>
    <t>13865805;5af9e77f-238d-47f5-85aa-77a5e14f2bd4;;111111118;Vodacom Life 20260324;;;;;AF;1;2026-03-26 11:01:26+02;Seboifeng Mogola;2026-03-24 09:54:08+02;2026-03-24 09:54:08+02;;;;;;;;;27793459410;;;;;;;;prepaid life;;;;;</t>
  </si>
  <si>
    <t>ID_4523</t>
  </si>
  <si>
    <t>13865769;61917962-87ea-41be-a2c3-0e17f6d617b9;;111111118;Vodacom Life 20260324;;;;;AE;5;2026-05-22 0</t>
  </si>
  <si>
    <t>13865769;61917962-87ea-41be-a2c3-0e17f6d617b9;;111111118;Vodacom Life 20260324;;;;;AE;5;2026-05-22 09:42:26+02;system;2026-03-24 09:54:08+02;2026-03-24 09:54:08+02;;;;;;;;;27766688923;;;;;;;;prepaid life;;;;;</t>
  </si>
  <si>
    <t>ID_4524</t>
  </si>
  <si>
    <t>13865806;42bf0aea-0823-421f-9210-317b26a422ae;;111111118;Vodacom Life 20260324;;;;;NA;5;2026-05-22 0</t>
  </si>
  <si>
    <t>13865806;42bf0aea-0823-421f-9210-317b26a422ae;;111111118;Vodacom Life 20260324;;;;;NA;5;2026-05-22 09:33:49+02;system;2026-03-24 09:54:08+02;2026-03-24 09:54:08+02;;;;;;;;;27793590086;;;;;;;;prepaid life;;;;;</t>
  </si>
  <si>
    <t>ID_4525</t>
  </si>
  <si>
    <t>13865693;f7d83af1-2674-45c6-b51c-7d84c630d879;;111111118;Vodacom Life 20260324;;;27724095821;;IABDN;</t>
  </si>
  <si>
    <t>13865693;f7d83af1-2674-45c6-b51c-7d84c630d879;;111111118;Vodacom Life 20260324;;;27724095821;;IABDN;5;2026-05-22 10:16:16+02;system;2026-03-24 09:54:08+02;2026-03-24 09:54:08+02;;;;;;;;;27724095821;;;;;;;;prepaid life;;;;;</t>
  </si>
  <si>
    <t>ID_4526</t>
  </si>
  <si>
    <t>13865770;df4f7c56-9c01-46bb-aed4-6b16ced375e8;;111111118;Vodacom Life 20260324;;;;;AA;5;2026-05-22 0</t>
  </si>
  <si>
    <t>13865770;df4f7c56-9c01-46bb-aed4-6b16ced375e8;;111111118;Vodacom Life 20260324;;;;;AA;5;2026-05-22 09:41:54+02;system;2026-03-24 09:54:08+02;2026-03-24 09:54:08+02;;;;;;;;;27766847962;;;;;;;;prepaid life;;;;;</t>
  </si>
  <si>
    <t>ID_4527</t>
  </si>
  <si>
    <t>13865694;77f190b0-227b-45b8-910b-fbee68b1cb8e;;111111118;Vodacom Life 20260324;;;;;AA;5;2026-05-22 0</t>
  </si>
  <si>
    <t>13865694;77f190b0-227b-45b8-910b-fbee68b1cb8e;;111111118;Vodacom Life 20260324;;;;;AA;5;2026-05-22 09:57:03+02;system;2026-03-24 09:54:08+02;2026-03-24 09:54:08+02;;;;;;;;;27724190414;;;;;;;;prepaid life;;;;;</t>
  </si>
  <si>
    <t>ID_4528</t>
  </si>
  <si>
    <t>13865695;f31d02f4-4dbe-469e-815b-29b4d5e214ba;;111111118;Vodacom Life 20260324;;;;;DROP;5;2026-05-22</t>
  </si>
  <si>
    <t>13865695;f31d02f4-4dbe-469e-815b-29b4d5e214ba;;111111118;Vodacom Life 20260324;;;;;DROP;5;2026-05-22 10:01:37+02;system;2026-03-24 09:54:08+02;2026-03-24 09:54:08+02;;;;;;;;;27724233223;;;;;;;;prepaid life;;;;;</t>
  </si>
  <si>
    <t>ID_4529</t>
  </si>
  <si>
    <t>13865807;00ffbf47-0f30-45df-9158-91731120e539;;111111118;Vodacom Life 20260324;;;27793607516;;AFTHRS</t>
  </si>
  <si>
    <t>13865807;00ffbf47-0f30-45df-9158-91731120e539;;111111118;Vodacom Life 20260324;;;27793607516;;AFTHRS;5;2026-05-23 15:31:49+02;system;2026-03-24 09:54:08+02;2026-03-24 09:54:08+02;;;;;;;;;27793607516;;;;;;;;prepaid life;;;;;</t>
  </si>
  <si>
    <t>ID_4530</t>
  </si>
  <si>
    <t>13865808;60d46ab3-0711-4e27-aaab-37b83f3710b0;;111111118;Vodacom Life 20260324;;;;;DROP;5;2026-05-22</t>
  </si>
  <si>
    <t>13865808;60d46ab3-0711-4e27-aaab-37b83f3710b0;;111111118;Vodacom Life 20260324;;;;;DROP;5;2026-05-22 09:28:46+02;system;2026-03-24 09:54:08+02;2026-03-24 09:54:08+02;;;;;;;;;27793823089;;;;;;;;prepaid life;;;;;</t>
  </si>
  <si>
    <t>ID_4531</t>
  </si>
  <si>
    <t>13865809;9b14e0a1-97ee-4fde-b0c5-0345179af5f1;;111111118;Vodacom Life 20260324;;;;;NI;5;2026-05-22 0</t>
  </si>
  <si>
    <t>13865809;9b14e0a1-97ee-4fde-b0c5-0345179af5f1;;111111118;Vodacom Life 20260324;;;;;NI;5;2026-05-22 09:26:26+02;Maureen Ntsoko;2026-03-24 09:54:08+02;2026-03-24 09:54:08+02;;;;;;;;;27794038965;;;;;;;;prepaid life;;;;;</t>
  </si>
  <si>
    <t>ID_4532</t>
  </si>
  <si>
    <t>13865810;f2129827-1652-4054-85b4-64ffecd859ae;;111111118;Vodacom Life 20260324;;;;;AF;5;2026-05-22 0</t>
  </si>
  <si>
    <t>13865810;f2129827-1652-4054-85b4-64ffecd859ae;;111111118;Vodacom Life 20260324;;;;;AF;5;2026-05-22 09:28:46+02;Maureen Ntsoko;2026-03-24 09:54:08+02;2026-03-24 09:54:08+02;;;;;;;;;27794447339;;;;;;;;prepaid life;;;;;</t>
  </si>
  <si>
    <t>ID_4533</t>
  </si>
  <si>
    <t>13865771;fec5a34d-5ea4-4d70-a3e5-f3570766e053;;111111118;Vodacom Life 20260324;;;;;AA;5;2026-05-22 0</t>
  </si>
  <si>
    <t>13865771;fec5a34d-5ea4-4d70-a3e5-f3570766e053;;111111118;Vodacom Life 20260324;;;;;AA;5;2026-05-22 09:41:55+02;system;2026-03-24 09:54:08+02;2026-03-24 09:54:08+02;;;;;;;;;27766989741;;;;;;;;prepaid life;;;;;</t>
  </si>
  <si>
    <t>ID_4534</t>
  </si>
  <si>
    <t>13865811;105713e8-fe85-4f33-85ab-9c5b6a1bc4f2;;111111118;Vodacom Life 20260324;;;;;DROP;5;2026-05-22</t>
  </si>
  <si>
    <t>13865811;105713e8-fe85-4f33-85ab-9c5b6a1bc4f2;;111111118;Vodacom Life 20260324;;;;;DROP;5;2026-05-22 09:26:26+02;system;2026-03-24 09:54:08+02;2026-03-24 09:54:08+02;;;;;;;;;27794616541;;;;;;;;prepaid life;;;;;</t>
  </si>
  <si>
    <t>ID_4535</t>
  </si>
  <si>
    <t>13865696;bd19e653-d6fb-4690-8f96-c746daa01b6b;;111111118;Vodacom Life 20260324;;;;;NI;2;2026-03-30 1</t>
  </si>
  <si>
    <t>13865696;bd19e653-d6fb-4690-8f96-c746daa01b6b;;111111118;Vodacom Life 20260324;;;;;NI;2;2026-03-30 13:42:36+02;Maureen Ntsoko;2026-03-24 09:54:08+02;2026-03-24 09:54:08+02;;;;;;;;;27724253220;;;;;;;;prepaid life;;;;;</t>
  </si>
  <si>
    <t>ID_4536</t>
  </si>
  <si>
    <t>13865772;2bc60e04-c1f1-4340-a316-03e0ef2147b2;;111111118;Vodacom Life 20260324;;;;;AA;5;2026-05-22 0</t>
  </si>
  <si>
    <t>13865772;2bc60e04-c1f1-4340-a316-03e0ef2147b2;;111111118;Vodacom Life 20260324;;;;;AA;5;2026-05-22 09:41:54+02;system;2026-03-24 09:54:08+02;2026-03-24 09:54:08+02;;;;;;;;;27767332150;;;;;;;;prepaid life;;;;;</t>
  </si>
  <si>
    <t>ID_4537</t>
  </si>
  <si>
    <t>13865697;f0a18192-4628-4aa5-98b6-9ba06e768f40;;111111118;Vodacom Life 20260324;;;;;AA;5;2026-05-22 1</t>
  </si>
  <si>
    <t>13865697;f0a18192-4628-4aa5-98b6-9ba06e768f40;;111111118;Vodacom Life 20260324;;;;;AA;5;2026-05-22 10:42:17+02;system;2026-03-24 09:54:08+02;2026-03-24 09:54:08+02;;;;;;;;;27725057167;;;;;;;;prepaid life;;;;;</t>
  </si>
  <si>
    <t>ID_4538</t>
  </si>
  <si>
    <t>13865812;4c9e9502-7a97-4b3b-be49-f1c6c78bc8f7;;111111118;Vodacom Life 20260324;;;;;DROP;5;2026-05-22</t>
  </si>
  <si>
    <t>13865812;4c9e9502-7a97-4b3b-be49-f1c6c78bc8f7;;111111118;Vodacom Life 20260324;;;;;DROP;5;2026-05-22 09:28:46+02;system;2026-03-24 09:54:08+02;2026-03-24 09:54:08+02;;;;;;;;;27794882103;;;;;;;;prepaid life;;;;;</t>
  </si>
  <si>
    <t>ID_4539</t>
  </si>
  <si>
    <t xml:space="preserve">13865773;5c90bb28-8326-4a8d-a1c4-f3cac5c46960;;111111118;Vodacom Life 20260324;;;;;OAL;5;2026-05-22 </t>
  </si>
  <si>
    <t>13865773;5c90bb28-8326-4a8d-a1c4-f3cac5c46960;;111111118;Vodacom Life 20260324;;;;;OAL;5;2026-05-22 09:41:54+02;Maureen Ntsoko;2026-03-24 09:54:08+02;2026-03-24 09:54:08+02;;;;;;;;;27767855862;;;;;;;;prepaid life;;;;;</t>
  </si>
  <si>
    <t>ID_4540</t>
  </si>
  <si>
    <t>13865813;170d0358-ad89-415a-bc09-647e0317f406;;111111118;Vodacom Life 20260324;;;;;NI;2;2026-04-08 1</t>
  </si>
  <si>
    <t>13865813;170d0358-ad89-415a-bc09-647e0317f406;;111111118;Vodacom Life 20260324;;;;;NI;2;2026-04-08 13:35:55+02;Thandile Nokubeni;2026-03-24 09:54:08+02;2026-03-24 09:54:08+02;;;;;;;;;27794886742;;;;;;;;prepaid life;;;;;</t>
  </si>
  <si>
    <t>ID_4541</t>
  </si>
  <si>
    <t>13865814;a93377d0-2688-4703-8411-12625c8575b4;;111111118;Vodacom Life 20260324;;;;;AA;5;2026-05-22 1</t>
  </si>
  <si>
    <t>13865814;a93377d0-2688-4703-8411-12625c8575b4;;111111118;Vodacom Life 20260324;;;;;AA;5;2026-05-22 11:05:53+02;system;2026-03-24 09:54:08+02;2026-03-24 09:54:08+02;;;;;;;;;27795506921;;;;;;;;prepaid life;;;;;</t>
  </si>
  <si>
    <t>ID_4542</t>
  </si>
  <si>
    <t>13865698;8fcb4b16-de9c-4acb-86a2-7ca11e0a5652;;111111118;Vodacom Life 20260324;;;;;CU;5;2026-05-22 1</t>
  </si>
  <si>
    <t>13865698;8fcb4b16-de9c-4acb-86a2-7ca11e0a5652;;111111118;Vodacom Life 20260324;;;;;CU;5;2026-05-22 10:42:18+02;Maureen Ntsoko;2026-03-24 09:54:08+02;2026-03-24 09:54:08+02;;;;;;;;;27725058320;;;;;;;;prepaid life;;;;;</t>
  </si>
  <si>
    <t>ID_4543</t>
  </si>
  <si>
    <t>13865774;ebb65312-c003-47ce-8f82-34ecb4f1869f;;111111118;Vodacom Life 20260324;;;;;AE;5;2026-05-22 1</t>
  </si>
  <si>
    <t>13865774;ebb65312-c003-47ce-8f82-34ecb4f1869f;;111111118;Vodacom Life 20260324;;;;;AE;5;2026-05-22 11:06:35+02;system;2026-03-24 09:54:08+02;2026-03-24 09:54:08+02;;;;;;;;;27767947745;;;;;;;;prepaid life;;;;;</t>
  </si>
  <si>
    <t>ID_4544</t>
  </si>
  <si>
    <t>13865815;579ca80c-9c8f-4b56-b0af-fc03116bee6b;;111111118;Vodacom Life 20260324;;;;;AE;5;2026-05-22 0</t>
  </si>
  <si>
    <t>13865815;579ca80c-9c8f-4b56-b0af-fc03116bee6b;;111111118;Vodacom Life 20260324;;;;;AE;5;2026-05-22 09:25:25+02;system;2026-03-24 09:54:08+02;2026-03-24 09:54:08+02;;;;;;;;;27796112527;;;;;;;;prepaid life;;;;;</t>
  </si>
  <si>
    <t>ID_4545</t>
  </si>
  <si>
    <t>13865775;551dfd33-682c-4488-9d60-6b0b8c739f4f;;111111118;Vodacom Life 20260324;;;;;NA;5;2026-05-22 0</t>
  </si>
  <si>
    <t>13865775;551dfd33-682c-4488-9d60-6b0b8c739f4f;;111111118;Vodacom Life 20260324;;;;;NA;5;2026-05-22 09:39:12+02;system;2026-03-24 09:54:08+02;2026-03-24 09:54:08+02;;;;;;;;;27768011884;;;;;;;;prepaid life;;;;;</t>
  </si>
  <si>
    <t>ID_4546</t>
  </si>
  <si>
    <t>13865699;14f0340f-1e4f-44bf-9af9-4ea2d78bdf08;;111111118;Vodacom Life 20260324;;;;;CBACK;2;2026-04-0</t>
  </si>
  <si>
    <t>13865699;14f0340f-1e4f-44bf-9af9-4ea2d78bdf08;;111111118;Vodacom Life 20260324;;;;;CBACK;2;2026-04-09 08:03:50+02;Maureen Ntsoko;2026-03-24 09:54:08+02;2026-03-24 09:54:08+02;;;;;;;;;27725647135;;;;;;;;prepaid life;;;;;</t>
  </si>
  <si>
    <t>ID_4547</t>
  </si>
  <si>
    <t>13865776;921d6a1f-2538-4286-9995-97bbcc1e278c;;111111118;Vodacom Life 20260324;;;;;QAVET;3;2026-04-1</t>
  </si>
  <si>
    <t>13865776;921d6a1f-2538-4286-9995-97bbcc1e278c;;111111118;Vodacom Life 20260324;;;;;QAVET;3;2026-04-14 11:27:52+02;Seboifeng Mogola;2026-03-24 09:54:08+02;2026-03-24 09:54:08+02;;;;;;;;;27768346462;;;;;;;;prepaid life;;;;;</t>
  </si>
  <si>
    <t>ID_4548</t>
  </si>
  <si>
    <t>13865700;d98bfb95-d6ba-47d4-b769-0b6808fc5c45;;111111118;Vodacom Life 20260324;;;;;DNQS;5;2026-05-22</t>
  </si>
  <si>
    <t>13865700;d98bfb95-d6ba-47d4-b769-0b6808fc5c45;;111111118;Vodacom Life 20260324;;;;;DNQS;5;2026-05-22 10:47:33+02;Maureen Ntsoko;2026-03-24 09:54:08+02;2026-03-24 09:54:08+02;;;;;;;;;27725799668;;;;;;;;prepaid life;;;;;</t>
  </si>
  <si>
    <t>ID_4549</t>
  </si>
  <si>
    <t>13865816;ab72d0a1-285c-4c84-9ff9-d931215b5ef9;;111111118;Vodacom Life 20260324;;;;;AA;5;2026-05-22 0</t>
  </si>
  <si>
    <t>13865816;ab72d0a1-285c-4c84-9ff9-d931215b5ef9;;111111118;Vodacom Life 20260324;;;;;AA;5;2026-05-22 09:25:25+02;system;2026-03-24 09:54:08+02;2026-03-24 09:54:08+02;;;;;;;;;27796146686;;;;;;;;prepaid life;;;;;</t>
  </si>
  <si>
    <t>ID_4550</t>
  </si>
  <si>
    <t>13865817;3d64d678-ca75-49b5-8cfd-be926e9dd3e6;;111111118;Vodacom Life 20260324;;;;;AA;5;2026-05-22 0</t>
  </si>
  <si>
    <t>13865817;3d64d678-ca75-49b5-8cfd-be926e9dd3e6;;111111118;Vodacom Life 20260324;;;;;AA;5;2026-05-22 09:25:25+02;system;2026-03-24 09:54:08+02;2026-03-24 09:54:08+02;;;;;;;;;27796468495;;;;;;;;prepaid life;;;;;</t>
  </si>
  <si>
    <t>ID_4551</t>
  </si>
  <si>
    <t>13865777;2ae933a1-b351-4357-a3db-42d773bdd97b;;111111118;Vodacom Life 20260324;;;;;NI;1;2026-04-01 1</t>
  </si>
  <si>
    <t>13865777;2ae933a1-b351-4357-a3db-42d773bdd97b;;111111118;Vodacom Life 20260324;;;;;NI;1;2026-04-01 10:01:45+02;Musiiwa Mary Mabirimisa;2026-03-24 09:54:08+02;2026-03-24 09:54:08+02;;;;;;;;;27768569514;;;;;;;;prepaid life;;;;;</t>
  </si>
  <si>
    <t>ID_4552</t>
  </si>
  <si>
    <t>13865701;d818887b-78b0-427f-9717-b47842eef410;;111111118;Vodacom Life 20260324;;;;;AE;5;2026-05-22 0</t>
  </si>
  <si>
    <t>13865701;d818887b-78b0-427f-9717-b47842eef410;;111111118;Vodacom Life 20260324;;;;;AE;5;2026-05-22 09:54:34+02;system;2026-03-24 09:54:08+02;2026-03-24 09:54:08+02;;;;;;;;;27726157968;;;;;;;;prepaid life;;;;;</t>
  </si>
  <si>
    <t>ID_4553</t>
  </si>
  <si>
    <t>13865778;2fffbcb6-6574-4c02-9f23-c2f1c1230dcc;;111111118;Vodacom Life 20260324;;;;;NA;5;2026-05-22 0</t>
  </si>
  <si>
    <t>13865778;2fffbcb6-6574-4c02-9f23-c2f1c1230dcc;;111111118;Vodacom Life 20260324;;;;;NA;5;2026-05-22 09:39:38+02;system;2026-03-24 09:54:08+02;2026-03-24 09:54:08+02;;;;;;;;;27768951968;;;;;;;;prepaid life;;;;;</t>
  </si>
  <si>
    <t>ID_4554</t>
  </si>
  <si>
    <t>13865702;751dd6b9-c909-498c-9605-f271ace167da;;111111118;Vodacom Life 20260324;;;;;AA;5;2026-05-22 0</t>
  </si>
  <si>
    <t>13865702;751dd6b9-c909-498c-9605-f271ace167da;;111111118;Vodacom Life 20260324;;;;;AA;5;2026-05-22 09:54:34+02;system;2026-03-24 09:54:08+02;2026-03-24 09:54:08+02;;;;;;;;;27726230705;;;;;;;;prepaid life;;;;;</t>
  </si>
  <si>
    <t>ID_4555</t>
  </si>
  <si>
    <t>13865818;f781ae39-246d-499a-82b5-874ab10ad930;;111111118;Vodacom Life 20260324;;;;;CBACK;5;2026-05-2</t>
  </si>
  <si>
    <t>13865818;f781ae39-246d-499a-82b5-874ab10ad930;;111111118;Vodacom Life 20260324;;;;;CBACK;5;2026-05-22 09:25:26+02;Maureen Ntsoko;2026-03-24 09:54:08+02;2026-03-24 09:54:08+02;;;;;;;;;27796593429;;;;;;;;prepaid life;;;;;</t>
  </si>
  <si>
    <t>ID_4556</t>
  </si>
  <si>
    <t>13865779;2f843137-da2f-4d2b-b17a-5333282a10c1;;111111118;Vodacom Life 20260324;;;;;AA;5;2026-05-22 0</t>
  </si>
  <si>
    <t>13865779;2f843137-da2f-4d2b-b17a-5333282a10c1;;111111118;Vodacom Life 20260324;;;;;AA;5;2026-05-22 09:39:12+02;system;2026-03-24 09:54:08+02;2026-03-24 09:54:08+02;;;;;;;;;27769128484;;;;;;;;prepaid life;;;;;</t>
  </si>
  <si>
    <t>ID_4557</t>
  </si>
  <si>
    <t>13865819;00a46c10-a542-4445-801d-8de4ab12f306;;111111118;Vodacom Life 20260324;;;;;DROP;5;2026-05-22</t>
  </si>
  <si>
    <t>13865819;00a46c10-a542-4445-801d-8de4ab12f306;;111111118;Vodacom Life 20260324;;;;;DROP;5;2026-05-22 11:05:53+02;system;2026-03-24 09:54:08+02;2026-03-24 09:54:08+02;;;;;;;;;27796760315;;;;;;;;prepaid life;;;;;</t>
  </si>
  <si>
    <t>ID_4558</t>
  </si>
  <si>
    <t>13865897;9bd192ba-46b1-4d7d-9d8b-074da2393d44;;111111118;Vodacom Life 20260324;;;;;NI;1;2026-03-26 1</t>
  </si>
  <si>
    <t>13865897;9bd192ba-46b1-4d7d-9d8b-074da2393d44;;111111118;Vodacom Life 20260324;;;;;NI;1;2026-03-26 10:50:33+02;Musiiwa Mary Mabirimisa;2026-03-24 09:54:08+02;2026-03-24 09:54:08+02;;;;;;;;;27636583775;;;;;;;;prepaid life;;;;;</t>
  </si>
  <si>
    <t>ID_4559</t>
  </si>
  <si>
    <t>13865780;3dbc9e95-02e7-47df-8f22-14511db33e79;;111111118;Vodacom Life 20260324;;;;;AA;5;2026-05-22 0</t>
  </si>
  <si>
    <t>13865780;3dbc9e95-02e7-47df-8f22-14511db33e79;;111111118;Vodacom Life 20260324;;;;;AA;5;2026-05-22 09:39:42+02;system;2026-03-24 09:54:08+02;2026-03-24 09:54:08+02;;;;;;;;;27769459952;;;;;;;;prepaid life;;;;;</t>
  </si>
  <si>
    <t>ID_4560</t>
  </si>
  <si>
    <t>13865898;3890dac6-43f5-44e0-b3c8-6fdce3a63021;;111111118;Vodacom Life 20260324;;;;;U;1;2026-04-07 12</t>
  </si>
  <si>
    <t>13865898;3890dac6-43f5-44e0-b3c8-6fdce3a63021;;111111118;Vodacom Life 20260324;;;;;U;1;2026-04-07 12:16:31+02;Maureen Ntsoko;2026-03-24 09:54:08+02;2026-03-24 09:54:08+02;;;;;;;;;27636608022;;;;;;;;prepaid life;;;;;</t>
  </si>
  <si>
    <t>ID_4561</t>
  </si>
  <si>
    <t>13865820;710bcb76-be9e-40e4-8da1-21a5961bf5a2;;111111118;Vodacom Life 20260324;;;;;AE;5;2026-05-22 0</t>
  </si>
  <si>
    <t>13865820;710bcb76-be9e-40e4-8da1-21a5961bf5a2;;111111118;Vodacom Life 20260324;;;;;AE;5;2026-05-22 09:23:26+02;system;2026-03-24 09:54:08+02;2026-03-24 09:54:08+02;;;;;;;;;27796865332;;;;;;;;prepaid life;;;;;</t>
  </si>
  <si>
    <t>ID_4562</t>
  </si>
  <si>
    <t>13865781;7769af5c-2cac-4a88-a638-9f732a4e8133;;111111118;Vodacom Life 20260324;;;;;DROP;5;2026-05-22</t>
  </si>
  <si>
    <t>13865781;7769af5c-2cac-4a88-a638-9f732a4e8133;;111111118;Vodacom Life 20260324;;;;;DROP;5;2026-05-22 11:06:35+02;system;2026-03-24 09:54:08+02;2026-03-24 09:54:08+02;;;;;;;;;27769497264;;;;;;;;prepaid life;;;;;</t>
  </si>
  <si>
    <t>ID_4563</t>
  </si>
  <si>
    <t>13865821;9636812a-0e19-4e42-b30b-872eec4c4030;;111111118;Vodacom Life 20260324;;;;;CBACK;3;2026-04-1</t>
  </si>
  <si>
    <t>13865821;9636812a-0e19-4e42-b30b-872eec4c4030;;111111118;Vodacom Life 20260324;;;;;CBACK;3;2026-04-14 10:30:25+02;bongiwe lushaba;2026-03-24 09:54:08+02;2026-03-24 09:54:08+02;;;;;;;;;27797058734;;;;;;;;prepaid life;;;;;</t>
  </si>
  <si>
    <t>ID_4564</t>
  </si>
  <si>
    <t>13865822;8c3fadee-7953-434a-a416-d103e62de898;;111111118;Vodacom Life 20260324;;;;;A;5;2026-05-22 09</t>
  </si>
  <si>
    <t>13865822;8c3fadee-7953-434a-a416-d103e62de898;;111111118;Vodacom Life 20260324;;;;;A;5;2026-05-22 09:23:26+02;Maureen Ntsoko;2026-03-24 09:54:08+02;2026-03-24 09:54:08+02;;;;;;;;;27797337182;;;;;;;;prepaid life;;;;;</t>
  </si>
  <si>
    <t>ID_4565</t>
  </si>
  <si>
    <t>13865899;ffda2742-47be-464c-9eed-ace1a5e9b6b6;;111111118;Vodacom Life 20260324;;;;;AA;5;2026-05-22 0</t>
  </si>
  <si>
    <t>13865899;ffda2742-47be-464c-9eed-ace1a5e9b6b6;;111111118;Vodacom Life 20260324;;;;;AA;5;2026-05-22 08:54:50+02;system;2026-03-24 09:54:08+02;2026-03-24 09:54:08+02;;;;;;;;;27637371167;;;;;;;;prepaid life;;;;;</t>
  </si>
  <si>
    <t>ID_4566</t>
  </si>
  <si>
    <t>13865900;4bd772cc-e483-4654-b0e3-ec8577958a9d;;111111118;Vodacom Life 20260324;;;;;CBACK;5;2026-05-2</t>
  </si>
  <si>
    <t>13865900;4bd772cc-e483-4654-b0e3-ec8577958a9d;;111111118;Vodacom Life 20260324;;;;;CBACK;5;2026-05-22 08:53:15+02;Maureen Ntsoko;2026-03-24 09:54:08+02;2026-03-24 09:54:08+02;;;;;;;;;27637624364;;;;;;;;prepaid life;;;;;</t>
  </si>
  <si>
    <t>ID_4567</t>
  </si>
  <si>
    <t>13865782;f0ff9d7a-e6d3-491a-9ade-bb7efb4825f9;;111111118;Vodacom Life 20260324;;;;;AF;1;2026-04-01 1</t>
  </si>
  <si>
    <t>13865782;f0ff9d7a-e6d3-491a-9ade-bb7efb4825f9;;111111118;Vodacom Life 20260324;;;;;AF;1;2026-04-01 12:36:34+02;Seboifeng Mogola;2026-03-24 09:54:08+02;2026-03-24 09:54:08+02;;;;;;;;;27769659924;;;;;;;;prepaid life;;;;;</t>
  </si>
  <si>
    <t>ID_4568</t>
  </si>
  <si>
    <t>13865823;2ea7f71b-0707-4905-9ffd-a142133c6672;;111111118;Vodacom Life 20260324;;;;;CU;9;2026-05-25 1</t>
  </si>
  <si>
    <t>13865823;2ea7f71b-0707-4905-9ffd-a142133c6672;;111111118;Vodacom Life 20260324;;;;;CU;9;2026-05-25 11:59:48+02;Khensane Mabasa;2026-03-24 09:54:08+02;2026-03-24 09:54:08+02;;;;;;;;;27797849054;;;;;;;;prepaid life;;;;;</t>
  </si>
  <si>
    <t>ID_4569</t>
  </si>
  <si>
    <t>13865783;ababd232-b51c-425b-8c78-96e0f0f26418;;111111118;Vodacom Life 20260324;;;;;NI;2;2026-04-08 1</t>
  </si>
  <si>
    <t>13865783;ababd232-b51c-425b-8c78-96e0f0f26418;;111111118;Vodacom Life 20260324;;;;;NI;2;2026-04-08 13:43:19+02;Thandile Nokubeni;2026-03-24 09:54:08+02;2026-03-24 09:54:08+02;;;;;;;;;27769804857;;;;;;;;prepaid life;;;;;</t>
  </si>
  <si>
    <t>ID_4570</t>
  </si>
  <si>
    <t>13865901;77c9dbdf-0de7-45b2-83c3-31e17b0b3b15;;111111118;Vodacom Life 20260324;;;;;AE;5;2026-05-22 0</t>
  </si>
  <si>
    <t>13865901;77c9dbdf-0de7-45b2-83c3-31e17b0b3b15;;111111118;Vodacom Life 20260324;;;;;AE;5;2026-05-22 08:53:15+02;system;2026-03-24 09:54:08+02;2026-03-24 09:54:08+02;;;;;;;;;27637937177;;;;;;;;prepaid life;;;;;</t>
  </si>
  <si>
    <t>ID_4571</t>
  </si>
  <si>
    <t>13865784;88171efc-65a3-4b0d-bc3a-be4dbc295fd5;;111111118;Vodacom Life 20260324;;;27772856679;;CU;5;2</t>
  </si>
  <si>
    <t>13865784;88171efc-65a3-4b0d-bc3a-be4dbc295fd5;;111111118;Vodacom Life 20260324;;;27772856679;;CU;5;2026-05-22 09:38:35+02;Maureen Ntsoko;2026-03-24 09:54:08+02;2026-03-24 09:54:08+02;;;;;;;;;27772856679;;;;;;;;prepaid life;;;;;</t>
  </si>
  <si>
    <t>ID_4572</t>
  </si>
  <si>
    <t>13865902;8b4e07d3-f563-4544-921a-d0a20acedf64;;111111118;Vodacom Life 20260324;;;;;NI;4;2026-04-14 1</t>
  </si>
  <si>
    <t>13865902;8b4e07d3-f563-4544-921a-d0a20acedf64;;111111118;Vodacom Life 20260324;;;;;NI;4;2026-04-14 10:05:51+02;Esther Ramalete;2026-03-24 09:54:08+02;2026-03-24 09:54:08+02;;;;;;;;;27637982141;;;;;;;;prepaid life;;;;;</t>
  </si>
  <si>
    <t>ID_4573</t>
  </si>
  <si>
    <t>13865903;ea006500-c44a-4ba1-aea3-800ffc84804a;;111111118;Vodacom Life 20260324;;;;;EC;6;2026-05-11 1</t>
  </si>
  <si>
    <t>13865903;ea006500-c44a-4ba1-aea3-800ffc84804a;;111111118;Vodacom Life 20260324;;;;;EC;6;2026-05-11 11:58:45+02;Khensane Mabasa;2026-03-24 09:54:08+02;2026-03-24 09:54:08+02;;;;;;;;;27646040860;;;;;;;;prepaid life;;;;;</t>
  </si>
  <si>
    <t>ID_4574</t>
  </si>
  <si>
    <t>13865824;8c3d5d3e-0774-41d9-b51f-a67e0e5b7432;;111111118;Vodacom Life 20260324;;;;;AA;5;2026-05-22 0</t>
  </si>
  <si>
    <t>13865824;8c3d5d3e-0774-41d9-b51f-a67e0e5b7432;;111111118;Vodacom Life 20260324;;;;;AA;5;2026-05-22 09:23:26+02;system;2026-03-24 09:54:08+02;2026-03-24 09:54:08+02;;;;;;;;;27797987296;;;;;;;;prepaid life;;;;;</t>
  </si>
  <si>
    <t>ID_4575</t>
  </si>
  <si>
    <t>13865825;4b49dd56-ab17-4629-bf02-a9068f3fd9e2;;111111118;Vodacom Life 20260324;;;27798301642;;CU;5;2</t>
  </si>
  <si>
    <t>13865825;4b49dd56-ab17-4629-bf02-a9068f3fd9e2;;111111118;Vodacom Life 20260324;;;27798301642;;CU;5;2026-05-22 09:23:29+02;bongiwe lushaba;2026-03-24 09:54:08+02;2026-03-24 09:54:08+02;;;;;;;;;27798301642;;;;;;;;prepaid life;;;;;</t>
  </si>
  <si>
    <t>ID_4576</t>
  </si>
  <si>
    <t>13865785;f1c8bea4-91af-4cda-9439-7bae0f00b5cd;;111111118;Vodacom Life 20260324;;;;;AA;5;2026-05-22 0</t>
  </si>
  <si>
    <t>13865785;f1c8bea4-91af-4cda-9439-7bae0f00b5cd;;111111118;Vodacom Life 20260324;;;;;AA;5;2026-05-22 09:38:35+02;system;2026-03-24 09:54:08+02;2026-03-24 09:54:08+02;;;;;;;;;27773781732;;;;;;;;prepaid life;;;;;</t>
  </si>
  <si>
    <t>ID_4577</t>
  </si>
  <si>
    <t>13865826;b7ea003c-9fa2-49b9-b53d-cdb2770bd817;;111111118;Vodacom Life 20260324;;;;;DROP;5;2026-05-22</t>
  </si>
  <si>
    <t>13865826;b7ea003c-9fa2-49b9-b53d-cdb2770bd817;;111111118;Vodacom Life 20260324;;;;;DROP;5;2026-05-22 11:04:54+02;system;2026-03-24 09:54:08+02;2026-03-24 09:54:08+02;;;;;;;;;27798512464;;;;;;;;prepaid life;;;;;</t>
  </si>
  <si>
    <t>ID_4578</t>
  </si>
  <si>
    <t>13865827;04d5c1bf-0598-4120-be66-18eee9bd4dfe;;111111118;Vodacom Life 20260324;;;;;CU;5;2026-05-22 0</t>
  </si>
  <si>
    <t>13865827;04d5c1bf-0598-4120-be66-18eee9bd4dfe;;111111118;Vodacom Life 20260324;;;;;CU;5;2026-05-22 09:21:33+02;bongiwe lushaba;2026-03-24 09:54:08+02;2026-03-24 09:54:08+02;;;;;;;;;27798693590;;;;;;;;prepaid life;;;;;</t>
  </si>
  <si>
    <t>ID_4579</t>
  </si>
  <si>
    <t>13865904;7ba48f93-d2b1-4cbe-af5c-56a81ec8b10e;;111111118;Vodacom Life 20260324;;;;;AA;5;2026-05-22 0</t>
  </si>
  <si>
    <t>13865904;7ba48f93-d2b1-4cbe-af5c-56a81ec8b10e;;111111118;Vodacom Life 20260324;;;;;AA;5;2026-05-22 08:53:04+02;system;2026-03-24 09:54:08+02;2026-03-24 09:54:08+02;;;;;;;;;27646077745;;;;;;;;prepaid life;;;;;</t>
  </si>
  <si>
    <t>ID_4580</t>
  </si>
  <si>
    <t>13865905;86ff265e-356b-4931-b14c-67589f4d6d15;;111111118;Vodacom Life 20260324;;;;;NA;5;2026-05-22 0</t>
  </si>
  <si>
    <t>13865905;86ff265e-356b-4931-b14c-67589f4d6d15;;111111118;Vodacom Life 20260324;;;;;NA;5;2026-05-22 08:53:18+02;system;2026-03-24 09:54:08+02;2026-03-24 09:54:08+02;;;;;;;;;27646361284;;;;;;;;prepaid life;;;;;</t>
  </si>
  <si>
    <t>ID_4581</t>
  </si>
  <si>
    <t xml:space="preserve">13865786;5a9de716-6bdf-43ef-9051-e811efbf7b08;;111111118;Vodacom Life 20260324;;;;;ADC;5;2026-05-22 </t>
  </si>
  <si>
    <t>13865786;5a9de716-6bdf-43ef-9051-e811efbf7b08;;111111118;Vodacom Life 20260324;;;;;ADC;5;2026-05-22 09:38:35+02;system;2026-03-24 09:54:08+02;2026-03-24 09:54:08+02;;;;;;;;;27773784161;;;;;;;;prepaid life;;;;;</t>
  </si>
  <si>
    <t>ID_4582</t>
  </si>
  <si>
    <t>13865906;c70aa0df-d089-4bdc-a5b7-be3f90d9f9db;;111111118;Vodacom Life 20260324;;;;;U;2;2026-04-08 15</t>
  </si>
  <si>
    <t>13865906;c70aa0df-d089-4bdc-a5b7-be3f90d9f9db;;111111118;Vodacom Life 20260324;;;;;U;2;2026-04-08 15:18:32+02;Thandile Nokubeni;2026-03-24 09:54:08+02;2026-03-24 09:54:08+02;;;;;;;;;27646993535;;;;;;;;prepaid life;;;;;</t>
  </si>
  <si>
    <t>ID_4583</t>
  </si>
  <si>
    <t>13865828;395c247a-7547-44c3-96a7-abe0805df49f;;111111118;Vodacom Life 20260324;;;;;AF;3;2026-04-14 1</t>
  </si>
  <si>
    <t>13865828;395c247a-7547-44c3-96a7-abe0805df49f;;111111118;Vodacom Life 20260324;;;;;AF;3;2026-04-14 11:20:02+02;Seboifeng Mogola;2026-03-24 09:54:08+02;2026-03-24 09:54:08+02;;;;;;;;;27798908593;;;;;;;;prepaid life;;;;;</t>
  </si>
  <si>
    <t>ID_4584</t>
  </si>
  <si>
    <t>13865787;0bec3e0c-015c-4f52-aef7-a4805c9d3333;;111111118;Vodacom Life 20260324;;;27774382139;;NA;5;2</t>
  </si>
  <si>
    <t>13865787;0bec3e0c-015c-4f52-aef7-a4805c9d3333;;111111118;Vodacom Life 20260324;;;27774382139;;NA;5;2026-05-22 09:38:35+02;system;2026-03-24 09:54:08+02;2026-03-24 09:54:08+02;;;;;;;;;27774382139;;;;;;;;prepaid life;;;;;</t>
  </si>
  <si>
    <t>ID_4585</t>
  </si>
  <si>
    <t>13865829;c007eb14-ad3a-4411-87cb-0ca79a6da08d;;111111118;Vodacom Life 20260324;;;;;AA;5;2026-05-22 0</t>
  </si>
  <si>
    <t>13865829;c007eb14-ad3a-4411-87cb-0ca79a6da08d;;111111118;Vodacom Life 20260324;;;;;AA;5;2026-05-22 09:21:33+02;system;2026-03-24 09:54:08+02;2026-03-24 09:54:08+02;;;;;;;;;27799040750;;;;;;;;prepaid life;;;;;</t>
  </si>
  <si>
    <t>ID_4586</t>
  </si>
  <si>
    <t>13865788;c45deb91-5e2a-4f5d-a8fd-826e8ed28d08;;111111118;Vodacom Life 20260324;;;;;CU;5;2026-05-22 1</t>
  </si>
  <si>
    <t>13865788;c45deb91-5e2a-4f5d-a8fd-826e8ed28d08;;111111118;Vodacom Life 20260324;;;;;CU;5;2026-05-22 11:05:53+02;bongiwe lushaba;2026-03-24 09:54:08+02;2026-03-24 09:54:08+02;;;;;;;;;27788867973;;;;;;;;prepaid life;;;;;</t>
  </si>
  <si>
    <t>ID_4587</t>
  </si>
  <si>
    <t>13865907;bd89ea65-f5bb-425e-b599-aa0800e7ec76;;111111118;Vodacom Life 20260324;;;;;CU;6;2026-04-20 0</t>
  </si>
  <si>
    <t>13865907;bd89ea65-f5bb-425e-b599-aa0800e7ec76;;111111118;Vodacom Life 20260324;;;;;CU;6;2026-04-20 08:29:50+02;Musiiwa Mary Mabirimisa;2026-03-24 09:54:08+02;2026-03-24 09:54:08+02;;;;;;;;;27647490646;;;;;;;;prepaid life;;;;;</t>
  </si>
  <si>
    <t>ID_4588</t>
  </si>
  <si>
    <t>13865789;95bf6752-5bcb-4e6f-be20-316a4b6bd8ec;;111111118;Vodacom Life 20260324;;;;;NI;2;2026-03-26 1</t>
  </si>
  <si>
    <t>13865789;95bf6752-5bcb-4e6f-be20-316a4b6bd8ec;;111111118;Vodacom Life 20260324;;;;;NI;2;2026-03-26 11:03:10+02;Thandile Nokubeni;2026-03-24 09:54:08+02;2026-03-24 09:54:08+02;;;;;;;;;27790642875;;;;;;;;prepaid life;;;;;</t>
  </si>
  <si>
    <t>ID_4589</t>
  </si>
  <si>
    <t>13865790;8968c53d-5cbb-4218-84d0-60966742af15;;111111118;Vodacom Life 20260324;;;;;NA;5;2026-05-22 0</t>
  </si>
  <si>
    <t>13865790;8968c53d-5cbb-4218-84d0-60966742af15;;111111118;Vodacom Life 20260324;;;;;NA;5;2026-05-22 09:34:53+02;system;2026-03-24 09:54:08+02;2026-03-24 09:54:08+02;;;;;;;;;27790740178;;;;;;;;prepaid life;;;;;</t>
  </si>
  <si>
    <t>ID_4590</t>
  </si>
  <si>
    <t>13865830;f10361e3-891d-44f2-add9-1366360d480b;;111111118;Vodacom Life 20260324;;;;;CBACK;2;2026-04-0</t>
  </si>
  <si>
    <t>13865830;f10361e3-891d-44f2-add9-1366360d480b;;111111118;Vodacom Life 20260324;;;;;CBACK;2;2026-04-08 12:39:25+02;Maureen Ntsoko;2026-03-24 09:54:08+02;2026-03-24 09:54:08+02;;;;;;;;;27799541600;;;;;;;;prepaid life;;;;;</t>
  </si>
  <si>
    <t>ID_4591</t>
  </si>
  <si>
    <t>13865791;253545cf-56ab-4152-a48b-33c125034177;;111111118;Vodacom Life 20260324;;;;;N;6;2026-05-23 09</t>
  </si>
  <si>
    <t>13865791;253545cf-56ab-4152-a48b-33c125034177;;111111118;Vodacom Life 20260324;;;;;N;6;2026-05-23 09:43:10+02;Maureen Ntsoko;2026-03-24 09:54:08+02;2026-03-24 09:54:08+02;;;;;;;;;27790748189;;;;;;;;prepaid life;;;;;</t>
  </si>
  <si>
    <t>ID_4592</t>
  </si>
  <si>
    <t>13865831;b77b7c0c-0c04-4319-bf0f-30b5a351f34c;;111111118;Vodacom Life 20260324;;;;;AA;5;2026-05-22 0</t>
  </si>
  <si>
    <t>13865831;b77b7c0c-0c04-4319-bf0f-30b5a351f34c;;111111118;Vodacom Life 20260324;;;;;AA;5;2026-05-22 09:21:33+02;system;2026-03-24 09:54:08+02;2026-03-24 09:54:08+02;;;;;;;;;27799624056;;;;;;;;prepaid life;;;;;</t>
  </si>
  <si>
    <t>ID_4593</t>
  </si>
  <si>
    <t>13865908;617372d9-bf6d-4eed-81d1-f6f0779b6c7e;;111111118;Vodacom Life 20260324;;;;;AE;5;2026-05-22 0</t>
  </si>
  <si>
    <t>13865908;617372d9-bf6d-4eed-81d1-f6f0779b6c7e;;111111118;Vodacom Life 20260324;;;;;AE;5;2026-05-22 08:52:01+02;system;2026-03-24 09:54:08+02;2026-03-24 09:54:08+02;;;;;;;;;27648353746;;;;;;;;prepaid life;;;;;</t>
  </si>
  <si>
    <t>ID_4594</t>
  </si>
  <si>
    <t xml:space="preserve">13865792;6ab8f9a9-dc53-4062-9e25-af9ffb7de26b;;111111118;Vodacom Life 20260324;;;;;ADC;5;2026-05-22 </t>
  </si>
  <si>
    <t>13865792;6ab8f9a9-dc53-4062-9e25-af9ffb7de26b;;111111118;Vodacom Life 20260324;;;;;ADC;5;2026-05-22 09:34:50+02;system;2026-03-24 09:54:08+02;2026-03-24 09:54:08+02;;;;;;;;;27790810895;;;;;;;;prepaid life;;;;;</t>
  </si>
  <si>
    <t>ID_4595</t>
  </si>
  <si>
    <t>13865909;2618195f-f4d3-4421-9098-9d90fbf72ef8;;111111118;Vodacom Life 20260324;;;;;CU;5;2026-05-22 0</t>
  </si>
  <si>
    <t>13865909;2618195f-f4d3-4421-9098-9d90fbf72ef8;;111111118;Vodacom Life 20260324;;;;;CU;5;2026-05-22 08:51:53+02;Maureen Ntsoko;2026-03-24 09:54:08+02;2026-03-24 09:54:08+02;;;;;;;;;27648698040;;;;;;;;prepaid life;;;;;</t>
  </si>
  <si>
    <t>ID_4596</t>
  </si>
  <si>
    <t>13865832;c80870b2-512b-45a8-9b40-8ff4fc2c1f23;;111111118;Vodacom Life 20260324;;;;;AA;5;2026-05-22 0</t>
  </si>
  <si>
    <t>13865832;c80870b2-512b-45a8-9b40-8ff4fc2c1f23;;111111118;Vodacom Life 20260324;;;;;AA;5;2026-05-22 09:21:34+02;system;2026-03-24 09:54:08+02;2026-03-24 09:54:08+02;;;;;;;;;27799755547;;;;;;;;prepaid life;;;;;</t>
  </si>
  <si>
    <t>ID_4597</t>
  </si>
  <si>
    <t>13865793;a7bd62c0-0188-4f2b-ab0f-2df8545931fe;;111111118;Vodacom Life 20260324;;;;;NA;5;2026-05-22 0</t>
  </si>
  <si>
    <t>13865793;a7bd62c0-0188-4f2b-ab0f-2df8545931fe;;111111118;Vodacom Life 20260324;;;;;NA;5;2026-05-22 09:35:19+02;system;2026-03-24 09:54:08+02;2026-03-24 09:54:08+02;;;;;;;;;27790827751;;;;;;;;prepaid life;;;;;</t>
  </si>
  <si>
    <t>ID_4598</t>
  </si>
  <si>
    <t xml:space="preserve">13865833;8f37e106-bc2d-433f-ab6d-1f31f68e5871;;111111118;Vodacom Life 20260324;;;;;ADC;5;2026-05-22 </t>
  </si>
  <si>
    <t>13865833;8f37e106-bc2d-433f-ab6d-1f31f68e5871;;111111118;Vodacom Life 20260324;;;;;ADC;5;2026-05-22 11:04:52+02;system;2026-03-24 09:54:08+02;2026-03-24 09:54:08+02;;;;;;;;;27817219472;;;;;;;;prepaid life;;;;;</t>
  </si>
  <si>
    <t>ID_4599</t>
  </si>
  <si>
    <t>13865910;a9c0595f-1e35-4e1d-a821-75f28dcb4e49;;111111118;Vodacom Life 20260324;;;;;A;5;2026-05-22 08</t>
  </si>
  <si>
    <t>13865910;a9c0595f-1e35-4e1d-a821-75f28dcb4e49;;111111118;Vodacom Life 20260324;;;;;A;5;2026-05-22 08:52:05+02;Maureen Ntsoko;2026-03-24 09:54:08+02;2026-03-24 09:54:08+02;;;;;;;;;27648776822;;;;;;;;prepaid life;;;;;</t>
  </si>
  <si>
    <t>ID_4600</t>
  </si>
  <si>
    <t>13865794;094558aa-3da9-4fc3-be43-3c08865ffb90;;111111118;Vodacom Life 20260324;;;;;DROP;5;2026-05-22</t>
  </si>
  <si>
    <t>13865794;094558aa-3da9-4fc3-be43-3c08865ffb90;;111111118;Vodacom Life 20260324;;;;;DROP;5;2026-05-22 11:05:53+02;system;2026-03-24 09:54:08+02;2026-03-24 09:54:08+02;;;;;;;;;27791650207;;;;;;;;prepaid life;;;;;</t>
  </si>
  <si>
    <t>ID_4601</t>
  </si>
  <si>
    <t>13865911;3f49673c-04c7-45b7-b9cb-93d02c2565ed;;111111118;Vodacom Life 20260324;;;;;AA;5;2026-05-22 0</t>
  </si>
  <si>
    <t>13865911;3f49673c-04c7-45b7-b9cb-93d02c2565ed;;111111118;Vodacom Life 20260324;;;;;AA;5;2026-05-22 08:51:38+02;system;2026-03-24 09:54:08+02;2026-03-24 09:54:08+02;;;;;;;;;27649170322;;;;;;;;prepaid life;;;;;</t>
  </si>
  <si>
    <t>ID_4602</t>
  </si>
  <si>
    <t>13865912;a69ed87b-9efd-42e6-b991-3aee68f218cd;;111111118;Vodacom Life 20260324;;;;;NA;5;2026-05-22 0</t>
  </si>
  <si>
    <t>13865912;a69ed87b-9efd-42e6-b991-3aee68f218cd;;111111118;Vodacom Life 20260324;;;;;NA;5;2026-05-22 08:51:39+02;system;2026-03-24 09:54:08+02;2026-03-24 09:54:08+02;;;;;;;;;27649407600;;;;;;;;prepaid life;;;;;</t>
  </si>
  <si>
    <t>ID_4603</t>
  </si>
  <si>
    <t>13865834;054f0229-c5f8-495b-a7f4-e659f31f9b17;;111111118;Vodacom Life 20260324;;;;;AA;5;2026-05-22 0</t>
  </si>
  <si>
    <t>13865834;054f0229-c5f8-495b-a7f4-e659f31f9b17;;111111118;Vodacom Life 20260324;;;;;AA;5;2026-05-22 09:18:30+02;system;2026-03-24 09:54:08+02;2026-03-24 09:54:08+02;;;;;;;;;27818124335;;;;;;;;prepaid life;;;;;</t>
  </si>
  <si>
    <t>ID_4604</t>
  </si>
  <si>
    <t>13865835;6cb56a85-441b-42b3-81b4-9c633263c0c6;;111111118;Vodacom Life 20260324;;;;;NA;5;2026-05-22 0</t>
  </si>
  <si>
    <t>13865835;6cb56a85-441b-42b3-81b4-9c633263c0c6;;111111118;Vodacom Life 20260324;;;;;NA;5;2026-05-22 09:18:30+02;system;2026-03-24 09:54:08+02;2026-03-24 09:54:08+02;;;;;;;;;27818246730;;;;;;;;prepaid life;;;;;</t>
  </si>
  <si>
    <t>ID_4605</t>
  </si>
  <si>
    <t>13865836;a967fc3c-e402-45c5-b960-9d5636899f1d;;111111118;Vodacom Life 20260324;;;;;DROP;5;2026-05-22</t>
  </si>
  <si>
    <t>13865836;a967fc3c-e402-45c5-b960-9d5636899f1d;;111111118;Vodacom Life 20260324;;;;;DROP;5;2026-05-22 09:18:20+02;system;2026-03-24 09:54:08+02;2026-03-24 09:54:08+02;;;;;;;;;27818251097;;;;;;;;prepaid life;;;;;</t>
  </si>
  <si>
    <t>ID_4606</t>
  </si>
  <si>
    <t>13865795;58240bb8-5709-4d9f-a200-ae847aaaf221;;111111118;Vodacom Life 20260324;;;;;A;7;2026-05-12 15</t>
  </si>
  <si>
    <t>13865795;58240bb8-5709-4d9f-a200-ae847aaaf221;;111111118;Vodacom Life 20260324;;;;;A;7;2026-05-12 15:53:56+02;bongiwe lushaba;2026-03-24 09:54:08+02;2026-03-24 09:54:08+02;;;;;;;;;27791786746;;;;;;;;prepaid life;;;;;</t>
  </si>
  <si>
    <t>ID_4607</t>
  </si>
  <si>
    <t>13865837;4b544717-941b-42ad-b548-331f4a75b7da;;111111118;Vodacom Life 20260324;;;;;AA;5;2026-05-22 0</t>
  </si>
  <si>
    <t>13865837;4b544717-941b-42ad-b548-331f4a75b7da;;111111118;Vodacom Life 20260324;;;;;AA;5;2026-05-22 09:18:45+02;system;2026-03-24 09:54:08+02;2026-03-24 09:54:08+02;;;;;;;;;27818284324;;;;;;;;prepaid life;;;;;</t>
  </si>
  <si>
    <t>ID_4608</t>
  </si>
  <si>
    <t>13865796;d950771a-8a9b-4b91-93fb-29e1a4bde3f1;;111111118;Vodacom Life 20260324;;;;;NA;5;2026-05-22 0</t>
  </si>
  <si>
    <t>13865796;d950771a-8a9b-4b91-93fb-29e1a4bde3f1;;111111118;Vodacom Life 20260324;;;;;NA;5;2026-05-22 09:33:50+02;system;2026-03-24 09:54:08+02;2026-03-24 09:54:08+02;;;;;;;;;27791879053;;;;;;;;prepaid life;;;;;</t>
  </si>
  <si>
    <t>ID_4609</t>
  </si>
  <si>
    <t>13865913;f14a4c92-797d-4e59-b809-bddb0b9b9433;;111111118;Vodacom Life 20260324;;;;;AA;5;2026-05-22 0</t>
  </si>
  <si>
    <t>13865913;f14a4c92-797d-4e59-b809-bddb0b9b9433;;111111118;Vodacom Life 20260324;;;;;AA;5;2026-05-22 08:50:28+02;system;2026-03-24 09:54:08+02;2026-03-24 09:54:08+02;;;;;;;;;27649609803;;;;;;;;prepaid life;;;;;</t>
  </si>
  <si>
    <t>ID_4610</t>
  </si>
  <si>
    <t>13865797;246fdee9-abd5-448a-9469-05c51f79333d;;111111118;Vodacom Life 20260324;;;;;NA;5;2026-05-22 0</t>
  </si>
  <si>
    <t>13865797;246fdee9-abd5-448a-9469-05c51f79333d;;111111118;Vodacom Life 20260324;;;;;NA;5;2026-05-22 09:33:49+02;system;2026-03-24 09:54:08+02;2026-03-24 09:54:08+02;;;;;;;;;27791923470;;;;;;;;prepaid life;;;;;</t>
  </si>
  <si>
    <t>ID_4611</t>
  </si>
  <si>
    <t>13865914;67ade7e8-0dec-4979-8365-53277d769775;;111111118;Vodacom Life 20260324;;;27649899446;;CBACK;</t>
  </si>
  <si>
    <t>13865914;67ade7e8-0dec-4979-8365-53277d769775;;111111118;Vodacom Life 20260324;;;27649899446;;CBACK;5;2026-05-22 08:48:23+02;Maureen Ntsoko;2026-03-24 09:54:08+02;2026-03-24 09:54:08+02;;;;;;;;;27649899446;;;;;;;;prepaid life;;;;;</t>
  </si>
  <si>
    <t>ID_4612</t>
  </si>
  <si>
    <t>13865839;a883a5e6-3a9a-4b01-9981-c1601011a0e3;;111111118;Vodacom Life 20260324;;;;;AE;5;2026-05-22 0</t>
  </si>
  <si>
    <t>13865839;a883a5e6-3a9a-4b01-9981-c1601011a0e3;;111111118;Vodacom Life 20260324;;;;;AE;5;2026-05-22 09:15:46+02;system;2026-03-24 09:54:08+02;2026-03-24 09:54:08+02;;;;;;;;;27818517960;;;;;;;;prepaid life;;;;;</t>
  </si>
  <si>
    <t>ID_4613</t>
  </si>
  <si>
    <t>13865798;212519b5-45da-4f49-8f73-1f8f2b413eeb;;111111118;Vodacom Life 20260324;;;;;AA;5;2026-05-22 0</t>
  </si>
  <si>
    <t>13865798;212519b5-45da-4f49-8f73-1f8f2b413eeb;;111111118;Vodacom Life 20260324;;;;;AA;5;2026-05-22 09:33:50+02;system;2026-03-24 09:54:08+02;2026-03-24 09:54:08+02;;;;;;;;;27792330164;;;;;;;;prepaid life;;;;;</t>
  </si>
  <si>
    <t>ID_4614</t>
  </si>
  <si>
    <t>13865840;404f5b99-98e2-41e5-a111-a3dfd8d17f1e;;111111118;Vodacom Life 20260324;;;;;U;3;2026-04-14 11</t>
  </si>
  <si>
    <t>13865840;404f5b99-98e2-41e5-a111-a3dfd8d17f1e;;111111118;Vodacom Life 20260324;;;;;U;3;2026-04-14 11:19:13+02;Esther Ramalete;2026-03-24 09:54:08+02;2026-03-24 09:54:08+02;;;;;;;;;27818848913;;;;;;;;prepaid life;;;;;</t>
  </si>
  <si>
    <t>ID_4615</t>
  </si>
  <si>
    <t>13865841;d8779941-3f64-4cd6-9650-79d374ed0a71;;111111118;Vodacom Life 20260324;;;;;AA;5;2026-05-22 0</t>
  </si>
  <si>
    <t>13865841;d8779941-3f64-4cd6-9650-79d374ed0a71;;111111118;Vodacom Life 20260324;;;;;AA;5;2026-05-22 09:15:46+02;system;2026-03-24 09:54:08+02;2026-03-24 09:54:08+02;;;;;;;;;27820509951;;;;;;;;prepaid life;;;;;</t>
  </si>
  <si>
    <t>ID_4616</t>
  </si>
  <si>
    <t xml:space="preserve">13865915;cbcda9f3-86ae-4343-8690-3688f9ca882d;;111111118;Vodacom Life 20260324;;;;;TDN;5;2026-05-22 </t>
  </si>
  <si>
    <t>13865915;cbcda9f3-86ae-4343-8690-3688f9ca882d;;111111118;Vodacom Life 20260324;;;;;TDN;5;2026-05-22 08:51:39+02;system;2026-03-24 09:54:08+02;2026-03-24 09:54:08+02;;;;;;;;;27660089406;;;;;;;;prepaid life;;;;;</t>
  </si>
  <si>
    <t>ID_4617</t>
  </si>
  <si>
    <t>13865799;11e0e17b-b865-4ee3-be65-03bf02743609;;111111118;Vodacom Life 20260324;;;;;AA;5;2026-05-22 0</t>
  </si>
  <si>
    <t>13865799;11e0e17b-b865-4ee3-be65-03bf02743609;;111111118;Vodacom Life 20260324;;;;;AA;5;2026-05-22 09:32:47+02;system;2026-03-24 09:54:08+02;2026-03-24 09:54:08+02;;;;;;;;;27792400982;;;;;;;;prepaid life;;;;;</t>
  </si>
  <si>
    <t>ID_4618</t>
  </si>
  <si>
    <t>13865916;9b3b636a-7610-4941-84a3-346f9aa79aa1;;111111118;Vodacom Life 20260324;;;;;DROP;5;2026-05-22</t>
  </si>
  <si>
    <t>13865916;9b3b636a-7610-4941-84a3-346f9aa79aa1;;111111118;Vodacom Life 20260324;;;;;DROP;5;2026-05-22 08:51:55+02;system;2026-03-24 09:54:08+02;2026-03-24 09:54:08+02;;;;;;;;;27660247957;;;;;;;;prepaid life;;;;;</t>
  </si>
  <si>
    <t>ID_4619</t>
  </si>
  <si>
    <t>13865917;bb710310-ad06-491d-ae22-3e58556d9ce0;;111111118;Vodacom Life 20260324;;;;;AA;5;2026-05-22 0</t>
  </si>
  <si>
    <t>13865917;bb710310-ad06-491d-ae22-3e58556d9ce0;;111111118;Vodacom Life 20260324;;;;;AA;5;2026-05-22 09:15:47+02;system;2026-03-24 09:54:08+02;2026-03-24 09:54:08+02;;;;;;;;;27660332278;;;;;;;;prepaid life;;;;;</t>
  </si>
  <si>
    <t>ID_4620</t>
  </si>
  <si>
    <t>13865842;7db8a5c9-a487-4890-995a-705de531a11f;;111111118;Vodacom Life 20260324;;;;;CU;5;2026-05-22 0</t>
  </si>
  <si>
    <t>13865842;7db8a5c9-a487-4890-995a-705de531a11f;;111111118;Vodacom Life 20260324;;;;;CU;5;2026-05-22 09:15:46+02;bongiwe lushaba;2026-03-24 09:54:08+02;2026-03-24 09:54:08+02;;;;;;;;;27822114715;;;;;;;;prepaid life;;;;;</t>
  </si>
  <si>
    <t>ID_4621</t>
  </si>
  <si>
    <t>13865995;b511620f-4ef1-42e8-a6d2-a7e980e25b09;;111111118;Vodacom Life 20260324;;;;;NA;5;2026-05-22 1</t>
  </si>
  <si>
    <t>13865995;b511620f-4ef1-42e8-a6d2-a7e980e25b09;;111111118;Vodacom Life 20260324;;;;;NA;5;2026-05-22 10:39:52+02;system;2026-03-24 09:54:08+02;2026-03-24 09:54:08+02;;;;;;;;;27724376979;;;;;;;;prepaid life;;;;;</t>
  </si>
  <si>
    <t>ID_4622</t>
  </si>
  <si>
    <t>13865843;268269e1-f1bb-46ba-a7b1-65fa59fc8cc3;;111111118;Vodacom Life 20260324;;;27822162000;;CU;5;2</t>
  </si>
  <si>
    <t>13865843;268269e1-f1bb-46ba-a7b1-65fa59fc8cc3;;111111118;Vodacom Life 20260324;;;27822162000;;CU;5;2026-05-19 08:57:49+02;bongiwe lushaba;2026-03-24 09:54:08+02;2026-03-24 09:54:08+02;;;;;;;;;27822162000;;;;;;;;prepaid life;;;;;</t>
  </si>
  <si>
    <t>ID_4623</t>
  </si>
  <si>
    <t>13865844;f3e9a50f-137d-4c69-8cf5-df6b039e151e;;111111118;Vodacom Life 20260324;;;27822333645;;CU;5;2</t>
  </si>
  <si>
    <t>13865844;f3e9a50f-137d-4c69-8cf5-df6b039e151e;;111111118;Vodacom Life 20260324;;;27822333645;;CU;5;2026-05-22 09:14:27+02;Maureen Ntsoko;2026-03-24 09:54:08+02;2026-03-24 09:54:08+02;;;;;;;;;27822333645;;;;;;;;prepaid life;;;;;</t>
  </si>
  <si>
    <t>ID_4624</t>
  </si>
  <si>
    <t>13865918;4ae7d82c-df45-484c-9c81-cb577b927ebf;;111111118;Vodacom Life 20260324;;;;;SELECTED;3;2026-0</t>
  </si>
  <si>
    <t>13865918;4ae7d82c-df45-484c-9c81-cb577b927ebf;;111111118;Vodacom Life 20260324;;;;;SELECTED;3;2026-04-08 15:08:20+02;Musiiwa Mary Mabirimisa;2026-03-24 09:54:08+02;2026-03-24 09:54:08+02;;;;;;;;;27660454127;;;;;;;;prepaid life;;;;;</t>
  </si>
  <si>
    <t>ID_4625</t>
  </si>
  <si>
    <t>13865996;e5fd24c2-86cd-4226-8d8d-58d19a4631f7;;111111118;Vodacom Life 20260324;;;;;NA;5;2026-05-22 1</t>
  </si>
  <si>
    <t>13865996;e5fd24c2-86cd-4226-8d8d-58d19a4631f7;;111111118;Vodacom Life 20260324;;;;;NA;5;2026-05-22 10:35:52+02;system;2026-03-24 09:54:08+02;2026-03-24 09:54:08+02;;;;;;;;;27724467705;;;;;;;;prepaid life;;;;;</t>
  </si>
  <si>
    <t>ID_4626</t>
  </si>
  <si>
    <t>13865919;bae67fec-5397-4745-8445-ccccde08ba48;;111111118;Vodacom Life 20260324;;;27660682813;;AA;5;2</t>
  </si>
  <si>
    <t>13865919;bae67fec-5397-4745-8445-ccccde08ba48;;111111118;Vodacom Life 20260324;;;27660682813;;AA;5;2026-05-22 11:04:47+02;system;2026-03-24 09:54:08+02;2026-03-24 09:54:08+02;;;;;;;;;27660682813;;;;;;;;prepaid life;;;;;</t>
  </si>
  <si>
    <t>ID_4627</t>
  </si>
  <si>
    <t>13865845;69cdd1f4-d5cf-46f9-afb2-ed4b269c7394;;111111118;Vodacom Life 20260324;;;;;NA;5;2026-05-22 0</t>
  </si>
  <si>
    <t>13865845;69cdd1f4-d5cf-46f9-afb2-ed4b269c7394;;111111118;Vodacom Life 20260324;;;;;NA;5;2026-05-22 09:14:04+02;system;2026-03-24 09:54:08+02;2026-03-24 09:54:08+02;;;;;;;;;27822382097;;;;;;;;prepaid life;;;;;</t>
  </si>
  <si>
    <t>ID_4628</t>
  </si>
  <si>
    <t>13865846;4b92d044-6363-4a44-b340-b17afd67797e;;111111118;Vodacom Life 20260324;;;;;DROP;5;2026-05-22</t>
  </si>
  <si>
    <t>13865846;4b92d044-6363-4a44-b340-b17afd67797e;;111111118;Vodacom Life 20260324;;;;;DROP;5;2026-05-22 09:14:01+02;system;2026-03-24 09:54:08+02;2026-03-24 09:54:08+02;;;;;;;;;27822844915;;;;;;;;prepaid life;;;;;</t>
  </si>
  <si>
    <t>ID_4629</t>
  </si>
  <si>
    <t>13865997;af87d0d4-53c9-45de-b625-0eefbb7def44;;111111118;Vodacom Life 20260324;;;;;NA;5;2026-05-22 1</t>
  </si>
  <si>
    <t>13865997;af87d0d4-53c9-45de-b625-0eefbb7def44;;111111118;Vodacom Life 20260324;;;;;NA;5;2026-05-22 10:35:00+02;system;2026-03-24 09:54:08+02;2026-03-24 09:54:08+02;;;;;;;;;27724476917;;;;;;;;prepaid life;;;;;</t>
  </si>
  <si>
    <t>ID_4630</t>
  </si>
  <si>
    <t>13865920;7b192977-3042-4f8e-8f2e-f6c456a09a5e;;111111118;Vodacom Life 20260324;;;;;AA;5;2026-05-22 1</t>
  </si>
  <si>
    <t>13865920;7b192977-3042-4f8e-8f2e-f6c456a09a5e;;111111118;Vodacom Life 20260324;;;;;AA;5;2026-05-22 11:03:11+02;system;2026-03-24 09:54:08+02;2026-03-24 09:54:08+02;;;;;;;;;27660730451;;;;;;;;prepaid life;;;;;</t>
  </si>
  <si>
    <t>ID_4631</t>
  </si>
  <si>
    <t>13865998;f62bc66e-9a93-40e6-a4d2-5aa2a3423180;;111111118;Vodacom Life 20260324;;;27724573001;;CU;5;2</t>
  </si>
  <si>
    <t>13865998;f62bc66e-9a93-40e6-a4d2-5aa2a3423180;;111111118;Vodacom Life 20260324;;;27724573001;;CU;5;2026-05-22 10:34:59+02;Maureen Ntsoko;2026-03-24 09:54:08+02;2026-03-24 09:54:08+02;;;;;;;;;27724573001;;;;;;;;prepaid life;;;;;</t>
  </si>
  <si>
    <t>ID_4632</t>
  </si>
  <si>
    <t>13865921;42530f64-1c74-4ddb-9810-36fb286352a3;;111111118;Vodacom Life 20260324;;;27660732160;;IABDN;</t>
  </si>
  <si>
    <t>13865921;42530f64-1c74-4ddb-9810-36fb286352a3;;111111118;Vodacom Life 20260324;;;27660732160;;IABDN;5;2026-05-22 11:01:06+02;system;2026-03-24 09:54:08+02;2026-03-24 09:54:08+02;;;;;;;;;27660732160;;;;;;;;prepaid life;;;;;</t>
  </si>
  <si>
    <t>ID_4633</t>
  </si>
  <si>
    <t>13865847;c07c2e26-4935-4b5f-8ef9-f57b09d5476f;;111111118;Vodacom Life 20260324;;;;;CU;5;2026-05-22 0</t>
  </si>
  <si>
    <t>13865847;c07c2e26-4935-4b5f-8ef9-f57b09d5476f;;111111118;Vodacom Life 20260324;;;;;CU;5;2026-05-22 09:14:51+02;Maureen Ntsoko;2026-03-24 09:54:08+02;2026-03-24 09:54:08+02;;;;;;;;;27822890111;;;;;;;;prepaid life;;;;;</t>
  </si>
  <si>
    <t>ID_4634</t>
  </si>
  <si>
    <t>13865999;a77ab4fe-69af-461f-a4d4-68981f44acac;;111111118;Vodacom Life 20260324;;;27724583937;;NI;6;2</t>
  </si>
  <si>
    <t>13865999;a77ab4fe-69af-461f-a4d4-68981f44acac;;111111118;Vodacom Life 20260324;;;27724583937;;NI;6;2026-05-22 10:36:56+02;Maureen Ntsoko;2026-03-24 09:54:08+02;2026-03-24 09:54:08+02;;;;;;;;;27724583937;;;;;;;;prepaid life;;;;;</t>
  </si>
  <si>
    <t>ID_4635</t>
  </si>
  <si>
    <t>13866000;6b117d55-985b-4fe1-a805-bf55403998cd;;111111118;Vodacom Life 20260324;;;;;CBACK;1;2026-04-0</t>
  </si>
  <si>
    <t>13866000;6b117d55-985b-4fe1-a805-bf55403998cd;;111111118;Vodacom Life 20260324;;;;;CBACK;1;2026-04-01 11:02:47+02;bongiwe lushaba;2026-03-24 09:54:08+02;2026-03-24 09:54:08+02;;;;;;;;;27724971751;;;;;;;;prepaid life;;;;;</t>
  </si>
  <si>
    <t>ID_4636</t>
  </si>
  <si>
    <t>13865848;b30feb9b-49c6-4570-af3d-ae3a4eebc76b;;111111118;Vodacom Life 20260324;;;;;AE;5;2026-05-22 0</t>
  </si>
  <si>
    <t>13865848;b30feb9b-49c6-4570-af3d-ae3a4eebc76b;;111111118;Vodacom Life 20260324;;;;;AE;5;2026-05-22 09:13:08+02;system;2026-03-24 09:54:08+02;2026-03-24 09:54:08+02;;;;;;;;;27822940333;;;;;;;;prepaid life;;;;;</t>
  </si>
  <si>
    <t>ID_4637</t>
  </si>
  <si>
    <t>13865922;3143b862-0545-4b1d-87cc-b44c1dcf1a3a;;111111118;Vodacom Life 20260324;;;;;A;5;2026-05-22 10</t>
  </si>
  <si>
    <t>13865922;3143b862-0545-4b1d-87cc-b44c1dcf1a3a;;111111118;Vodacom Life 20260324;;;;;A;5;2026-05-22 10:59:46+02;Maureen Ntsoko;2026-03-24 09:54:08+02;2026-03-24 09:54:08+02;;;;;;;;;27661181414;;;;;;;;prepaid life;;;;;</t>
  </si>
  <si>
    <t>ID_4638</t>
  </si>
  <si>
    <t>13866001;d98fdc69-ef0e-4943-a822-0078c3df63ea;;111111118;Vodacom Life 20260324;;;;;AA;5;2026-05-22 1</t>
  </si>
  <si>
    <t>13866001;d98fdc69-ef0e-4943-a822-0078c3df63ea;;111111118;Vodacom Life 20260324;;;;;AA;5;2026-05-22 10:34:59+02;system;2026-03-24 09:54:08+02;2026-03-24 09:54:08+02;;;;;;;;;27725033129;;;;;;;;prepaid life;;;;;</t>
  </si>
  <si>
    <t>ID_4639</t>
  </si>
  <si>
    <t>13865923;22f6e08d-4be3-4d82-9c25-fcf72335d0b5;;111111118;Vodacom Life 20260324;;;27661223540;;CU;5;2</t>
  </si>
  <si>
    <t>13865923;22f6e08d-4be3-4d82-9c25-fcf72335d0b5;;111111118;Vodacom Life 20260324;;;27661223540;;CU;5;2026-05-22 10:59:46+02;Maureen Ntsoko;2026-03-24 09:54:08+02;2026-03-24 09:54:08+02;;;;;;;;;27661223540;;;;;;;;prepaid life;;;;;</t>
  </si>
  <si>
    <t>ID_4640</t>
  </si>
  <si>
    <t>13865849;e3cca6f5-02bb-4b90-977a-9a67de754f63;;111111118;Vodacom Life 20260324;;;;;AA;5;2026-05-22 0</t>
  </si>
  <si>
    <t>13865849;e3cca6f5-02bb-4b90-977a-9a67de754f63;;111111118;Vodacom Life 20260324;;;;;AA;5;2026-05-22 09:13:08+02;system;2026-03-24 09:54:08+02;2026-03-24 09:54:08+02;;;;;;;;;27823088337;;;;;;;;prepaid life;;;;;</t>
  </si>
  <si>
    <t>ID_4641</t>
  </si>
  <si>
    <t>13866002;e11b13a9-7199-45bd-8e9f-64a596db6ea6;;111111118;Vodacom Life 20260324;;;;;DROP;5;2026-05-22</t>
  </si>
  <si>
    <t>13866002;e11b13a9-7199-45bd-8e9f-64a596db6ea6;;111111118;Vodacom Life 20260324;;;;;DROP;5;2026-05-22 10:34:20+02;system;2026-03-24 09:54:08+02;2026-03-24 09:54:08+02;;;;;;;;;27725100194;;;;;;;;prepaid life;;;;;</t>
  </si>
  <si>
    <t>ID_4642</t>
  </si>
  <si>
    <t>13865850;55fbdb54-49d7-43fd-8881-f1194bc9932c;;111111118;Vodacom Life 20260324;;;;;A;5;2026-05-22 09</t>
  </si>
  <si>
    <t>13865850;55fbdb54-49d7-43fd-8881-f1194bc9932c;;111111118;Vodacom Life 20260324;;;;;A;5;2026-05-22 09:13:08+02;Maureen Ntsoko;2026-03-24 09:54:08+02;2026-03-24 09:54:08+02;;;;;;;;;27823242380;;;;;;;;prepaid life;;;;;</t>
  </si>
  <si>
    <t>ID_4643</t>
  </si>
  <si>
    <t>13865924;53f4d73d-b778-4370-82c8-8fa8a902ff1b;;111111118;Vodacom Life 20260324;;;;;AF;1;2026-04-01 1</t>
  </si>
  <si>
    <t>13865924;53f4d73d-b778-4370-82c8-8fa8a902ff1b;;111111118;Vodacom Life 20260324;;;;;AF;1;2026-04-01 11:18:35+02;Seboifeng Mogola;2026-03-24 09:54:08+02;2026-03-24 09:54:08+02;;;;;;;;;27661391074;;;;;;;;prepaid life;;;;;</t>
  </si>
  <si>
    <t>ID_4644</t>
  </si>
  <si>
    <t>13866003;620db5b9-9b09-474d-ad07-6a809df9df47;;111111118;Vodacom Life 20260324;;;;;AA;5;2026-05-22 1</t>
  </si>
  <si>
    <t>13866003;620db5b9-9b09-474d-ad07-6a809df9df47;;111111118;Vodacom Life 20260324;;;;;AA;5;2026-05-22 10:34:18+02;system;2026-03-24 09:54:08+02;2026-03-24 09:54:08+02;;;;;;;;;27725325541;;;;;;;;prepaid life;;;;;</t>
  </si>
  <si>
    <t>ID_4645</t>
  </si>
  <si>
    <t>13865925;29148995-3a6c-43ae-b54d-232aa92155f2;;111111118;Vodacom Life 20260324;;;;;CU;5;2026-05-22 1</t>
  </si>
  <si>
    <t>13865925;29148995-3a6c-43ae-b54d-232aa92155f2;;111111118;Vodacom Life 20260324;;;;;CU;5;2026-05-22 10:59:19+02;bongiwe lushaba;2026-03-24 09:54:08+02;2026-03-24 09:54:08+02;;;;;;;;;27662805246;;;;;;;;prepaid life;;;;;</t>
  </si>
  <si>
    <t>ID_4646</t>
  </si>
  <si>
    <t>13865851;2a0e0a90-6fbc-47c5-a6f9-8b7ac84a3622;;111111118;Vodacom Life 20260324;;;;;AA;5;2026-05-22 0</t>
  </si>
  <si>
    <t>13865851;2a0e0a90-6fbc-47c5-a6f9-8b7ac84a3622;;111111118;Vodacom Life 20260324;;;;;AA;5;2026-05-22 09:13:08+02;system;2026-03-24 09:54:08+02;2026-03-24 09:54:08+02;;;;;;;;;27823400262;;;;;;;;prepaid life;;;;;</t>
  </si>
  <si>
    <t>ID_4647</t>
  </si>
  <si>
    <t>13866004;c725373d-3bb0-44fa-9b87-9844fb3ef3f1;;111111118;Vodacom Life 20260324;;;;;CU;5;2026-05-22 1</t>
  </si>
  <si>
    <t>13866004;c725373d-3bb0-44fa-9b87-9844fb3ef3f1;;111111118;Vodacom Life 20260324;;;;;CU;5;2026-05-22 10:31:26+02;Maureen Ntsoko;2026-03-24 09:54:08+02;2026-03-24 09:54:08+02;;;;;;;;;27725359342;;;;;;;;prepaid life;;;;;</t>
  </si>
  <si>
    <t>ID_4648</t>
  </si>
  <si>
    <t>13865852;2c402d7b-3c65-4ade-bfb7-364720e38b61;;111111118;Vodacom Life 20260324;;;;;AA;5;2026-05-22 0</t>
  </si>
  <si>
    <t>13865852;2c402d7b-3c65-4ade-bfb7-364720e38b61;;111111118;Vodacom Life 20260324;;;;;AA;5;2026-05-22 09:09:28+02;system;2026-03-24 09:54:08+02;2026-03-24 09:54:08+02;;;;;;;;;27823505140;;;;;;;;prepaid life;;;;;</t>
  </si>
  <si>
    <t>ID_4649</t>
  </si>
  <si>
    <t>13866005;b4b17e1c-452e-4ad7-b3bf-288273e82989;;111111118;Vodacom Life 20260324;;;;;AA;5;2026-05-22 1</t>
  </si>
  <si>
    <t>13866005;b4b17e1c-452e-4ad7-b3bf-288273e82989;;111111118;Vodacom Life 20260324;;;;;AA;5;2026-05-22 10:30:54+02;system;2026-03-24 09:54:08+02;2026-03-24 09:54:08+02;;;;;;;;;27725467980;;;;;;;;prepaid life;;;;;</t>
  </si>
  <si>
    <t>ID_4650</t>
  </si>
  <si>
    <t>13865853;2d4a0a57-d5b8-437a-942f-447c23861383;;111111118;Vodacom Life 20260324;;;;;NI;5;2026-05-22 0</t>
  </si>
  <si>
    <t>13865853;2d4a0a57-d5b8-437a-942f-447c23861383;;111111118;Vodacom Life 20260324;;;;;NI;5;2026-05-22 09:09:28+02;Maureen Ntsoko;2026-03-24 09:54:08+02;2026-03-24 09:54:08+02;;;;;;;;;27823769379;;;;;;;;prepaid life;;;;;</t>
  </si>
  <si>
    <t>ID_4651</t>
  </si>
  <si>
    <t>13865926;7b1aadb4-4b37-4ce2-8b1f-400971bbde1d;;111111118;Vodacom Life 20260324;;;27663105080;;N;5;20</t>
  </si>
  <si>
    <t>13865926;7b1aadb4-4b37-4ce2-8b1f-400971bbde1d;;111111118;Vodacom Life 20260324;;;27663105080;;N;5;2026-05-22 12:03:50+02;Khensane Mabasa;2026-03-24 09:54:08+02;2026-03-24 09:54:08+02;;;;;;;;;27663105080;;;;;;;;prepaid life;;;;;</t>
  </si>
  <si>
    <t>ID_4652</t>
  </si>
  <si>
    <t>13866006;d753f993-5a82-4081-9140-9244b9ae55bc;;111111118;Vodacom Life 20260324;;;;;NA;5;2026-05-22 1</t>
  </si>
  <si>
    <t>13866006;d753f993-5a82-4081-9140-9244b9ae55bc;;111111118;Vodacom Life 20260324;;;;;NA;5;2026-05-22 10:30:50+02;system;2026-03-24 09:54:08+02;2026-03-24 09:54:08+02;;;;;;;;;27725484463;;;;;;;;prepaid life;;;;;</t>
  </si>
  <si>
    <t>ID_4653</t>
  </si>
  <si>
    <t>13865927;85764ca1-cc3f-406b-89bf-bd7b6c5fdc5d;;111111118;Vodacom Life 20260324;;;;;NI;4;2026-05-07 1</t>
  </si>
  <si>
    <t>13865927;85764ca1-cc3f-406b-89bf-bd7b6c5fdc5d;;111111118;Vodacom Life 20260324;;;;;NI;4;2026-05-07 13:21:05+02;Siyabonga Khoza;2026-03-24 09:54:08+02;2026-03-24 09:54:08+02;;;;;;;;;27663620566;;;;;;;;prepaid life;;;;;</t>
  </si>
  <si>
    <t>ID_4654</t>
  </si>
  <si>
    <t>13865928;6fb1c4d7-e511-4dbc-b9bd-88dfe3d743b7;;111111118;Vodacom Life 20260324;;;27663886214;;CU;6;2</t>
  </si>
  <si>
    <t>13865928;6fb1c4d7-e511-4dbc-b9bd-88dfe3d743b7;;111111118;Vodacom Life 20260324;;;27663886214;;CU;6;2026-05-22 11:03:14+02;bongiwe lushaba;2026-03-24 09:54:08+02;2026-03-24 09:54:08+02;;;;;;;;;27663886214;;;;;;;;prepaid life;;;;;</t>
  </si>
  <si>
    <t>ID_4655</t>
  </si>
  <si>
    <t>13865854;303ee9df-7c97-4732-bcf7-22ca15f1530a;;111111118;Vodacom Life 20260324;;;;;AA;5;2026-05-22 0</t>
  </si>
  <si>
    <t>13865854;303ee9df-7c97-4732-bcf7-22ca15f1530a;;111111118;Vodacom Life 20260324;;;;;AA;5;2026-05-22 09:09:28+02;system;2026-03-24 09:54:08+02;2026-03-24 09:54:08+02;;;;;;;;;27823972590;;;;;;;;prepaid life;;;;;</t>
  </si>
  <si>
    <t>ID_4656</t>
  </si>
  <si>
    <t>13866007;22b36c6d-ed3f-42d1-bd36-65bbeed9da6b;;111111118;Vodacom Life 20260324;;;;;NA;5;2026-05-22 1</t>
  </si>
  <si>
    <t>13866007;22b36c6d-ed3f-42d1-bd36-65bbeed9da6b;;111111118;Vodacom Life 20260324;;;;;NA;5;2026-05-22 10:30:50+02;system;2026-03-24 09:54:08+02;2026-03-24 09:54:08+02;;;;;;;;;27725838001;;;;;;;;prepaid life;;;;;</t>
  </si>
  <si>
    <t>ID_4657</t>
  </si>
  <si>
    <t xml:space="preserve">13865855;dc9348ec-bde3-43af-a2dc-6c65c981fcbc;;111111118;Vodacom Life 20260324;;;;;OAL;1;2026-03-26 </t>
  </si>
  <si>
    <t>13865855;dc9348ec-bde3-43af-a2dc-6c65c981fcbc;;111111118;Vodacom Life 20260324;;;;;OAL;1;2026-03-26 11:26:41+02;Thandile Nokubeni;2026-03-24 09:54:08+02;2026-03-24 09:54:08+02;;;;;;;;;27824243423;;;;;;;;prepaid life;;;;;</t>
  </si>
  <si>
    <t>ID_4658</t>
  </si>
  <si>
    <t>13865929;5097f714-44a7-4e2c-bfc3-f2ca3cafcd7b;;111111118;Vodacom Life 20260324;;;27664395210;;IABDN;</t>
  </si>
  <si>
    <t>13865929;5097f714-44a7-4e2c-bfc3-f2ca3cafcd7b;;111111118;Vodacom Life 20260324;;;27664395210;;IABDN;5;2026-05-21 17:01:49+02;system;2026-03-24 09:54:08+02;2026-03-24 09:54:08+02;;;;;;;;;27664395210;;;;;;;;prepaid life;;;;;</t>
  </si>
  <si>
    <t>ID_4659</t>
  </si>
  <si>
    <t>13866008;fd840502-8dd7-4c9b-969c-423433a71478;;111111118;Vodacom Life 20260324;;;;;AE;5;2026-05-22 1</t>
  </si>
  <si>
    <t>13866008;fd840502-8dd7-4c9b-969c-423433a71478;;111111118;Vodacom Life 20260324;;;;;AE;5;2026-05-22 10:30:01+02;system;2026-03-24 09:54:08+02;2026-03-24 09:54:08+02;;;;;;;;;27726333600;;;;;;;;prepaid life;;;;;</t>
  </si>
  <si>
    <t>ID_4660</t>
  </si>
  <si>
    <t>13865930;87fc467d-ae5d-47ec-8de3-7bbdc250e21d;;111111118;Vodacom Life 20260324;;;;;EC;5;2026-05-13 0</t>
  </si>
  <si>
    <t>13865930;87fc467d-ae5d-47ec-8de3-7bbdc250e21d;;111111118;Vodacom Life 20260324;;;;;EC;5;2026-05-13 09:27:32+02;Thandile Nokubeni;2026-03-24 09:54:08+02;2026-03-24 09:54:08+02;;;;;;;;;27664447050;;;;;;;;prepaid life;;;;;</t>
  </si>
  <si>
    <t>ID_4661</t>
  </si>
  <si>
    <t>13865856;0802d4b8-ce7e-4151-a01b-42c4df953887;;111111118;Vodacom Life 20260324;;;;;AE;5;2026-05-22 0</t>
  </si>
  <si>
    <t>13865856;0802d4b8-ce7e-4151-a01b-42c4df953887;;111111118;Vodacom Life 20260324;;;;;AE;5;2026-05-22 09:09:28+02;system;2026-03-24 09:54:08+02;2026-03-24 09:54:08+02;;;;;;;;;27824270976;;;;;;;;prepaid life;;;;;</t>
  </si>
  <si>
    <t>ID_4662</t>
  </si>
  <si>
    <t>13866009;cf79e27b-37b7-48e8-b636-86d5ec3ebe67;;111111118;Vodacom Life 20260324;;;;;DROP;5;2026-05-22</t>
  </si>
  <si>
    <t>13866009;cf79e27b-37b7-48e8-b636-86d5ec3ebe67;;111111118;Vodacom Life 20260324;;;;;DROP;5;2026-05-22 10:29:52+02;system;2026-03-24 09:54:08+02;2026-03-24 09:54:08+02;;;;;;;;;27726363946;;;;;;;;prepaid life;;;;;</t>
  </si>
  <si>
    <t>ID_4663</t>
  </si>
  <si>
    <t>13866010;4f4b0087-d2e9-4875-9a4c-68818c843a55;;111111118;Vodacom Life 20260324;;;;;NI;4;2026-04-17 1</t>
  </si>
  <si>
    <t>13866010;4f4b0087-d2e9-4875-9a4c-68818c843a55;;111111118;Vodacom Life 20260324;;;;;NI;4;2026-04-17 11:19:27+02;Musiiwa Mary Mabirimisa;2026-03-24 09:54:08+02;2026-03-24 09:54:08+02;;;;;;;;;27726576192;;;;;;;;prepaid life;;;;;</t>
  </si>
  <si>
    <t>ID_4664</t>
  </si>
  <si>
    <t>13865857;a1e7a4fc-750e-4e69-9259-3601b438c10d;;111111118;Vodacom Life 20260324;;;;;AE;5;2026-05-22 0</t>
  </si>
  <si>
    <t>13865857;a1e7a4fc-750e-4e69-9259-3601b438c10d;;111111118;Vodacom Life 20260324;;;;;AE;5;2026-05-22 09:07:14+02;system;2026-03-24 09:54:08+02;2026-03-24 09:54:08+02;;;;;;;;;27824506805;;;;;;;;prepaid life;;;;;</t>
  </si>
  <si>
    <t>ID_4665</t>
  </si>
  <si>
    <t xml:space="preserve">13865931;7427d60d-04e9-41b0-895d-134c085a8e50;;111111118;Vodacom Life 20260324;;;;;ADC;5;2026-05-22 </t>
  </si>
  <si>
    <t>13865931;7427d60d-04e9-41b0-895d-134c085a8e50;;111111118;Vodacom Life 20260324;;;;;ADC;5;2026-05-22 10:58:52+02;system;2026-03-24 09:54:08+02;2026-03-24 09:54:08+02;;;;;;;;;27665084794;;;;;;;;prepaid life;;;;;</t>
  </si>
  <si>
    <t>ID_4666</t>
  </si>
  <si>
    <t>13866011;0e74dd01-f7f2-4a7c-b9cb-ce31a35173ce;;111111118;Vodacom Life 20260324;;;27726829022;;IABDN;</t>
  </si>
  <si>
    <t>13866011;0e74dd01-f7f2-4a7c-b9cb-ce31a35173ce;;111111118;Vodacom Life 20260324;;;27726829022;;IABDN;5;2026-05-22 10:28:45+02;system;2026-03-24 09:54:08+02;2026-03-24 09:54:08+02;;;;;;;;;27726829022;;;;;;;;prepaid life;;;;;</t>
  </si>
  <si>
    <t>ID_4667</t>
  </si>
  <si>
    <t>13865932;9b79c779-3dcb-4a64-80b3-665d05ff574e;;111111118;Vodacom Life 20260324;;;;;AA;5;2026-05-22 1</t>
  </si>
  <si>
    <t>13865932;9b79c779-3dcb-4a64-80b3-665d05ff574e;;111111118;Vodacom Life 20260324;;;;;AA;5;2026-05-22 10:54:55+02;system;2026-03-24 09:54:08+02;2026-03-24 09:54:08+02;;;;;;;;;27665344208;;;;;;;;prepaid life;;;;;</t>
  </si>
  <si>
    <t>ID_4668</t>
  </si>
  <si>
    <t>13865858;2f32106a-0080-4194-a9c3-db63734cea5e;;111111118;Vodacom Life 20260324;;;;;AE;5;2026-05-22 0</t>
  </si>
  <si>
    <t>13865858;2f32106a-0080-4194-a9c3-db63734cea5e;;111111118;Vodacom Life 20260324;;;;;AE;5;2026-05-22 09:07:15+02;system;2026-03-24 09:54:08+02;2026-03-24 09:54:08+02;;;;;;;;;27824818901;;;;;;;;prepaid life;;;;;</t>
  </si>
  <si>
    <t>ID_4669</t>
  </si>
  <si>
    <t>13866012;82fa7f6f-5d3a-4f2f-8995-a504f0ee36a2;;111111118;Vodacom Life 20260324;;;;;AA;5;2026-05-22 1</t>
  </si>
  <si>
    <t>13866012;82fa7f6f-5d3a-4f2f-8995-a504f0ee36a2;;111111118;Vodacom Life 20260324;;;;;AA;5;2026-05-22 10:26:55+02;system;2026-03-24 09:54:08+02;2026-03-24 09:54:08+02;;;;;;;;;27726970772;;;;;;;;prepaid life;;;;;</t>
  </si>
  <si>
    <t>ID_4670</t>
  </si>
  <si>
    <t>13865859;27a269f5-8d4f-4847-bb4a-db1129f26cf0;;111111118;Vodacom Life 20260324;;;;;AC;4;2026-04-17 1</t>
  </si>
  <si>
    <t>13865859;27a269f5-8d4f-4847-bb4a-db1129f26cf0;;111111118;Vodacom Life 20260324;;;;;AC;4;2026-04-17 11:04:15+02;Maureen Ntsoko;2026-03-24 09:54:08+02;2026-03-24 09:54:08+02;;;;;;;;;27825151451;;;;;;;;prepaid life;;;;;</t>
  </si>
  <si>
    <t>ID_4671</t>
  </si>
  <si>
    <t>13865933;3db24b35-1135-47e0-94ae-c089a4bcad80;;111111118;Vodacom Life 20260324;;;;;DROP;5;2026-05-22</t>
  </si>
  <si>
    <t>13865933;3db24b35-1135-47e0-94ae-c089a4bcad80;;111111118;Vodacom Life 20260324;;;;;DROP;5;2026-05-22 10:54:55+02;system;2026-03-24 09:54:08+02;2026-03-24 09:54:08+02;;;;;;;;;27665839400;;;;;;;;prepaid life;;;;;</t>
  </si>
  <si>
    <t>ID_4672</t>
  </si>
  <si>
    <t>13866013;61aa7363-91a7-45c8-856e-930cd957c208;;111111118;Vodacom Life 20260324;;;;;DROP;5;2026-05-22</t>
  </si>
  <si>
    <t>13866013;61aa7363-91a7-45c8-856e-930cd957c208;;111111118;Vodacom Life 20260324;;;;;DROP;5;2026-05-22 10:24:35+02;system;2026-03-24 09:54:08+02;2026-03-24 09:54:08+02;;;;;;;;;27727266735;;;;;;;;prepaid life;;;;;</t>
  </si>
  <si>
    <t>ID_4673</t>
  </si>
  <si>
    <t>13865935;03d7484b-42bd-4038-b643-f4ffc7ca2fb9;;111111118;Vodacom Life 20260324;;;;;NI;4;2026-05-07 1</t>
  </si>
  <si>
    <t>13865935;03d7484b-42bd-4038-b643-f4ffc7ca2fb9;;111111118;Vodacom Life 20260324;;;;;NI;4;2026-05-07 14:05:10+02;Musiiwa Mary Mabirimisa;2026-03-24 09:54:08+02;2026-03-24 09:54:08+02;;;;;;;;;27665894358;;;;;;;;prepaid life;;;;;</t>
  </si>
  <si>
    <t>ID_4674</t>
  </si>
  <si>
    <t>13865860;8ee562a9-6919-48dd-a198-b4e18d3c9921;;111111118;Vodacom Life 20260324;;;;;CU;5;2026-05-22 0</t>
  </si>
  <si>
    <t>13865860;8ee562a9-6919-48dd-a198-b4e18d3c9921;;111111118;Vodacom Life 20260324;;;;;CU;5;2026-05-22 09:07:14+02;Maureen Ntsoko;2026-03-24 09:54:08+02;2026-03-24 09:54:08+02;;;;;;;;;27825215351;;;;;;;;prepaid life;;;;;</t>
  </si>
  <si>
    <t>ID_4675</t>
  </si>
  <si>
    <t>13865861;6f5ba71d-47c6-4328-8ffc-0a8c2782835a;;111111118;Vodacom Life 20260324;;;;;NI;3;2026-03-26 1</t>
  </si>
  <si>
    <t>13865861;6f5ba71d-47c6-4328-8ffc-0a8c2782835a;;111111118;Vodacom Life 20260324;;;;;NI;3;2026-03-26 11:33:24+02;Thandile Nokubeni;2026-03-24 09:54:08+02;2026-03-24 09:54:08+02;;;;;;;;;27825289761;;;;;;;;prepaid life;;;;;</t>
  </si>
  <si>
    <t>ID_4676</t>
  </si>
  <si>
    <t>13866014;d2ebb812-a641-4ded-846f-030fbc230795;;111111118;Vodacom Life 20260324;;;;;NA;5;2026-05-22 1</t>
  </si>
  <si>
    <t>13866014;d2ebb812-a641-4ded-846f-030fbc230795;;111111118;Vodacom Life 20260324;;;;;NA;5;2026-05-22 10:24:29+02;system;2026-03-24 09:54:08+02;2026-03-24 09:54:08+02;;;;;;;;;27727494984;;;;;;;;prepaid life;;;;;</t>
  </si>
  <si>
    <t>ID_4677</t>
  </si>
  <si>
    <t>13866015;1c96d896-dcbf-477d-814f-f771d9917d9d;;111111118;Vodacom Life 20260324;;;;;A;5;2026-04-21 15</t>
  </si>
  <si>
    <t>13866015;1c96d896-dcbf-477d-814f-f771d9917d9d;;111111118;Vodacom Life 20260324;;;;;A;5;2026-04-21 15:59:27+02;Thandile Nokubeni;2026-03-24 09:54:08+02;2026-03-24 09:54:08+02;;;;;;;;;27728091017;;;;;;;;prepaid life;;;;;</t>
  </si>
  <si>
    <t>ID_4678</t>
  </si>
  <si>
    <t>13865862;c6929f6b-f3e2-4ff4-ad6a-e84c46df62f9;;111111118;Vodacom Life 20260324;;;27825577132;;A;6;20</t>
  </si>
  <si>
    <t>13865862;c6929f6b-f3e2-4ff4-ad6a-e84c46df62f9;;111111118;Vodacom Life 20260324;;;27825577132;;A;6;2026-05-22 09:24:49+02;Maureen Ntsoko;2026-03-24 09:54:08+02;2026-03-24 09:54:08+02;;;;;;;;;27825577132;;;;;;;;prepaid life;;;;;</t>
  </si>
  <si>
    <t>ID_4679</t>
  </si>
  <si>
    <t>13865936;ae1c1045-c18c-475f-9cd9-a95ba684883d;;111111118;Vodacom Life 20260324;;;;;DROP;5;2026-05-22</t>
  </si>
  <si>
    <t>13865936;ae1c1045-c18c-475f-9cd9-a95ba684883d;;111111118;Vodacom Life 20260324;;;;;DROP;5;2026-05-22 10:54:55+02;system;2026-03-24 09:54:08+02;2026-03-24 09:54:08+02;;;;;;;;;27665897076;;;;;;;;prepaid life;;;;;</t>
  </si>
  <si>
    <t>ID_4680</t>
  </si>
  <si>
    <t>13866016;5cd41f09-9928-4a57-b017-9277c74d0d8d;;111111118;Vodacom Life 20260324;;;;;AE;5;2026-05-22 1</t>
  </si>
  <si>
    <t>13866016;5cd41f09-9928-4a57-b017-9277c74d0d8d;;111111118;Vodacom Life 20260324;;;;;AE;5;2026-05-22 10:24:28+02;system;2026-03-24 09:54:08+02;2026-03-24 09:54:08+02;;;;;;;;;27728322828;;;;;;;;prepaid life;;;;;</t>
  </si>
  <si>
    <t>ID_4681</t>
  </si>
  <si>
    <t>13865937;9edcdd8f-fad6-44d3-8ff2-8872212825d5;;111111118;Vodacom Life 20260324;;;;;CBACK;1;2026-04-0</t>
  </si>
  <si>
    <t>13865937;9edcdd8f-fad6-44d3-8ff2-8872212825d5;;111111118;Vodacom Life 20260324;;;;;CBACK;1;2026-04-02 12:15:10+02;Millicent Motsuku;2026-03-24 09:54:08+02;2026-03-24 09:54:08+02;;;;;;;;;27673966696;;;;;;;;prepaid life;;;;;</t>
  </si>
  <si>
    <t>ID_4682</t>
  </si>
  <si>
    <t>13865863;90b0cd3d-02bf-4508-96ab-349afdf8cc4d;;111111118;Vodacom Life 20260324;;;;;AA;5;2026-05-22 0</t>
  </si>
  <si>
    <t>13865863;90b0cd3d-02bf-4508-96ab-349afdf8cc4d;;111111118;Vodacom Life 20260324;;;;;AA;5;2026-05-22 09:06:02+02;system;2026-03-24 09:54:08+02;2026-03-24 09:54:08+02;;;;;;;;;27825831035;;;;;;;;prepaid life;;;;;</t>
  </si>
  <si>
    <t>ID_4683</t>
  </si>
  <si>
    <t>13866017;1b8d4013-6b46-412a-a292-de990546c39b;;111111118;Vodacom Life 20260324;;;;;CBACK;5;2026-05-2</t>
  </si>
  <si>
    <t>13866017;1b8d4013-6b46-412a-a292-de990546c39b;;111111118;Vodacom Life 20260324;;;;;CBACK;5;2026-05-22 10:24:28+02;Maureen Ntsoko;2026-03-24 09:54:08+02;2026-03-24 09:54:08+02;;;;;;;;;27728339533;;;;;;;;prepaid life;;;;;</t>
  </si>
  <si>
    <t>ID_4684</t>
  </si>
  <si>
    <t>13865864;4d3702fe-4dab-4887-b4ee-fca38c5d7ac7;;111111118;Vodacom Life 20260324;;;;;AA;5;2026-05-22 0</t>
  </si>
  <si>
    <t>13865864;4d3702fe-4dab-4887-b4ee-fca38c5d7ac7;;111111118;Vodacom Life 20260324;;;;;AA;5;2026-05-22 09:06:18+02;system;2026-03-24 09:54:08+02;2026-03-24 09:54:08+02;;;;;;;;;27825894674;;;;;;;;prepaid life;;;;;</t>
  </si>
  <si>
    <t>ID_4685</t>
  </si>
  <si>
    <t>13865865;1db311c7-11e8-4857-9e53-7c9ab8f04531;;111111118;Vodacom Life 20260324;;;;;AA;5;2026-05-22 0</t>
  </si>
  <si>
    <t>13865865;1db311c7-11e8-4857-9e53-7c9ab8f04531;;111111118;Vodacom Life 20260324;;;;;AA;5;2026-05-22 09:06:02+02;system;2026-03-24 09:54:08+02;2026-03-24 09:54:08+02;;;;;;;;;27825907107;;;;;;;;prepaid life;;;;;</t>
  </si>
  <si>
    <t>ID_4686</t>
  </si>
  <si>
    <t>13865938;1921c6cb-1388-4cda-b7e5-442413cdf550;;111111118;Vodacom Life 20260324;;;;;NI;4;2026-05-19 0</t>
  </si>
  <si>
    <t>13865938;1921c6cb-1388-4cda-b7e5-442413cdf550;;111111118;Vodacom Life 20260324;;;;;NI;4;2026-05-19 08:40:06+02;Maureen Ntsoko;2026-03-24 09:54:08+02;2026-03-24 09:54:08+02;;;;;;;;;27674440968;;;;;;;;prepaid life;;;;;</t>
  </si>
  <si>
    <t>ID_4687</t>
  </si>
  <si>
    <t>13866018;297eef46-e9cf-424b-92c7-895dac73f02a;;111111118;Vodacom Life 20260324;;;;;AA;5;2026-05-22 1</t>
  </si>
  <si>
    <t>13866018;297eef46-e9cf-424b-92c7-895dac73f02a;;111111118;Vodacom Life 20260324;;;;;AA;5;2026-05-22 10:24:04+02;system;2026-03-24 09:54:08+02;2026-03-24 09:54:08+02;;;;;;;;;27728368546;;;;;;;;prepaid life;;;;;</t>
  </si>
  <si>
    <t>ID_4688</t>
  </si>
  <si>
    <t>13865939;1d912887-6001-434b-b4dd-1505244b62b4;;111111118;Vodacom Life 20260324;;;;;NA;5;2026-05-22 1</t>
  </si>
  <si>
    <t>13865939;1d912887-6001-434b-b4dd-1505244b62b4;;111111118;Vodacom Life 20260324;;;;;NA;5;2026-05-22 10:52:26+02;system;2026-03-24 09:54:08+02;2026-03-24 09:54:08+02;;;;;;;;;27675693761;;;;;;;;prepaid life;;;;;</t>
  </si>
  <si>
    <t>ID_4689</t>
  </si>
  <si>
    <t>13865866;7fc6b21d-364b-4f3e-a5f5-5ca5c5459981;;111111118;Vodacom Life 20260324;;;;;DROP;5;2026-05-22</t>
  </si>
  <si>
    <t>13865866;7fc6b21d-364b-4f3e-a5f5-5ca5c5459981;;111111118;Vodacom Life 20260324;;;;;DROP;5;2026-05-22 09:06:18+02;system;2026-03-24 09:54:08+02;2026-03-24 09:54:08+02;;;;;;;;;27826000301;;;;;;;;prepaid life;;;;;</t>
  </si>
  <si>
    <t>ID_4690</t>
  </si>
  <si>
    <t>13866019;6c49d82b-5079-4fcf-a092-205894d64e99;;111111118;Vodacom Life 20260324;;;;;AA;5;2026-05-22 1</t>
  </si>
  <si>
    <t>13866019;6c49d82b-5079-4fcf-a092-205894d64e99;;111111118;Vodacom Life 20260324;;;;;AA;5;2026-05-22 10:23:33+02;system;2026-03-24 09:54:08+02;2026-03-24 09:54:08+02;;;;;;;;;27728596863;;;;;;;;prepaid life;;;;;</t>
  </si>
  <si>
    <t>ID_4691</t>
  </si>
  <si>
    <t>13866020;f2930323-92a7-4dca-8e20-59b42674f121;;111111118;Vodacom Life 20260324;;;;;DROP;5;2026-05-22</t>
  </si>
  <si>
    <t>13866020;f2930323-92a7-4dca-8e20-59b42674f121;;111111118;Vodacom Life 20260324;;;;;DROP;5;2026-05-22 10:23:33+02;system;2026-03-24 09:54:08+02;2026-03-24 09:54:08+02;;;;;;;;;27728657980;;;;;;;;prepaid life;;;;;</t>
  </si>
  <si>
    <t>ID_4692</t>
  </si>
  <si>
    <t>13865867;154d5bc0-5ff4-496f-b94a-3afc52757e71;;111111118;Vodacom Life 20260324;;;;;AA;5;2026-05-22 0</t>
  </si>
  <si>
    <t>13865867;154d5bc0-5ff4-496f-b94a-3afc52757e71;;111111118;Vodacom Life 20260324;;;;;AA;5;2026-05-22 09:04:10+02;system;2026-03-24 09:54:08+02;2026-03-24 09:54:08+02;;;;;;;;;27826428431;;;;;;;;prepaid life;;;;;</t>
  </si>
  <si>
    <t>ID_4693</t>
  </si>
  <si>
    <t>13865940;0b03d040-f11e-46e2-88cf-ff39d6f500b1;;111111118;Vodacom Life 20260324;;;27710402195;;DROP;5</t>
  </si>
  <si>
    <t>13865940;0b03d040-f11e-46e2-88cf-ff39d6f500b1;;111111118;Vodacom Life 20260324;;;27710402195;;DROP;5;2026-05-22 10:50:40+02;system;2026-03-24 09:54:08+02;2026-03-24 09:54:08+02;;;;;;;;;27710402195;;;;;;;;prepaid life;;;;;</t>
  </si>
  <si>
    <t>ID_4694</t>
  </si>
  <si>
    <t>13866021;afbc3fd8-78a3-42d7-8a44-dd54c7807e0b;;111111118;Vodacom Life 20260324;;;;;NA;5;2026-05-22 1</t>
  </si>
  <si>
    <t>13866021;afbc3fd8-78a3-42d7-8a44-dd54c7807e0b;;111111118;Vodacom Life 20260324;;;;;NA;5;2026-05-22 10:21:57+02;system;2026-03-24 09:54:08+02;2026-03-24 09:54:08+02;;;;;;;;;27728960876;;;;;;;;prepaid life;;;;;</t>
  </si>
  <si>
    <t>ID_4695</t>
  </si>
  <si>
    <t>13865941;f0a5be90-0e6d-47d4-8f34-c3f05e891d8f;;111111118;Vodacom Life 20260324;;;;;U;1;2026-04-01 10</t>
  </si>
  <si>
    <t>13865941;f0a5be90-0e6d-47d4-8f34-c3f05e891d8f;;111111118;Vodacom Life 20260324;;;;;U;1;2026-04-01 10:26:39+02;Thandile Nokubeni;2026-03-24 09:54:08+02;2026-03-24 09:54:08+02;;;;;;;;;27711678495;;;;;;;;prepaid life;;;;;</t>
  </si>
  <si>
    <t>ID_4696</t>
  </si>
  <si>
    <t>13866022;20f362d7-02de-4689-800d-05f4d2af6779;;111111118;Vodacom Life 20260324;;;;;NA;5;2026-05-22 1</t>
  </si>
  <si>
    <t>13866022;20f362d7-02de-4689-800d-05f4d2af6779;;111111118;Vodacom Life 20260324;;;;;NA;5;2026-05-22 10:08:40+02;system;2026-03-24 09:54:08+02;2026-03-24 09:54:08+02;;;;;;;;;27729008969;;;;;;;;prepaid life;;;;;</t>
  </si>
  <si>
    <t>ID_4697</t>
  </si>
  <si>
    <t>13865868;d3befab9-f3f6-4ffc-957e-30260b1affac;;111111118;Vodacom Life 20260324;;;;;AA;5;2026-05-22 0</t>
  </si>
  <si>
    <t>13865868;d3befab9-f3f6-4ffc-957e-30260b1affac;;111111118;Vodacom Life 20260324;;;;;AA;5;2026-05-22 09:04:11+02;system;2026-03-24 09:54:08+02;2026-03-24 09:54:08+02;;;;;;;;;27826491663;;;;;;;;prepaid life;;;;;</t>
  </si>
  <si>
    <t>ID_4698</t>
  </si>
  <si>
    <t>13866023;23cea6b8-4c12-432d-b631-eb17e444aa6f;;111111118;Vodacom Life 20260324;;;;;CU;5;2026-05-22 1</t>
  </si>
  <si>
    <t>13866023;23cea6b8-4c12-432d-b631-eb17e444aa6f;;111111118;Vodacom Life 20260324;;;;;CU;5;2026-05-22 10:08:38+02;bongiwe lushaba;2026-03-24 09:54:08+02;2026-03-24 09:54:08+02;;;;;;;;;27729089907;;;;;;;;prepaid life;;;;;</t>
  </si>
  <si>
    <t>ID_4699</t>
  </si>
  <si>
    <t>13865869;e6fe56f7-dfaf-42c0-948d-8520b84efc7f;;111111118;Vodacom Life 20260324;;;;;AA;5;2026-05-22 0</t>
  </si>
  <si>
    <t>13865869;e6fe56f7-dfaf-42c0-948d-8520b84efc7f;;111111118;Vodacom Life 20260324;;;;;AA;5;2026-05-22 09:04:10+02;system;2026-03-24 09:54:08+02;2026-03-24 09:54:08+02;;;;;;;;;27826692908;;;;;;;;prepaid life;;;;;</t>
  </si>
  <si>
    <t>ID_4700</t>
  </si>
  <si>
    <t>13865942;1dadf52a-b0c2-491f-8526-3c661b23ac77;;111111118;Vodacom Life 20260324;;;27711770673;;NI;5;2</t>
  </si>
  <si>
    <t>13865942;1dadf52a-b0c2-491f-8526-3c661b23ac77;;111111118;Vodacom Life 20260324;;;27711770673;;NI;5;2026-05-22 10:50:39+02;Maureen Ntsoko;2026-03-24 09:54:08+02;2026-03-24 09:54:08+02;;;;;;;;;27711770673;;;;;;;;prepaid life;;;;;</t>
  </si>
  <si>
    <t>ID_4701</t>
  </si>
  <si>
    <t>13866024;27147e92-a824-4b70-9403-2afde6a49b2a;;111111118;Vodacom Life 20260324;;;;;DNQS;4;2026-04-17</t>
  </si>
  <si>
    <t>13866024;27147e92-a824-4b70-9403-2afde6a49b2a;;111111118;Vodacom Life 20260324;;;;;DNQS;4;2026-04-17 11:15:19+02;Thandile Nokubeni;2026-03-24 09:54:08+02;2026-03-24 09:54:08+02;;;;;;;;;27729229344;;;;;;;;prepaid life;;;;;</t>
  </si>
  <si>
    <t>ID_4702</t>
  </si>
  <si>
    <t>13865943;0762066c-cbdc-438f-af7a-ce705ea155f4;;111111118;Vodacom Life 20260324;;;;;CBACK;4;2026-05-1</t>
  </si>
  <si>
    <t>13865943;0762066c-cbdc-438f-af7a-ce705ea155f4;;111111118;Vodacom Life 20260324;;;;;CBACK;4;2026-05-19 08:37:13+02;Maureen Ntsoko;2026-03-24 09:54:08+02;2026-03-24 09:54:08+02;;;;;;;;;27711919741;;;;;;;;prepaid life;;;;;</t>
  </si>
  <si>
    <t>ID_4703</t>
  </si>
  <si>
    <t>13865870;e90f55f9-3961-489a-ab53-5b555d3baf18;;111111118;Vodacom Life 20260324;;;;;AE;5;2026-05-22 0</t>
  </si>
  <si>
    <t>13865870;e90f55f9-3961-489a-ab53-5b555d3baf18;;111111118;Vodacom Life 20260324;;;;;AE;5;2026-05-22 09:04:11+02;system;2026-03-24 09:54:08+02;2026-03-24 09:54:08+02;;;;;;;;;27826914731;;;;;;;;prepaid life;;;;;</t>
  </si>
  <si>
    <t>ID_4704</t>
  </si>
  <si>
    <t>13866025;2dd3bef9-1cb1-4ffd-afa8-a16bfe6ecae0;;111111118;Vodacom Life 20260324;;;;;CU;5;2026-05-22 1</t>
  </si>
  <si>
    <t>13866025;2dd3bef9-1cb1-4ffd-afa8-a16bfe6ecae0;;111111118;Vodacom Life 20260324;;;;;CU;5;2026-05-22 10:07:36+02;bongiwe lushaba;2026-03-24 09:54:08+02;2026-03-24 09:54:08+02;;;;;;;;;27729446245;;;;;;;;prepaid life;;;;;</t>
  </si>
  <si>
    <t>ID_4705</t>
  </si>
  <si>
    <t>13865871;c62e37d5-7057-4152-ac7e-610aa1a1bd73;;111111118;Vodacom Life 20260324;;;;;NA;5;2026-05-22 0</t>
  </si>
  <si>
    <t>13865871;c62e37d5-7057-4152-ac7e-610aa1a1bd73;;111111118;Vodacom Life 20260324;;;;;NA;5;2026-05-22 09:01:04+02;system;2026-03-24 09:54:08+02;2026-03-24 09:54:08+02;;;;;;;;;27827174063;;;;;;;;prepaid life;;;;;</t>
  </si>
  <si>
    <t>ID_4706</t>
  </si>
  <si>
    <t xml:space="preserve">13865872;69a073f2-0651-4e12-af4f-288e141cb95b;;111111118;Vodacom Life 20260324;;;;;ADC;5;2026-05-22 </t>
  </si>
  <si>
    <t>13865872;69a073f2-0651-4e12-af4f-288e141cb95b;;111111118;Vodacom Life 20260324;;;;;ADC;5;2026-05-22 09:01:04+02;system;2026-03-24 09:54:08+02;2026-03-24 09:54:08+02;;;;;;;;;27827239219;;;;;;;;prepaid life;;;;;</t>
  </si>
  <si>
    <t>ID_4707</t>
  </si>
  <si>
    <t>13865944;bc68090b-92ed-4035-a85c-c3fe43739088;;111111118;Vodacom Life 20260324;;;;;AF;3;2026-04-14 1</t>
  </si>
  <si>
    <t>13865944;bc68090b-92ed-4035-a85c-c3fe43739088;;111111118;Vodacom Life 20260324;;;;;AF;3;2026-04-14 11:03:11+02;Seboifeng Mogola;2026-03-24 09:54:08+02;2026-03-24 09:54:08+02;;;;;;;;;27712033514;;;;;;;;prepaid life;;;;;</t>
  </si>
  <si>
    <t>ID_4708</t>
  </si>
  <si>
    <t>13866026;2f1819f2-62e9-4066-b8a1-2cd9ae9c236e;;111111118;Vodacom Life 20260324;;;;;AE;5;2026-05-22 1</t>
  </si>
  <si>
    <t>13866026;2f1819f2-62e9-4066-b8a1-2cd9ae9c236e;;111111118;Vodacom Life 20260324;;;;;AE;5;2026-05-22 10:07:36+02;system;2026-03-24 09:54:08+02;2026-03-24 09:54:08+02;;;;;;;;;27729473490;;;;;;;;prepaid life;;;;;</t>
  </si>
  <si>
    <t>ID_4709</t>
  </si>
  <si>
    <t>13865945;07bea68e-689f-402c-a075-f6ea43a051fd;;111111118;Vodacom Life 20260324;;;;;CBACK;1;2026-03-2</t>
  </si>
  <si>
    <t>13865945;07bea68e-689f-402c-a075-f6ea43a051fd;;111111118;Vodacom Life 20260324;;;;;CBACK;1;2026-03-25 12:29:32+02;Maureen Ntsoko;2026-03-24 09:54:08+02;2026-03-24 09:54:08+02;;;;;;;;;27712040741;;;;;;;;prepaid life;;;;;</t>
  </si>
  <si>
    <t>ID_4710</t>
  </si>
  <si>
    <t>13866027;eea0db34-baaf-4497-9e12-4aae359ae701;;111111118;Vodacom Life 20260324;;;;;AC;4;2026-04-17 1</t>
  </si>
  <si>
    <t>13866027;eea0db34-baaf-4497-9e12-4aae359ae701;;111111118;Vodacom Life 20260324;;;;;AC;4;2026-04-17 11:15:18+02;Maureen Ntsoko;2026-03-24 09:54:08+02;2026-03-24 09:54:08+02;;;;;;;;;27729963834;;;;;;;;prepaid life;;;;;</t>
  </si>
  <si>
    <t>ID_4711</t>
  </si>
  <si>
    <t>13865946;daee67f3-ad31-4b6d-9122-6d6fd11f81bc;;111111118;Vodacom Life 20260324;;;;;NI;2;2026-04-08 1</t>
  </si>
  <si>
    <t>13865946;daee67f3-ad31-4b6d-9122-6d6fd11f81bc;;111111118;Vodacom Life 20260324;;;;;NI;2;2026-04-08 14:59:48+02;Mahlatse Manamela;2026-03-24 09:54:08+02;2026-03-24 09:54:08+02;;;;;;;;;27712203384;;;;;;;;prepaid life;;;;;</t>
  </si>
  <si>
    <t>ID_4712</t>
  </si>
  <si>
    <t>13865873;f43e3e50-c4d3-4a78-b73f-253d3948ef7f;;111111118;Vodacom Life 20260324;;;;;NA;5;2026-05-22 0</t>
  </si>
  <si>
    <t>13865873;f43e3e50-c4d3-4a78-b73f-253d3948ef7f;;111111118;Vodacom Life 20260324;;;;;NA;5;2026-05-22 09:01:04+02;system;2026-03-24 09:54:08+02;2026-03-24 09:54:08+02;;;;;;;;;27827682894;;;;;;;;prepaid life;;;;;</t>
  </si>
  <si>
    <t>ID_4713</t>
  </si>
  <si>
    <t>13866028;c881cf3c-5858-4e0c-a129-e11f29826fc5;;111111118;Vodacom Life 20260324;;;;;CBACK;3;2026-04-1</t>
  </si>
  <si>
    <t>13866028;c881cf3c-5858-4e0c-a129-e11f29826fc5;;111111118;Vodacom Life 20260324;;;;;CBACK;3;2026-04-14 10:33:22+02;Maureen Ntsoko;2026-03-24 09:54:08+02;2026-03-24 09:54:08+02;;;;;;;;;27733045070;;;;;;;;prepaid life;;;;;</t>
  </si>
  <si>
    <t>ID_4714</t>
  </si>
  <si>
    <t>13865874;7be64f4d-1713-45ec-abcf-ed2ea9e2e4bb;;111111118;Vodacom Life 20260324;;;;;CU;5;2026-05-22 0</t>
  </si>
  <si>
    <t>13865874;7be64f4d-1713-45ec-abcf-ed2ea9e2e4bb;;111111118;Vodacom Life 20260324;;;;;CU;5;2026-05-22 09:01:09+02;Maureen Ntsoko;2026-03-24 09:54:08+02;2026-03-24 09:54:08+02;;;;;;;;;27828401209;;;;;;;;prepaid life;;;;;</t>
  </si>
  <si>
    <t>ID_4715</t>
  </si>
  <si>
    <t>13865947;bed74463-9201-43e7-bf0e-486e92ec44a6;;111111118;Vodacom Life 20260324;;;27712234411;;CU;5;2</t>
  </si>
  <si>
    <t>13865947;bed74463-9201-43e7-bf0e-486e92ec44a6;;111111118;Vodacom Life 20260324;;;27712234411;;CU;5;2026-05-22 10:58:32+02;Maureen Ntsoko;2026-03-24 09:54:08+02;2026-03-24 09:54:08+02;;;;;;;;;27712234411;;;;;;;;prepaid life;;;;;</t>
  </si>
  <si>
    <t>ID_4716</t>
  </si>
  <si>
    <t>13865948;2d8332cd-7dd3-4442-9f7d-7474be3f8019;;111111118;Vodacom Life 20260324;;;;;AE;5;2026-05-22 1</t>
  </si>
  <si>
    <t>13865948;2d8332cd-7dd3-4442-9f7d-7474be3f8019;;111111118;Vodacom Life 20260324;;;;;AE;5;2026-05-22 10:49:31+02;system;2026-03-24 09:54:08+02;2026-03-24 09:54:08+02;;;;;;;;;27712342262;;;;;;;;prepaid life;;;;;</t>
  </si>
  <si>
    <t>ID_4717</t>
  </si>
  <si>
    <t>13866029;751483b6-b448-4e63-915c-28d82a4aca15;;111111118;Vodacom Life 20260324;;;;;AA;5;2026-05-22 1</t>
  </si>
  <si>
    <t>13866029;751483b6-b448-4e63-915c-28d82a4aca15;;111111118;Vodacom Life 20260324;;;;;AA;5;2026-05-22 10:07:36+02;system;2026-03-24 09:54:08+02;2026-03-24 09:54:08+02;;;;;;;;;27733336300;;;;;;;;prepaid life;;;;;</t>
  </si>
  <si>
    <t>ID_4718</t>
  </si>
  <si>
    <t>13865949;87643def-8a9a-4611-8030-b24008442afc;;111111118;Vodacom Life 20260324;;;27712385532;;NA;5;2</t>
  </si>
  <si>
    <t>13865949;87643def-8a9a-4611-8030-b24008442afc;;111111118;Vodacom Life 20260324;;;27712385532;;NA;5;2026-05-22 10:50:19+02;Maureen Ntsoko;2026-03-24 09:54:08+02;2026-03-24 09:54:08+02;;;;;;;;;27712385532;;;;;;;;prepaid life;;;;;</t>
  </si>
  <si>
    <t>ID_4719</t>
  </si>
  <si>
    <t>13865875;ace8d722-b3bc-4240-b5fb-3c7d88ea1c5d;;111111118;Vodacom Life 20260324;;;;;U;1;2026-04-01 11</t>
  </si>
  <si>
    <t>13865875;ace8d722-b3bc-4240-b5fb-3c7d88ea1c5d;;111111118;Vodacom Life 20260324;;;;;U;1;2026-04-01 11:19:08+02;Thandile Nokubeni;2026-03-24 09:54:08+02;2026-03-24 09:54:08+02;;;;;;;;;27828463231;;;;;;;;prepaid life;;;;;</t>
  </si>
  <si>
    <t>ID_4720</t>
  </si>
  <si>
    <t>13866030;dd0450ad-762a-470b-b1db-f0599388eb9a;;111111118;Vodacom Life 20260324;;;;;CU;5;2026-05-22 1</t>
  </si>
  <si>
    <t>13866030;dd0450ad-762a-470b-b1db-f0599388eb9a;;111111118;Vodacom Life 20260324;;;;;CU;5;2026-05-22 10:05:29+02;bongiwe lushaba;2026-03-24 09:54:08+02;2026-03-24 09:54:08+02;;;;;;;;;27733944886;;;;;;;;prepaid life;;;;;</t>
  </si>
  <si>
    <t>ID_4721</t>
  </si>
  <si>
    <t>13865876;7a5dbf33-513d-4441-8b0c-f5a3731a8f16;;111111118;Vodacom Life 20260324;;;;;DROP;5;2026-05-22</t>
  </si>
  <si>
    <t>13865876;7a5dbf33-513d-4441-8b0c-f5a3731a8f16;;111111118;Vodacom Life 20260324;;;;;DROP;5;2026-05-22 08:58:56+02;system;2026-03-24 09:54:08+02;2026-03-24 09:54:08+02;;;;;;;;;27829289348;;;;;;;;prepaid life;;;;;</t>
  </si>
  <si>
    <t>ID_4722</t>
  </si>
  <si>
    <t>13866031;45587a1e-c7a4-423c-a1b2-269637f0ac86;;111111118;Vodacom Life 20260324;;;;;AA;5;2026-05-22 1</t>
  </si>
  <si>
    <t>13866031;45587a1e-c7a4-423c-a1b2-269637f0ac86;;111111118;Vodacom Life 20260324;;;;;AA;5;2026-05-22 10:05:21+02;system;2026-03-24 09:54:08+02;2026-03-24 09:54:08+02;;;;;;;;;27735560272;;;;;;;;prepaid life;;;;;</t>
  </si>
  <si>
    <t>ID_4723</t>
  </si>
  <si>
    <t>13865877;64626ad9-c812-4f20-800f-2cf3dc8b47ab;;111111118;Vodacom Life 20260324;;;;;AC;2;2026-04-08 1</t>
  </si>
  <si>
    <t>13865877;64626ad9-c812-4f20-800f-2cf3dc8b47ab;;111111118;Vodacom Life 20260324;;;;;AC;2;2026-04-08 12:00:36+02;Esther Ramalete;2026-03-24 09:54:08+02;2026-03-24 09:54:08+02;;;;;;;;;27829665256;;;;;;;;prepaid life;;;;;</t>
  </si>
  <si>
    <t>ID_4724</t>
  </si>
  <si>
    <t>13865950;ebc8d999-1eae-4c25-b228-b1f77953ad1d;;111111118;Vodacom Life 20260324;;;;;DROP;5;2026-05-22</t>
  </si>
  <si>
    <t>13865950;ebc8d999-1eae-4c25-b228-b1f77953ad1d;;111111118;Vodacom Life 20260324;;;;;DROP;5;2026-05-22 10:49:17+02;system;2026-03-24 09:54:08+02;2026-03-24 09:54:08+02;;;;;;;;;27712408879;;;;;;;;prepaid life;;;;;</t>
  </si>
  <si>
    <t>ID_4725</t>
  </si>
  <si>
    <t>13866032;24dc9d8a-8140-4d59-b217-adcfb28b3b3e;;111111118;Vodacom Life 20260324;;;;;NA;5;2026-05-22 1</t>
  </si>
  <si>
    <t>13866032;24dc9d8a-8140-4d59-b217-adcfb28b3b3e;;111111118;Vodacom Life 20260324;;;;;NA;5;2026-05-22 10:05:19+02;system;2026-03-24 09:54:08+02;2026-03-24 09:54:08+02;;;;;;;;;27737669386;;;;;;;;prepaid life;;;;;</t>
  </si>
  <si>
    <t>ID_4726</t>
  </si>
  <si>
    <t>13865951;abd54452-fb0c-4c38-9857-17de09011e81;;111111118;Vodacom Life 20260324;;;27712566213;;CU;6;2</t>
  </si>
  <si>
    <t>13865951;abd54452-fb0c-4c38-9857-17de09011e81;;111111118;Vodacom Life 20260324;;;27712566213;;CU;6;2026-05-22 10:50:39+02;bongiwe lushaba;2026-03-24 09:54:08+02;2026-03-24 09:54:08+02;;;;;;;;;27712566213;;;;;;;;prepaid life;;;;;</t>
  </si>
  <si>
    <t>ID_4727</t>
  </si>
  <si>
    <t>13865878;57b7754a-e61a-4de6-8f92-260fc606ffa1;;111111118;Vodacom Life 20260324;;;;;U;5;2026-05-22 08</t>
  </si>
  <si>
    <t>13865878;57b7754a-e61a-4de6-8f92-260fc606ffa1;;111111118;Vodacom Life 20260324;;;;;U;5;2026-05-22 08:59:21+02;bongiwe lushaba;2026-03-24 09:54:08+02;2026-03-24 09:54:08+02;;;;;;;;;27829745347;;;;;;;;prepaid life;;;;;</t>
  </si>
  <si>
    <t>ID_4728</t>
  </si>
  <si>
    <t>13866033;05f5df42-5274-49d4-b31f-ef1ff0e289ed;;111111118;Vodacom Life 20260324;;;;;SELECTED;4;2026-0</t>
  </si>
  <si>
    <t>13866033;05f5df42-5274-49d4-b31f-ef1ff0e289ed;;111111118;Vodacom Life 20260324;;;;;SELECTED;4;2026-04-14 10:30:25+02;system;2026-03-24 09:54:08+02;2026-03-24 09:54:08+02;;;;;;;;;27760188462;;;;;;;;prepaid life;;;;;</t>
  </si>
  <si>
    <t>ID_4729</t>
  </si>
  <si>
    <t>13865879;3d1fc18e-e809-4950-aee5-e89935e30662;;111111118;Vodacom Life 20260324;;;;;NIUP;2;2026-04-08</t>
  </si>
  <si>
    <t>13865879;3d1fc18e-e809-4950-aee5-e89935e30662;;111111118;Vodacom Life 20260324;;;;;NIUP;2;2026-04-08 12:32:57+02;Millicent Motsuku;2026-03-24 09:54:08+02;2026-03-24 09:54:08+02;;;;;;;;;27834180337;;;;;;;;prepaid life;;;;;</t>
  </si>
  <si>
    <t>ID_4730</t>
  </si>
  <si>
    <t>13865880;eb98e82e-c49d-4585-afff-729831b9af62;;111111118;Vodacom Life 20260324;;;;;NI;1;2026-03-30 1</t>
  </si>
  <si>
    <t>13865880;eb98e82e-c49d-4585-afff-729831b9af62;;111111118;Vodacom Life 20260324;;;;;NI;1;2026-03-30 11:38:41+02;Musiiwa Mary Mabirimisa;2026-03-24 09:54:08+02;2026-03-24 09:54:08+02;;;;;;;;;27834737988;;;;;;;;prepaid life;;;;;</t>
  </si>
  <si>
    <t>ID_4731</t>
  </si>
  <si>
    <t>13865952;24791e61-bdcc-41ae-af3f-22a936d7292d;;111111118;Vodacom Life 20260324;;;27712578118;;IABDN;</t>
  </si>
  <si>
    <t>13865952;24791e61-bdcc-41ae-af3f-22a936d7292d;;111111118;Vodacom Life 20260324;;;27712578118;;IABDN;5;2026-05-22 10:57:19+02;system;2026-03-24 09:54:08+02;2026-03-24 09:54:08+02;;;;;;;;;27712578118;;;;;;;;prepaid life;;;;;</t>
  </si>
  <si>
    <t>ID_4732</t>
  </si>
  <si>
    <t xml:space="preserve">13866034;2dc77f24-56c9-4f2e-a3ee-c22c52256b92;;111111118;Vodacom Life 20260324;;;;;OAL;1;2026-04-01 </t>
  </si>
  <si>
    <t>13866034;2dc77f24-56c9-4f2e-a3ee-c22c52256b92;;111111118;Vodacom Life 20260324;;;;;OAL;1;2026-04-01 11:46:55+02;Millicent Motsuku;2026-03-24 09:54:08+02;2026-03-24 09:54:08+02;;;;;;;;;27760494462;;;;;;;;prepaid life;;;;;</t>
  </si>
  <si>
    <t>ID_4733</t>
  </si>
  <si>
    <t>13865953;8d3dc999-2e23-44fc-a70c-c9ee767905e2;;111111118;Vodacom Life 20260324;;;;;NA;5;2026-05-22 1</t>
  </si>
  <si>
    <t>13865953;8d3dc999-2e23-44fc-a70c-c9ee767905e2;;111111118;Vodacom Life 20260324;;;;;NA;5;2026-05-22 10:47:34+02;system;2026-03-24 09:54:08+02;2026-03-24 09:54:08+02;;;;;;;;;27712690705;;;;;;;;prepaid life;;;;;</t>
  </si>
  <si>
    <t>ID_4734</t>
  </si>
  <si>
    <t>13865881;c8028899-fa73-4fd1-ab49-967976085303;;111111118;Vodacom Life 20260324;;;;;NI;1;2026-03-30 1</t>
  </si>
  <si>
    <t>13865881;c8028899-fa73-4fd1-ab49-967976085303;;111111118;Vodacom Life 20260324;;;;;NI;1;2026-03-30 11:40:24+02;Musiiwa Mary Mabirimisa;2026-03-24 09:54:08+02;2026-03-24 09:54:08+02;;;;;;;;;27835389674;;;;;;;;prepaid life;;;;;</t>
  </si>
  <si>
    <t>ID_4735</t>
  </si>
  <si>
    <t>13866035;3770944c-631e-4ad5-a8c4-ddae38021452;;111111118;Vodacom Life 20260324;;;;;NI;2;2026-04-08 1</t>
  </si>
  <si>
    <t>13866035;3770944c-631e-4ad5-a8c4-ddae38021452;;111111118;Vodacom Life 20260324;;;;;NI;2;2026-04-08 14:10:23+02;Thandile Nokubeni;2026-03-24 09:54:08+02;2026-03-24 09:54:08+02;;;;;;;;;27760771150;;;;;;;;prepaid life;;;;;</t>
  </si>
  <si>
    <t>ID_4736</t>
  </si>
  <si>
    <t>13865882;c8454581-4556-449c-84a4-7e491ea01b91;;111111118;Vodacom Life 20260324;;;;;AE;5;2026-05-22 0</t>
  </si>
  <si>
    <t>13865882;c8454581-4556-449c-84a4-7e491ea01b91;;111111118;Vodacom Life 20260324;;;;;AE;5;2026-05-22 08:58:33+02;system;2026-03-24 09:54:08+02;2026-03-24 09:54:08+02;;;;;;;;;27835396680;;;;;;;;prepaid life;;;;;</t>
  </si>
  <si>
    <t>ID_4737</t>
  </si>
  <si>
    <t>13866036;591f747e-2104-4a9b-9c76-be741d0b7bce;;111111118;Vodacom Life 20260324;;;;;DROP;5;2026-05-22</t>
  </si>
  <si>
    <t>13866036;591f747e-2104-4a9b-9c76-be741d0b7bce;;111111118;Vodacom Life 20260324;;;;;DROP;5;2026-05-22 10:03:32+02;system;2026-03-24 09:54:08+02;2026-03-24 09:54:08+02;;;;;;;;;27761338100;;;;;;;;prepaid life;;;;;</t>
  </si>
  <si>
    <t>ID_4738</t>
  </si>
  <si>
    <t>13865883;c7020a9b-81da-40e2-be51-1076b0b0ccaa;;111111118;Vodacom Life 20260324;;;;;AE;5;2026-05-22 0</t>
  </si>
  <si>
    <t>13865883;c7020a9b-81da-40e2-be51-1076b0b0ccaa;;111111118;Vodacom Life 20260324;;;;;AE;5;2026-05-22 08:59:24+02;system;2026-03-24 09:54:08+02;2026-03-24 09:54:08+02;;;;;;;;;27604369190;;;;;;;;prepaid life;;;;;</t>
  </si>
  <si>
    <t>ID_4739</t>
  </si>
  <si>
    <t>13865954;475a4bf6-4dca-439c-b19c-b512296aaa42;;111111118;Vodacom Life 20260324;;;;;NI;3;2026-04-14 1</t>
  </si>
  <si>
    <t>13865954;475a4bf6-4dca-439c-b19c-b512296aaa42;;111111118;Vodacom Life 20260324;;;;;NI;3;2026-04-14 11:00:51+02;Esther Ramalete;2026-03-24 09:54:08+02;2026-03-24 09:54:08+02;;;;;;;;;27712711691;;;;;;;;prepaid life;;;;;</t>
  </si>
  <si>
    <t>ID_4740</t>
  </si>
  <si>
    <t>13866037;f4cb3d5a-ace2-48fb-8356-72f62996cf1b;;111111118;Vodacom Life 20260324;;;;;NI;1;2026-04-01 1</t>
  </si>
  <si>
    <t>13866037;f4cb3d5a-ace2-48fb-8356-72f62996cf1b;;111111118;Vodacom Life 20260324;;;;;NI;1;2026-04-01 10:39:20+02;Thandile Nokubeni;2026-03-24 09:54:08+02;2026-03-24 09:54:08+02;;;;;;;;;27761824085;;;;;;;;prepaid life;;;;;</t>
  </si>
  <si>
    <t>ID_4741</t>
  </si>
  <si>
    <t>13865955;43d75a35-c1ba-4b1f-ac84-f117f2e4a19f;;111111118;Vodacom Life 20260324;;;;;NI;3;2026-04-14 1</t>
  </si>
  <si>
    <t>13865955;43d75a35-c1ba-4b1f-ac84-f117f2e4a19f;;111111118;Vodacom Life 20260324;;;;;NI;3;2026-04-14 11:00:17+02;Thandile Nokubeni;2026-03-24 09:54:08+02;2026-03-24 09:54:08+02;;;;;;;;;27712737412;;;;;;;;prepaid life;;;;;</t>
  </si>
  <si>
    <t>ID_4742</t>
  </si>
  <si>
    <t>13865884;9308deb9-dd7f-4eed-85b2-12cccccc3050;;111111118;Vodacom Life 20260324;;;;;NI;5;2026-04-09 1</t>
  </si>
  <si>
    <t>13865884;9308deb9-dd7f-4eed-85b2-12cccccc3050;;111111118;Vodacom Life 20260324;;;;;NI;5;2026-04-09 15:40:02+02;Mahlatse Manamela;2026-03-24 09:54:08+02;2026-03-24 09:54:08+02;;;;;;;;;27606470216;;;;;;;;prepaid life;;;;;</t>
  </si>
  <si>
    <t>ID_4743</t>
  </si>
  <si>
    <t>13865885;796fbb62-04a7-436c-8971-6d5e9e9464d2;;111111118;Vodacom Life 20260324;;;;;DNQS;2;2026-04-08</t>
  </si>
  <si>
    <t>13865885;796fbb62-04a7-436c-8971-6d5e9e9464d2;;111111118;Vodacom Life 20260324;;;;;DNQS;2;2026-04-08 15:31:24+02;Musiiwa Mary Mabirimisa;2026-03-24 09:54:08+02;2026-03-24 09:54:08+02;;;;;;;;;27607234880;;;;;;;;prepaid life;;;;;</t>
  </si>
  <si>
    <t>ID_4744</t>
  </si>
  <si>
    <t>13866038;bdd13382-c357-4797-a6f2-4553081d1e73;;111111118;Vodacom Life 20260324;;;27761928373;;IABDN;</t>
  </si>
  <si>
    <t>13866038;bdd13382-c357-4797-a6f2-4553081d1e73;;111111118;Vodacom Life 20260324;;;27761928373;;IABDN;5;2026-05-22 10:01:50+02;system;2026-03-24 09:54:08+02;2026-03-24 09:54:08+02;;;;;;;;;27761928373;;;;;;;;prepaid life;;;;;</t>
  </si>
  <si>
    <t>ID_4745</t>
  </si>
  <si>
    <t>13865886;9a39f90f-b66d-40c7-866e-d3774d9e6d0b;;111111118;Vodacom Life 20260324;;;;;CBACK;2;2026-04-0</t>
  </si>
  <si>
    <t>13865886;9a39f90f-b66d-40c7-866e-d3774d9e6d0b;;111111118;Vodacom Life 20260324;;;;;CBACK;2;2026-04-08 15:31:18+02;Thandile Nokubeni;2026-03-24 09:54:08+02;2026-03-24 09:54:08+02;;;;;;;;;27607329632;;;;;;;;prepaid life;;;;;</t>
  </si>
  <si>
    <t>ID_4746</t>
  </si>
  <si>
    <t>13865956;f6dc046a-0b66-4eea-8331-844337e30b47;;111111118;Vodacom Life 20260324;;;;;AF;2;2026-04-08 1</t>
  </si>
  <si>
    <t>13865956;f6dc046a-0b66-4eea-8331-844337e30b47;;111111118;Vodacom Life 20260324;;;;;AF;2;2026-04-08 14:52:19+02;Thandile Nokubeni;2026-03-24 09:54:08+02;2026-03-24 09:54:08+02;;;;;;;;;27712922986;;;;;;;;prepaid life;;;;;</t>
  </si>
  <si>
    <t>ID_4747</t>
  </si>
  <si>
    <t>13866039;a6928b2a-f2c0-4339-845c-69694d07ce92;;111111118;Vodacom Life 20260324;;;;;AA;5;2026-05-22 0</t>
  </si>
  <si>
    <t>13866039;a6928b2a-f2c0-4339-845c-69694d07ce92;;111111118;Vodacom Life 20260324;;;;;AA;5;2026-05-22 09:59:43+02;system;2026-03-24 09:54:08+02;2026-03-24 09:54:08+02;;;;;;;;;27762162413;;;;;;;;prepaid life;;;;;</t>
  </si>
  <si>
    <t>ID_4748</t>
  </si>
  <si>
    <t>13865887;6c438874-088c-47a6-8f71-fd8e867b9a49;;111111118;Vodacom Life 20260324;;;;;NA;5;2026-05-22 0</t>
  </si>
  <si>
    <t>13865887;6c438874-088c-47a6-8f71-fd8e867b9a49;;111111118;Vodacom Life 20260324;;;;;NA;5;2026-05-22 08:57:52+02;system;2026-03-24 09:54:08+02;2026-03-24 09:54:08+02;;;;;;;;;27607769916;;;;;;;;prepaid life;;;;;</t>
  </si>
  <si>
    <t>ID_4749</t>
  </si>
  <si>
    <t>13866040;8aa82444-19e4-44d8-bc34-75b5740c79f4;;111111118;Vodacom Life 20260324;;;;;AA;5;2026-05-22 0</t>
  </si>
  <si>
    <t>13866040;8aa82444-19e4-44d8-bc34-75b5740c79f4;;111111118;Vodacom Life 20260324;;;;;AA;5;2026-05-22 09:59:34+02;system;2026-03-24 09:54:08+02;2026-03-24 09:54:08+02;;;;;;;;;27762402050;;;;;;;;prepaid life;;;;;</t>
  </si>
  <si>
    <t>ID_4750</t>
  </si>
  <si>
    <t>13865888;f8f391c9-3d2a-4a1f-b748-f8aff7fc97c9;;111111118;Vodacom Life 20260324;;;;;NA;5;2026-05-22 0</t>
  </si>
  <si>
    <t>13865888;f8f391c9-3d2a-4a1f-b748-f8aff7fc97c9;;111111118;Vodacom Life 20260324;;;;;NA;5;2026-05-22 08:57:55+02;system;2026-03-24 09:54:08+02;2026-03-24 09:54:08+02;;;;;;;;;27607825844;;;;;;;;prepaid life;;;;;</t>
  </si>
  <si>
    <t>ID_4751</t>
  </si>
  <si>
    <t>13865889;45cdb723-196a-4182-b535-4a0619a97a4c;;111111118;Vodacom Life 20260324;;;;;CBACK;4;2026-05-0</t>
  </si>
  <si>
    <t>13865889;45cdb723-196a-4182-b535-4a0619a97a4c;;111111118;Vodacom Life 20260324;;;;;CBACK;4;2026-05-07 15:01:38+02;Esther Ramalete;2026-03-24 09:54:08+02;2026-03-24 09:54:08+02;;;;;;;;;27607916652;;;;;;;;prepaid life;;;;;</t>
  </si>
  <si>
    <t>ID_4752</t>
  </si>
  <si>
    <t>13865958;05a77080-d15b-4d6b-8b76-8fb4a7144dc9;;111111118;Vodacom Life 20260324;;;;;CU;5;2026-05-22 1</t>
  </si>
  <si>
    <t>13865958;05a77080-d15b-4d6b-8b76-8fb4a7144dc9;;111111118;Vodacom Life 20260324;;;;;CU;5;2026-05-22 10:47:23+02;bongiwe lushaba;2026-03-24 09:54:08+02;2026-03-24 09:54:08+02;;;;;;;;;27713883632;;;;;;;;prepaid life;;;;;</t>
  </si>
  <si>
    <t>ID_4753</t>
  </si>
  <si>
    <t>13866041;1f751596-c582-4e10-9d14-62ad656c370c;;111111118;Vodacom Life 20260324;;;;;NI;2;2026-04-08 1</t>
  </si>
  <si>
    <t>13866041;1f751596-c582-4e10-9d14-62ad656c370c;;111111118;Vodacom Life 20260324;;;;;NI;2;2026-04-08 14:09:03+02;Thandile Nokubeni;2026-03-24 09:54:08+02;2026-03-24 09:54:08+02;;;;;;;;;27762468036;;;;;;;;prepaid life;;;;;</t>
  </si>
  <si>
    <t>ID_4754</t>
  </si>
  <si>
    <t xml:space="preserve">13865959;95bd4ce0-b672-4fad-a939-eb6e3d045406;;111111118;Vodacom Life 20260324;;;;;OAL;4;2026-05-19 </t>
  </si>
  <si>
    <t>13865959;95bd4ce0-b672-4fad-a939-eb6e3d045406;;111111118;Vodacom Life 20260324;;;;;OAL;4;2026-05-19 08:34:39+02;bongiwe lushaba;2026-03-24 09:54:08+02;2026-03-24 09:54:08+02;;;;;;;;;27714056394;;;;;;;;prepaid life;;;;;</t>
  </si>
  <si>
    <t>ID_4755</t>
  </si>
  <si>
    <t>13865890;37653bda-9a85-4cda-a76b-97596f6a7ea2;;111111118;Vodacom Life 20260324;;;;;AC;1;2026-03-30 1</t>
  </si>
  <si>
    <t>13865890;37653bda-9a85-4cda-a76b-97596f6a7ea2;;111111118;Vodacom Life 20260324;;;;;AC;1;2026-03-30 11:41:05+02;Seboifeng Mogola;2026-03-24 09:54:08+02;2026-03-24 09:54:08+02;;;;;;;;;27608276183;;;;;;;;prepaid life;;;;;</t>
  </si>
  <si>
    <t>ID_4756</t>
  </si>
  <si>
    <t>13866042;301df984-90da-4c29-ba0a-65abff7429ca;;111111118;Vodacom Life 20260324;;;;;AA;5;2026-05-22 0</t>
  </si>
  <si>
    <t>13866042;301df984-90da-4c29-ba0a-65abff7429ca;;111111118;Vodacom Life 20260324;;;;;AA;5;2026-05-22 09:59:33+02;system;2026-03-24 09:54:08+02;2026-03-24 09:54:08+02;;;;;;;;;27762794555;;;;;;;;prepaid life;;;;;</t>
  </si>
  <si>
    <t>ID_4757</t>
  </si>
  <si>
    <t>13865891;c3669468-937f-45d8-8d0b-b56a8752500a;;111111118;Vodacom Life 20260324;;;;;AE;5;2026-05-22 0</t>
  </si>
  <si>
    <t>13865891;c3669468-937f-45d8-8d0b-b56a8752500a;;111111118;Vodacom Life 20260324;;;;;AE;5;2026-05-22 08:57:52+02;system;2026-03-24 09:54:08+02;2026-03-24 09:54:08+02;;;;;;;;;27608535609;;;;;;;;prepaid life;;;;;</t>
  </si>
  <si>
    <t>ID_4758</t>
  </si>
  <si>
    <t>13865960;8e3e0db0-4c4b-460f-8460-428b02c79e54;;111111118;Vodacom Life 20260324;;;;;DROP;5;2026-05-22</t>
  </si>
  <si>
    <t>13865960;8e3e0db0-4c4b-460f-8460-428b02c79e54;;111111118;Vodacom Life 20260324;;;;;DROP;5;2026-05-22 10:47:16+02;system;2026-03-24 09:54:08+02;2026-03-24 09:54:08+02;;;;;;;;;27714158440;;;;;;;;prepaid life;;;;;</t>
  </si>
  <si>
    <t>ID_4759</t>
  </si>
  <si>
    <t>13866043;5c779d65-3e1e-47da-9d80-9e59afc1972b;;111111118;Vodacom Life 20260324;;;;;AA;5;2026-05-22 0</t>
  </si>
  <si>
    <t>13866043;5c779d65-3e1e-47da-9d80-9e59afc1972b;;111111118;Vodacom Life 20260324;;;;;AA;5;2026-05-22 09:57:37+02;system;2026-03-24 09:54:08+02;2026-03-24 09:54:08+02;;;;;;;;;27763032424;;;;;;;;prepaid life;;;;;</t>
  </si>
  <si>
    <t>ID_4760</t>
  </si>
  <si>
    <t>13865961;b79dbca4-2147-4bd9-9841-7762729eb316;;111111118;Vodacom Life 20260324;;;;;NIUP;1;2026-03-26</t>
  </si>
  <si>
    <t>13865961;b79dbca4-2147-4bd9-9841-7762729eb316;;111111118;Vodacom Life 20260324;;;;;NIUP;1;2026-03-26 10:49:53+02;Millicent Motsuku;2026-03-24 09:54:08+02;2026-03-24 09:54:08+02;;;;;;;;;27714274568;;;;;;;;prepaid life;;;;;</t>
  </si>
  <si>
    <t>ID_4761</t>
  </si>
  <si>
    <t>13865892;34479333-8c0d-43c9-835c-b16c35da4e38;;111111118;Vodacom Life 20260324;;;;;NA;5;2026-05-22 0</t>
  </si>
  <si>
    <t>13865892;34479333-8c0d-43c9-835c-b16c35da4e38;;111111118;Vodacom Life 20260324;;;;;NA;5;2026-05-22 08:58:02+02;system;2026-03-24 09:54:08+02;2026-03-24 09:54:08+02;;;;;;;;;27609117039;;;;;;;;prepaid life;;;;;</t>
  </si>
  <si>
    <t>ID_4762</t>
  </si>
  <si>
    <t>13866044;62580ae9-0e4d-435f-9d29-12ccf4576659;;111111118;Vodacom Life 20260324;;;;;AA;5;2026-05-22 0</t>
  </si>
  <si>
    <t>13866044;62580ae9-0e4d-435f-9d29-12ccf4576659;;111111118;Vodacom Life 20260324;;;;;AA;5;2026-05-22 09:57:37+02;system;2026-03-24 09:54:08+02;2026-03-24 09:54:08+02;;;;;;;;;27763211011;;;;;;;;prepaid life;;;;;</t>
  </si>
  <si>
    <t>ID_4763</t>
  </si>
  <si>
    <t>13865893;30b9561b-1c77-46cd-98c0-166788591840;;111111118;Vodacom Life 20260324;;;;;CU;5;2026-05-22 0</t>
  </si>
  <si>
    <t>13865893;30b9561b-1c77-46cd-98c0-166788591840;;111111118;Vodacom Life 20260324;;;;;CU;5;2026-05-22 08:54:46+02;bongiwe lushaba;2026-03-24 09:54:08+02;2026-03-24 09:54:08+02;;;;;;;;;27630394119;;;;;;;;prepaid life;;;;;</t>
  </si>
  <si>
    <t>ID_4764</t>
  </si>
  <si>
    <t xml:space="preserve">13865962;7a4e63a4-7251-4c81-aa43-166e4626ce28;;111111118;Vodacom Life 20260324;;;;;ADC;5;2026-05-22 </t>
  </si>
  <si>
    <t>13865962;7a4e63a4-7251-4c81-aa43-166e4626ce28;;111111118;Vodacom Life 20260324;;;;;ADC;5;2026-05-22 10:47:15+02;system;2026-03-24 09:54:08+02;2026-03-24 09:54:08+02;;;;;;;;;27714351784;;;;;;;;prepaid life;;;;;</t>
  </si>
  <si>
    <t>ID_4765</t>
  </si>
  <si>
    <t>13865963;855dcc08-c288-4c34-a4b5-d4930f8d31de;;111111118;Vodacom Life 20260324;;;;;AA;5;2026-05-22 1</t>
  </si>
  <si>
    <t>13865963;855dcc08-c288-4c34-a4b5-d4930f8d31de;;111111118;Vodacom Life 20260324;;;;;AA;5;2026-05-22 10:47:10+02;system;2026-03-24 09:54:08+02;2026-03-24 09:54:08+02;;;;;;;;;27714512029;;;;;;;;prepaid life;;;;;</t>
  </si>
  <si>
    <t>ID_4766</t>
  </si>
  <si>
    <t>13866045;dcb758ad-0016-4206-a450-7b150120b6f3;;111111118;Vodacom Life 20260324;;;;;NI;2;2026-04-08 1</t>
  </si>
  <si>
    <t>13866045;dcb758ad-0016-4206-a450-7b150120b6f3;;111111118;Vodacom Life 20260324;;;;;NI;2;2026-04-08 14:07:17+02;Maureen Ntsoko;2026-03-24 09:54:08+02;2026-03-24 09:54:08+02;;;;;;;;;27763212555;;;;;;;;prepaid life;;;;;</t>
  </si>
  <si>
    <t>ID_4767</t>
  </si>
  <si>
    <t>13865894;dbce8904-ecb4-4975-8a8e-c2d348d1cc77;;111111118;Vodacom Life 20260324;;;;;NI;2;2026-04-08 1</t>
  </si>
  <si>
    <t>13865894;dbce8904-ecb4-4975-8a8e-c2d348d1cc77;;111111118;Vodacom Life 20260324;;;;;NI;2;2026-04-08 15:28:26+02;Mahlatse Manamela;2026-03-24 09:54:08+02;2026-03-24 09:54:08+02;;;;;;;;;27636058161;;;;;;;;prepaid life;;;;;</t>
  </si>
  <si>
    <t>ID_4768</t>
  </si>
  <si>
    <t>13866046;20b3e087-9fdc-4a75-ab9f-57884f0c54e6;;111111118;Vodacom Life 20260324;;;;;NA;5;2026-05-22 0</t>
  </si>
  <si>
    <t>13866046;20b3e087-9fdc-4a75-ab9f-57884f0c54e6;;111111118;Vodacom Life 20260324;;;;;NA;5;2026-05-22 09:57:37+02;system;2026-03-24 09:54:08+02;2026-03-24 09:54:08+02;;;;;;;;;27763523496;;;;;;;;prepaid life;;;;;</t>
  </si>
  <si>
    <t>ID_4769</t>
  </si>
  <si>
    <t>13865965;7b61531f-76e4-4c42-adec-d1597233d2cb;;111111118;Vodacom Life 20260324;;;;;NA;5;2026-05-22 1</t>
  </si>
  <si>
    <t>13865965;7b61531f-76e4-4c42-adec-d1597233d2cb;;111111118;Vodacom Life 20260324;;;;;NA;5;2026-05-22 10:46:53+02;system;2026-03-24 09:54:08+02;2026-03-24 09:54:08+02;;;;;;;;;27714688362;;;;;;;;prepaid life;;;;;</t>
  </si>
  <si>
    <t>ID_4770</t>
  </si>
  <si>
    <t>13866047;f4a540bf-72a9-4b11-9dda-9de63782a2ea;;111111118;Vodacom Life 20260324;;;;;A;5;2026-04-14 12</t>
  </si>
  <si>
    <t>13866047;f4a540bf-72a9-4b11-9dda-9de63782a2ea;;111111118;Vodacom Life 20260324;;;;;A;5;2026-04-14 12:09:49+02;bongiwe lushaba;2026-03-24 09:54:08+02;2026-03-24 09:54:08+02;;;;;;;;;27763622818;;;;;;;;prepaid life;;;;;</t>
  </si>
  <si>
    <t>ID_4771</t>
  </si>
  <si>
    <t>13865966;90c9dc0c-a8d7-4c9b-a356-ff0e83c74a4d;;111111118;Vodacom Life 20260324;;;;;CBACK;4;2026-05-1</t>
  </si>
  <si>
    <t>13865966;90c9dc0c-a8d7-4c9b-a356-ff0e83c74a4d;;111111118;Vodacom Life 20260324;;;;;CBACK;4;2026-05-19 08:33:39+02;Khensane Mabasa;2026-03-24 09:54:08+02;2026-03-24 09:54:08+02;;;;;;;;;27714965845;;;;;;;;prepaid life;;;;;</t>
  </si>
  <si>
    <t>ID_4772</t>
  </si>
  <si>
    <t>13865895;ee71b3fa-7123-4d05-affd-317a42bb26cd;;111111118;Vodacom Life 20260324;;;27636356782;;IABDN;</t>
  </si>
  <si>
    <t>13865895;ee71b3fa-7123-4d05-affd-317a42bb26cd;;111111118;Vodacom Life 20260324;;;27636356782;;IABDN;5;2026-05-22 08:56:26+02;system;2026-03-24 09:54:08+02;2026-03-24 09:54:08+02;;;;;;;;;27636356782;;;;;;;;prepaid life;;;;;</t>
  </si>
  <si>
    <t>ID_4773</t>
  </si>
  <si>
    <t>13866048;efdb92f3-7aa8-4d01-991f-29c3ccd97ca2;;111111118;Vodacom Life 20260324;;;;;CU;5;2026-05-22 0</t>
  </si>
  <si>
    <t>13866048;efdb92f3-7aa8-4d01-991f-29c3ccd97ca2;;111111118;Vodacom Life 20260324;;;;;CU;5;2026-05-22 09:57:15+02;Maureen Ntsoko;2026-03-24 09:54:08+02;2026-03-24 09:54:08+02;;;;;;;;;27763948946;;;;;;;;prepaid life;;;;;</t>
  </si>
  <si>
    <t>ID_4774</t>
  </si>
  <si>
    <t>13865896;9bb60165-5b3d-4aac-b122-f942e153a1b3;;111111118;Vodacom Life 20260324;;;;;CU;5;2026-05-22 0</t>
  </si>
  <si>
    <t>13865896;9bb60165-5b3d-4aac-b122-f942e153a1b3;;111111118;Vodacom Life 20260324;;;;;CU;5;2026-05-22 08:54:46+02;Maureen Ntsoko;2026-03-24 09:54:08+02;2026-03-24 09:54:08+02;;;;;;;;;27636437765;;;;;;;;prepaid life;;;;;</t>
  </si>
  <si>
    <t>ID_4775</t>
  </si>
  <si>
    <t>13865967;97839d02-759f-426b-aeaa-0ed4426b2af7;;111111118;Vodacom Life 20260324;;;;;AA;5;2026-05-22 1</t>
  </si>
  <si>
    <t>13865967;97839d02-759f-426b-aeaa-0ed4426b2af7;;111111118;Vodacom Life 20260324;;;;;AA;5;2026-05-22 10:46:50+02;system;2026-03-24 09:54:08+02;2026-03-24 09:54:08+02;;;;;;;;;27715563754;;;;;;;;prepaid life;;;;;</t>
  </si>
  <si>
    <t>ID_4776</t>
  </si>
  <si>
    <t>13866049;dd3f0a9d-2e72-4d0b-897f-be41a8c9c06a;;111111118;Vodacom Life 20260324;;;;;NI;2;2026-04-08 1</t>
  </si>
  <si>
    <t>13866049;dd3f0a9d-2e72-4d0b-897f-be41a8c9c06a;;111111118;Vodacom Life 20260324;;;;;NI;2;2026-04-08 14:05:59+02;Musiiwa Mary Mabirimisa;2026-03-24 09:54:08+02;2026-03-24 09:54:08+02;;;;;;;;;27764590916;;;;;;;;prepaid life;;;;;</t>
  </si>
  <si>
    <t>ID_4777</t>
  </si>
  <si>
    <t>13865968;ffe8c295-d3b3-47c3-b38d-2ee2f752e208;;111111118;Vodacom Life 20260324;;;;;NA;5;2026-05-22 1</t>
  </si>
  <si>
    <t>13865968;ffe8c295-d3b3-47c3-b38d-2ee2f752e208;;111111118;Vodacom Life 20260324;;;;;NA;5;2026-05-22 10:46:50+02;system;2026-03-24 09:54:08+02;2026-03-24 09:54:08+02;;;;;;;;;27715690488;;;;;;;;prepaid life;;;;;</t>
  </si>
  <si>
    <t>ID_4778</t>
  </si>
  <si>
    <t>13865964;9860dc1e-b984-4390-95a0-42104b2631df;;111111118;Vodacom Life 20260324;;;;;AE;5;2026-05-22 0</t>
  </si>
  <si>
    <t>13865964;9860dc1e-b984-4390-95a0-42104b2631df;;111111118;Vodacom Life 20260324;;;;;AE;5;2026-05-22 09:20:55+02;system;2026-03-24 09:54:08+02;2026-03-24 09:54:08+02;;;;;;;;;27714645332;;;;;;;;prepaid life;;;;;</t>
  </si>
  <si>
    <t>ID_4779</t>
  </si>
  <si>
    <t>13866050;8b3c3703-20fc-49db-ad46-cd23c9b79351;;111111118;Vodacom Life 20260324;;;;;NI;2;2026-04-08 1</t>
  </si>
  <si>
    <t>13866050;8b3c3703-20fc-49db-ad46-cd23c9b79351;;111111118;Vodacom Life 20260324;;;;;NI;2;2026-04-08 14:05:59+02;Thandile Nokubeni;2026-03-24 09:54:08+02;2026-03-24 09:54:08+02;;;;;;;;;27764669106;;;;;;;;prepaid life;;;;;</t>
  </si>
  <si>
    <t>ID_4780</t>
  </si>
  <si>
    <t>13865969;6ca78b78-2ab4-4475-aaa0-b1161953f1ca;;111111118;Vodacom Life 20260324;;;;;AE;5;2026-05-22 1</t>
  </si>
  <si>
    <t>13865969;6ca78b78-2ab4-4475-aaa0-b1161953f1ca;;111111118;Vodacom Life 20260324;;;;;AE;5;2026-05-22 10:45:24+02;system;2026-03-24 09:54:08+02;2026-03-24 09:54:08+02;;;;;;;;;27715691966;;;;;;;;prepaid life;;;;;</t>
  </si>
  <si>
    <t>ID_4781</t>
  </si>
  <si>
    <t>13865970;e5c4846a-625d-486a-a498-1fd974123cd4;;111111118;Vodacom Life 20260324;;;;;DROP;5;2026-05-22</t>
  </si>
  <si>
    <t>13865970;e5c4846a-625d-486a-a498-1fd974123cd4;;111111118;Vodacom Life 20260324;;;;;DROP;5;2026-05-22 10:45:23+02;system;2026-03-24 09:54:08+02;2026-03-24 09:54:08+02;;;;;;;;;27715883584;;;;;;;;prepaid life;;;;;</t>
  </si>
  <si>
    <t>ID_4782</t>
  </si>
  <si>
    <t>13866051;77851f1e-9d33-485d-b8cc-c52f18d5dfdd;;111111118;Vodacom Life 20260324;;;;;NA;5;2026-05-22 0</t>
  </si>
  <si>
    <t>13866051;77851f1e-9d33-485d-b8cc-c52f18d5dfdd;;111111118;Vodacom Life 20260324;;;;;NA;5;2026-05-22 09:55:28+02;system;2026-03-24 09:54:08+02;2026-03-24 09:54:08+02;;;;;;;;;27765130071;;;;;;;;prepaid life;;;;;</t>
  </si>
  <si>
    <t>ID_4783</t>
  </si>
  <si>
    <t xml:space="preserve">13866052;18a6df31-3507-467f-9e59-2b7109af186f;;111111118;Vodacom Life 20260324;;;;;ADC;5;2026-05-22 </t>
  </si>
  <si>
    <t>13866052;18a6df31-3507-467f-9e59-2b7109af186f;;111111118;Vodacom Life 20260324;;;;;ADC;5;2026-05-22 09:54:46+02;system;2026-03-24 09:54:08+02;2026-03-24 09:54:08+02;;;;;;;;;27765212764;;;;;;;;prepaid life;;;;;</t>
  </si>
  <si>
    <t>ID_4784</t>
  </si>
  <si>
    <t>13865971;8a639f4d-019e-48f6-95a3-57fdc3aae1dd;;111111118;Vodacom Life 20260324;;;27716369142;;CU;5;2</t>
  </si>
  <si>
    <t>13865971;8a639f4d-019e-48f6-95a3-57fdc3aae1dd;;111111118;Vodacom Life 20260324;;;27716369142;;CU;5;2026-05-22 10:55:00+02;bongiwe lushaba;2026-03-24 09:54:08+02;2026-03-24 09:54:08+02;;;;;;;;;27716369142;;;;;;;;prepaid life;;;;;</t>
  </si>
  <si>
    <t>ID_4785</t>
  </si>
  <si>
    <t xml:space="preserve">13866053;dbef66a8-8518-4b70-9d0c-0a2d99432590;;111111118;Vodacom Life 20260324;;;;;CCB;6;2026-04-21 </t>
  </si>
  <si>
    <t>13866053;dbef66a8-8518-4b70-9d0c-0a2d99432590;;111111118;Vodacom Life 20260324;;;;;CCB;6;2026-04-21 11:57:49+02;Seboifeng Mogola;2026-03-24 09:54:08+02;2026-03-24 09:54:08+02;;;;;;;;;27765283993;;;;;;;;prepaid life;;;;;</t>
  </si>
  <si>
    <t>ID_4786</t>
  </si>
  <si>
    <t>13866054;4afc0a40-9f08-42d1-a5a6-4ceff3251fab;;111111118;Vodacom Life 20260324;;;;;AA;5;2026-05-22 0</t>
  </si>
  <si>
    <t>13866054;4afc0a40-9f08-42d1-a5a6-4ceff3251fab;;111111118;Vodacom Life 20260324;;;;;AA;5;2026-05-22 09:54:37+02;system;2026-03-24 09:54:08+02;2026-03-24 09:54:08+02;;;;;;;;;27765297804;;;;;;;;prepaid life;;;;;</t>
  </si>
  <si>
    <t>ID_4787</t>
  </si>
  <si>
    <t>13865974;74bff1b1-fe7a-4f16-b105-8c626c1de96a;;111111118;Vodacom Life 20260324;;;;;NA;5;2026-05-22 1</t>
  </si>
  <si>
    <t>13865974;74bff1b1-fe7a-4f16-b105-8c626c1de96a;;111111118;Vodacom Life 20260324;;;;;NA;5;2026-05-22 10:44:53+02;system;2026-03-24 09:54:08+02;2026-03-24 09:54:08+02;;;;;;;;;27717872612;;;;;;;;prepaid life;;;;;</t>
  </si>
  <si>
    <t>ID_4788</t>
  </si>
  <si>
    <t>13866055;fe7d40d9-ee69-49bf-8c2f-c5a9e8cb2cbc;;111111118;Vodacom Life 20260324;;;;;A;5;2026-05-22 09</t>
  </si>
  <si>
    <t>13866055;fe7d40d9-ee69-49bf-8c2f-c5a9e8cb2cbc;;111111118;Vodacom Life 20260324;;;;;A;5;2026-05-22 09:54:34+02;bongiwe lushaba;2026-03-24 09:54:08+02;2026-03-24 09:54:08+02;;;;;;;;;27766436640;;;;;;;;prepaid life;;;;;</t>
  </si>
  <si>
    <t>ID_4789</t>
  </si>
  <si>
    <t>13866056;f0df4e62-592d-42ea-8b12-3c9a73730da1;;111111118;Vodacom Life 20260324;;;;;DROP;5;2026-05-22</t>
  </si>
  <si>
    <t>13866056;f0df4e62-592d-42ea-8b12-3c9a73730da1;;111111118;Vodacom Life 20260324;;;;;DROP;5;2026-05-22 09:53:26+02;system;2026-03-24 09:54:08+02;2026-03-24 09:54:08+02;;;;;;;;;27766688869;;;;;;;;prepaid life;;;;;</t>
  </si>
  <si>
    <t>ID_4790</t>
  </si>
  <si>
    <t>13865976;07ac70bf-e607-496c-a0b2-baadf2ccf524;;111111118;Vodacom Life 20260324;;;27720733820;;N;5;20</t>
  </si>
  <si>
    <t>13865976;07ac70bf-e607-496c-a0b2-baadf2ccf524;;111111118;Vodacom Life 20260324;;;27720733820;;N;5;2026-05-07 14:43:56+02;Maureen Ntsoko;2026-03-24 09:54:08+02;2026-03-24 09:54:08+02;;;;;;;;;27720733820;;;;;;;;prepaid life;;;;;</t>
  </si>
  <si>
    <t>ID_4791</t>
  </si>
  <si>
    <t>13866057;063fa928-b97f-4110-981c-545ab61ac981;;111111118;Vodacom Life 20260324;;;;;DROP;5;2026-05-22</t>
  </si>
  <si>
    <t>13866057;063fa928-b97f-4110-981c-545ab61ac981;;111111118;Vodacom Life 20260324;;;;;DROP;5;2026-05-22 09:53:13+02;system;2026-03-24 09:54:08+02;2026-03-24 09:54:08+02;;;;;;;;;27767200780;;;;;;;;prepaid life;;;;;</t>
  </si>
  <si>
    <t>ID_4792</t>
  </si>
  <si>
    <t>13865977;9f564e16-ab93-4040-98f9-1a03933a2586;;111111118;Vodacom Life 20260324;;;;;CU;5;2026-05-22 1</t>
  </si>
  <si>
    <t>13865977;9f564e16-ab93-4040-98f9-1a03933a2586;;111111118;Vodacom Life 20260324;;;;;CU;5;2026-05-22 10:44:37+02;Maureen Ntsoko;2026-03-24 09:54:08+02;2026-03-24 09:54:08+02;;;;;;;;;27720796399;;;;;;;;prepaid life;;;;;</t>
  </si>
  <si>
    <t>ID_4793</t>
  </si>
  <si>
    <t>13866058;a6926fb4-7f2a-4797-9bdd-25a845310955;;111111118;Vodacom Life 20260324;;;;;NA;5;2026-05-22 0</t>
  </si>
  <si>
    <t>13866058;a6926fb4-7f2a-4797-9bdd-25a845310955;;111111118;Vodacom Life 20260324;;;;;NA;5;2026-05-22 09:53:11+02;system;2026-03-24 09:54:08+02;2026-03-24 09:54:08+02;;;;;;;;;27767559844;;;;;;;;prepaid life;;;;;</t>
  </si>
  <si>
    <t>ID_4794</t>
  </si>
  <si>
    <t>13866059;bba9d454-e647-4372-b6c4-a3d400d7039c;;111111118;Vodacom Life 20260324;;;;;AA;5;2026-05-22 0</t>
  </si>
  <si>
    <t>13866059;bba9d454-e647-4372-b6c4-a3d400d7039c;;111111118;Vodacom Life 20260324;;;;;AA;5;2026-05-22 09:52:09+02;system;2026-03-24 09:54:08+02;2026-03-24 09:54:08+02;;;;;;;;;27767578914;;;;;;;;prepaid life;;;;;</t>
  </si>
  <si>
    <t>ID_4795</t>
  </si>
  <si>
    <t>13865978;d85470ef-e605-4337-bdb4-fadc7acfba35;;111111118;Vodacom Life 20260324;;;;;NI;2;2026-04-08 1</t>
  </si>
  <si>
    <t>13865978;d85470ef-e605-4337-bdb4-fadc7acfba35;;111111118;Vodacom Life 20260324;;;;;NI;2;2026-04-08 14:41:24+02;Maureen Ntsoko;2026-03-24 09:54:08+02;2026-03-24 09:54:08+02;;;;;;;;;27721398373;;;;;;;;prepaid life;;;;;</t>
  </si>
  <si>
    <t>ID_4796</t>
  </si>
  <si>
    <t>13866060;8720976e-0d10-4009-a720-0c72cf47b479;;111111118;Vodacom Life 20260324;;;;;CU;5;2026-05-22 0</t>
  </si>
  <si>
    <t>13866060;8720976e-0d10-4009-a720-0c72cf47b479;;111111118;Vodacom Life 20260324;;;;;CU;5;2026-05-22 09:52:09+02;Maureen Ntsoko;2026-03-24 09:54:08+02;2026-03-24 09:54:08+02;;;;;;;;;27767766039;;;;;;;;prepaid life;;;;;</t>
  </si>
  <si>
    <t>ID_4797</t>
  </si>
  <si>
    <t>13866061;635aaf3f-9878-41d3-9aea-cfd584e00e31;;111111118;Vodacom Life 20260324;;;;;A;5;2026-05-22 09</t>
  </si>
  <si>
    <t>13866061;635aaf3f-9878-41d3-9aea-cfd584e00e31;;111111118;Vodacom Life 20260324;;;;;A;5;2026-05-22 09:52:09+02;bongiwe lushaba;2026-03-24 09:54:08+02;2026-03-24 09:54:08+02;;;;;;;;;27767782369;;;;;;;;prepaid life;;;;;</t>
  </si>
  <si>
    <t>ID_4798</t>
  </si>
  <si>
    <t>13865979;b3cade1e-c45b-4fcb-bf2b-cea9d2c374ac;;111111118;Vodacom Life 20260324;;;;;AE;5;2026-05-22 1</t>
  </si>
  <si>
    <t>13865979;b3cade1e-c45b-4fcb-bf2b-cea9d2c374ac;;111111118;Vodacom Life 20260324;;;;;AE;5;2026-05-22 10:44:36+02;system;2026-03-24 09:54:08+02;2026-03-24 09:54:08+02;;;;;;;;;27721492868;;;;;;;;prepaid life;;;;;</t>
  </si>
  <si>
    <t>ID_4799</t>
  </si>
  <si>
    <t>13866062;f282c425-f438-47c5-b641-775464384f33;;111111118;Vodacom Life 20260324;;;;;AE;5;2026-05-22 0</t>
  </si>
  <si>
    <t>13866062;f282c425-f438-47c5-b641-775464384f33;;111111118;Vodacom Life 20260324;;;;;AE;5;2026-05-22 09:50:17+02;system;2026-03-24 09:54:08+02;2026-03-24 09:54:08+02;;;;;;;;;27768056898;;;;;;;;prepaid life;;;;;</t>
  </si>
  <si>
    <t>ID_4800</t>
  </si>
  <si>
    <t>13865980;5ff5a6d1-8f27-418e-879b-da4496e80492;;111111118;Vodacom Life 20260324;;;;;AA;5;2026-05-22 1</t>
  </si>
  <si>
    <t>13865980;5ff5a6d1-8f27-418e-879b-da4496e80492;;111111118;Vodacom Life 20260324;;;;;AA;5;2026-05-22 10:44:30+02;system;2026-03-24 09:54:08+02;2026-03-24 09:54:08+02;;;;;;;;;27721788650;;;;;;;;prepaid life;;;;;</t>
  </si>
  <si>
    <t>ID_4801</t>
  </si>
  <si>
    <t>13865981;183b2576-0eb4-4800-ab5b-e3cfe303115d;;111111118;Vodacom Life 20260324;;;;;NI;1;2026-04-01 1</t>
  </si>
  <si>
    <t>13865981;183b2576-0eb4-4800-ab5b-e3cfe303115d;;111111118;Vodacom Life 20260324;;;;;NI;1;2026-04-01 11:10:07+02;Thandile Nokubeni;2026-03-24 09:54:08+02;2026-03-24 09:54:08+02;;;;;;;;;27721830996;;;;;;;;prepaid life;;;;;</t>
  </si>
  <si>
    <t>ID_4802</t>
  </si>
  <si>
    <t>13866063;c92a6005-0e5f-46ba-9433-b5fc0c700eba;;111111118;Vodacom Life 20260324;;;;;NA;5;2026-05-22 0</t>
  </si>
  <si>
    <t>13866063;c92a6005-0e5f-46ba-9433-b5fc0c700eba;;111111118;Vodacom Life 20260324;;;;;NA;5;2026-05-22 09:50:17+02;system;2026-03-24 09:54:08+02;2026-03-24 09:54:08+02;;;;;;;;;27768430777;;;;;;;;prepaid life;;;;;</t>
  </si>
  <si>
    <t>ID_4803</t>
  </si>
  <si>
    <t>13866064;ca4fe86b-4506-4f99-9de7-a9ca81c94208;;111111118;Vodacom Life 20260324;;;;;NI;2;2026-04-08 1</t>
  </si>
  <si>
    <t>13866064;ca4fe86b-4506-4f99-9de7-a9ca81c94208;;111111118;Vodacom Life 20260324;;;;;NI;2;2026-04-08 14:02:04+02;Musiiwa Mary Mabirimisa;2026-03-24 09:54:08+02;2026-03-24 09:54:08+02;;;;;;;;;27768587449;;;;;;;;prepaid life;;;;;</t>
  </si>
  <si>
    <t>ID_4804</t>
  </si>
  <si>
    <t>13865983;df63611d-25af-465e-8724-c809007ac6c9;;111111118;Vodacom Life 20260324;;;;;U;1;2026-04-02 11</t>
  </si>
  <si>
    <t>13865983;df63611d-25af-465e-8724-c809007ac6c9;;111111118;Vodacom Life 20260324;;;;;U;1;2026-04-02 11:57:17+02;Thandile Nokubeni;2026-03-24 09:54:08+02;2026-03-24 09:54:08+02;;;;;;;;;27722587632;;;;;;;;prepaid life;;;;;</t>
  </si>
  <si>
    <t>ID_4805</t>
  </si>
  <si>
    <t>13866065;715fe9e3-64dc-49b4-96a9-0aeb18c66166;;111111118;Vodacom Life 20260324;;;;;CBACK;2;2026-04-0</t>
  </si>
  <si>
    <t>13866065;715fe9e3-64dc-49b4-96a9-0aeb18c66166;;111111118;Vodacom Life 20260324;;;;;CBACK;2;2026-04-08 14:00:21+02;Thandile Nokubeni;2026-03-24 09:54:08+02;2026-03-24 09:54:08+02;;;;;;;;;27769205997;;;;;;;;prepaid life;;;;;</t>
  </si>
  <si>
    <t>ID_4806</t>
  </si>
  <si>
    <t>13865984;d8a9b2ad-8a6e-413c-9cfd-49bb3858262c;;111111118;Vodacom Life 20260324;;;;;CBACK;1;2026-04-0</t>
  </si>
  <si>
    <t>13865984;d8a9b2ad-8a6e-413c-9cfd-49bb3858262c;;111111118;Vodacom Life 20260324;;;;;CBACK;1;2026-04-02 11:56:43+02;Maureen Ntsoko;2026-03-24 09:54:08+02;2026-03-24 09:54:08+02;;;;;;;;;27722610874;;;;;;;;prepaid life;;;;;</t>
  </si>
  <si>
    <t>ID_4807</t>
  </si>
  <si>
    <t>13865985;26dcf14d-55ee-4fe4-b861-cf678a00b8a5;;111111118;Vodacom Life 20260324;;;;;A;5;2026-05-22 10</t>
  </si>
  <si>
    <t>13865985;26dcf14d-55ee-4fe4-b861-cf678a00b8a5;;111111118;Vodacom Life 20260324;;;;;A;5;2026-05-22 10:44:27+02;Maureen Ntsoko;2026-03-24 09:54:08+02;2026-03-24 09:54:08+02;;;;;;;;;27722623031;;;;;;;;prepaid life;;;;;</t>
  </si>
  <si>
    <t>ID_4808</t>
  </si>
  <si>
    <t>13865986;0b7d744f-063e-4cee-a287-94f1743440ed;;111111118;Vodacom Life 20260324;;;;;NA;5;2026-05-22 1</t>
  </si>
  <si>
    <t>13865986;0b7d744f-063e-4cee-a287-94f1743440ed;;111111118;Vodacom Life 20260324;;;;;NA;5;2026-05-22 10:42:18+02;system;2026-03-24 09:54:08+02;2026-03-24 09:54:08+02;;;;;;;;;27722657885;;;;;;;;prepaid life;;;;;</t>
  </si>
  <si>
    <t>ID_4809</t>
  </si>
  <si>
    <t>13866067;232e6a46-e9e3-4775-b058-6e9c73deb943;;111111118;Vodacom Life 20260324;;;;;CU;5;2026-05-22 0</t>
  </si>
  <si>
    <t>13866067;232e6a46-e9e3-4775-b058-6e9c73deb943;;111111118;Vodacom Life 20260324;;;;;CU;5;2026-05-22 09:48:40+02;Maureen Ntsoko;2026-03-24 09:54:08+02;2026-03-24 09:54:08+02;;;;;;;;;27769622111;;;;;;;;prepaid life;;;;;</t>
  </si>
  <si>
    <t>ID_4810</t>
  </si>
  <si>
    <t>13865987;7fa7be3e-ef7c-4005-b84b-baec75dd5db5;;111111118;Vodacom Life 20260324;;;;;AA;5;2026-05-22 1</t>
  </si>
  <si>
    <t>13865987;7fa7be3e-ef7c-4005-b84b-baec75dd5db5;;111111118;Vodacom Life 20260324;;;;;AA;5;2026-05-22 10:42:18+02;system;2026-03-24 09:54:08+02;2026-03-24 09:54:08+02;;;;;;;;;27722677376;;;;;;;;prepaid life;;;;;</t>
  </si>
  <si>
    <t>ID_4811</t>
  </si>
  <si>
    <t>13866068;63d6f18f-e897-4030-98bd-55dfa9dd6587;;111111118;Vodacom Life 20260324;;;;;AA;5;2026-05-22 0</t>
  </si>
  <si>
    <t>13866068;63d6f18f-e897-4030-98bd-55dfa9dd6587;;111111118;Vodacom Life 20260324;;;;;AA;5;2026-05-22 09:48:23+02;system;2026-03-24 09:54:08+02;2026-03-24 09:54:08+02;;;;;;;;;27769640913;;;;;;;;prepaid life;;;;;</t>
  </si>
  <si>
    <t>ID_4812</t>
  </si>
  <si>
    <t>13865988;0cac2a8a-c51e-44ff-a5ff-43e0d063a23b;;111111118;Vodacom Life 20260324;;;27722934574;;BLQ;5;</t>
  </si>
  <si>
    <t>13865988;0cac2a8a-c51e-44ff-a5ff-43e0d063a23b;;111111118;Vodacom Life 20260324;;;27722934574;;BLQ;5;2026-05-22 10:42:07+02;bongiwe lushaba;2026-03-24 09:54:08+02;2026-03-24 09:54:08+02;;;;;;;;;27722934574;;;;;;;;prepaid life;;;;;</t>
  </si>
  <si>
    <t>ID_4813</t>
  </si>
  <si>
    <t>13865989;df8347a6-e49f-42fd-a65d-1f3f38879f6d;;111111118;Vodacom Life 20260324;;;;;AA;5;2026-05-22 1</t>
  </si>
  <si>
    <t>13865989;df8347a6-e49f-42fd-a65d-1f3f38879f6d;;111111118;Vodacom Life 20260324;;;;;AA;5;2026-05-22 10:42:06+02;system;2026-03-24 09:54:08+02;2026-03-24 09:54:08+02;;;;;;;;;27723029754;;;;;;;;prepaid life;;;;;</t>
  </si>
  <si>
    <t>ID_4814</t>
  </si>
  <si>
    <t>13866069;de50b2ef-0311-4323-a3de-13981ba50685;;111111118;Vodacom Life 20260324;;;;;NI;3;2026-04-08 1</t>
  </si>
  <si>
    <t>13866069;de50b2ef-0311-4323-a3de-13981ba50685;;111111118;Vodacom Life 20260324;;;;;NI;3;2026-04-08 14:02:54+02;Thandile Nokubeni;2026-03-24 09:54:08+02;2026-03-24 09:54:08+02;;;;;;;;;27769663828;;;;;;;;prepaid life;;;;;</t>
  </si>
  <si>
    <t>ID_4815</t>
  </si>
  <si>
    <t>13866070;ce6a2387-4f05-4dc9-9106-260d2529f0e4;;111111118;Vodacom Life 20260324;;;;;AA;5;2026-05-22 0</t>
  </si>
  <si>
    <t>13866070;ce6a2387-4f05-4dc9-9106-260d2529f0e4;;111111118;Vodacom Life 20260324;;;;;AA;5;2026-05-22 09:45:11+02;system;2026-03-24 09:54:08+02;2026-03-24 09:54:08+02;;;;;;;;;27769798677;;;;;;;;prepaid life;;;;;</t>
  </si>
  <si>
    <t>ID_4816</t>
  </si>
  <si>
    <t>13865990;aa36b7ec-89cc-4dff-b78f-7b392ea5a4fe;;111111118;Vodacom Life 20260324;;;;;NA;5;2026-05-22 1</t>
  </si>
  <si>
    <t>13865990;aa36b7ec-89cc-4dff-b78f-7b392ea5a4fe;;111111118;Vodacom Life 20260324;;;;;NA;5;2026-05-22 10:42:00+02;system;2026-03-24 09:54:08+02;2026-03-24 09:54:08+02;;;;;;;;;27723144011;;;;;;;;prepaid life;;;;;</t>
  </si>
  <si>
    <t>ID_4817</t>
  </si>
  <si>
    <t>13866071;47d4f612-0bff-4c4a-9b27-ebbdaf6d1421;;111111118;Vodacom Life 20260324;;;27772661989;;IABDN;</t>
  </si>
  <si>
    <t>13866071;47d4f612-0bff-4c4a-9b27-ebbdaf6d1421;;111111118;Vodacom Life 20260324;;;27772661989;;IABDN;5;2026-05-22 10:16:18+02;system;2026-03-24 09:54:08+02;2026-03-24 09:54:08+02;;;;;;;;;27772661989;;;;;;;;prepaid life;;;;;</t>
  </si>
  <si>
    <t>ID_4818</t>
  </si>
  <si>
    <t>13865991;b7ee6364-a62c-49f9-a1d4-d74ce768d93d;;111111118;Vodacom Life 20260324;;;;;AA;5;2026-05-22 1</t>
  </si>
  <si>
    <t>13865991;b7ee6364-a62c-49f9-a1d4-d74ce768d93d;;111111118;Vodacom Life 20260324;;;;;AA;5;2026-05-22 10:42:00+02;system;2026-03-24 09:54:08+02;2026-03-24 09:54:08+02;;;;;;;;;27723239355;;;;;;;;prepaid life;;;;;</t>
  </si>
  <si>
    <t>ID_4819</t>
  </si>
  <si>
    <t>13866072;70b66e0b-71c0-4638-ba04-3e01192856f6;;111111118;Vodacom Life 20260324;;;;;NI;4;2026-04-17 1</t>
  </si>
  <si>
    <t>13866072;70b66e0b-71c0-4638-ba04-3e01192856f6;;111111118;Vodacom Life 20260324;;;;;NI;4;2026-04-17 11:02:33+02;Musiiwa Mary Mabirimisa;2026-03-24 09:54:08+02;2026-03-24 09:54:08+02;;;;;;;;;27773686085;;;;;;;;prepaid life;;;;;</t>
  </si>
  <si>
    <t>ID_4820</t>
  </si>
  <si>
    <t>13865992;1f3a30b5-91f2-4f3f-8e76-7288c72a2ed3;;111111118;Vodacom Life 20260324;;;;;AA;5;2026-05-22 1</t>
  </si>
  <si>
    <t>13865992;1f3a30b5-91f2-4f3f-8e76-7288c72a2ed3;;111111118;Vodacom Life 20260324;;;;;AA;5;2026-05-22 10:42:00+02;system;2026-03-24 09:54:08+02;2026-03-24 09:54:08+02;;;;;;;;;27723881806;;;;;;;;prepaid life;;;;;</t>
  </si>
  <si>
    <t>ID_4821</t>
  </si>
  <si>
    <t>13866073;961f4748-e9d8-454e-a799-dbd9e6bd97ef;;111111118;Vodacom Life 20260324;;;;;CU;5;2026-05-22 0</t>
  </si>
  <si>
    <t>13866073;961f4748-e9d8-454e-a799-dbd9e6bd97ef;;111111118;Vodacom Life 20260324;;;;;CU;5;2026-05-22 09:44:59+02;bongiwe lushaba;2026-03-24 09:54:08+02;2026-03-24 09:54:08+02;;;;;;;;;27773987025;;;;;;;;prepaid life;;;;;</t>
  </si>
  <si>
    <t>ID_4822</t>
  </si>
  <si>
    <t>13865993;f86316d1-2856-469c-9ba5-b6a3a76aaaa4;;111111118;Vodacom Life 20260324;;;;;NI;4;2026-05-07 1</t>
  </si>
  <si>
    <t>13865993;f86316d1-2856-469c-9ba5-b6a3a76aaaa4;;111111118;Vodacom Life 20260324;;;;;NI;4;2026-05-07 14:47:48+02;Musiiwa Mary Mabirimisa;2026-03-24 09:54:08+02;2026-03-24 09:54:08+02;;;;;;;;;27723911277;;;;;;;;prepaid life;;;;;</t>
  </si>
  <si>
    <t>ID_4823</t>
  </si>
  <si>
    <t>13866074;df2de8d2-9d51-48e3-ad9c-e7e4c5641f4e;;111111118;Vodacom Life 20260324;;;;;N;5;2026-04-15 10</t>
  </si>
  <si>
    <t>13866074;df2de8d2-9d51-48e3-ad9c-e7e4c5641f4e;;111111118;Vodacom Life 20260324;;;;;N;5;2026-04-15 10:48:40+02;Thandile Nokubeni;2026-03-24 09:54:08+02;2026-03-24 09:54:08+02;;;;;;;;;27783785666;;;;;;;;prepaid life;;;;;</t>
  </si>
  <si>
    <t>ID_4824</t>
  </si>
  <si>
    <t>13865994;6caeeb01-920a-42dc-aec5-e30aa990b6f9;;111111118;Vodacom Life 20260324;;;;;AA;5;2026-05-22 1</t>
  </si>
  <si>
    <t>13865994;6caeeb01-920a-42dc-aec5-e30aa990b6f9;;111111118;Vodacom Life 20260324;;;;;AA;5;2026-05-22 10:42:00+02;system;2026-03-24 09:54:08+02;2026-03-24 09:54:08+02;;;;;;;;;27724010431;;;;;;;;prepaid life;;;;;</t>
  </si>
  <si>
    <t>ID_4825</t>
  </si>
  <si>
    <t>13866075;9cfc9ecb-1e7a-43aa-9cbf-1600bc6a6f68;;111111118;Vodacom Life 20260324;;;;;DROP;5;2026-05-22</t>
  </si>
  <si>
    <t>13866075;9cfc9ecb-1e7a-43aa-9cbf-1600bc6a6f68;;111111118;Vodacom Life 20260324;;;;;DROP;5;2026-05-22 09:44:10+02;system;2026-03-24 09:54:08+02;2026-03-24 09:54:08+02;;;;;;;;;27788495185;;;;;;;;prepaid life;;;;;</t>
  </si>
  <si>
    <t>ID_4826</t>
  </si>
  <si>
    <t>13866076;9e0efdb5-14fe-464f-b3a2-78925f1bc130;;111111118;Vodacom Life 20260324;;;;;AE;5;2026-05-22 0</t>
  </si>
  <si>
    <t>13866076;9e0efdb5-14fe-464f-b3a2-78925f1bc130;;111111118;Vodacom Life 20260324;;;;;AE;5;2026-05-22 09:44:10+02;system;2026-03-24 09:54:08+02;2026-03-24 09:54:08+02;;;;;;;;;27790498090;;;;;;;;prepaid life;;;;;</t>
  </si>
  <si>
    <t>ID_4827</t>
  </si>
  <si>
    <t>13866077;f06385fb-8bd5-41c6-a9fa-db376d865cf0;;111111118;Vodacom Life 20260324;;;;;AA;5;2026-05-22 0</t>
  </si>
  <si>
    <t>13866077;f06385fb-8bd5-41c6-a9fa-db376d865cf0;;111111118;Vodacom Life 20260324;;;;;AA;5;2026-05-22 09:44:10+02;system;2026-03-24 09:54:08+02;2026-03-24 09:54:08+02;;;;;;;;;27790557949;;;;;;;;prepaid life;;;;;</t>
  </si>
  <si>
    <t>ID_4828</t>
  </si>
  <si>
    <t>13866078;d7a4e71e-c12b-4a4d-a824-47c69031706a;;111111118;Vodacom Life 20260324;;;27790562866;;CU;5;2</t>
  </si>
  <si>
    <t>13866078;d7a4e71e-c12b-4a4d-a824-47c69031706a;;111111118;Vodacom Life 20260324;;;27790562866;;CU;5;2026-05-22 09:42:57+02;bongiwe lushaba;2026-03-24 09:54:08+02;2026-03-24 09:54:08+02;;;;;;;;;27790562866;;;;;;;;prepaid life;;;;;</t>
  </si>
  <si>
    <t>ID_4829</t>
  </si>
  <si>
    <t>13866079;5439652f-1527-4944-be8e-8c3789dc6faf;;111111118;Vodacom Life 20260324;;;;;AA;5;2026-05-22 0</t>
  </si>
  <si>
    <t>13866079;5439652f-1527-4944-be8e-8c3789dc6faf;;111111118;Vodacom Life 20260324;;;;;AA;5;2026-05-22 09:42:26+02;system;2026-03-24 09:54:08+02;2026-03-24 09:54:08+02;;;;;;;;;27790889963;;;;;;;;prepaid life;;;;;</t>
  </si>
  <si>
    <t>ID_4830</t>
  </si>
  <si>
    <t>13866080;f8154e54-0213-45bd-b067-da5d32d14b9d;;111111118;Vodacom Life 20260324;;;;;NA;5;2026-05-22 0</t>
  </si>
  <si>
    <t>13866080;f8154e54-0213-45bd-b067-da5d32d14b9d;;111111118;Vodacom Life 20260324;;;;;NA;5;2026-05-22 09:42:26+02;system;2026-03-24 09:54:08+02;2026-03-24 09:54:08+02;;;;;;;;;27790956973;;;;;;;;prepaid life;;;;;</t>
  </si>
  <si>
    <t>ID_4831</t>
  </si>
  <si>
    <t>13866081;f74060f7-bd85-4da9-abab-8312375eeb9d;;111111118;Vodacom Life 20260324;;;;;AA;5;2026-05-22 0</t>
  </si>
  <si>
    <t>13866081;f74060f7-bd85-4da9-abab-8312375eeb9d;;111111118;Vodacom Life 20260324;;;;;AA;5;2026-05-22 09:39:42+02;system;2026-03-24 09:54:08+02;2026-03-24 09:54:08+02;;;;;;;;;27791036120;;;;;;;;prepaid life;;;;;</t>
  </si>
  <si>
    <t>ID_4832</t>
  </si>
  <si>
    <t>13866082;7f8bbb6a-b97d-492f-b323-bd1db0277f94;;111111118;Vodacom Life 20260324;;;;;NA;5;2026-05-22 0</t>
  </si>
  <si>
    <t>13866082;7f8bbb6a-b97d-492f-b323-bd1db0277f94;;111111118;Vodacom Life 20260324;;;;;NA;5;2026-05-22 09:38:50+02;system;2026-03-24 09:54:08+02;2026-03-24 09:54:08+02;;;;;;;;;27791117503;;;;;;;;prepaid life;;;;;</t>
  </si>
  <si>
    <t>ID_4833</t>
  </si>
  <si>
    <t>13866083;69873fe6-86a4-4f8d-b678-d0d9a3a85340;;111111118;Vodacom Life 20260324;;;;;AA;5;2026-05-22 0</t>
  </si>
  <si>
    <t>13866083;69873fe6-86a4-4f8d-b678-d0d9a3a85340;;111111118;Vodacom Life 20260324;;;;;AA;5;2026-05-22 09:35:20+02;system;2026-03-24 09:54:08+02;2026-03-24 09:54:08+02;;;;;;;;;27791125045;;;;;;;;prepaid life;;;;;</t>
  </si>
  <si>
    <t>ID_4834</t>
  </si>
  <si>
    <t>13861227;890f139f-b47c-49b6-b2b7-a54172cc321e;;111111118;Vodacom Life 20260324;;;;;U;1;2026-03-26 10</t>
  </si>
  <si>
    <t>13861227;890f139f-b47c-49b6-b2b7-a54172cc321e;;111111118;Vodacom Life 20260324;;;;;U;1;2026-03-26 10:52:39+02;Thandile Nokubeni;2026-03-24 09:54:08+02;2026-03-24 09:54:08+02;;;;;;;;;27818244254;;;;;;;;prepaid life;;;;;</t>
  </si>
  <si>
    <t>ID_4835</t>
  </si>
  <si>
    <t>13861860;a8083bd0-946e-414b-8df5-06bbc8042369;;111111118;Vodacom Life 20260324;;;27790638415;;IABDN;</t>
  </si>
  <si>
    <t>13861860;a8083bd0-946e-414b-8df5-06bbc8042369;;111111118;Vodacom Life 20260324;;;27790638415;;IABDN;5;2026-05-22 09:33:43+02;system;2026-03-24 09:54:08+02;2026-03-24 09:54:08+02;;;;;;;;;27790638415;;;;;;;;prepaid life;;;;;</t>
  </si>
  <si>
    <t>ID_4836</t>
  </si>
  <si>
    <t>13861949;94f53c6b-392c-49da-843c-c4ef9fc0d7f0;;111111118;Vodacom Life 20260324;;;;;DROP;5;2026-05-22</t>
  </si>
  <si>
    <t>13861949;94f53c6b-392c-49da-843c-c4ef9fc0d7f0;;111111118;Vodacom Life 20260324;;;;;DROP;5;2026-05-22 09:29:09+02;system;2026-03-24 09:54:08+02;2026-03-24 09:54:08+02;;;;;;;;;27711265347;;;;;;;;prepaid life;;;;;</t>
  </si>
  <si>
    <t>ID_4837</t>
  </si>
  <si>
    <t>13863613;a1bbd98c-dbfb-42ab-a153-fd486001cafe;;111111118;Vodacom Life 20260324;;;;;NI;3;2026-04-08 1</t>
  </si>
  <si>
    <t>13863613;a1bbd98c-dbfb-42ab-a153-fd486001cafe;;111111118;Vodacom Life 20260324;;;;;NI;3;2026-04-08 13:52:54+02;Thandile Nokubeni;2026-03-24 09:54:08+02;2026-03-24 09:54:08+02;;;;;;;;;27792429834;;;;;;;;prepaid life;;;;;</t>
  </si>
  <si>
    <t>ID_4838</t>
  </si>
  <si>
    <t>13863916;1b8b0575-01b2-4fa7-98ea-18e0957e5eba;;111111118;Vodacom Life 20260324;;;;;NA;5;2026-05-22 0</t>
  </si>
  <si>
    <t>13863916;1b8b0575-01b2-4fa7-98ea-18e0957e5eba;;111111118;Vodacom Life 20260324;;;;;NA;5;2026-05-22 09:25:35+02;system;2026-03-24 09:54:08+02;2026-03-24 09:54:08+02;;;;;;;;;27822960889;;;;;;;;prepaid life;;;;;</t>
  </si>
  <si>
    <t>ID_4839</t>
  </si>
  <si>
    <t>13865122;071ae011-d97a-4fed-aaf8-c90bfef71527;;111111118;Vodacom Life 20260324;;;;;SELECTED;1;;;2026</t>
  </si>
  <si>
    <t>13865122;071ae011-d97a-4fed-aaf8-c90bfef71527;;111111118;Vodacom Life 20260324;;;;;SELECTED;1;;;2026-03-24 09:54:08+02;2026-03-24 09:54:08+02;;;;;;;;;27712807099;;;;;;;;prepaid life;;;;;</t>
  </si>
  <si>
    <t>ID_4840</t>
  </si>
  <si>
    <t>13865390;eb5c6dc4-17bb-48cb-bfdc-732a992a302b;;111111118;Vodacom Life 20260324;;;;;NA;5;2026-05-22 0</t>
  </si>
  <si>
    <t>13865390;eb5c6dc4-17bb-48cb-bfdc-732a992a302b;;111111118;Vodacom Life 20260324;;;;;NA;5;2026-05-22 09:23:42+02;system;2026-03-24 09:54:08+02;2026-03-24 09:54:08+02;;;;;;;;;27712235393;;;;;;;;prepaid life;;;;;</t>
  </si>
  <si>
    <t>ID_4841</t>
  </si>
  <si>
    <t>13865556;a6b04108-f01f-4105-9681-6af68e1b8665;;111111118;Vodacom Life 20260324;;;;;AA;5;2026-05-22 0</t>
  </si>
  <si>
    <t>13865556;a6b04108-f01f-4105-9681-6af68e1b8665;;111111118;Vodacom Life 20260324;;;;;AA;5;2026-05-22 09:21:35+02;system;2026-03-24 09:54:08+02;2026-03-24 09:54:08+02;;;;;;;;;27818957465;;;;;;;;prepaid life;;;;;</t>
  </si>
  <si>
    <t>Count</t>
  </si>
  <si>
    <t>Grand Total</t>
  </si>
  <si>
    <t>Clientele Bellringer Leads Campaign Analysis</t>
  </si>
  <si>
    <t>Unsuccessful Contacts</t>
  </si>
  <si>
    <t>Lead Count</t>
  </si>
  <si>
    <t>Interested in Deal?</t>
  </si>
  <si>
    <t>Successful Contacts</t>
  </si>
  <si>
    <t>True Contacts</t>
  </si>
  <si>
    <t>Answering Machine Autodial</t>
  </si>
  <si>
    <t>No Answer Autodial</t>
  </si>
  <si>
    <t>Auto Engaged</t>
  </si>
  <si>
    <t>Disconnected Number Auto</t>
  </si>
  <si>
    <t>Answering Machine</t>
  </si>
  <si>
    <t>Selected</t>
  </si>
  <si>
    <t>No Answer</t>
  </si>
  <si>
    <t>Busy Tone</t>
  </si>
  <si>
    <t>Dropped</t>
  </si>
  <si>
    <t>New</t>
  </si>
  <si>
    <t>Call Dropped</t>
  </si>
  <si>
    <t>Inbound After Hours Drop</t>
  </si>
  <si>
    <t>TPS Registered Number</t>
  </si>
  <si>
    <t>Temporary Disconnected Number</t>
  </si>
  <si>
    <t>Bad Line Quality</t>
  </si>
  <si>
    <t>Inbound Abandon</t>
  </si>
  <si>
    <t>Outbound Pre-Routing Drop</t>
  </si>
  <si>
    <t>Engaged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</si>
  <si>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</si>
  <si>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</si>
  <si>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</si>
  <si>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</si>
  <si>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</si>
  <si>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</si>
  <si>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</si>
  <si>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Auto Dial Disconnected</t>
  </si>
  <si>
    <t>Disconnected Number Temporary</t>
  </si>
  <si>
    <t>Sale Made - Completed Mandate</t>
  </si>
  <si>
    <t>Sale Made - Pending Mandate</t>
  </si>
  <si>
    <t>Sale Made</t>
  </si>
  <si>
    <t>Tyme Bank Account Sale</t>
  </si>
  <si>
    <t>QA Rework</t>
  </si>
  <si>
    <t>Already Contacted</t>
  </si>
  <si>
    <t>Existing Client</t>
  </si>
  <si>
    <t>Unemployed</t>
  </si>
  <si>
    <t>Wrong Number</t>
  </si>
  <si>
    <t>Do Not Call</t>
  </si>
  <si>
    <t>No Smartphones</t>
  </si>
  <si>
    <t>Client Deceased</t>
  </si>
  <si>
    <t>Right Party Not Available</t>
  </si>
  <si>
    <t>Client Overage Limit</t>
  </si>
  <si>
    <t>Language Barrier</t>
  </si>
  <si>
    <t>Non SA Citizen</t>
  </si>
  <si>
    <t>No Bank Account</t>
  </si>
  <si>
    <t>Client Underage</t>
  </si>
  <si>
    <t>Go To The Branch</t>
  </si>
  <si>
    <t>Completed</t>
  </si>
  <si>
    <t>Cannot Afford Upfront Payment</t>
  </si>
  <si>
    <t>Account Suspended</t>
  </si>
  <si>
    <t>Insured at another company</t>
  </si>
  <si>
    <t>Scheduled Appointment</t>
  </si>
  <si>
    <t>Refund Request</t>
  </si>
  <si>
    <t>Does Not Qualify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</si>
  <si>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</si>
  <si>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</si>
  <si>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</si>
  <si>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</si>
  <si>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</si>
  <si>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Client Hung Up</t>
  </si>
  <si>
    <t>CallBack</t>
  </si>
  <si>
    <t>Not Interested</t>
  </si>
  <si>
    <t>Not Interested Upfront</t>
  </si>
  <si>
    <t>Cannot Afford Premium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</si>
  <si>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</si>
  <si>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</si>
  <si>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</si>
  <si>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</si>
  <si>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</si>
  <si>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</si>
  <si>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Cannot Afford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</si>
  <si>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</si>
  <si>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</si>
  <si>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</si>
  <si>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</si>
  <si>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</si>
  <si>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</si>
  <si>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</si>
  <si>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</si>
  <si>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</si>
  <si>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</si>
  <si>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</si>
  <si>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% Contribution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</si>
</sst>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84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J2" t="s">
        <v>39</v>
      </c>
      <c r="K2" t="s">
        <v>40</v>
      </c>
    </row>
    <row r="3" spans="1:38">
      <c r="A3" t="s">
        <v>41</v>
      </c>
      <c r="J3" t="s">
        <v>42</v>
      </c>
      <c r="K3" t="s">
        <v>43</v>
      </c>
    </row>
    <row r="4" spans="1:38">
      <c r="A4" t="s">
        <v>44</v>
      </c>
      <c r="J4" t="s">
        <v>45</v>
      </c>
      <c r="K4" t="s">
        <v>46</v>
      </c>
    </row>
    <row r="5" spans="1:38">
      <c r="A5" t="s">
        <v>47</v>
      </c>
      <c r="J5" t="s">
        <v>48</v>
      </c>
      <c r="K5" t="s">
        <v>49</v>
      </c>
    </row>
    <row r="6" spans="1:38">
      <c r="A6" t="s">
        <v>50</v>
      </c>
      <c r="J6" t="s">
        <v>51</v>
      </c>
      <c r="K6" t="s">
        <v>52</v>
      </c>
    </row>
    <row r="7" spans="1:38">
      <c r="A7" t="s">
        <v>53</v>
      </c>
      <c r="J7" t="s">
        <v>54</v>
      </c>
      <c r="K7" t="s">
        <v>55</v>
      </c>
    </row>
    <row r="8" spans="1:38">
      <c r="A8" t="s">
        <v>56</v>
      </c>
      <c r="J8" t="s">
        <v>57</v>
      </c>
      <c r="K8" t="s">
        <v>58</v>
      </c>
    </row>
    <row r="9" spans="1:38">
      <c r="A9" t="s">
        <v>59</v>
      </c>
      <c r="J9" t="s">
        <v>60</v>
      </c>
      <c r="K9" t="s">
        <v>61</v>
      </c>
    </row>
    <row r="10" spans="1:38">
      <c r="A10" t="s">
        <v>62</v>
      </c>
      <c r="J10" t="s">
        <v>63</v>
      </c>
      <c r="K10" t="s">
        <v>64</v>
      </c>
    </row>
    <row r="11" spans="1:38">
      <c r="A11" t="s">
        <v>65</v>
      </c>
      <c r="J11" t="s">
        <v>66</v>
      </c>
      <c r="K11" t="s">
        <v>67</v>
      </c>
    </row>
    <row r="12" spans="1:38">
      <c r="A12" t="s">
        <v>68</v>
      </c>
      <c r="J12" t="s">
        <v>69</v>
      </c>
      <c r="K12" t="s">
        <v>70</v>
      </c>
    </row>
    <row r="13" spans="1:38">
      <c r="A13" t="s">
        <v>71</v>
      </c>
      <c r="J13" t="s">
        <v>72</v>
      </c>
      <c r="K13" t="s">
        <v>73</v>
      </c>
    </row>
    <row r="14" spans="1:38">
      <c r="A14" t="s">
        <v>74</v>
      </c>
      <c r="J14" t="s">
        <v>75</v>
      </c>
      <c r="K14" t="s">
        <v>76</v>
      </c>
    </row>
    <row r="15" spans="1:38">
      <c r="A15" t="s">
        <v>77</v>
      </c>
      <c r="J15" t="s">
        <v>78</v>
      </c>
      <c r="K15" t="s">
        <v>79</v>
      </c>
    </row>
    <row r="16" spans="1:38">
      <c r="A16" t="s">
        <v>80</v>
      </c>
      <c r="J16" t="s">
        <v>81</v>
      </c>
      <c r="K16" t="s">
        <v>82</v>
      </c>
    </row>
    <row r="17" spans="1:11">
      <c r="A17" t="s">
        <v>83</v>
      </c>
      <c r="J17" t="s">
        <v>84</v>
      </c>
      <c r="K17" t="s">
        <v>85</v>
      </c>
    </row>
    <row r="18" spans="1:11">
      <c r="A18" t="s">
        <v>86</v>
      </c>
      <c r="J18" t="s">
        <v>87</v>
      </c>
      <c r="K18" t="s">
        <v>88</v>
      </c>
    </row>
    <row r="19" spans="1:11">
      <c r="A19" t="s">
        <v>89</v>
      </c>
      <c r="J19" t="s">
        <v>90</v>
      </c>
      <c r="K19" t="s">
        <v>91</v>
      </c>
    </row>
    <row r="20" spans="1:11">
      <c r="A20" t="s">
        <v>92</v>
      </c>
      <c r="J20" t="s">
        <v>93</v>
      </c>
      <c r="K20" t="s">
        <v>94</v>
      </c>
    </row>
    <row r="21" spans="1:11">
      <c r="A21" t="s">
        <v>95</v>
      </c>
      <c r="J21" t="s">
        <v>96</v>
      </c>
      <c r="K21" t="s">
        <v>97</v>
      </c>
    </row>
    <row r="22" spans="1:11">
      <c r="A22" t="s">
        <v>98</v>
      </c>
      <c r="J22" t="s">
        <v>99</v>
      </c>
      <c r="K22" t="s">
        <v>100</v>
      </c>
    </row>
    <row r="23" spans="1:11">
      <c r="A23" t="s">
        <v>101</v>
      </c>
      <c r="J23" t="s">
        <v>102</v>
      </c>
      <c r="K23" t="s">
        <v>103</v>
      </c>
    </row>
    <row r="24" spans="1:11">
      <c r="A24" t="s">
        <v>104</v>
      </c>
      <c r="J24" t="s">
        <v>105</v>
      </c>
      <c r="K24" t="s">
        <v>106</v>
      </c>
    </row>
    <row r="25" spans="1:11">
      <c r="A25" t="s">
        <v>107</v>
      </c>
      <c r="J25" t="s">
        <v>108</v>
      </c>
      <c r="K25" t="s">
        <v>109</v>
      </c>
    </row>
    <row r="26" spans="1:11">
      <c r="A26" t="s">
        <v>110</v>
      </c>
      <c r="J26" t="s">
        <v>111</v>
      </c>
      <c r="K26" t="s">
        <v>112</v>
      </c>
    </row>
    <row r="27" spans="1:11">
      <c r="A27" t="s">
        <v>113</v>
      </c>
      <c r="J27" t="s">
        <v>114</v>
      </c>
      <c r="K27" t="s">
        <v>115</v>
      </c>
    </row>
    <row r="28" spans="1:11">
      <c r="A28" t="s">
        <v>116</v>
      </c>
      <c r="J28" t="s">
        <v>117</v>
      </c>
      <c r="K28" t="s">
        <v>118</v>
      </c>
    </row>
    <row r="29" spans="1:11">
      <c r="A29" t="s">
        <v>119</v>
      </c>
      <c r="J29" t="s">
        <v>120</v>
      </c>
      <c r="K29" t="s">
        <v>121</v>
      </c>
    </row>
    <row r="30" spans="1:11">
      <c r="A30" t="s">
        <v>122</v>
      </c>
      <c r="J30" t="s">
        <v>123</v>
      </c>
      <c r="K30" t="s">
        <v>124</v>
      </c>
    </row>
    <row r="31" spans="1:11">
      <c r="A31" t="s">
        <v>125</v>
      </c>
      <c r="J31" t="s">
        <v>126</v>
      </c>
      <c r="K31" t="s">
        <v>127</v>
      </c>
    </row>
    <row r="32" spans="1:11">
      <c r="A32" t="s">
        <v>128</v>
      </c>
      <c r="J32" t="s">
        <v>129</v>
      </c>
      <c r="K32" t="s">
        <v>130</v>
      </c>
    </row>
    <row r="33" spans="1:11">
      <c r="A33" t="s">
        <v>131</v>
      </c>
      <c r="J33" t="s">
        <v>132</v>
      </c>
      <c r="K33" t="s">
        <v>133</v>
      </c>
    </row>
    <row r="34" spans="1:11">
      <c r="A34" t="s">
        <v>134</v>
      </c>
      <c r="J34" t="s">
        <v>135</v>
      </c>
      <c r="K34" t="s">
        <v>136</v>
      </c>
    </row>
    <row r="35" spans="1:11">
      <c r="A35" t="s">
        <v>137</v>
      </c>
      <c r="J35" t="s">
        <v>138</v>
      </c>
      <c r="K35" t="s">
        <v>139</v>
      </c>
    </row>
    <row r="36" spans="1:11">
      <c r="A36" t="s">
        <v>140</v>
      </c>
      <c r="J36" t="s">
        <v>141</v>
      </c>
      <c r="K36" t="s">
        <v>142</v>
      </c>
    </row>
    <row r="37" spans="1:11">
      <c r="A37" t="s">
        <v>143</v>
      </c>
      <c r="J37" t="s">
        <v>144</v>
      </c>
      <c r="K37" t="s">
        <v>145</v>
      </c>
    </row>
    <row r="38" spans="1:11">
      <c r="A38" t="s">
        <v>146</v>
      </c>
      <c r="J38" t="s">
        <v>147</v>
      </c>
      <c r="K38" t="s">
        <v>148</v>
      </c>
    </row>
    <row r="39" spans="1:11">
      <c r="A39" t="s">
        <v>149</v>
      </c>
      <c r="J39" t="s">
        <v>150</v>
      </c>
      <c r="K39" t="s">
        <v>151</v>
      </c>
    </row>
    <row r="40" spans="1:11">
      <c r="A40" t="s">
        <v>152</v>
      </c>
      <c r="J40" t="s">
        <v>153</v>
      </c>
      <c r="K40" t="s">
        <v>154</v>
      </c>
    </row>
    <row r="41" spans="1:11">
      <c r="A41" t="s">
        <v>155</v>
      </c>
      <c r="J41" t="s">
        <v>156</v>
      </c>
      <c r="K41" t="s">
        <v>157</v>
      </c>
    </row>
    <row r="42" spans="1:11">
      <c r="A42" t="s">
        <v>158</v>
      </c>
      <c r="J42" t="s">
        <v>159</v>
      </c>
      <c r="K42" t="s">
        <v>160</v>
      </c>
    </row>
    <row r="43" spans="1:11">
      <c r="A43" t="s">
        <v>161</v>
      </c>
      <c r="J43" t="s">
        <v>162</v>
      </c>
      <c r="K43" t="s">
        <v>163</v>
      </c>
    </row>
    <row r="44" spans="1:11">
      <c r="A44" t="s">
        <v>164</v>
      </c>
      <c r="J44" t="s">
        <v>165</v>
      </c>
      <c r="K44" t="s">
        <v>166</v>
      </c>
    </row>
    <row r="45" spans="1:11">
      <c r="A45" t="s">
        <v>167</v>
      </c>
      <c r="J45" t="s">
        <v>168</v>
      </c>
      <c r="K45" t="s">
        <v>169</v>
      </c>
    </row>
    <row r="46" spans="1:11">
      <c r="A46" t="s">
        <v>170</v>
      </c>
      <c r="J46" t="s">
        <v>171</v>
      </c>
      <c r="K46" t="s">
        <v>172</v>
      </c>
    </row>
    <row r="47" spans="1:11">
      <c r="A47" t="s">
        <v>173</v>
      </c>
      <c r="J47" t="s">
        <v>174</v>
      </c>
      <c r="K47" t="s">
        <v>175</v>
      </c>
    </row>
    <row r="48" spans="1:11">
      <c r="A48" t="s">
        <v>176</v>
      </c>
      <c r="J48" t="s">
        <v>177</v>
      </c>
      <c r="K48" t="s">
        <v>178</v>
      </c>
    </row>
    <row r="49" spans="1:11">
      <c r="A49" t="s">
        <v>179</v>
      </c>
      <c r="J49" t="s">
        <v>180</v>
      </c>
      <c r="K49" t="s">
        <v>181</v>
      </c>
    </row>
    <row r="50" spans="1:11">
      <c r="A50" t="s">
        <v>182</v>
      </c>
      <c r="J50" t="s">
        <v>183</v>
      </c>
      <c r="K50" t="s">
        <v>184</v>
      </c>
    </row>
    <row r="51" spans="1:11">
      <c r="A51" t="s">
        <v>185</v>
      </c>
      <c r="J51" t="s">
        <v>186</v>
      </c>
      <c r="K51" t="s">
        <v>187</v>
      </c>
    </row>
    <row r="52" spans="1:11">
      <c r="A52" t="s">
        <v>188</v>
      </c>
      <c r="J52" t="s">
        <v>189</v>
      </c>
      <c r="K52" t="s">
        <v>190</v>
      </c>
    </row>
    <row r="53" spans="1:11">
      <c r="A53" t="s">
        <v>191</v>
      </c>
      <c r="J53" t="s">
        <v>192</v>
      </c>
      <c r="K53" t="s">
        <v>193</v>
      </c>
    </row>
    <row r="54" spans="1:11">
      <c r="A54" t="s">
        <v>194</v>
      </c>
      <c r="J54" t="s">
        <v>195</v>
      </c>
      <c r="K54" t="s">
        <v>196</v>
      </c>
    </row>
    <row r="55" spans="1:11">
      <c r="A55" t="s">
        <v>197</v>
      </c>
      <c r="J55" t="s">
        <v>198</v>
      </c>
      <c r="K55" t="s">
        <v>199</v>
      </c>
    </row>
    <row r="56" spans="1:11">
      <c r="A56" t="s">
        <v>200</v>
      </c>
      <c r="J56" t="s">
        <v>201</v>
      </c>
      <c r="K56" t="s">
        <v>202</v>
      </c>
    </row>
    <row r="57" spans="1:11">
      <c r="A57" t="s">
        <v>203</v>
      </c>
      <c r="J57" t="s">
        <v>204</v>
      </c>
      <c r="K57" t="s">
        <v>205</v>
      </c>
    </row>
    <row r="58" spans="1:11">
      <c r="A58" t="s">
        <v>206</v>
      </c>
      <c r="J58" t="s">
        <v>207</v>
      </c>
      <c r="K58" t="s">
        <v>208</v>
      </c>
    </row>
    <row r="59" spans="1:11">
      <c r="A59" t="s">
        <v>209</v>
      </c>
      <c r="J59" t="s">
        <v>210</v>
      </c>
      <c r="K59" t="s">
        <v>211</v>
      </c>
    </row>
    <row r="60" spans="1:11">
      <c r="A60" t="s">
        <v>212</v>
      </c>
      <c r="J60" t="s">
        <v>213</v>
      </c>
      <c r="K60" t="s">
        <v>214</v>
      </c>
    </row>
    <row r="61" spans="1:11">
      <c r="A61" t="s">
        <v>215</v>
      </c>
      <c r="J61" t="s">
        <v>216</v>
      </c>
      <c r="K61" t="s">
        <v>217</v>
      </c>
    </row>
    <row r="62" spans="1:11">
      <c r="A62" t="s">
        <v>218</v>
      </c>
      <c r="J62" t="s">
        <v>219</v>
      </c>
      <c r="K62" t="s">
        <v>220</v>
      </c>
    </row>
    <row r="63" spans="1:11">
      <c r="A63" t="s">
        <v>221</v>
      </c>
      <c r="J63" t="s">
        <v>222</v>
      </c>
      <c r="K63" t="s">
        <v>223</v>
      </c>
    </row>
    <row r="64" spans="1:11">
      <c r="A64" t="s">
        <v>224</v>
      </c>
      <c r="J64" t="s">
        <v>225</v>
      </c>
      <c r="K64" t="s">
        <v>226</v>
      </c>
    </row>
    <row r="65" spans="1:11">
      <c r="A65" t="s">
        <v>227</v>
      </c>
      <c r="J65" t="s">
        <v>228</v>
      </c>
      <c r="K65" t="s">
        <v>229</v>
      </c>
    </row>
    <row r="66" spans="1:11">
      <c r="A66" t="s">
        <v>230</v>
      </c>
      <c r="J66" t="s">
        <v>231</v>
      </c>
      <c r="K66" t="s">
        <v>232</v>
      </c>
    </row>
    <row r="67" spans="1:11">
      <c r="A67" t="s">
        <v>233</v>
      </c>
      <c r="J67" t="s">
        <v>234</v>
      </c>
      <c r="K67" t="s">
        <v>235</v>
      </c>
    </row>
    <row r="68" spans="1:11">
      <c r="A68" t="s">
        <v>236</v>
      </c>
      <c r="J68" t="s">
        <v>237</v>
      </c>
      <c r="K68" t="s">
        <v>238</v>
      </c>
    </row>
    <row r="69" spans="1:11">
      <c r="A69" t="s">
        <v>239</v>
      </c>
      <c r="J69" t="s">
        <v>240</v>
      </c>
      <c r="K69" t="s">
        <v>241</v>
      </c>
    </row>
    <row r="70" spans="1:11">
      <c r="A70" t="s">
        <v>242</v>
      </c>
      <c r="J70" t="s">
        <v>243</v>
      </c>
      <c r="K70" t="s">
        <v>244</v>
      </c>
    </row>
    <row r="71" spans="1:11">
      <c r="A71" t="s">
        <v>245</v>
      </c>
      <c r="J71" t="s">
        <v>246</v>
      </c>
      <c r="K71" t="s">
        <v>247</v>
      </c>
    </row>
    <row r="72" spans="1:11">
      <c r="A72" t="s">
        <v>248</v>
      </c>
      <c r="J72" t="s">
        <v>249</v>
      </c>
      <c r="K72" t="s">
        <v>250</v>
      </c>
    </row>
    <row r="73" spans="1:11">
      <c r="A73" t="s">
        <v>251</v>
      </c>
      <c r="J73" t="s">
        <v>252</v>
      </c>
      <c r="K73" t="s">
        <v>253</v>
      </c>
    </row>
    <row r="74" spans="1:11">
      <c r="A74" t="s">
        <v>254</v>
      </c>
      <c r="J74" t="s">
        <v>255</v>
      </c>
      <c r="K74" t="s">
        <v>256</v>
      </c>
    </row>
    <row r="75" spans="1:11">
      <c r="A75" t="s">
        <v>257</v>
      </c>
      <c r="J75" t="s">
        <v>258</v>
      </c>
      <c r="K75" t="s">
        <v>259</v>
      </c>
    </row>
    <row r="76" spans="1:11">
      <c r="A76" t="s">
        <v>260</v>
      </c>
      <c r="J76" t="s">
        <v>261</v>
      </c>
      <c r="K76" t="s">
        <v>262</v>
      </c>
    </row>
    <row r="77" spans="1:11">
      <c r="A77" t="s">
        <v>263</v>
      </c>
      <c r="J77" t="s">
        <v>264</v>
      </c>
      <c r="K77" t="s">
        <v>265</v>
      </c>
    </row>
    <row r="78" spans="1:11">
      <c r="A78" t="s">
        <v>266</v>
      </c>
      <c r="J78" t="s">
        <v>267</v>
      </c>
      <c r="K78" t="s">
        <v>268</v>
      </c>
    </row>
    <row r="79" spans="1:11">
      <c r="A79" t="s">
        <v>269</v>
      </c>
      <c r="J79" t="s">
        <v>270</v>
      </c>
      <c r="K79" t="s">
        <v>271</v>
      </c>
    </row>
    <row r="80" spans="1:11">
      <c r="A80" t="s">
        <v>272</v>
      </c>
      <c r="J80" t="s">
        <v>273</v>
      </c>
      <c r="K80" t="s">
        <v>274</v>
      </c>
    </row>
    <row r="81" spans="1:11">
      <c r="A81" t="s">
        <v>275</v>
      </c>
      <c r="J81" t="s">
        <v>276</v>
      </c>
      <c r="K81" t="s">
        <v>277</v>
      </c>
    </row>
    <row r="82" spans="1:11">
      <c r="A82" t="s">
        <v>278</v>
      </c>
      <c r="J82" t="s">
        <v>279</v>
      </c>
      <c r="K82" t="s">
        <v>280</v>
      </c>
    </row>
    <row r="83" spans="1:11">
      <c r="A83" t="s">
        <v>281</v>
      </c>
      <c r="J83" t="s">
        <v>282</v>
      </c>
      <c r="K83" t="s">
        <v>283</v>
      </c>
    </row>
    <row r="84" spans="1:11">
      <c r="A84" t="s">
        <v>284</v>
      </c>
      <c r="J84" t="s">
        <v>285</v>
      </c>
      <c r="K84" t="s">
        <v>286</v>
      </c>
    </row>
    <row r="85" spans="1:11">
      <c r="A85" t="s">
        <v>287</v>
      </c>
      <c r="J85" t="s">
        <v>288</v>
      </c>
      <c r="K85" t="s">
        <v>289</v>
      </c>
    </row>
    <row r="86" spans="1:11">
      <c r="A86" t="s">
        <v>290</v>
      </c>
      <c r="J86" t="s">
        <v>291</v>
      </c>
      <c r="K86" t="s">
        <v>292</v>
      </c>
    </row>
    <row r="87" spans="1:11">
      <c r="A87" t="s">
        <v>293</v>
      </c>
      <c r="J87" t="s">
        <v>294</v>
      </c>
      <c r="K87" t="s">
        <v>295</v>
      </c>
    </row>
    <row r="88" spans="1:11">
      <c r="A88" t="s">
        <v>296</v>
      </c>
      <c r="J88" t="s">
        <v>297</v>
      </c>
      <c r="K88" t="s">
        <v>298</v>
      </c>
    </row>
    <row r="89" spans="1:11">
      <c r="A89" t="s">
        <v>299</v>
      </c>
      <c r="J89" t="s">
        <v>300</v>
      </c>
      <c r="K89" t="s">
        <v>301</v>
      </c>
    </row>
    <row r="90" spans="1:11">
      <c r="A90" t="s">
        <v>302</v>
      </c>
      <c r="J90" t="s">
        <v>303</v>
      </c>
      <c r="K90" t="s">
        <v>304</v>
      </c>
    </row>
    <row r="91" spans="1:11">
      <c r="A91" t="s">
        <v>305</v>
      </c>
      <c r="J91" t="s">
        <v>306</v>
      </c>
      <c r="K91" t="s">
        <v>307</v>
      </c>
    </row>
    <row r="92" spans="1:11">
      <c r="A92" t="s">
        <v>308</v>
      </c>
      <c r="J92" t="s">
        <v>309</v>
      </c>
      <c r="K92" t="s">
        <v>310</v>
      </c>
    </row>
    <row r="93" spans="1:11">
      <c r="A93" t="s">
        <v>311</v>
      </c>
      <c r="J93" t="s">
        <v>312</v>
      </c>
      <c r="K93" t="s">
        <v>313</v>
      </c>
    </row>
    <row r="94" spans="1:11">
      <c r="A94" t="s">
        <v>314</v>
      </c>
      <c r="J94" t="s">
        <v>315</v>
      </c>
      <c r="K94" t="s">
        <v>316</v>
      </c>
    </row>
    <row r="95" spans="1:11">
      <c r="A95" t="s">
        <v>317</v>
      </c>
      <c r="J95" t="s">
        <v>318</v>
      </c>
      <c r="K95" t="s">
        <v>319</v>
      </c>
    </row>
    <row r="96" spans="1:11">
      <c r="A96" t="s">
        <v>320</v>
      </c>
      <c r="J96" t="s">
        <v>321</v>
      </c>
      <c r="K96" t="s">
        <v>322</v>
      </c>
    </row>
    <row r="97" spans="1:11">
      <c r="A97" t="s">
        <v>323</v>
      </c>
      <c r="J97" t="s">
        <v>324</v>
      </c>
      <c r="K97" t="s">
        <v>325</v>
      </c>
    </row>
    <row r="98" spans="1:11">
      <c r="A98" t="s">
        <v>326</v>
      </c>
      <c r="J98" t="s">
        <v>327</v>
      </c>
      <c r="K98" t="s">
        <v>328</v>
      </c>
    </row>
    <row r="99" spans="1:11">
      <c r="A99" t="s">
        <v>329</v>
      </c>
      <c r="J99" t="s">
        <v>330</v>
      </c>
      <c r="K99" t="s">
        <v>331</v>
      </c>
    </row>
    <row r="100" spans="1:11">
      <c r="A100" t="s">
        <v>332</v>
      </c>
      <c r="J100" t="s">
        <v>333</v>
      </c>
      <c r="K100" t="s">
        <v>334</v>
      </c>
    </row>
    <row r="101" spans="1:11">
      <c r="A101" t="s">
        <v>335</v>
      </c>
      <c r="J101" t="s">
        <v>336</v>
      </c>
      <c r="K101" t="s">
        <v>337</v>
      </c>
    </row>
    <row r="102" spans="1:11">
      <c r="A102" t="s">
        <v>338</v>
      </c>
      <c r="J102" t="s">
        <v>339</v>
      </c>
      <c r="K102" t="s">
        <v>340</v>
      </c>
    </row>
    <row r="103" spans="1:11">
      <c r="A103" t="s">
        <v>341</v>
      </c>
      <c r="J103" t="s">
        <v>342</v>
      </c>
      <c r="K103" t="s">
        <v>343</v>
      </c>
    </row>
    <row r="104" spans="1:11">
      <c r="A104" t="s">
        <v>344</v>
      </c>
      <c r="J104" t="s">
        <v>345</v>
      </c>
      <c r="K104" t="s">
        <v>346</v>
      </c>
    </row>
    <row r="105" spans="1:11">
      <c r="A105" t="s">
        <v>347</v>
      </c>
      <c r="J105" t="s">
        <v>348</v>
      </c>
      <c r="K105" t="s">
        <v>349</v>
      </c>
    </row>
    <row r="106" spans="1:11">
      <c r="A106" t="s">
        <v>350</v>
      </c>
      <c r="J106" t="s">
        <v>351</v>
      </c>
      <c r="K106" t="s">
        <v>352</v>
      </c>
    </row>
    <row r="107" spans="1:11">
      <c r="A107" t="s">
        <v>353</v>
      </c>
      <c r="J107" t="s">
        <v>354</v>
      </c>
      <c r="K107" t="s">
        <v>355</v>
      </c>
    </row>
    <row r="108" spans="1:11">
      <c r="A108" t="s">
        <v>356</v>
      </c>
      <c r="J108" t="s">
        <v>357</v>
      </c>
      <c r="K108" t="s">
        <v>358</v>
      </c>
    </row>
    <row r="109" spans="1:11">
      <c r="A109" t="s">
        <v>359</v>
      </c>
      <c r="J109" t="s">
        <v>360</v>
      </c>
      <c r="K109" t="s">
        <v>361</v>
      </c>
    </row>
    <row r="110" spans="1:11">
      <c r="A110" t="s">
        <v>362</v>
      </c>
      <c r="J110" t="s">
        <v>363</v>
      </c>
      <c r="K110" t="s">
        <v>364</v>
      </c>
    </row>
    <row r="111" spans="1:11">
      <c r="A111" t="s">
        <v>365</v>
      </c>
      <c r="J111" t="s">
        <v>366</v>
      </c>
      <c r="K111" t="s">
        <v>367</v>
      </c>
    </row>
    <row r="112" spans="1:11">
      <c r="A112" t="s">
        <v>368</v>
      </c>
      <c r="J112" t="s">
        <v>369</v>
      </c>
      <c r="K112" t="s">
        <v>370</v>
      </c>
    </row>
    <row r="113" spans="1:11">
      <c r="A113" t="s">
        <v>371</v>
      </c>
      <c r="J113" t="s">
        <v>372</v>
      </c>
      <c r="K113" t="s">
        <v>373</v>
      </c>
    </row>
    <row r="114" spans="1:11">
      <c r="A114" t="s">
        <v>374</v>
      </c>
      <c r="J114" t="s">
        <v>375</v>
      </c>
      <c r="K114" t="s">
        <v>376</v>
      </c>
    </row>
    <row r="115" spans="1:11">
      <c r="A115" t="s">
        <v>377</v>
      </c>
      <c r="J115" t="s">
        <v>378</v>
      </c>
      <c r="K115" t="s">
        <v>379</v>
      </c>
    </row>
    <row r="116" spans="1:11">
      <c r="A116" t="s">
        <v>380</v>
      </c>
      <c r="J116" t="s">
        <v>381</v>
      </c>
      <c r="K116" t="s">
        <v>382</v>
      </c>
    </row>
    <row r="117" spans="1:11">
      <c r="A117" t="s">
        <v>383</v>
      </c>
      <c r="J117" t="s">
        <v>384</v>
      </c>
      <c r="K117" t="s">
        <v>385</v>
      </c>
    </row>
    <row r="118" spans="1:11">
      <c r="A118" t="s">
        <v>386</v>
      </c>
      <c r="J118" t="s">
        <v>387</v>
      </c>
      <c r="K118" t="s">
        <v>388</v>
      </c>
    </row>
    <row r="119" spans="1:11">
      <c r="A119" t="s">
        <v>389</v>
      </c>
      <c r="J119" t="s">
        <v>390</v>
      </c>
      <c r="K119" t="s">
        <v>391</v>
      </c>
    </row>
    <row r="120" spans="1:11">
      <c r="A120" t="s">
        <v>392</v>
      </c>
      <c r="J120" t="s">
        <v>393</v>
      </c>
      <c r="K120" t="s">
        <v>394</v>
      </c>
    </row>
    <row r="121" spans="1:11">
      <c r="A121" t="s">
        <v>395</v>
      </c>
      <c r="J121" t="s">
        <v>396</v>
      </c>
      <c r="K121" t="s">
        <v>397</v>
      </c>
    </row>
    <row r="122" spans="1:11">
      <c r="A122" t="s">
        <v>398</v>
      </c>
      <c r="J122" t="s">
        <v>399</v>
      </c>
      <c r="K122" t="s">
        <v>400</v>
      </c>
    </row>
    <row r="123" spans="1:11">
      <c r="A123" t="s">
        <v>401</v>
      </c>
      <c r="J123" t="s">
        <v>402</v>
      </c>
      <c r="K123" t="s">
        <v>403</v>
      </c>
    </row>
    <row r="124" spans="1:11">
      <c r="A124" t="s">
        <v>404</v>
      </c>
      <c r="J124" t="s">
        <v>405</v>
      </c>
      <c r="K124" t="s">
        <v>406</v>
      </c>
    </row>
    <row r="125" spans="1:11">
      <c r="A125" t="s">
        <v>407</v>
      </c>
      <c r="J125" t="s">
        <v>408</v>
      </c>
      <c r="K125" t="s">
        <v>409</v>
      </c>
    </row>
    <row r="126" spans="1:11">
      <c r="A126" t="s">
        <v>410</v>
      </c>
      <c r="J126" t="s">
        <v>411</v>
      </c>
      <c r="K126" t="s">
        <v>412</v>
      </c>
    </row>
    <row r="127" spans="1:11">
      <c r="A127" t="s">
        <v>413</v>
      </c>
      <c r="J127" t="s">
        <v>414</v>
      </c>
      <c r="K127" t="s">
        <v>415</v>
      </c>
    </row>
    <row r="128" spans="1:11">
      <c r="A128" t="s">
        <v>416</v>
      </c>
      <c r="J128" t="s">
        <v>417</v>
      </c>
      <c r="K128" t="s">
        <v>418</v>
      </c>
    </row>
    <row r="129" spans="1:11">
      <c r="A129" t="s">
        <v>419</v>
      </c>
      <c r="J129" t="s">
        <v>420</v>
      </c>
      <c r="K129" t="s">
        <v>421</v>
      </c>
    </row>
    <row r="130" spans="1:11">
      <c r="A130" t="s">
        <v>422</v>
      </c>
      <c r="J130" t="s">
        <v>423</v>
      </c>
      <c r="K130" t="s">
        <v>424</v>
      </c>
    </row>
    <row r="131" spans="1:11">
      <c r="A131" t="s">
        <v>425</v>
      </c>
      <c r="J131" t="s">
        <v>426</v>
      </c>
      <c r="K131" t="s">
        <v>427</v>
      </c>
    </row>
    <row r="132" spans="1:11">
      <c r="A132" t="s">
        <v>428</v>
      </c>
      <c r="J132" t="s">
        <v>429</v>
      </c>
      <c r="K132" t="s">
        <v>430</v>
      </c>
    </row>
    <row r="133" spans="1:11">
      <c r="A133" t="s">
        <v>431</v>
      </c>
      <c r="J133" t="s">
        <v>432</v>
      </c>
      <c r="K133" t="s">
        <v>433</v>
      </c>
    </row>
    <row r="134" spans="1:11">
      <c r="A134" t="s">
        <v>434</v>
      </c>
      <c r="J134" t="s">
        <v>435</v>
      </c>
      <c r="K134" t="s">
        <v>436</v>
      </c>
    </row>
    <row r="135" spans="1:11">
      <c r="A135" t="s">
        <v>437</v>
      </c>
      <c r="J135" t="s">
        <v>438</v>
      </c>
      <c r="K135" t="s">
        <v>439</v>
      </c>
    </row>
    <row r="136" spans="1:11">
      <c r="A136" t="s">
        <v>440</v>
      </c>
      <c r="J136" t="s">
        <v>441</v>
      </c>
      <c r="K136" t="s">
        <v>442</v>
      </c>
    </row>
    <row r="137" spans="1:11">
      <c r="A137" t="s">
        <v>443</v>
      </c>
      <c r="J137" t="s">
        <v>444</v>
      </c>
      <c r="K137" t="s">
        <v>445</v>
      </c>
    </row>
    <row r="138" spans="1:11">
      <c r="A138" t="s">
        <v>446</v>
      </c>
      <c r="J138" t="s">
        <v>447</v>
      </c>
      <c r="K138" t="s">
        <v>448</v>
      </c>
    </row>
    <row r="139" spans="1:11">
      <c r="A139" t="s">
        <v>449</v>
      </c>
      <c r="J139" t="s">
        <v>450</v>
      </c>
      <c r="K139" t="s">
        <v>451</v>
      </c>
    </row>
    <row r="140" spans="1:11">
      <c r="A140" t="s">
        <v>452</v>
      </c>
      <c r="J140" t="s">
        <v>453</v>
      </c>
      <c r="K140" t="s">
        <v>454</v>
      </c>
    </row>
    <row r="141" spans="1:11">
      <c r="A141" t="s">
        <v>455</v>
      </c>
      <c r="J141" t="s">
        <v>456</v>
      </c>
      <c r="K141" t="s">
        <v>457</v>
      </c>
    </row>
    <row r="142" spans="1:11">
      <c r="A142" t="s">
        <v>458</v>
      </c>
      <c r="J142" t="s">
        <v>459</v>
      </c>
      <c r="K142" t="s">
        <v>460</v>
      </c>
    </row>
    <row r="143" spans="1:11">
      <c r="A143" t="s">
        <v>461</v>
      </c>
      <c r="J143" t="s">
        <v>462</v>
      </c>
      <c r="K143" t="s">
        <v>463</v>
      </c>
    </row>
    <row r="144" spans="1:11">
      <c r="A144" t="s">
        <v>464</v>
      </c>
      <c r="J144" t="s">
        <v>465</v>
      </c>
      <c r="K144" t="s">
        <v>466</v>
      </c>
    </row>
    <row r="145" spans="1:11">
      <c r="A145" t="s">
        <v>467</v>
      </c>
      <c r="J145" t="s">
        <v>468</v>
      </c>
      <c r="K145" t="s">
        <v>469</v>
      </c>
    </row>
    <row r="146" spans="1:11">
      <c r="A146" t="s">
        <v>470</v>
      </c>
      <c r="J146" t="s">
        <v>471</v>
      </c>
      <c r="K146" t="s">
        <v>472</v>
      </c>
    </row>
    <row r="147" spans="1:11">
      <c r="A147" t="s">
        <v>473</v>
      </c>
      <c r="J147" t="s">
        <v>474</v>
      </c>
      <c r="K147" t="s">
        <v>475</v>
      </c>
    </row>
    <row r="148" spans="1:11">
      <c r="A148" t="s">
        <v>476</v>
      </c>
      <c r="J148" t="s">
        <v>477</v>
      </c>
      <c r="K148" t="s">
        <v>478</v>
      </c>
    </row>
    <row r="149" spans="1:11">
      <c r="A149" t="s">
        <v>479</v>
      </c>
      <c r="J149" t="s">
        <v>480</v>
      </c>
      <c r="K149" t="s">
        <v>481</v>
      </c>
    </row>
    <row r="150" spans="1:11">
      <c r="A150" t="s">
        <v>482</v>
      </c>
      <c r="J150" t="s">
        <v>483</v>
      </c>
      <c r="K150" t="s">
        <v>484</v>
      </c>
    </row>
    <row r="151" spans="1:11">
      <c r="A151" t="s">
        <v>485</v>
      </c>
      <c r="J151" t="s">
        <v>486</v>
      </c>
      <c r="K151" t="s">
        <v>487</v>
      </c>
    </row>
    <row r="152" spans="1:11">
      <c r="A152" t="s">
        <v>488</v>
      </c>
      <c r="J152" t="s">
        <v>489</v>
      </c>
      <c r="K152" t="s">
        <v>490</v>
      </c>
    </row>
    <row r="153" spans="1:11">
      <c r="A153" t="s">
        <v>491</v>
      </c>
      <c r="J153" t="s">
        <v>492</v>
      </c>
      <c r="K153" t="s">
        <v>493</v>
      </c>
    </row>
    <row r="154" spans="1:11">
      <c r="A154" t="s">
        <v>494</v>
      </c>
      <c r="J154" t="s">
        <v>495</v>
      </c>
      <c r="K154" t="s">
        <v>496</v>
      </c>
    </row>
    <row r="155" spans="1:11">
      <c r="A155" t="s">
        <v>497</v>
      </c>
      <c r="J155" t="s">
        <v>498</v>
      </c>
      <c r="K155" t="s">
        <v>499</v>
      </c>
    </row>
    <row r="156" spans="1:11">
      <c r="A156" t="s">
        <v>500</v>
      </c>
      <c r="J156" t="s">
        <v>501</v>
      </c>
      <c r="K156" t="s">
        <v>502</v>
      </c>
    </row>
    <row r="157" spans="1:11">
      <c r="A157" t="s">
        <v>503</v>
      </c>
      <c r="J157" t="s">
        <v>504</v>
      </c>
      <c r="K157" t="s">
        <v>505</v>
      </c>
    </row>
    <row r="158" spans="1:11">
      <c r="A158" t="s">
        <v>506</v>
      </c>
      <c r="J158" t="s">
        <v>507</v>
      </c>
      <c r="K158" t="s">
        <v>508</v>
      </c>
    </row>
    <row r="159" spans="1:11">
      <c r="A159" t="s">
        <v>509</v>
      </c>
      <c r="J159" t="s">
        <v>510</v>
      </c>
      <c r="K159" t="s">
        <v>511</v>
      </c>
    </row>
    <row r="160" spans="1:11">
      <c r="A160" t="s">
        <v>512</v>
      </c>
      <c r="J160" t="s">
        <v>513</v>
      </c>
      <c r="K160" t="s">
        <v>514</v>
      </c>
    </row>
    <row r="161" spans="1:11">
      <c r="A161" t="s">
        <v>515</v>
      </c>
      <c r="J161" t="s">
        <v>516</v>
      </c>
      <c r="K161" t="s">
        <v>517</v>
      </c>
    </row>
    <row r="162" spans="1:11">
      <c r="A162" t="s">
        <v>518</v>
      </c>
      <c r="J162" t="s">
        <v>519</v>
      </c>
      <c r="K162" t="s">
        <v>520</v>
      </c>
    </row>
    <row r="163" spans="1:11">
      <c r="A163" t="s">
        <v>521</v>
      </c>
      <c r="J163" t="s">
        <v>522</v>
      </c>
      <c r="K163" t="s">
        <v>523</v>
      </c>
    </row>
    <row r="164" spans="1:11">
      <c r="A164" t="s">
        <v>524</v>
      </c>
      <c r="J164" t="s">
        <v>525</v>
      </c>
      <c r="K164" t="s">
        <v>526</v>
      </c>
    </row>
    <row r="165" spans="1:11">
      <c r="A165" t="s">
        <v>527</v>
      </c>
      <c r="J165" t="s">
        <v>528</v>
      </c>
      <c r="K165" t="s">
        <v>529</v>
      </c>
    </row>
    <row r="166" spans="1:11">
      <c r="A166" t="s">
        <v>530</v>
      </c>
      <c r="J166" t="s">
        <v>531</v>
      </c>
      <c r="K166" t="s">
        <v>532</v>
      </c>
    </row>
    <row r="167" spans="1:11">
      <c r="A167" t="s">
        <v>533</v>
      </c>
      <c r="J167" t="s">
        <v>534</v>
      </c>
      <c r="K167" t="s">
        <v>535</v>
      </c>
    </row>
    <row r="168" spans="1:11">
      <c r="A168" t="s">
        <v>536</v>
      </c>
      <c r="J168" t="s">
        <v>537</v>
      </c>
      <c r="K168" t="s">
        <v>538</v>
      </c>
    </row>
    <row r="169" spans="1:11">
      <c r="A169" t="s">
        <v>539</v>
      </c>
      <c r="J169" t="s">
        <v>540</v>
      </c>
      <c r="K169" t="s">
        <v>541</v>
      </c>
    </row>
    <row r="170" spans="1:11">
      <c r="A170" t="s">
        <v>542</v>
      </c>
      <c r="J170" t="s">
        <v>543</v>
      </c>
      <c r="K170" t="s">
        <v>544</v>
      </c>
    </row>
    <row r="171" spans="1:11">
      <c r="A171" t="s">
        <v>545</v>
      </c>
      <c r="J171" t="s">
        <v>546</v>
      </c>
      <c r="K171" t="s">
        <v>547</v>
      </c>
    </row>
    <row r="172" spans="1:11">
      <c r="A172" t="s">
        <v>548</v>
      </c>
      <c r="J172" t="s">
        <v>549</v>
      </c>
      <c r="K172" t="s">
        <v>550</v>
      </c>
    </row>
    <row r="173" spans="1:11">
      <c r="A173" t="s">
        <v>551</v>
      </c>
      <c r="J173" t="s">
        <v>552</v>
      </c>
      <c r="K173" t="s">
        <v>553</v>
      </c>
    </row>
    <row r="174" spans="1:11">
      <c r="A174" t="s">
        <v>554</v>
      </c>
      <c r="J174" t="s">
        <v>555</v>
      </c>
      <c r="K174" t="s">
        <v>556</v>
      </c>
    </row>
    <row r="175" spans="1:11">
      <c r="A175" t="s">
        <v>557</v>
      </c>
      <c r="J175" t="s">
        <v>558</v>
      </c>
      <c r="K175" t="s">
        <v>559</v>
      </c>
    </row>
    <row r="176" spans="1:11">
      <c r="A176" t="s">
        <v>560</v>
      </c>
      <c r="J176" t="s">
        <v>561</v>
      </c>
      <c r="K176" t="s">
        <v>562</v>
      </c>
    </row>
    <row r="177" spans="1:11">
      <c r="A177" t="s">
        <v>563</v>
      </c>
      <c r="J177" t="s">
        <v>564</v>
      </c>
      <c r="K177" t="s">
        <v>565</v>
      </c>
    </row>
    <row r="178" spans="1:11">
      <c r="A178" t="s">
        <v>566</v>
      </c>
      <c r="J178" t="s">
        <v>567</v>
      </c>
      <c r="K178" t="s">
        <v>568</v>
      </c>
    </row>
    <row r="179" spans="1:11">
      <c r="A179" t="s">
        <v>569</v>
      </c>
      <c r="J179" t="s">
        <v>570</v>
      </c>
      <c r="K179" t="s">
        <v>571</v>
      </c>
    </row>
    <row r="180" spans="1:11">
      <c r="A180" t="s">
        <v>572</v>
      </c>
      <c r="J180" t="s">
        <v>573</v>
      </c>
      <c r="K180" t="s">
        <v>574</v>
      </c>
    </row>
    <row r="181" spans="1:11">
      <c r="A181" t="s">
        <v>575</v>
      </c>
      <c r="J181" t="s">
        <v>576</v>
      </c>
      <c r="K181" t="s">
        <v>577</v>
      </c>
    </row>
    <row r="182" spans="1:11">
      <c r="A182" t="s">
        <v>578</v>
      </c>
      <c r="J182" t="s">
        <v>579</v>
      </c>
      <c r="K182" t="s">
        <v>580</v>
      </c>
    </row>
    <row r="183" spans="1:11">
      <c r="A183" t="s">
        <v>581</v>
      </c>
      <c r="J183" t="s">
        <v>582</v>
      </c>
      <c r="K183" t="s">
        <v>583</v>
      </c>
    </row>
    <row r="184" spans="1:11">
      <c r="A184" t="s">
        <v>584</v>
      </c>
      <c r="J184" t="s">
        <v>585</v>
      </c>
      <c r="K184" t="s">
        <v>586</v>
      </c>
    </row>
    <row r="185" spans="1:11">
      <c r="A185" t="s">
        <v>587</v>
      </c>
      <c r="J185" t="s">
        <v>588</v>
      </c>
      <c r="K185" t="s">
        <v>589</v>
      </c>
    </row>
    <row r="186" spans="1:11">
      <c r="A186" t="s">
        <v>590</v>
      </c>
      <c r="J186" t="s">
        <v>591</v>
      </c>
      <c r="K186" t="s">
        <v>592</v>
      </c>
    </row>
    <row r="187" spans="1:11">
      <c r="A187" t="s">
        <v>593</v>
      </c>
      <c r="J187" t="s">
        <v>594</v>
      </c>
      <c r="K187" t="s">
        <v>595</v>
      </c>
    </row>
    <row r="188" spans="1:11">
      <c r="A188" t="s">
        <v>596</v>
      </c>
      <c r="J188" t="s">
        <v>597</v>
      </c>
      <c r="K188" t="s">
        <v>598</v>
      </c>
    </row>
    <row r="189" spans="1:11">
      <c r="A189" t="s">
        <v>599</v>
      </c>
      <c r="J189" t="s">
        <v>600</v>
      </c>
      <c r="K189" t="s">
        <v>601</v>
      </c>
    </row>
    <row r="190" spans="1:11">
      <c r="A190" t="s">
        <v>602</v>
      </c>
      <c r="J190" t="s">
        <v>603</v>
      </c>
      <c r="K190" t="s">
        <v>604</v>
      </c>
    </row>
    <row r="191" spans="1:11">
      <c r="A191" t="s">
        <v>605</v>
      </c>
      <c r="J191" t="s">
        <v>606</v>
      </c>
      <c r="K191" t="s">
        <v>607</v>
      </c>
    </row>
    <row r="192" spans="1:11">
      <c r="A192" t="s">
        <v>608</v>
      </c>
      <c r="J192" t="s">
        <v>609</v>
      </c>
      <c r="K192" t="s">
        <v>610</v>
      </c>
    </row>
    <row r="193" spans="1:11">
      <c r="A193" t="s">
        <v>611</v>
      </c>
      <c r="J193" t="s">
        <v>612</v>
      </c>
      <c r="K193" t="s">
        <v>613</v>
      </c>
    </row>
    <row r="194" spans="1:11">
      <c r="A194" t="s">
        <v>614</v>
      </c>
      <c r="J194" t="s">
        <v>615</v>
      </c>
      <c r="K194" t="s">
        <v>616</v>
      </c>
    </row>
    <row r="195" spans="1:11">
      <c r="A195" t="s">
        <v>617</v>
      </c>
      <c r="J195" t="s">
        <v>618</v>
      </c>
      <c r="K195" t="s">
        <v>619</v>
      </c>
    </row>
    <row r="196" spans="1:11">
      <c r="A196" t="s">
        <v>620</v>
      </c>
      <c r="J196" t="s">
        <v>621</v>
      </c>
      <c r="K196" t="s">
        <v>622</v>
      </c>
    </row>
    <row r="197" spans="1:11">
      <c r="A197" t="s">
        <v>623</v>
      </c>
      <c r="J197" t="s">
        <v>624</v>
      </c>
      <c r="K197" t="s">
        <v>625</v>
      </c>
    </row>
    <row r="198" spans="1:11">
      <c r="A198" t="s">
        <v>626</v>
      </c>
      <c r="J198" t="s">
        <v>627</v>
      </c>
      <c r="K198" t="s">
        <v>628</v>
      </c>
    </row>
    <row r="199" spans="1:11">
      <c r="A199" t="s">
        <v>629</v>
      </c>
      <c r="J199" t="s">
        <v>630</v>
      </c>
      <c r="K199" t="s">
        <v>631</v>
      </c>
    </row>
    <row r="200" spans="1:11">
      <c r="A200" t="s">
        <v>632</v>
      </c>
      <c r="J200" t="s">
        <v>633</v>
      </c>
      <c r="K200" t="s">
        <v>634</v>
      </c>
    </row>
    <row r="201" spans="1:11">
      <c r="A201" t="s">
        <v>635</v>
      </c>
      <c r="J201" t="s">
        <v>636</v>
      </c>
      <c r="K201" t="s">
        <v>637</v>
      </c>
    </row>
    <row r="202" spans="1:11">
      <c r="A202" t="s">
        <v>638</v>
      </c>
      <c r="J202" t="s">
        <v>639</v>
      </c>
      <c r="K202" t="s">
        <v>640</v>
      </c>
    </row>
    <row r="203" spans="1:11">
      <c r="A203" t="s">
        <v>641</v>
      </c>
      <c r="J203" t="s">
        <v>642</v>
      </c>
      <c r="K203" t="s">
        <v>643</v>
      </c>
    </row>
    <row r="204" spans="1:11">
      <c r="A204" t="s">
        <v>644</v>
      </c>
      <c r="J204" t="s">
        <v>645</v>
      </c>
      <c r="K204" t="s">
        <v>646</v>
      </c>
    </row>
    <row r="205" spans="1:11">
      <c r="A205" t="s">
        <v>647</v>
      </c>
      <c r="J205" t="s">
        <v>648</v>
      </c>
      <c r="K205" t="s">
        <v>649</v>
      </c>
    </row>
    <row r="206" spans="1:11">
      <c r="A206" t="s">
        <v>650</v>
      </c>
      <c r="J206" t="s">
        <v>651</v>
      </c>
      <c r="K206" t="s">
        <v>652</v>
      </c>
    </row>
    <row r="207" spans="1:11">
      <c r="A207" t="s">
        <v>653</v>
      </c>
      <c r="J207" t="s">
        <v>654</v>
      </c>
      <c r="K207" t="s">
        <v>655</v>
      </c>
    </row>
    <row r="208" spans="1:11">
      <c r="A208" t="s">
        <v>656</v>
      </c>
      <c r="J208" t="s">
        <v>657</v>
      </c>
      <c r="K208" t="s">
        <v>658</v>
      </c>
    </row>
    <row r="209" spans="1:11">
      <c r="A209" t="s">
        <v>659</v>
      </c>
      <c r="J209" t="s">
        <v>660</v>
      </c>
      <c r="K209" t="s">
        <v>661</v>
      </c>
    </row>
    <row r="210" spans="1:11">
      <c r="A210" t="s">
        <v>662</v>
      </c>
      <c r="J210" t="s">
        <v>663</v>
      </c>
      <c r="K210" t="s">
        <v>664</v>
      </c>
    </row>
    <row r="211" spans="1:11">
      <c r="A211" t="s">
        <v>665</v>
      </c>
      <c r="J211" t="s">
        <v>666</v>
      </c>
      <c r="K211" t="s">
        <v>667</v>
      </c>
    </row>
    <row r="212" spans="1:11">
      <c r="A212" t="s">
        <v>668</v>
      </c>
      <c r="J212" t="s">
        <v>669</v>
      </c>
      <c r="K212" t="s">
        <v>670</v>
      </c>
    </row>
    <row r="213" spans="1:11">
      <c r="A213" t="s">
        <v>671</v>
      </c>
      <c r="J213" t="s">
        <v>672</v>
      </c>
      <c r="K213" t="s">
        <v>673</v>
      </c>
    </row>
    <row r="214" spans="1:11">
      <c r="A214" t="s">
        <v>674</v>
      </c>
      <c r="J214" t="s">
        <v>675</v>
      </c>
      <c r="K214" t="s">
        <v>676</v>
      </c>
    </row>
    <row r="215" spans="1:11">
      <c r="A215" t="s">
        <v>677</v>
      </c>
      <c r="J215" t="s">
        <v>678</v>
      </c>
      <c r="K215" t="s">
        <v>679</v>
      </c>
    </row>
    <row r="216" spans="1:11">
      <c r="A216" t="s">
        <v>680</v>
      </c>
      <c r="J216" t="s">
        <v>681</v>
      </c>
      <c r="K216" t="s">
        <v>682</v>
      </c>
    </row>
    <row r="217" spans="1:11">
      <c r="A217" t="s">
        <v>683</v>
      </c>
      <c r="J217" t="s">
        <v>684</v>
      </c>
      <c r="K217" t="s">
        <v>685</v>
      </c>
    </row>
    <row r="218" spans="1:11">
      <c r="A218" t="s">
        <v>686</v>
      </c>
      <c r="J218" t="s">
        <v>687</v>
      </c>
      <c r="K218" t="s">
        <v>688</v>
      </c>
    </row>
    <row r="219" spans="1:11">
      <c r="A219" t="s">
        <v>689</v>
      </c>
      <c r="J219" t="s">
        <v>690</v>
      </c>
      <c r="K219" t="s">
        <v>691</v>
      </c>
    </row>
    <row r="220" spans="1:11">
      <c r="A220" t="s">
        <v>692</v>
      </c>
      <c r="J220" t="s">
        <v>693</v>
      </c>
      <c r="K220" t="s">
        <v>694</v>
      </c>
    </row>
    <row r="221" spans="1:11">
      <c r="A221" t="s">
        <v>695</v>
      </c>
      <c r="J221" t="s">
        <v>696</v>
      </c>
      <c r="K221" t="s">
        <v>697</v>
      </c>
    </row>
    <row r="222" spans="1:11">
      <c r="A222" t="s">
        <v>698</v>
      </c>
      <c r="J222" t="s">
        <v>699</v>
      </c>
      <c r="K222" t="s">
        <v>700</v>
      </c>
    </row>
    <row r="223" spans="1:11">
      <c r="A223" t="s">
        <v>701</v>
      </c>
      <c r="J223" t="s">
        <v>702</v>
      </c>
      <c r="K223" t="s">
        <v>703</v>
      </c>
    </row>
    <row r="224" spans="1:11">
      <c r="A224" t="s">
        <v>704</v>
      </c>
      <c r="J224" t="s">
        <v>705</v>
      </c>
      <c r="K224" t="s">
        <v>706</v>
      </c>
    </row>
    <row r="225" spans="1:11">
      <c r="A225" t="s">
        <v>707</v>
      </c>
      <c r="J225" t="s">
        <v>708</v>
      </c>
      <c r="K225" t="s">
        <v>709</v>
      </c>
    </row>
    <row r="226" spans="1:11">
      <c r="A226" t="s">
        <v>710</v>
      </c>
      <c r="J226" t="s">
        <v>711</v>
      </c>
      <c r="K226" t="s">
        <v>712</v>
      </c>
    </row>
    <row r="227" spans="1:11">
      <c r="A227" t="s">
        <v>713</v>
      </c>
      <c r="J227" t="s">
        <v>714</v>
      </c>
      <c r="K227" t="s">
        <v>715</v>
      </c>
    </row>
    <row r="228" spans="1:11">
      <c r="A228" t="s">
        <v>716</v>
      </c>
      <c r="J228" t="s">
        <v>717</v>
      </c>
      <c r="K228" t="s">
        <v>718</v>
      </c>
    </row>
    <row r="229" spans="1:11">
      <c r="A229" t="s">
        <v>719</v>
      </c>
      <c r="J229" t="s">
        <v>720</v>
      </c>
      <c r="K229" t="s">
        <v>721</v>
      </c>
    </row>
    <row r="230" spans="1:11">
      <c r="A230" t="s">
        <v>722</v>
      </c>
      <c r="J230" t="s">
        <v>723</v>
      </c>
      <c r="K230" t="s">
        <v>724</v>
      </c>
    </row>
    <row r="231" spans="1:11">
      <c r="A231" t="s">
        <v>725</v>
      </c>
      <c r="J231" t="s">
        <v>726</v>
      </c>
      <c r="K231" t="s">
        <v>727</v>
      </c>
    </row>
    <row r="232" spans="1:11">
      <c r="A232" t="s">
        <v>728</v>
      </c>
      <c r="J232" t="s">
        <v>729</v>
      </c>
      <c r="K232" t="s">
        <v>730</v>
      </c>
    </row>
    <row r="233" spans="1:11">
      <c r="A233" t="s">
        <v>731</v>
      </c>
      <c r="J233" t="s">
        <v>732</v>
      </c>
      <c r="K233" t="s">
        <v>733</v>
      </c>
    </row>
    <row r="234" spans="1:11">
      <c r="A234" t="s">
        <v>734</v>
      </c>
      <c r="J234" t="s">
        <v>735</v>
      </c>
      <c r="K234" t="s">
        <v>736</v>
      </c>
    </row>
    <row r="235" spans="1:11">
      <c r="A235" t="s">
        <v>737</v>
      </c>
      <c r="J235" t="s">
        <v>738</v>
      </c>
      <c r="K235" t="s">
        <v>739</v>
      </c>
    </row>
    <row r="236" spans="1:11">
      <c r="A236" t="s">
        <v>740</v>
      </c>
      <c r="J236" t="s">
        <v>741</v>
      </c>
      <c r="K236" t="s">
        <v>742</v>
      </c>
    </row>
    <row r="237" spans="1:11">
      <c r="A237" t="s">
        <v>743</v>
      </c>
      <c r="J237" t="s">
        <v>744</v>
      </c>
      <c r="K237" t="s">
        <v>745</v>
      </c>
    </row>
    <row r="238" spans="1:11">
      <c r="A238" t="s">
        <v>746</v>
      </c>
      <c r="J238" t="s">
        <v>747</v>
      </c>
      <c r="K238" t="s">
        <v>748</v>
      </c>
    </row>
    <row r="239" spans="1:11">
      <c r="A239" t="s">
        <v>749</v>
      </c>
      <c r="J239" t="s">
        <v>750</v>
      </c>
      <c r="K239" t="s">
        <v>751</v>
      </c>
    </row>
    <row r="240" spans="1:11">
      <c r="A240" t="s">
        <v>752</v>
      </c>
      <c r="J240" t="s">
        <v>753</v>
      </c>
      <c r="K240" t="s">
        <v>754</v>
      </c>
    </row>
    <row r="241" spans="1:11">
      <c r="A241" t="s">
        <v>755</v>
      </c>
      <c r="J241" t="s">
        <v>756</v>
      </c>
      <c r="K241" t="s">
        <v>757</v>
      </c>
    </row>
    <row r="242" spans="1:11">
      <c r="A242" t="s">
        <v>758</v>
      </c>
      <c r="J242" t="s">
        <v>759</v>
      </c>
      <c r="K242" t="s">
        <v>760</v>
      </c>
    </row>
    <row r="243" spans="1:11">
      <c r="A243" t="s">
        <v>761</v>
      </c>
      <c r="J243" t="s">
        <v>762</v>
      </c>
      <c r="K243" t="s">
        <v>763</v>
      </c>
    </row>
    <row r="244" spans="1:11">
      <c r="A244" t="s">
        <v>764</v>
      </c>
      <c r="J244" t="s">
        <v>765</v>
      </c>
      <c r="K244" t="s">
        <v>766</v>
      </c>
    </row>
    <row r="245" spans="1:11">
      <c r="A245" t="s">
        <v>767</v>
      </c>
      <c r="J245" t="s">
        <v>768</v>
      </c>
      <c r="K245" t="s">
        <v>769</v>
      </c>
    </row>
    <row r="246" spans="1:11">
      <c r="A246" t="s">
        <v>770</v>
      </c>
      <c r="J246" t="s">
        <v>771</v>
      </c>
      <c r="K246" t="s">
        <v>772</v>
      </c>
    </row>
    <row r="247" spans="1:11">
      <c r="A247" t="s">
        <v>773</v>
      </c>
      <c r="J247" t="s">
        <v>774</v>
      </c>
      <c r="K247" t="s">
        <v>775</v>
      </c>
    </row>
    <row r="248" spans="1:11">
      <c r="A248" t="s">
        <v>776</v>
      </c>
      <c r="J248" t="s">
        <v>777</v>
      </c>
      <c r="K248" t="s">
        <v>778</v>
      </c>
    </row>
    <row r="249" spans="1:11">
      <c r="A249" t="s">
        <v>779</v>
      </c>
      <c r="J249" t="s">
        <v>780</v>
      </c>
      <c r="K249" t="s">
        <v>781</v>
      </c>
    </row>
    <row r="250" spans="1:11">
      <c r="A250" t="s">
        <v>782</v>
      </c>
      <c r="J250" t="s">
        <v>783</v>
      </c>
      <c r="K250" t="s">
        <v>784</v>
      </c>
    </row>
    <row r="251" spans="1:11">
      <c r="A251" t="s">
        <v>785</v>
      </c>
      <c r="J251" t="s">
        <v>786</v>
      </c>
      <c r="K251" t="s">
        <v>787</v>
      </c>
    </row>
    <row r="252" spans="1:11">
      <c r="A252" t="s">
        <v>788</v>
      </c>
      <c r="J252" t="s">
        <v>789</v>
      </c>
      <c r="K252" t="s">
        <v>790</v>
      </c>
    </row>
    <row r="253" spans="1:11">
      <c r="A253" t="s">
        <v>791</v>
      </c>
      <c r="J253" t="s">
        <v>792</v>
      </c>
      <c r="K253" t="s">
        <v>793</v>
      </c>
    </row>
    <row r="254" spans="1:11">
      <c r="A254" t="s">
        <v>794</v>
      </c>
      <c r="J254" t="s">
        <v>795</v>
      </c>
      <c r="K254" t="s">
        <v>796</v>
      </c>
    </row>
    <row r="255" spans="1:11">
      <c r="A255" t="s">
        <v>797</v>
      </c>
      <c r="J255" t="s">
        <v>798</v>
      </c>
      <c r="K255" t="s">
        <v>799</v>
      </c>
    </row>
    <row r="256" spans="1:11">
      <c r="A256" t="s">
        <v>800</v>
      </c>
      <c r="J256" t="s">
        <v>801</v>
      </c>
      <c r="K256" t="s">
        <v>802</v>
      </c>
    </row>
    <row r="257" spans="1:11">
      <c r="A257" t="s">
        <v>803</v>
      </c>
      <c r="J257" t="s">
        <v>804</v>
      </c>
      <c r="K257" t="s">
        <v>805</v>
      </c>
    </row>
    <row r="258" spans="1:11">
      <c r="A258" t="s">
        <v>806</v>
      </c>
      <c r="J258" t="s">
        <v>807</v>
      </c>
      <c r="K258" t="s">
        <v>808</v>
      </c>
    </row>
    <row r="259" spans="1:11">
      <c r="A259" t="s">
        <v>809</v>
      </c>
      <c r="J259" t="s">
        <v>810</v>
      </c>
      <c r="K259" t="s">
        <v>811</v>
      </c>
    </row>
    <row r="260" spans="1:11">
      <c r="A260" t="s">
        <v>812</v>
      </c>
      <c r="J260" t="s">
        <v>813</v>
      </c>
      <c r="K260" t="s">
        <v>814</v>
      </c>
    </row>
    <row r="261" spans="1:11">
      <c r="A261" t="s">
        <v>815</v>
      </c>
      <c r="J261" t="s">
        <v>816</v>
      </c>
      <c r="K261" t="s">
        <v>817</v>
      </c>
    </row>
    <row r="262" spans="1:11">
      <c r="A262" t="s">
        <v>818</v>
      </c>
      <c r="J262" t="s">
        <v>819</v>
      </c>
      <c r="K262" t="s">
        <v>820</v>
      </c>
    </row>
    <row r="263" spans="1:11">
      <c r="A263" t="s">
        <v>821</v>
      </c>
      <c r="J263" t="s">
        <v>822</v>
      </c>
      <c r="K263" t="s">
        <v>823</v>
      </c>
    </row>
    <row r="264" spans="1:11">
      <c r="A264" t="s">
        <v>824</v>
      </c>
      <c r="J264" t="s">
        <v>825</v>
      </c>
      <c r="K264" t="s">
        <v>826</v>
      </c>
    </row>
    <row r="265" spans="1:11">
      <c r="A265" t="s">
        <v>827</v>
      </c>
      <c r="J265" t="s">
        <v>828</v>
      </c>
      <c r="K265" t="s">
        <v>829</v>
      </c>
    </row>
    <row r="266" spans="1:11">
      <c r="A266" t="s">
        <v>830</v>
      </c>
      <c r="J266" t="s">
        <v>831</v>
      </c>
      <c r="K266" t="s">
        <v>832</v>
      </c>
    </row>
    <row r="267" spans="1:11">
      <c r="A267" t="s">
        <v>833</v>
      </c>
      <c r="J267" t="s">
        <v>834</v>
      </c>
      <c r="K267" t="s">
        <v>835</v>
      </c>
    </row>
    <row r="268" spans="1:11">
      <c r="A268" t="s">
        <v>836</v>
      </c>
      <c r="J268" t="s">
        <v>837</v>
      </c>
      <c r="K268" t="s">
        <v>838</v>
      </c>
    </row>
    <row r="269" spans="1:11">
      <c r="A269" t="s">
        <v>839</v>
      </c>
      <c r="J269" t="s">
        <v>840</v>
      </c>
      <c r="K269" t="s">
        <v>841</v>
      </c>
    </row>
    <row r="270" spans="1:11">
      <c r="A270" t="s">
        <v>842</v>
      </c>
      <c r="J270" t="s">
        <v>843</v>
      </c>
      <c r="K270" t="s">
        <v>844</v>
      </c>
    </row>
    <row r="271" spans="1:11">
      <c r="A271" t="s">
        <v>845</v>
      </c>
      <c r="J271" t="s">
        <v>846</v>
      </c>
      <c r="K271" t="s">
        <v>847</v>
      </c>
    </row>
    <row r="272" spans="1:11">
      <c r="A272" t="s">
        <v>848</v>
      </c>
      <c r="J272" t="s">
        <v>849</v>
      </c>
      <c r="K272" t="s">
        <v>850</v>
      </c>
    </row>
    <row r="273" spans="1:11">
      <c r="A273" t="s">
        <v>851</v>
      </c>
      <c r="J273" t="s">
        <v>852</v>
      </c>
      <c r="K273" t="s">
        <v>853</v>
      </c>
    </row>
    <row r="274" spans="1:11">
      <c r="A274" t="s">
        <v>854</v>
      </c>
      <c r="J274" t="s">
        <v>855</v>
      </c>
      <c r="K274" t="s">
        <v>856</v>
      </c>
    </row>
    <row r="275" spans="1:11">
      <c r="A275" t="s">
        <v>857</v>
      </c>
      <c r="J275" t="s">
        <v>858</v>
      </c>
      <c r="K275" t="s">
        <v>859</v>
      </c>
    </row>
    <row r="276" spans="1:11">
      <c r="A276" t="s">
        <v>860</v>
      </c>
      <c r="J276" t="s">
        <v>861</v>
      </c>
      <c r="K276" t="s">
        <v>862</v>
      </c>
    </row>
    <row r="277" spans="1:11">
      <c r="A277" t="s">
        <v>863</v>
      </c>
      <c r="J277" t="s">
        <v>864</v>
      </c>
      <c r="K277" t="s">
        <v>865</v>
      </c>
    </row>
    <row r="278" spans="1:11">
      <c r="A278" t="s">
        <v>866</v>
      </c>
      <c r="J278" t="s">
        <v>867</v>
      </c>
      <c r="K278" t="s">
        <v>868</v>
      </c>
    </row>
    <row r="279" spans="1:11">
      <c r="A279" t="s">
        <v>869</v>
      </c>
      <c r="J279" t="s">
        <v>870</v>
      </c>
      <c r="K279" t="s">
        <v>871</v>
      </c>
    </row>
    <row r="280" spans="1:11">
      <c r="A280" t="s">
        <v>872</v>
      </c>
      <c r="J280" t="s">
        <v>873</v>
      </c>
      <c r="K280" t="s">
        <v>874</v>
      </c>
    </row>
    <row r="281" spans="1:11">
      <c r="A281" t="s">
        <v>875</v>
      </c>
      <c r="J281" t="s">
        <v>876</v>
      </c>
      <c r="K281" t="s">
        <v>877</v>
      </c>
    </row>
    <row r="282" spans="1:11">
      <c r="A282" t="s">
        <v>878</v>
      </c>
      <c r="J282" t="s">
        <v>879</v>
      </c>
      <c r="K282" t="s">
        <v>880</v>
      </c>
    </row>
    <row r="283" spans="1:11">
      <c r="A283" t="s">
        <v>881</v>
      </c>
      <c r="J283" t="s">
        <v>882</v>
      </c>
      <c r="K283" t="s">
        <v>883</v>
      </c>
    </row>
    <row r="284" spans="1:11">
      <c r="A284" t="s">
        <v>884</v>
      </c>
      <c r="J284" t="s">
        <v>885</v>
      </c>
      <c r="K284" t="s">
        <v>886</v>
      </c>
    </row>
    <row r="285" spans="1:11">
      <c r="A285" t="s">
        <v>887</v>
      </c>
      <c r="J285" t="s">
        <v>888</v>
      </c>
      <c r="K285" t="s">
        <v>889</v>
      </c>
    </row>
    <row r="286" spans="1:11">
      <c r="A286" t="s">
        <v>890</v>
      </c>
      <c r="J286" t="s">
        <v>891</v>
      </c>
      <c r="K286" t="s">
        <v>892</v>
      </c>
    </row>
    <row r="287" spans="1:11">
      <c r="A287" t="s">
        <v>893</v>
      </c>
      <c r="J287" t="s">
        <v>894</v>
      </c>
      <c r="K287" t="s">
        <v>895</v>
      </c>
    </row>
    <row r="288" spans="1:11">
      <c r="A288" t="s">
        <v>896</v>
      </c>
      <c r="J288" t="s">
        <v>897</v>
      </c>
      <c r="K288" t="s">
        <v>898</v>
      </c>
    </row>
    <row r="289" spans="1:11">
      <c r="A289" t="s">
        <v>899</v>
      </c>
      <c r="J289" t="s">
        <v>900</v>
      </c>
      <c r="K289" t="s">
        <v>901</v>
      </c>
    </row>
    <row r="290" spans="1:11">
      <c r="A290" t="s">
        <v>902</v>
      </c>
      <c r="J290" t="s">
        <v>903</v>
      </c>
      <c r="K290" t="s">
        <v>904</v>
      </c>
    </row>
    <row r="291" spans="1:11">
      <c r="A291" t="s">
        <v>905</v>
      </c>
      <c r="J291" t="s">
        <v>906</v>
      </c>
      <c r="K291" t="s">
        <v>907</v>
      </c>
    </row>
    <row r="292" spans="1:11">
      <c r="A292" t="s">
        <v>908</v>
      </c>
      <c r="J292" t="s">
        <v>909</v>
      </c>
      <c r="K292" t="s">
        <v>910</v>
      </c>
    </row>
    <row r="293" spans="1:11">
      <c r="A293" t="s">
        <v>911</v>
      </c>
      <c r="J293" t="s">
        <v>912</v>
      </c>
      <c r="K293" t="s">
        <v>913</v>
      </c>
    </row>
    <row r="294" spans="1:11">
      <c r="A294" t="s">
        <v>914</v>
      </c>
      <c r="J294" t="s">
        <v>915</v>
      </c>
      <c r="K294" t="s">
        <v>916</v>
      </c>
    </row>
    <row r="295" spans="1:11">
      <c r="A295" t="s">
        <v>917</v>
      </c>
      <c r="J295" t="s">
        <v>918</v>
      </c>
      <c r="K295" t="s">
        <v>919</v>
      </c>
    </row>
    <row r="296" spans="1:11">
      <c r="A296" t="s">
        <v>920</v>
      </c>
      <c r="J296" t="s">
        <v>921</v>
      </c>
      <c r="K296" t="s">
        <v>922</v>
      </c>
    </row>
    <row r="297" spans="1:11">
      <c r="A297" t="s">
        <v>923</v>
      </c>
      <c r="J297" t="s">
        <v>924</v>
      </c>
      <c r="K297" t="s">
        <v>925</v>
      </c>
    </row>
    <row r="298" spans="1:11">
      <c r="A298" t="s">
        <v>926</v>
      </c>
      <c r="J298" t="s">
        <v>927</v>
      </c>
      <c r="K298" t="s">
        <v>928</v>
      </c>
    </row>
    <row r="299" spans="1:11">
      <c r="A299" t="s">
        <v>929</v>
      </c>
      <c r="J299" t="s">
        <v>930</v>
      </c>
      <c r="K299" t="s">
        <v>931</v>
      </c>
    </row>
    <row r="300" spans="1:11">
      <c r="A300" t="s">
        <v>932</v>
      </c>
      <c r="J300" t="s">
        <v>933</v>
      </c>
      <c r="K300" t="s">
        <v>934</v>
      </c>
    </row>
    <row r="301" spans="1:11">
      <c r="A301" t="s">
        <v>935</v>
      </c>
      <c r="J301" t="s">
        <v>936</v>
      </c>
      <c r="K301" t="s">
        <v>937</v>
      </c>
    </row>
    <row r="302" spans="1:11">
      <c r="A302" t="s">
        <v>938</v>
      </c>
      <c r="J302" t="s">
        <v>939</v>
      </c>
      <c r="K302" t="s">
        <v>940</v>
      </c>
    </row>
    <row r="303" spans="1:11">
      <c r="A303" t="s">
        <v>941</v>
      </c>
      <c r="J303" t="s">
        <v>942</v>
      </c>
      <c r="K303" t="s">
        <v>943</v>
      </c>
    </row>
    <row r="304" spans="1:11">
      <c r="A304" t="s">
        <v>944</v>
      </c>
      <c r="J304" t="s">
        <v>945</v>
      </c>
      <c r="K304" t="s">
        <v>946</v>
      </c>
    </row>
    <row r="305" spans="1:11">
      <c r="A305" t="s">
        <v>947</v>
      </c>
      <c r="J305" t="s">
        <v>948</v>
      </c>
      <c r="K305" t="s">
        <v>949</v>
      </c>
    </row>
    <row r="306" spans="1:11">
      <c r="A306" t="s">
        <v>950</v>
      </c>
      <c r="J306" t="s">
        <v>951</v>
      </c>
      <c r="K306" t="s">
        <v>952</v>
      </c>
    </row>
    <row r="307" spans="1:11">
      <c r="A307" t="s">
        <v>953</v>
      </c>
      <c r="J307" t="s">
        <v>954</v>
      </c>
      <c r="K307" t="s">
        <v>955</v>
      </c>
    </row>
    <row r="308" spans="1:11">
      <c r="A308" t="s">
        <v>956</v>
      </c>
      <c r="J308" t="s">
        <v>957</v>
      </c>
      <c r="K308" t="s">
        <v>958</v>
      </c>
    </row>
    <row r="309" spans="1:11">
      <c r="A309" t="s">
        <v>959</v>
      </c>
      <c r="J309" t="s">
        <v>960</v>
      </c>
      <c r="K309" t="s">
        <v>961</v>
      </c>
    </row>
    <row r="310" spans="1:11">
      <c r="A310" t="s">
        <v>962</v>
      </c>
      <c r="J310" t="s">
        <v>963</v>
      </c>
      <c r="K310" t="s">
        <v>964</v>
      </c>
    </row>
    <row r="311" spans="1:11">
      <c r="A311" t="s">
        <v>965</v>
      </c>
      <c r="J311" t="s">
        <v>966</v>
      </c>
      <c r="K311" t="s">
        <v>967</v>
      </c>
    </row>
    <row r="312" spans="1:11">
      <c r="A312" t="s">
        <v>968</v>
      </c>
      <c r="J312" t="s">
        <v>969</v>
      </c>
      <c r="K312" t="s">
        <v>970</v>
      </c>
    </row>
    <row r="313" spans="1:11">
      <c r="A313" t="s">
        <v>971</v>
      </c>
      <c r="J313" t="s">
        <v>972</v>
      </c>
      <c r="K313" t="s">
        <v>973</v>
      </c>
    </row>
    <row r="314" spans="1:11">
      <c r="A314" t="s">
        <v>974</v>
      </c>
      <c r="J314" t="s">
        <v>975</v>
      </c>
      <c r="K314" t="s">
        <v>976</v>
      </c>
    </row>
    <row r="315" spans="1:11">
      <c r="A315" t="s">
        <v>977</v>
      </c>
      <c r="J315" t="s">
        <v>978</v>
      </c>
      <c r="K315" t="s">
        <v>979</v>
      </c>
    </row>
    <row r="316" spans="1:11">
      <c r="A316" t="s">
        <v>980</v>
      </c>
      <c r="J316" t="s">
        <v>981</v>
      </c>
      <c r="K316" t="s">
        <v>982</v>
      </c>
    </row>
    <row r="317" spans="1:11">
      <c r="A317" t="s">
        <v>983</v>
      </c>
      <c r="J317" t="s">
        <v>984</v>
      </c>
      <c r="K317" t="s">
        <v>985</v>
      </c>
    </row>
    <row r="318" spans="1:11">
      <c r="A318" t="s">
        <v>986</v>
      </c>
      <c r="J318" t="s">
        <v>987</v>
      </c>
      <c r="K318" t="s">
        <v>988</v>
      </c>
    </row>
    <row r="319" spans="1:11">
      <c r="A319" t="s">
        <v>989</v>
      </c>
      <c r="J319" t="s">
        <v>990</v>
      </c>
      <c r="K319" t="s">
        <v>991</v>
      </c>
    </row>
    <row r="320" spans="1:11">
      <c r="A320" t="s">
        <v>992</v>
      </c>
      <c r="J320" t="s">
        <v>993</v>
      </c>
      <c r="K320" t="s">
        <v>994</v>
      </c>
    </row>
    <row r="321" spans="1:11">
      <c r="A321" t="s">
        <v>995</v>
      </c>
      <c r="J321" t="s">
        <v>996</v>
      </c>
      <c r="K321" t="s">
        <v>997</v>
      </c>
    </row>
    <row r="322" spans="1:11">
      <c r="A322" t="s">
        <v>998</v>
      </c>
      <c r="J322" t="s">
        <v>999</v>
      </c>
      <c r="K322" t="s">
        <v>1000</v>
      </c>
    </row>
    <row r="323" spans="1:11">
      <c r="A323" t="s">
        <v>1001</v>
      </c>
      <c r="J323" t="s">
        <v>1002</v>
      </c>
      <c r="K323" t="s">
        <v>1003</v>
      </c>
    </row>
    <row r="324" spans="1:11">
      <c r="A324" t="s">
        <v>1004</v>
      </c>
      <c r="J324" t="s">
        <v>1005</v>
      </c>
      <c r="K324" t="s">
        <v>1006</v>
      </c>
    </row>
    <row r="325" spans="1:11">
      <c r="A325" t="s">
        <v>1007</v>
      </c>
      <c r="J325" t="s">
        <v>1008</v>
      </c>
      <c r="K325" t="s">
        <v>1009</v>
      </c>
    </row>
    <row r="326" spans="1:11">
      <c r="A326" t="s">
        <v>1010</v>
      </c>
      <c r="J326" t="s">
        <v>1011</v>
      </c>
      <c r="K326" t="s">
        <v>1012</v>
      </c>
    </row>
    <row r="327" spans="1:11">
      <c r="A327" t="s">
        <v>1013</v>
      </c>
      <c r="J327" t="s">
        <v>1014</v>
      </c>
      <c r="K327" t="s">
        <v>1015</v>
      </c>
    </row>
    <row r="328" spans="1:11">
      <c r="A328" t="s">
        <v>1016</v>
      </c>
      <c r="J328" t="s">
        <v>1017</v>
      </c>
      <c r="K328" t="s">
        <v>1018</v>
      </c>
    </row>
    <row r="329" spans="1:11">
      <c r="A329" t="s">
        <v>1019</v>
      </c>
      <c r="J329" t="s">
        <v>1020</v>
      </c>
      <c r="K329" t="s">
        <v>1021</v>
      </c>
    </row>
    <row r="330" spans="1:11">
      <c r="A330" t="s">
        <v>1022</v>
      </c>
      <c r="J330" t="s">
        <v>1023</v>
      </c>
      <c r="K330" t="s">
        <v>1024</v>
      </c>
    </row>
    <row r="331" spans="1:11">
      <c r="A331" t="s">
        <v>1025</v>
      </c>
      <c r="J331" t="s">
        <v>1026</v>
      </c>
      <c r="K331" t="s">
        <v>1027</v>
      </c>
    </row>
    <row r="332" spans="1:11">
      <c r="A332" t="s">
        <v>1028</v>
      </c>
      <c r="J332" t="s">
        <v>1029</v>
      </c>
      <c r="K332" t="s">
        <v>1030</v>
      </c>
    </row>
    <row r="333" spans="1:11">
      <c r="A333" t="s">
        <v>1031</v>
      </c>
      <c r="J333" t="s">
        <v>1032</v>
      </c>
      <c r="K333" t="s">
        <v>1033</v>
      </c>
    </row>
    <row r="334" spans="1:11">
      <c r="A334" t="s">
        <v>1034</v>
      </c>
      <c r="J334" t="s">
        <v>1035</v>
      </c>
      <c r="K334" t="s">
        <v>1036</v>
      </c>
    </row>
    <row r="335" spans="1:11">
      <c r="A335" t="s">
        <v>1037</v>
      </c>
      <c r="J335" t="s">
        <v>1038</v>
      </c>
      <c r="K335" t="s">
        <v>1039</v>
      </c>
    </row>
    <row r="336" spans="1:11">
      <c r="A336" t="s">
        <v>1040</v>
      </c>
      <c r="J336" t="s">
        <v>1041</v>
      </c>
      <c r="K336" t="s">
        <v>1042</v>
      </c>
    </row>
    <row r="337" spans="1:11">
      <c r="A337" t="s">
        <v>1043</v>
      </c>
      <c r="J337" t="s">
        <v>1044</v>
      </c>
      <c r="K337" t="s">
        <v>1045</v>
      </c>
    </row>
    <row r="338" spans="1:11">
      <c r="A338" t="s">
        <v>1046</v>
      </c>
      <c r="J338" t="s">
        <v>1047</v>
      </c>
      <c r="K338" t="s">
        <v>1048</v>
      </c>
    </row>
    <row r="339" spans="1:11">
      <c r="A339" t="s">
        <v>1049</v>
      </c>
      <c r="J339" t="s">
        <v>1050</v>
      </c>
      <c r="K339" t="s">
        <v>1051</v>
      </c>
    </row>
    <row r="340" spans="1:11">
      <c r="A340" t="s">
        <v>1052</v>
      </c>
      <c r="J340" t="s">
        <v>1053</v>
      </c>
      <c r="K340" t="s">
        <v>1054</v>
      </c>
    </row>
    <row r="341" spans="1:11">
      <c r="A341" t="s">
        <v>1055</v>
      </c>
      <c r="J341" t="s">
        <v>1056</v>
      </c>
      <c r="K341" t="s">
        <v>1057</v>
      </c>
    </row>
    <row r="342" spans="1:11">
      <c r="A342" t="s">
        <v>1058</v>
      </c>
      <c r="J342" t="s">
        <v>1059</v>
      </c>
      <c r="K342" t="s">
        <v>1060</v>
      </c>
    </row>
    <row r="343" spans="1:11">
      <c r="A343" t="s">
        <v>1061</v>
      </c>
      <c r="J343" t="s">
        <v>1062</v>
      </c>
      <c r="K343" t="s">
        <v>1063</v>
      </c>
    </row>
    <row r="344" spans="1:11">
      <c r="A344" t="s">
        <v>1064</v>
      </c>
      <c r="J344" t="s">
        <v>1065</v>
      </c>
      <c r="K344" t="s">
        <v>1066</v>
      </c>
    </row>
    <row r="345" spans="1:11">
      <c r="A345" t="s">
        <v>1067</v>
      </c>
      <c r="J345" t="s">
        <v>1068</v>
      </c>
      <c r="K345" t="s">
        <v>1069</v>
      </c>
    </row>
    <row r="346" spans="1:11">
      <c r="A346" t="s">
        <v>1070</v>
      </c>
      <c r="J346" t="s">
        <v>1071</v>
      </c>
      <c r="K346" t="s">
        <v>1072</v>
      </c>
    </row>
    <row r="347" spans="1:11">
      <c r="A347" t="s">
        <v>1073</v>
      </c>
      <c r="J347" t="s">
        <v>1074</v>
      </c>
      <c r="K347" t="s">
        <v>1075</v>
      </c>
    </row>
    <row r="348" spans="1:11">
      <c r="A348" t="s">
        <v>1076</v>
      </c>
      <c r="J348" t="s">
        <v>1077</v>
      </c>
      <c r="K348" t="s">
        <v>1078</v>
      </c>
    </row>
    <row r="349" spans="1:11">
      <c r="A349" t="s">
        <v>1079</v>
      </c>
      <c r="J349" t="s">
        <v>1080</v>
      </c>
      <c r="K349" t="s">
        <v>1081</v>
      </c>
    </row>
    <row r="350" spans="1:11">
      <c r="A350" t="s">
        <v>1082</v>
      </c>
      <c r="J350" t="s">
        <v>1083</v>
      </c>
      <c r="K350" t="s">
        <v>1084</v>
      </c>
    </row>
    <row r="351" spans="1:11">
      <c r="A351" t="s">
        <v>1085</v>
      </c>
      <c r="J351" t="s">
        <v>1086</v>
      </c>
      <c r="K351" t="s">
        <v>1087</v>
      </c>
    </row>
    <row r="352" spans="1:11">
      <c r="A352" t="s">
        <v>1088</v>
      </c>
      <c r="J352" t="s">
        <v>1089</v>
      </c>
      <c r="K352" t="s">
        <v>1090</v>
      </c>
    </row>
    <row r="353" spans="1:11">
      <c r="A353" t="s">
        <v>1091</v>
      </c>
      <c r="J353" t="s">
        <v>1092</v>
      </c>
      <c r="K353" t="s">
        <v>1093</v>
      </c>
    </row>
    <row r="354" spans="1:11">
      <c r="A354" t="s">
        <v>1094</v>
      </c>
      <c r="J354" t="s">
        <v>1095</v>
      </c>
      <c r="K354" t="s">
        <v>1096</v>
      </c>
    </row>
    <row r="355" spans="1:11">
      <c r="A355" t="s">
        <v>1097</v>
      </c>
      <c r="J355" t="s">
        <v>1098</v>
      </c>
      <c r="K355" t="s">
        <v>1099</v>
      </c>
    </row>
    <row r="356" spans="1:11">
      <c r="A356" t="s">
        <v>1100</v>
      </c>
      <c r="J356" t="s">
        <v>1101</v>
      </c>
      <c r="K356" t="s">
        <v>1102</v>
      </c>
    </row>
    <row r="357" spans="1:11">
      <c r="A357" t="s">
        <v>1103</v>
      </c>
      <c r="J357" t="s">
        <v>1104</v>
      </c>
      <c r="K357" t="s">
        <v>1105</v>
      </c>
    </row>
    <row r="358" spans="1:11">
      <c r="A358" t="s">
        <v>1106</v>
      </c>
      <c r="J358" t="s">
        <v>1107</v>
      </c>
      <c r="K358" t="s">
        <v>1108</v>
      </c>
    </row>
    <row r="359" spans="1:11">
      <c r="A359" t="s">
        <v>1109</v>
      </c>
      <c r="J359" t="s">
        <v>1110</v>
      </c>
      <c r="K359" t="s">
        <v>1111</v>
      </c>
    </row>
    <row r="360" spans="1:11">
      <c r="A360" t="s">
        <v>1112</v>
      </c>
      <c r="J360" t="s">
        <v>1113</v>
      </c>
      <c r="K360" t="s">
        <v>1114</v>
      </c>
    </row>
    <row r="361" spans="1:11">
      <c r="A361" t="s">
        <v>1115</v>
      </c>
      <c r="J361" t="s">
        <v>1116</v>
      </c>
      <c r="K361" t="s">
        <v>1117</v>
      </c>
    </row>
    <row r="362" spans="1:11">
      <c r="A362" t="s">
        <v>1118</v>
      </c>
      <c r="J362" t="s">
        <v>1119</v>
      </c>
      <c r="K362" t="s">
        <v>1120</v>
      </c>
    </row>
    <row r="363" spans="1:11">
      <c r="A363" t="s">
        <v>1121</v>
      </c>
      <c r="J363" t="s">
        <v>1122</v>
      </c>
      <c r="K363" t="s">
        <v>1123</v>
      </c>
    </row>
    <row r="364" spans="1:11">
      <c r="A364" t="s">
        <v>1124</v>
      </c>
      <c r="J364" t="s">
        <v>1125</v>
      </c>
      <c r="K364" t="s">
        <v>1126</v>
      </c>
    </row>
    <row r="365" spans="1:11">
      <c r="A365" t="s">
        <v>1127</v>
      </c>
      <c r="J365" t="s">
        <v>1128</v>
      </c>
      <c r="K365" t="s">
        <v>1129</v>
      </c>
    </row>
    <row r="366" spans="1:11">
      <c r="A366" t="s">
        <v>1130</v>
      </c>
      <c r="J366" t="s">
        <v>1131</v>
      </c>
      <c r="K366" t="s">
        <v>1132</v>
      </c>
    </row>
    <row r="367" spans="1:11">
      <c r="A367" t="s">
        <v>1133</v>
      </c>
      <c r="J367" t="s">
        <v>1134</v>
      </c>
      <c r="K367" t="s">
        <v>1135</v>
      </c>
    </row>
    <row r="368" spans="1:11">
      <c r="A368" t="s">
        <v>1136</v>
      </c>
      <c r="J368" t="s">
        <v>1137</v>
      </c>
      <c r="K368" t="s">
        <v>1138</v>
      </c>
    </row>
    <row r="369" spans="1:11">
      <c r="A369" t="s">
        <v>1139</v>
      </c>
      <c r="J369" t="s">
        <v>1140</v>
      </c>
      <c r="K369" t="s">
        <v>1141</v>
      </c>
    </row>
    <row r="370" spans="1:11">
      <c r="A370" t="s">
        <v>1142</v>
      </c>
      <c r="J370" t="s">
        <v>1143</v>
      </c>
      <c r="K370" t="s">
        <v>1144</v>
      </c>
    </row>
    <row r="371" spans="1:11">
      <c r="A371" t="s">
        <v>1145</v>
      </c>
      <c r="J371" t="s">
        <v>1146</v>
      </c>
      <c r="K371" t="s">
        <v>1147</v>
      </c>
    </row>
    <row r="372" spans="1:11">
      <c r="A372" t="s">
        <v>1148</v>
      </c>
      <c r="J372" t="s">
        <v>1149</v>
      </c>
      <c r="K372" t="s">
        <v>1150</v>
      </c>
    </row>
    <row r="373" spans="1:11">
      <c r="A373" t="s">
        <v>1151</v>
      </c>
      <c r="J373" t="s">
        <v>1152</v>
      </c>
      <c r="K373" t="s">
        <v>1153</v>
      </c>
    </row>
    <row r="374" spans="1:11">
      <c r="A374" t="s">
        <v>1154</v>
      </c>
      <c r="J374" t="s">
        <v>1155</v>
      </c>
      <c r="K374" t="s">
        <v>1156</v>
      </c>
    </row>
    <row r="375" spans="1:11">
      <c r="A375" t="s">
        <v>1157</v>
      </c>
      <c r="J375" t="s">
        <v>1158</v>
      </c>
      <c r="K375" t="s">
        <v>1159</v>
      </c>
    </row>
    <row r="376" spans="1:11">
      <c r="A376" t="s">
        <v>1160</v>
      </c>
      <c r="J376" t="s">
        <v>1161</v>
      </c>
      <c r="K376" t="s">
        <v>1162</v>
      </c>
    </row>
    <row r="377" spans="1:11">
      <c r="A377" t="s">
        <v>1163</v>
      </c>
      <c r="J377" t="s">
        <v>1164</v>
      </c>
      <c r="K377" t="s">
        <v>1165</v>
      </c>
    </row>
    <row r="378" spans="1:11">
      <c r="A378" t="s">
        <v>1166</v>
      </c>
      <c r="J378" t="s">
        <v>1167</v>
      </c>
      <c r="K378" t="s">
        <v>1168</v>
      </c>
    </row>
    <row r="379" spans="1:11">
      <c r="A379" t="s">
        <v>1169</v>
      </c>
      <c r="J379" t="s">
        <v>1170</v>
      </c>
      <c r="K379" t="s">
        <v>1171</v>
      </c>
    </row>
    <row r="380" spans="1:11">
      <c r="A380" t="s">
        <v>1172</v>
      </c>
      <c r="J380" t="s">
        <v>1173</v>
      </c>
      <c r="K380" t="s">
        <v>1174</v>
      </c>
    </row>
    <row r="381" spans="1:11">
      <c r="A381" t="s">
        <v>1175</v>
      </c>
      <c r="J381" t="s">
        <v>1176</v>
      </c>
      <c r="K381" t="s">
        <v>1177</v>
      </c>
    </row>
    <row r="382" spans="1:11">
      <c r="A382" t="s">
        <v>1178</v>
      </c>
      <c r="J382" t="s">
        <v>1179</v>
      </c>
      <c r="K382" t="s">
        <v>1180</v>
      </c>
    </row>
    <row r="383" spans="1:11">
      <c r="A383" t="s">
        <v>1181</v>
      </c>
      <c r="J383" t="s">
        <v>1182</v>
      </c>
      <c r="K383" t="s">
        <v>1183</v>
      </c>
    </row>
    <row r="384" spans="1:11">
      <c r="A384" t="s">
        <v>1184</v>
      </c>
      <c r="J384" t="s">
        <v>1185</v>
      </c>
      <c r="K384" t="s">
        <v>1186</v>
      </c>
    </row>
    <row r="385" spans="1:11">
      <c r="A385" t="s">
        <v>1187</v>
      </c>
      <c r="J385" t="s">
        <v>1188</v>
      </c>
      <c r="K385" t="s">
        <v>1189</v>
      </c>
    </row>
    <row r="386" spans="1:11">
      <c r="A386" t="s">
        <v>1190</v>
      </c>
      <c r="J386" t="s">
        <v>1191</v>
      </c>
      <c r="K386" t="s">
        <v>1192</v>
      </c>
    </row>
    <row r="387" spans="1:11">
      <c r="A387" t="s">
        <v>1193</v>
      </c>
      <c r="J387" t="s">
        <v>1194</v>
      </c>
      <c r="K387" t="s">
        <v>1195</v>
      </c>
    </row>
    <row r="388" spans="1:11">
      <c r="A388" t="s">
        <v>1196</v>
      </c>
      <c r="J388" t="s">
        <v>1197</v>
      </c>
      <c r="K388" t="s">
        <v>1198</v>
      </c>
    </row>
    <row r="389" spans="1:11">
      <c r="A389" t="s">
        <v>1199</v>
      </c>
      <c r="J389" t="s">
        <v>1200</v>
      </c>
      <c r="K389" t="s">
        <v>1201</v>
      </c>
    </row>
    <row r="390" spans="1:11">
      <c r="A390" t="s">
        <v>1202</v>
      </c>
      <c r="J390" t="s">
        <v>1203</v>
      </c>
      <c r="K390" t="s">
        <v>1204</v>
      </c>
    </row>
    <row r="391" spans="1:11">
      <c r="A391" t="s">
        <v>1205</v>
      </c>
      <c r="J391" t="s">
        <v>1206</v>
      </c>
      <c r="K391" t="s">
        <v>1207</v>
      </c>
    </row>
    <row r="392" spans="1:11">
      <c r="A392" t="s">
        <v>1208</v>
      </c>
      <c r="J392" t="s">
        <v>1209</v>
      </c>
      <c r="K392" t="s">
        <v>1210</v>
      </c>
    </row>
    <row r="393" spans="1:11">
      <c r="A393" t="s">
        <v>1211</v>
      </c>
      <c r="J393" t="s">
        <v>1212</v>
      </c>
      <c r="K393" t="s">
        <v>1213</v>
      </c>
    </row>
    <row r="394" spans="1:11">
      <c r="A394" t="s">
        <v>1214</v>
      </c>
      <c r="J394" t="s">
        <v>1215</v>
      </c>
      <c r="K394" t="s">
        <v>1216</v>
      </c>
    </row>
    <row r="395" spans="1:11">
      <c r="A395" t="s">
        <v>1217</v>
      </c>
      <c r="J395" t="s">
        <v>1218</v>
      </c>
      <c r="K395" t="s">
        <v>1219</v>
      </c>
    </row>
    <row r="396" spans="1:11">
      <c r="A396" t="s">
        <v>1220</v>
      </c>
      <c r="J396" t="s">
        <v>1221</v>
      </c>
      <c r="K396" t="s">
        <v>1222</v>
      </c>
    </row>
    <row r="397" spans="1:11">
      <c r="A397" t="s">
        <v>1223</v>
      </c>
      <c r="J397" t="s">
        <v>1224</v>
      </c>
      <c r="K397" t="s">
        <v>1225</v>
      </c>
    </row>
    <row r="398" spans="1:11">
      <c r="A398" t="s">
        <v>1226</v>
      </c>
      <c r="J398" t="s">
        <v>1227</v>
      </c>
      <c r="K398" t="s">
        <v>1228</v>
      </c>
    </row>
    <row r="399" spans="1:11">
      <c r="A399" t="s">
        <v>1229</v>
      </c>
      <c r="J399" t="s">
        <v>1230</v>
      </c>
      <c r="K399" t="s">
        <v>1231</v>
      </c>
    </row>
    <row r="400" spans="1:11">
      <c r="A400" t="s">
        <v>1232</v>
      </c>
      <c r="J400" t="s">
        <v>1233</v>
      </c>
      <c r="K400" t="s">
        <v>1234</v>
      </c>
    </row>
    <row r="401" spans="1:11">
      <c r="A401" t="s">
        <v>1235</v>
      </c>
      <c r="J401" t="s">
        <v>1236</v>
      </c>
      <c r="K401" t="s">
        <v>1237</v>
      </c>
    </row>
    <row r="402" spans="1:11">
      <c r="A402" t="s">
        <v>1238</v>
      </c>
      <c r="J402" t="s">
        <v>1239</v>
      </c>
      <c r="K402" t="s">
        <v>1240</v>
      </c>
    </row>
    <row r="403" spans="1:11">
      <c r="A403" t="s">
        <v>1241</v>
      </c>
      <c r="J403" t="s">
        <v>1242</v>
      </c>
      <c r="K403" t="s">
        <v>1243</v>
      </c>
    </row>
    <row r="404" spans="1:11">
      <c r="A404" t="s">
        <v>1244</v>
      </c>
      <c r="J404" t="s">
        <v>1245</v>
      </c>
      <c r="K404" t="s">
        <v>1246</v>
      </c>
    </row>
    <row r="405" spans="1:11">
      <c r="A405" t="s">
        <v>1247</v>
      </c>
      <c r="J405" t="s">
        <v>1248</v>
      </c>
      <c r="K405" t="s">
        <v>1249</v>
      </c>
    </row>
    <row r="406" spans="1:11">
      <c r="A406" t="s">
        <v>1250</v>
      </c>
      <c r="J406" t="s">
        <v>1251</v>
      </c>
      <c r="K406" t="s">
        <v>1252</v>
      </c>
    </row>
    <row r="407" spans="1:11">
      <c r="A407" t="s">
        <v>1253</v>
      </c>
      <c r="J407" t="s">
        <v>1254</v>
      </c>
      <c r="K407" t="s">
        <v>1255</v>
      </c>
    </row>
    <row r="408" spans="1:11">
      <c r="A408" t="s">
        <v>1256</v>
      </c>
      <c r="J408" t="s">
        <v>1257</v>
      </c>
      <c r="K408" t="s">
        <v>1258</v>
      </c>
    </row>
    <row r="409" spans="1:11">
      <c r="A409" t="s">
        <v>1259</v>
      </c>
      <c r="J409" t="s">
        <v>1260</v>
      </c>
      <c r="K409" t="s">
        <v>1261</v>
      </c>
    </row>
    <row r="410" spans="1:11">
      <c r="A410" t="s">
        <v>1262</v>
      </c>
      <c r="J410" t="s">
        <v>1263</v>
      </c>
      <c r="K410" t="s">
        <v>1264</v>
      </c>
    </row>
    <row r="411" spans="1:11">
      <c r="A411" t="s">
        <v>1265</v>
      </c>
      <c r="J411" t="s">
        <v>1266</v>
      </c>
      <c r="K411" t="s">
        <v>1267</v>
      </c>
    </row>
    <row r="412" spans="1:11">
      <c r="A412" t="s">
        <v>1268</v>
      </c>
      <c r="J412" t="s">
        <v>1269</v>
      </c>
      <c r="K412" t="s">
        <v>1270</v>
      </c>
    </row>
    <row r="413" spans="1:11">
      <c r="A413" t="s">
        <v>1271</v>
      </c>
      <c r="J413" t="s">
        <v>1272</v>
      </c>
      <c r="K413" t="s">
        <v>1273</v>
      </c>
    </row>
    <row r="414" spans="1:11">
      <c r="A414" t="s">
        <v>1274</v>
      </c>
      <c r="J414" t="s">
        <v>1275</v>
      </c>
      <c r="K414" t="s">
        <v>1276</v>
      </c>
    </row>
    <row r="415" spans="1:11">
      <c r="A415" t="s">
        <v>1277</v>
      </c>
      <c r="J415" t="s">
        <v>1278</v>
      </c>
      <c r="K415" t="s">
        <v>1279</v>
      </c>
    </row>
    <row r="416" spans="1:11">
      <c r="A416" t="s">
        <v>1280</v>
      </c>
      <c r="J416" t="s">
        <v>1281</v>
      </c>
      <c r="K416" t="s">
        <v>1282</v>
      </c>
    </row>
    <row r="417" spans="1:11">
      <c r="A417" t="s">
        <v>1283</v>
      </c>
      <c r="J417" t="s">
        <v>1284</v>
      </c>
      <c r="K417" t="s">
        <v>1285</v>
      </c>
    </row>
    <row r="418" spans="1:11">
      <c r="A418" t="s">
        <v>1286</v>
      </c>
      <c r="J418" t="s">
        <v>1287</v>
      </c>
      <c r="K418" t="s">
        <v>1288</v>
      </c>
    </row>
    <row r="419" spans="1:11">
      <c r="A419" t="s">
        <v>1289</v>
      </c>
      <c r="J419" t="s">
        <v>1290</v>
      </c>
      <c r="K419" t="s">
        <v>1291</v>
      </c>
    </row>
    <row r="420" spans="1:11">
      <c r="A420" t="s">
        <v>1292</v>
      </c>
      <c r="J420" t="s">
        <v>1293</v>
      </c>
      <c r="K420" t="s">
        <v>1294</v>
      </c>
    </row>
    <row r="421" spans="1:11">
      <c r="A421" t="s">
        <v>1295</v>
      </c>
      <c r="J421" t="s">
        <v>1296</v>
      </c>
      <c r="K421" t="s">
        <v>1297</v>
      </c>
    </row>
    <row r="422" spans="1:11">
      <c r="A422" t="s">
        <v>1298</v>
      </c>
      <c r="J422" t="s">
        <v>1299</v>
      </c>
      <c r="K422" t="s">
        <v>1300</v>
      </c>
    </row>
    <row r="423" spans="1:11">
      <c r="A423" t="s">
        <v>1301</v>
      </c>
      <c r="J423" t="s">
        <v>1302</v>
      </c>
      <c r="K423" t="s">
        <v>1303</v>
      </c>
    </row>
    <row r="424" spans="1:11">
      <c r="A424" t="s">
        <v>1304</v>
      </c>
      <c r="J424" t="s">
        <v>1305</v>
      </c>
      <c r="K424" t="s">
        <v>1306</v>
      </c>
    </row>
    <row r="425" spans="1:11">
      <c r="A425" t="s">
        <v>1307</v>
      </c>
      <c r="J425" t="s">
        <v>1308</v>
      </c>
      <c r="K425" t="s">
        <v>1309</v>
      </c>
    </row>
    <row r="426" spans="1:11">
      <c r="A426" t="s">
        <v>1310</v>
      </c>
      <c r="J426" t="s">
        <v>1311</v>
      </c>
      <c r="K426" t="s">
        <v>1312</v>
      </c>
    </row>
    <row r="427" spans="1:11">
      <c r="A427" t="s">
        <v>1313</v>
      </c>
      <c r="J427" t="s">
        <v>1314</v>
      </c>
      <c r="K427" t="s">
        <v>1315</v>
      </c>
    </row>
    <row r="428" spans="1:11">
      <c r="A428" t="s">
        <v>1316</v>
      </c>
      <c r="J428" t="s">
        <v>1317</v>
      </c>
      <c r="K428" t="s">
        <v>1318</v>
      </c>
    </row>
    <row r="429" spans="1:11">
      <c r="A429" t="s">
        <v>1319</v>
      </c>
      <c r="J429" t="s">
        <v>1320</v>
      </c>
      <c r="K429" t="s">
        <v>1321</v>
      </c>
    </row>
    <row r="430" spans="1:11">
      <c r="A430" t="s">
        <v>1322</v>
      </c>
      <c r="J430" t="s">
        <v>1323</v>
      </c>
      <c r="K430" t="s">
        <v>1324</v>
      </c>
    </row>
    <row r="431" spans="1:11">
      <c r="A431" t="s">
        <v>1325</v>
      </c>
      <c r="J431" t="s">
        <v>1326</v>
      </c>
      <c r="K431" t="s">
        <v>1327</v>
      </c>
    </row>
    <row r="432" spans="1:11">
      <c r="A432" t="s">
        <v>1328</v>
      </c>
      <c r="J432" t="s">
        <v>1329</v>
      </c>
      <c r="K432" t="s">
        <v>1330</v>
      </c>
    </row>
    <row r="433" spans="1:11">
      <c r="A433" t="s">
        <v>1331</v>
      </c>
      <c r="J433" t="s">
        <v>1332</v>
      </c>
      <c r="K433" t="s">
        <v>1333</v>
      </c>
    </row>
    <row r="434" spans="1:11">
      <c r="A434" t="s">
        <v>1334</v>
      </c>
      <c r="J434" t="s">
        <v>1335</v>
      </c>
      <c r="K434" t="s">
        <v>1336</v>
      </c>
    </row>
    <row r="435" spans="1:11">
      <c r="A435" t="s">
        <v>1337</v>
      </c>
      <c r="J435" t="s">
        <v>1338</v>
      </c>
      <c r="K435" t="s">
        <v>1339</v>
      </c>
    </row>
    <row r="436" spans="1:11">
      <c r="A436" t="s">
        <v>1340</v>
      </c>
      <c r="J436" t="s">
        <v>1341</v>
      </c>
      <c r="K436" t="s">
        <v>1342</v>
      </c>
    </row>
    <row r="437" spans="1:11">
      <c r="A437" t="s">
        <v>1343</v>
      </c>
      <c r="J437" t="s">
        <v>1344</v>
      </c>
      <c r="K437" t="s">
        <v>1345</v>
      </c>
    </row>
    <row r="438" spans="1:11">
      <c r="A438" t="s">
        <v>1346</v>
      </c>
      <c r="J438" t="s">
        <v>1347</v>
      </c>
      <c r="K438" t="s">
        <v>1348</v>
      </c>
    </row>
    <row r="439" spans="1:11">
      <c r="A439" t="s">
        <v>1349</v>
      </c>
      <c r="J439" t="s">
        <v>1350</v>
      </c>
      <c r="K439" t="s">
        <v>1351</v>
      </c>
    </row>
    <row r="440" spans="1:11">
      <c r="A440" t="s">
        <v>1352</v>
      </c>
      <c r="J440" t="s">
        <v>1353</v>
      </c>
      <c r="K440" t="s">
        <v>1354</v>
      </c>
    </row>
    <row r="441" spans="1:11">
      <c r="A441" t="s">
        <v>1355</v>
      </c>
      <c r="J441" t="s">
        <v>1356</v>
      </c>
      <c r="K441" t="s">
        <v>1357</v>
      </c>
    </row>
    <row r="442" spans="1:11">
      <c r="A442" t="s">
        <v>1358</v>
      </c>
      <c r="J442" t="s">
        <v>1359</v>
      </c>
      <c r="K442" t="s">
        <v>1360</v>
      </c>
    </row>
    <row r="443" spans="1:11">
      <c r="A443" t="s">
        <v>1361</v>
      </c>
      <c r="J443" t="s">
        <v>1362</v>
      </c>
      <c r="K443" t="s">
        <v>1363</v>
      </c>
    </row>
    <row r="444" spans="1:11">
      <c r="A444" t="s">
        <v>1364</v>
      </c>
      <c r="J444" t="s">
        <v>1365</v>
      </c>
      <c r="K444" t="s">
        <v>1366</v>
      </c>
    </row>
    <row r="445" spans="1:11">
      <c r="A445" t="s">
        <v>1367</v>
      </c>
      <c r="J445" t="s">
        <v>1368</v>
      </c>
      <c r="K445" t="s">
        <v>1369</v>
      </c>
    </row>
    <row r="446" spans="1:11">
      <c r="A446" t="s">
        <v>1370</v>
      </c>
      <c r="J446" t="s">
        <v>1371</v>
      </c>
      <c r="K446" t="s">
        <v>1372</v>
      </c>
    </row>
    <row r="447" spans="1:11">
      <c r="A447" t="s">
        <v>1373</v>
      </c>
      <c r="J447" t="s">
        <v>1374</v>
      </c>
      <c r="K447" t="s">
        <v>1375</v>
      </c>
    </row>
    <row r="448" spans="1:11">
      <c r="A448" t="s">
        <v>1376</v>
      </c>
      <c r="J448" t="s">
        <v>1377</v>
      </c>
      <c r="K448" t="s">
        <v>1378</v>
      </c>
    </row>
    <row r="449" spans="1:11">
      <c r="A449" t="s">
        <v>1379</v>
      </c>
      <c r="J449" t="s">
        <v>1380</v>
      </c>
      <c r="K449" t="s">
        <v>1381</v>
      </c>
    </row>
    <row r="450" spans="1:11">
      <c r="A450" t="s">
        <v>1382</v>
      </c>
      <c r="J450" t="s">
        <v>1383</v>
      </c>
      <c r="K450" t="s">
        <v>1384</v>
      </c>
    </row>
    <row r="451" spans="1:11">
      <c r="A451" t="s">
        <v>1385</v>
      </c>
      <c r="J451" t="s">
        <v>1386</v>
      </c>
      <c r="K451" t="s">
        <v>1387</v>
      </c>
    </row>
    <row r="452" spans="1:11">
      <c r="A452" t="s">
        <v>1388</v>
      </c>
      <c r="J452" t="s">
        <v>1389</v>
      </c>
      <c r="K452" t="s">
        <v>1390</v>
      </c>
    </row>
    <row r="453" spans="1:11">
      <c r="A453" t="s">
        <v>1391</v>
      </c>
      <c r="J453" t="s">
        <v>1392</v>
      </c>
      <c r="K453" t="s">
        <v>1393</v>
      </c>
    </row>
    <row r="454" spans="1:11">
      <c r="A454" t="s">
        <v>1394</v>
      </c>
      <c r="J454" t="s">
        <v>1395</v>
      </c>
      <c r="K454" t="s">
        <v>1396</v>
      </c>
    </row>
    <row r="455" spans="1:11">
      <c r="A455" t="s">
        <v>1397</v>
      </c>
      <c r="J455" t="s">
        <v>1398</v>
      </c>
      <c r="K455" t="s">
        <v>1399</v>
      </c>
    </row>
    <row r="456" spans="1:11">
      <c r="A456" t="s">
        <v>1400</v>
      </c>
      <c r="J456" t="s">
        <v>1401</v>
      </c>
      <c r="K456" t="s">
        <v>1402</v>
      </c>
    </row>
    <row r="457" spans="1:11">
      <c r="A457" t="s">
        <v>1403</v>
      </c>
      <c r="J457" t="s">
        <v>1404</v>
      </c>
      <c r="K457" t="s">
        <v>1405</v>
      </c>
    </row>
    <row r="458" spans="1:11">
      <c r="A458" t="s">
        <v>1406</v>
      </c>
      <c r="J458" t="s">
        <v>1407</v>
      </c>
      <c r="K458" t="s">
        <v>1408</v>
      </c>
    </row>
    <row r="459" spans="1:11">
      <c r="A459" t="s">
        <v>1409</v>
      </c>
      <c r="J459" t="s">
        <v>1410</v>
      </c>
      <c r="K459" t="s">
        <v>1411</v>
      </c>
    </row>
    <row r="460" spans="1:11">
      <c r="A460" t="s">
        <v>1412</v>
      </c>
      <c r="J460" t="s">
        <v>1413</v>
      </c>
      <c r="K460" t="s">
        <v>1414</v>
      </c>
    </row>
    <row r="461" spans="1:11">
      <c r="A461" t="s">
        <v>1415</v>
      </c>
      <c r="J461" t="s">
        <v>1416</v>
      </c>
      <c r="K461" t="s">
        <v>1417</v>
      </c>
    </row>
    <row r="462" spans="1:11">
      <c r="A462" t="s">
        <v>1418</v>
      </c>
      <c r="J462" t="s">
        <v>1419</v>
      </c>
      <c r="K462" t="s">
        <v>1420</v>
      </c>
    </row>
    <row r="463" spans="1:11">
      <c r="A463" t="s">
        <v>1421</v>
      </c>
      <c r="J463" t="s">
        <v>1422</v>
      </c>
      <c r="K463" t="s">
        <v>1423</v>
      </c>
    </row>
    <row r="464" spans="1:11">
      <c r="A464" t="s">
        <v>1424</v>
      </c>
      <c r="J464" t="s">
        <v>1425</v>
      </c>
      <c r="K464" t="s">
        <v>1426</v>
      </c>
    </row>
    <row r="465" spans="1:11">
      <c r="A465" t="s">
        <v>1427</v>
      </c>
      <c r="J465" t="s">
        <v>1428</v>
      </c>
      <c r="K465" t="s">
        <v>1429</v>
      </c>
    </row>
    <row r="466" spans="1:11">
      <c r="A466" t="s">
        <v>1430</v>
      </c>
      <c r="J466" t="s">
        <v>1431</v>
      </c>
      <c r="K466" t="s">
        <v>1432</v>
      </c>
    </row>
    <row r="467" spans="1:11">
      <c r="A467" t="s">
        <v>1433</v>
      </c>
      <c r="J467" t="s">
        <v>1434</v>
      </c>
      <c r="K467" t="s">
        <v>1435</v>
      </c>
    </row>
    <row r="468" spans="1:11">
      <c r="A468" t="s">
        <v>1436</v>
      </c>
      <c r="J468" t="s">
        <v>1437</v>
      </c>
      <c r="K468" t="s">
        <v>1438</v>
      </c>
    </row>
    <row r="469" spans="1:11">
      <c r="A469" t="s">
        <v>1439</v>
      </c>
      <c r="J469" t="s">
        <v>1440</v>
      </c>
      <c r="K469" t="s">
        <v>1441</v>
      </c>
    </row>
    <row r="470" spans="1:11">
      <c r="A470" t="s">
        <v>1442</v>
      </c>
      <c r="J470" t="s">
        <v>1443</v>
      </c>
      <c r="K470" t="s">
        <v>1444</v>
      </c>
    </row>
    <row r="471" spans="1:11">
      <c r="A471" t="s">
        <v>1445</v>
      </c>
      <c r="J471" t="s">
        <v>1446</v>
      </c>
      <c r="K471" t="s">
        <v>1447</v>
      </c>
    </row>
    <row r="472" spans="1:11">
      <c r="A472" t="s">
        <v>1448</v>
      </c>
      <c r="J472" t="s">
        <v>1449</v>
      </c>
      <c r="K472" t="s">
        <v>1450</v>
      </c>
    </row>
    <row r="473" spans="1:11">
      <c r="A473" t="s">
        <v>1451</v>
      </c>
      <c r="J473" t="s">
        <v>1452</v>
      </c>
      <c r="K473" t="s">
        <v>1453</v>
      </c>
    </row>
    <row r="474" spans="1:11">
      <c r="A474" t="s">
        <v>1454</v>
      </c>
      <c r="J474" t="s">
        <v>1455</v>
      </c>
      <c r="K474" t="s">
        <v>1456</v>
      </c>
    </row>
    <row r="475" spans="1:11">
      <c r="A475" t="s">
        <v>1457</v>
      </c>
      <c r="J475" t="s">
        <v>1458</v>
      </c>
      <c r="K475" t="s">
        <v>1459</v>
      </c>
    </row>
    <row r="476" spans="1:11">
      <c r="A476" t="s">
        <v>1460</v>
      </c>
      <c r="J476" t="s">
        <v>1461</v>
      </c>
      <c r="K476" t="s">
        <v>1462</v>
      </c>
    </row>
    <row r="477" spans="1:11">
      <c r="A477" t="s">
        <v>1463</v>
      </c>
      <c r="J477" t="s">
        <v>1464</v>
      </c>
      <c r="K477" t="s">
        <v>1465</v>
      </c>
    </row>
    <row r="478" spans="1:11">
      <c r="A478" t="s">
        <v>1466</v>
      </c>
      <c r="J478" t="s">
        <v>1467</v>
      </c>
      <c r="K478" t="s">
        <v>1468</v>
      </c>
    </row>
    <row r="479" spans="1:11">
      <c r="A479" t="s">
        <v>1469</v>
      </c>
      <c r="J479" t="s">
        <v>1470</v>
      </c>
      <c r="K479" t="s">
        <v>1471</v>
      </c>
    </row>
    <row r="480" spans="1:11">
      <c r="A480" t="s">
        <v>1472</v>
      </c>
      <c r="J480" t="s">
        <v>1473</v>
      </c>
      <c r="K480" t="s">
        <v>1474</v>
      </c>
    </row>
    <row r="481" spans="1:11">
      <c r="A481" t="s">
        <v>1475</v>
      </c>
      <c r="J481" t="s">
        <v>1476</v>
      </c>
      <c r="K481" t="s">
        <v>1477</v>
      </c>
    </row>
    <row r="482" spans="1:11">
      <c r="A482" t="s">
        <v>1478</v>
      </c>
      <c r="J482" t="s">
        <v>1479</v>
      </c>
      <c r="K482" t="s">
        <v>1480</v>
      </c>
    </row>
    <row r="483" spans="1:11">
      <c r="A483" t="s">
        <v>1481</v>
      </c>
      <c r="J483" t="s">
        <v>1482</v>
      </c>
      <c r="K483" t="s">
        <v>1483</v>
      </c>
    </row>
    <row r="484" spans="1:11">
      <c r="A484" t="s">
        <v>1484</v>
      </c>
      <c r="J484" t="s">
        <v>1485</v>
      </c>
      <c r="K484" t="s">
        <v>1486</v>
      </c>
    </row>
    <row r="485" spans="1:11">
      <c r="A485" t="s">
        <v>1487</v>
      </c>
      <c r="J485" t="s">
        <v>1488</v>
      </c>
      <c r="K485" t="s">
        <v>1489</v>
      </c>
    </row>
    <row r="486" spans="1:11">
      <c r="A486" t="s">
        <v>1490</v>
      </c>
      <c r="J486" t="s">
        <v>1491</v>
      </c>
      <c r="K486" t="s">
        <v>1492</v>
      </c>
    </row>
    <row r="487" spans="1:11">
      <c r="A487" t="s">
        <v>1493</v>
      </c>
      <c r="J487" t="s">
        <v>1494</v>
      </c>
      <c r="K487" t="s">
        <v>1495</v>
      </c>
    </row>
    <row r="488" spans="1:11">
      <c r="A488" t="s">
        <v>1496</v>
      </c>
      <c r="J488" t="s">
        <v>1497</v>
      </c>
      <c r="K488" t="s">
        <v>1498</v>
      </c>
    </row>
    <row r="489" spans="1:11">
      <c r="A489" t="s">
        <v>1499</v>
      </c>
      <c r="J489" t="s">
        <v>1500</v>
      </c>
      <c r="K489" t="s">
        <v>1501</v>
      </c>
    </row>
    <row r="490" spans="1:11">
      <c r="A490" t="s">
        <v>1502</v>
      </c>
      <c r="J490" t="s">
        <v>1503</v>
      </c>
      <c r="K490" t="s">
        <v>1504</v>
      </c>
    </row>
    <row r="491" spans="1:11">
      <c r="A491" t="s">
        <v>1505</v>
      </c>
      <c r="J491" t="s">
        <v>1506</v>
      </c>
      <c r="K491" t="s">
        <v>1507</v>
      </c>
    </row>
    <row r="492" spans="1:11">
      <c r="A492" t="s">
        <v>1508</v>
      </c>
      <c r="J492" t="s">
        <v>1509</v>
      </c>
      <c r="K492" t="s">
        <v>1510</v>
      </c>
    </row>
    <row r="493" spans="1:11">
      <c r="A493" t="s">
        <v>1511</v>
      </c>
      <c r="J493" t="s">
        <v>1512</v>
      </c>
      <c r="K493" t="s">
        <v>1513</v>
      </c>
    </row>
    <row r="494" spans="1:11">
      <c r="A494" t="s">
        <v>1514</v>
      </c>
      <c r="J494" t="s">
        <v>1515</v>
      </c>
      <c r="K494" t="s">
        <v>1516</v>
      </c>
    </row>
    <row r="495" spans="1:11">
      <c r="A495" t="s">
        <v>1517</v>
      </c>
      <c r="J495" t="s">
        <v>1518</v>
      </c>
      <c r="K495" t="s">
        <v>1519</v>
      </c>
    </row>
    <row r="496" spans="1:11">
      <c r="A496" t="s">
        <v>1520</v>
      </c>
      <c r="J496" t="s">
        <v>1521</v>
      </c>
      <c r="K496" t="s">
        <v>1522</v>
      </c>
    </row>
    <row r="497" spans="1:11">
      <c r="A497" t="s">
        <v>1523</v>
      </c>
      <c r="J497" t="s">
        <v>1524</v>
      </c>
      <c r="K497" t="s">
        <v>1525</v>
      </c>
    </row>
    <row r="498" spans="1:11">
      <c r="A498" t="s">
        <v>1526</v>
      </c>
      <c r="J498" t="s">
        <v>1527</v>
      </c>
      <c r="K498" t="s">
        <v>1528</v>
      </c>
    </row>
    <row r="499" spans="1:11">
      <c r="A499" t="s">
        <v>1529</v>
      </c>
      <c r="J499" t="s">
        <v>1530</v>
      </c>
      <c r="K499" t="s">
        <v>1531</v>
      </c>
    </row>
    <row r="500" spans="1:11">
      <c r="A500" t="s">
        <v>1532</v>
      </c>
      <c r="J500" t="s">
        <v>1533</v>
      </c>
      <c r="K500" t="s">
        <v>1534</v>
      </c>
    </row>
    <row r="501" spans="1:11">
      <c r="A501" t="s">
        <v>1535</v>
      </c>
      <c r="J501" t="s">
        <v>1536</v>
      </c>
      <c r="K501" t="s">
        <v>1537</v>
      </c>
    </row>
    <row r="502" spans="1:11">
      <c r="A502" t="s">
        <v>1538</v>
      </c>
      <c r="J502" t="s">
        <v>1539</v>
      </c>
      <c r="K502" t="s">
        <v>1540</v>
      </c>
    </row>
    <row r="503" spans="1:11">
      <c r="A503" t="s">
        <v>1541</v>
      </c>
      <c r="J503" t="s">
        <v>1542</v>
      </c>
      <c r="K503" t="s">
        <v>1543</v>
      </c>
    </row>
    <row r="504" spans="1:11">
      <c r="A504" t="s">
        <v>1544</v>
      </c>
      <c r="J504" t="s">
        <v>1545</v>
      </c>
      <c r="K504" t="s">
        <v>1546</v>
      </c>
    </row>
    <row r="505" spans="1:11">
      <c r="A505" t="s">
        <v>1547</v>
      </c>
      <c r="J505" t="s">
        <v>1548</v>
      </c>
      <c r="K505" t="s">
        <v>1549</v>
      </c>
    </row>
    <row r="506" spans="1:11">
      <c r="A506" t="s">
        <v>1550</v>
      </c>
      <c r="J506" t="s">
        <v>1551</v>
      </c>
      <c r="K506" t="s">
        <v>1552</v>
      </c>
    </row>
    <row r="507" spans="1:11">
      <c r="A507" t="s">
        <v>1553</v>
      </c>
      <c r="J507" t="s">
        <v>1554</v>
      </c>
      <c r="K507" t="s">
        <v>1555</v>
      </c>
    </row>
    <row r="508" spans="1:11">
      <c r="A508" t="s">
        <v>1556</v>
      </c>
      <c r="J508" t="s">
        <v>1557</v>
      </c>
      <c r="K508" t="s">
        <v>1558</v>
      </c>
    </row>
    <row r="509" spans="1:11">
      <c r="A509" t="s">
        <v>1559</v>
      </c>
      <c r="J509" t="s">
        <v>1560</v>
      </c>
      <c r="K509" t="s">
        <v>1561</v>
      </c>
    </row>
    <row r="510" spans="1:11">
      <c r="A510" t="s">
        <v>1562</v>
      </c>
      <c r="J510" t="s">
        <v>1563</v>
      </c>
      <c r="K510" t="s">
        <v>1564</v>
      </c>
    </row>
    <row r="511" spans="1:11">
      <c r="A511" t="s">
        <v>1565</v>
      </c>
      <c r="J511" t="s">
        <v>1566</v>
      </c>
      <c r="K511" t="s">
        <v>1567</v>
      </c>
    </row>
    <row r="512" spans="1:11">
      <c r="A512" t="s">
        <v>1568</v>
      </c>
      <c r="J512" t="s">
        <v>1569</v>
      </c>
      <c r="K512" t="s">
        <v>1570</v>
      </c>
    </row>
    <row r="513" spans="1:11">
      <c r="A513" t="s">
        <v>1571</v>
      </c>
      <c r="J513" t="s">
        <v>1572</v>
      </c>
      <c r="K513" t="s">
        <v>1573</v>
      </c>
    </row>
    <row r="514" spans="1:11">
      <c r="A514" t="s">
        <v>1574</v>
      </c>
      <c r="J514" t="s">
        <v>1575</v>
      </c>
      <c r="K514" t="s">
        <v>1576</v>
      </c>
    </row>
    <row r="515" spans="1:11">
      <c r="A515" t="s">
        <v>1577</v>
      </c>
      <c r="J515" t="s">
        <v>1578</v>
      </c>
      <c r="K515" t="s">
        <v>1579</v>
      </c>
    </row>
    <row r="516" spans="1:11">
      <c r="A516" t="s">
        <v>1580</v>
      </c>
      <c r="J516" t="s">
        <v>1581</v>
      </c>
      <c r="K516" t="s">
        <v>1582</v>
      </c>
    </row>
    <row r="517" spans="1:11">
      <c r="A517" t="s">
        <v>1583</v>
      </c>
      <c r="J517" t="s">
        <v>1584</v>
      </c>
      <c r="K517" t="s">
        <v>1585</v>
      </c>
    </row>
    <row r="518" spans="1:11">
      <c r="A518" t="s">
        <v>1586</v>
      </c>
      <c r="J518" t="s">
        <v>1587</v>
      </c>
      <c r="K518" t="s">
        <v>1588</v>
      </c>
    </row>
    <row r="519" spans="1:11">
      <c r="A519" t="s">
        <v>1589</v>
      </c>
      <c r="J519" t="s">
        <v>1590</v>
      </c>
      <c r="K519" t="s">
        <v>1591</v>
      </c>
    </row>
    <row r="520" spans="1:11">
      <c r="A520" t="s">
        <v>1592</v>
      </c>
      <c r="J520" t="s">
        <v>1593</v>
      </c>
      <c r="K520" t="s">
        <v>1594</v>
      </c>
    </row>
    <row r="521" spans="1:11">
      <c r="A521" t="s">
        <v>1595</v>
      </c>
      <c r="J521" t="s">
        <v>1596</v>
      </c>
      <c r="K521" t="s">
        <v>1597</v>
      </c>
    </row>
    <row r="522" spans="1:11">
      <c r="A522" t="s">
        <v>1598</v>
      </c>
      <c r="J522" t="s">
        <v>1599</v>
      </c>
      <c r="K522" t="s">
        <v>1600</v>
      </c>
    </row>
    <row r="523" spans="1:11">
      <c r="A523" t="s">
        <v>1601</v>
      </c>
      <c r="J523" t="s">
        <v>1602</v>
      </c>
      <c r="K523" t="s">
        <v>1603</v>
      </c>
    </row>
    <row r="524" spans="1:11">
      <c r="A524" t="s">
        <v>1604</v>
      </c>
      <c r="J524" t="s">
        <v>1605</v>
      </c>
      <c r="K524" t="s">
        <v>1606</v>
      </c>
    </row>
    <row r="525" spans="1:11">
      <c r="A525" t="s">
        <v>1607</v>
      </c>
      <c r="J525" t="s">
        <v>1608</v>
      </c>
      <c r="K525" t="s">
        <v>1609</v>
      </c>
    </row>
    <row r="526" spans="1:11">
      <c r="A526" t="s">
        <v>1610</v>
      </c>
      <c r="J526" t="s">
        <v>1611</v>
      </c>
      <c r="K526" t="s">
        <v>1612</v>
      </c>
    </row>
    <row r="527" spans="1:11">
      <c r="A527" t="s">
        <v>1613</v>
      </c>
      <c r="J527" t="s">
        <v>1614</v>
      </c>
      <c r="K527" t="s">
        <v>1615</v>
      </c>
    </row>
    <row r="528" spans="1:11">
      <c r="A528" t="s">
        <v>1616</v>
      </c>
      <c r="J528" t="s">
        <v>1617</v>
      </c>
      <c r="K528" t="s">
        <v>1618</v>
      </c>
    </row>
    <row r="529" spans="1:11">
      <c r="A529" t="s">
        <v>1619</v>
      </c>
      <c r="J529" t="s">
        <v>1620</v>
      </c>
      <c r="K529" t="s">
        <v>1621</v>
      </c>
    </row>
    <row r="530" spans="1:11">
      <c r="A530" t="s">
        <v>1622</v>
      </c>
      <c r="J530" t="s">
        <v>1623</v>
      </c>
      <c r="K530" t="s">
        <v>1624</v>
      </c>
    </row>
    <row r="531" spans="1:11">
      <c r="A531" t="s">
        <v>1625</v>
      </c>
      <c r="J531" t="s">
        <v>1626</v>
      </c>
      <c r="K531" t="s">
        <v>1627</v>
      </c>
    </row>
    <row r="532" spans="1:11">
      <c r="A532" t="s">
        <v>1628</v>
      </c>
      <c r="J532" t="s">
        <v>1629</v>
      </c>
      <c r="K532" t="s">
        <v>1630</v>
      </c>
    </row>
    <row r="533" spans="1:11">
      <c r="A533" t="s">
        <v>1631</v>
      </c>
      <c r="J533" t="s">
        <v>1632</v>
      </c>
      <c r="K533" t="s">
        <v>1633</v>
      </c>
    </row>
    <row r="534" spans="1:11">
      <c r="A534" t="s">
        <v>1634</v>
      </c>
      <c r="J534" t="s">
        <v>1635</v>
      </c>
      <c r="K534" t="s">
        <v>1636</v>
      </c>
    </row>
    <row r="535" spans="1:11">
      <c r="A535" t="s">
        <v>1637</v>
      </c>
      <c r="J535" t="s">
        <v>1638</v>
      </c>
      <c r="K535" t="s">
        <v>1639</v>
      </c>
    </row>
    <row r="536" spans="1:11">
      <c r="A536" t="s">
        <v>1640</v>
      </c>
      <c r="J536" t="s">
        <v>1641</v>
      </c>
      <c r="K536" t="s">
        <v>1642</v>
      </c>
    </row>
    <row r="537" spans="1:11">
      <c r="A537" t="s">
        <v>1643</v>
      </c>
      <c r="J537" t="s">
        <v>1644</v>
      </c>
      <c r="K537" t="s">
        <v>1645</v>
      </c>
    </row>
    <row r="538" spans="1:11">
      <c r="A538" t="s">
        <v>1646</v>
      </c>
      <c r="J538" t="s">
        <v>1647</v>
      </c>
      <c r="K538" t="s">
        <v>1648</v>
      </c>
    </row>
    <row r="539" spans="1:11">
      <c r="A539" t="s">
        <v>1649</v>
      </c>
      <c r="J539" t="s">
        <v>1650</v>
      </c>
      <c r="K539" t="s">
        <v>1651</v>
      </c>
    </row>
    <row r="540" spans="1:11">
      <c r="A540" t="s">
        <v>1652</v>
      </c>
      <c r="J540" t="s">
        <v>1653</v>
      </c>
      <c r="K540" t="s">
        <v>1654</v>
      </c>
    </row>
    <row r="541" spans="1:11">
      <c r="A541" t="s">
        <v>1655</v>
      </c>
      <c r="J541" t="s">
        <v>1656</v>
      </c>
      <c r="K541" t="s">
        <v>1657</v>
      </c>
    </row>
    <row r="542" spans="1:11">
      <c r="A542" t="s">
        <v>1658</v>
      </c>
      <c r="J542" t="s">
        <v>1659</v>
      </c>
      <c r="K542" t="s">
        <v>1660</v>
      </c>
    </row>
    <row r="543" spans="1:11">
      <c r="A543" t="s">
        <v>1661</v>
      </c>
      <c r="J543" t="s">
        <v>1662</v>
      </c>
      <c r="K543" t="s">
        <v>1663</v>
      </c>
    </row>
    <row r="544" spans="1:11">
      <c r="A544" t="s">
        <v>1664</v>
      </c>
      <c r="J544" t="s">
        <v>1665</v>
      </c>
      <c r="K544" t="s">
        <v>1666</v>
      </c>
    </row>
    <row r="545" spans="1:11">
      <c r="A545" t="s">
        <v>1667</v>
      </c>
      <c r="J545" t="s">
        <v>1668</v>
      </c>
      <c r="K545" t="s">
        <v>1669</v>
      </c>
    </row>
    <row r="546" spans="1:11">
      <c r="A546" t="s">
        <v>1670</v>
      </c>
      <c r="J546" t="s">
        <v>1671</v>
      </c>
      <c r="K546" t="s">
        <v>1672</v>
      </c>
    </row>
    <row r="547" spans="1:11">
      <c r="A547" t="s">
        <v>1673</v>
      </c>
      <c r="J547" t="s">
        <v>1674</v>
      </c>
      <c r="K547" t="s">
        <v>1675</v>
      </c>
    </row>
    <row r="548" spans="1:11">
      <c r="A548" t="s">
        <v>1676</v>
      </c>
      <c r="J548" t="s">
        <v>1677</v>
      </c>
      <c r="K548" t="s">
        <v>1678</v>
      </c>
    </row>
    <row r="549" spans="1:11">
      <c r="A549" t="s">
        <v>1679</v>
      </c>
      <c r="J549" t="s">
        <v>1680</v>
      </c>
      <c r="K549" t="s">
        <v>1681</v>
      </c>
    </row>
    <row r="550" spans="1:11">
      <c r="A550" t="s">
        <v>1682</v>
      </c>
      <c r="J550" t="s">
        <v>1683</v>
      </c>
      <c r="K550" t="s">
        <v>1684</v>
      </c>
    </row>
    <row r="551" spans="1:11">
      <c r="A551" t="s">
        <v>1685</v>
      </c>
      <c r="J551" t="s">
        <v>1686</v>
      </c>
      <c r="K551" t="s">
        <v>1687</v>
      </c>
    </row>
    <row r="552" spans="1:11">
      <c r="A552" t="s">
        <v>1688</v>
      </c>
      <c r="J552" t="s">
        <v>1689</v>
      </c>
      <c r="K552" t="s">
        <v>1690</v>
      </c>
    </row>
    <row r="553" spans="1:11">
      <c r="A553" t="s">
        <v>1691</v>
      </c>
      <c r="J553" t="s">
        <v>1692</v>
      </c>
      <c r="K553" t="s">
        <v>1693</v>
      </c>
    </row>
    <row r="554" spans="1:11">
      <c r="A554" t="s">
        <v>1694</v>
      </c>
      <c r="J554" t="s">
        <v>1695</v>
      </c>
      <c r="K554" t="s">
        <v>1696</v>
      </c>
    </row>
    <row r="555" spans="1:11">
      <c r="A555" t="s">
        <v>1697</v>
      </c>
      <c r="J555" t="s">
        <v>1698</v>
      </c>
      <c r="K555" t="s">
        <v>1699</v>
      </c>
    </row>
    <row r="556" spans="1:11">
      <c r="A556" t="s">
        <v>1700</v>
      </c>
      <c r="J556" t="s">
        <v>1701</v>
      </c>
      <c r="K556" t="s">
        <v>1702</v>
      </c>
    </row>
    <row r="557" spans="1:11">
      <c r="A557" t="s">
        <v>1703</v>
      </c>
      <c r="J557" t="s">
        <v>1704</v>
      </c>
      <c r="K557" t="s">
        <v>1705</v>
      </c>
    </row>
    <row r="558" spans="1:11">
      <c r="A558" t="s">
        <v>1706</v>
      </c>
      <c r="J558" t="s">
        <v>1707</v>
      </c>
      <c r="K558" t="s">
        <v>1708</v>
      </c>
    </row>
    <row r="559" spans="1:11">
      <c r="A559" t="s">
        <v>1709</v>
      </c>
      <c r="J559" t="s">
        <v>1710</v>
      </c>
      <c r="K559" t="s">
        <v>1711</v>
      </c>
    </row>
    <row r="560" spans="1:11">
      <c r="A560" t="s">
        <v>1712</v>
      </c>
      <c r="J560" t="s">
        <v>1713</v>
      </c>
      <c r="K560" t="s">
        <v>1714</v>
      </c>
    </row>
    <row r="561" spans="1:11">
      <c r="A561" t="s">
        <v>1715</v>
      </c>
      <c r="J561" t="s">
        <v>1716</v>
      </c>
      <c r="K561" t="s">
        <v>1717</v>
      </c>
    </row>
    <row r="562" spans="1:11">
      <c r="A562" t="s">
        <v>1718</v>
      </c>
      <c r="J562" t="s">
        <v>1719</v>
      </c>
      <c r="K562" t="s">
        <v>1720</v>
      </c>
    </row>
    <row r="563" spans="1:11">
      <c r="A563" t="s">
        <v>1721</v>
      </c>
      <c r="J563" t="s">
        <v>1722</v>
      </c>
      <c r="K563" t="s">
        <v>1723</v>
      </c>
    </row>
    <row r="564" spans="1:11">
      <c r="A564" t="s">
        <v>1724</v>
      </c>
      <c r="J564" t="s">
        <v>1725</v>
      </c>
      <c r="K564" t="s">
        <v>1726</v>
      </c>
    </row>
    <row r="565" spans="1:11">
      <c r="A565" t="s">
        <v>1727</v>
      </c>
      <c r="J565" t="s">
        <v>1728</v>
      </c>
      <c r="K565" t="s">
        <v>1729</v>
      </c>
    </row>
    <row r="566" spans="1:11">
      <c r="A566" t="s">
        <v>1730</v>
      </c>
      <c r="J566" t="s">
        <v>1731</v>
      </c>
      <c r="K566" t="s">
        <v>1732</v>
      </c>
    </row>
    <row r="567" spans="1:11">
      <c r="A567" t="s">
        <v>1733</v>
      </c>
      <c r="J567" t="s">
        <v>1734</v>
      </c>
      <c r="K567" t="s">
        <v>1735</v>
      </c>
    </row>
    <row r="568" spans="1:11">
      <c r="A568" t="s">
        <v>1736</v>
      </c>
      <c r="J568" t="s">
        <v>1737</v>
      </c>
      <c r="K568" t="s">
        <v>1738</v>
      </c>
    </row>
    <row r="569" spans="1:11">
      <c r="A569" t="s">
        <v>1739</v>
      </c>
      <c r="J569" t="s">
        <v>1740</v>
      </c>
      <c r="K569" t="s">
        <v>1741</v>
      </c>
    </row>
    <row r="570" spans="1:11">
      <c r="A570" t="s">
        <v>1742</v>
      </c>
      <c r="J570" t="s">
        <v>1743</v>
      </c>
      <c r="K570" t="s">
        <v>1744</v>
      </c>
    </row>
    <row r="571" spans="1:11">
      <c r="A571" t="s">
        <v>1745</v>
      </c>
      <c r="J571" t="s">
        <v>1746</v>
      </c>
      <c r="K571" t="s">
        <v>1747</v>
      </c>
    </row>
    <row r="572" spans="1:11">
      <c r="A572" t="s">
        <v>1748</v>
      </c>
      <c r="J572" t="s">
        <v>1749</v>
      </c>
      <c r="K572" t="s">
        <v>1750</v>
      </c>
    </row>
    <row r="573" spans="1:11">
      <c r="A573" t="s">
        <v>1751</v>
      </c>
      <c r="J573" t="s">
        <v>1752</v>
      </c>
      <c r="K573" t="s">
        <v>1753</v>
      </c>
    </row>
    <row r="574" spans="1:11">
      <c r="A574" t="s">
        <v>1754</v>
      </c>
      <c r="J574" t="s">
        <v>1755</v>
      </c>
      <c r="K574" t="s">
        <v>1756</v>
      </c>
    </row>
    <row r="575" spans="1:11">
      <c r="A575" t="s">
        <v>1757</v>
      </c>
      <c r="J575" t="s">
        <v>1758</v>
      </c>
      <c r="K575" t="s">
        <v>1759</v>
      </c>
    </row>
    <row r="576" spans="1:11">
      <c r="A576" t="s">
        <v>1760</v>
      </c>
      <c r="J576" t="s">
        <v>1761</v>
      </c>
      <c r="K576" t="s">
        <v>1762</v>
      </c>
    </row>
    <row r="577" spans="1:11">
      <c r="A577" t="s">
        <v>1763</v>
      </c>
      <c r="J577" t="s">
        <v>1764</v>
      </c>
      <c r="K577" t="s">
        <v>1765</v>
      </c>
    </row>
    <row r="578" spans="1:11">
      <c r="A578" t="s">
        <v>1766</v>
      </c>
      <c r="J578" t="s">
        <v>1767</v>
      </c>
      <c r="K578" t="s">
        <v>1768</v>
      </c>
    </row>
    <row r="579" spans="1:11">
      <c r="A579" t="s">
        <v>1769</v>
      </c>
      <c r="J579" t="s">
        <v>1770</v>
      </c>
      <c r="K579" t="s">
        <v>1771</v>
      </c>
    </row>
    <row r="580" spans="1:11">
      <c r="A580" t="s">
        <v>1772</v>
      </c>
      <c r="J580" t="s">
        <v>1773</v>
      </c>
      <c r="K580" t="s">
        <v>1774</v>
      </c>
    </row>
    <row r="581" spans="1:11">
      <c r="A581" t="s">
        <v>1775</v>
      </c>
      <c r="J581" t="s">
        <v>1776</v>
      </c>
      <c r="K581" t="s">
        <v>1777</v>
      </c>
    </row>
    <row r="582" spans="1:11">
      <c r="A582" t="s">
        <v>1778</v>
      </c>
      <c r="J582" t="s">
        <v>1779</v>
      </c>
      <c r="K582" t="s">
        <v>1780</v>
      </c>
    </row>
    <row r="583" spans="1:11">
      <c r="A583" t="s">
        <v>1781</v>
      </c>
      <c r="J583" t="s">
        <v>1782</v>
      </c>
      <c r="K583" t="s">
        <v>1783</v>
      </c>
    </row>
    <row r="584" spans="1:11">
      <c r="A584" t="s">
        <v>1784</v>
      </c>
      <c r="J584" t="s">
        <v>1785</v>
      </c>
      <c r="K584" t="s">
        <v>1786</v>
      </c>
    </row>
    <row r="585" spans="1:11">
      <c r="A585" t="s">
        <v>1787</v>
      </c>
      <c r="J585" t="s">
        <v>1788</v>
      </c>
      <c r="K585" t="s">
        <v>1789</v>
      </c>
    </row>
    <row r="586" spans="1:11">
      <c r="A586" t="s">
        <v>1790</v>
      </c>
      <c r="J586" t="s">
        <v>1791</v>
      </c>
      <c r="K586" t="s">
        <v>1792</v>
      </c>
    </row>
    <row r="587" spans="1:11">
      <c r="A587" t="s">
        <v>1793</v>
      </c>
      <c r="J587" t="s">
        <v>1794</v>
      </c>
      <c r="K587" t="s">
        <v>1795</v>
      </c>
    </row>
    <row r="588" spans="1:11">
      <c r="A588" t="s">
        <v>1796</v>
      </c>
      <c r="J588" t="s">
        <v>1797</v>
      </c>
      <c r="K588" t="s">
        <v>1798</v>
      </c>
    </row>
    <row r="589" spans="1:11">
      <c r="A589" t="s">
        <v>1799</v>
      </c>
      <c r="J589" t="s">
        <v>1800</v>
      </c>
      <c r="K589" t="s">
        <v>1801</v>
      </c>
    </row>
    <row r="590" spans="1:11">
      <c r="A590" t="s">
        <v>1802</v>
      </c>
      <c r="J590" t="s">
        <v>1803</v>
      </c>
      <c r="K590" t="s">
        <v>1804</v>
      </c>
    </row>
    <row r="591" spans="1:11">
      <c r="A591" t="s">
        <v>1805</v>
      </c>
      <c r="J591" t="s">
        <v>1806</v>
      </c>
      <c r="K591" t="s">
        <v>1807</v>
      </c>
    </row>
    <row r="592" spans="1:11">
      <c r="A592" t="s">
        <v>1808</v>
      </c>
      <c r="J592" t="s">
        <v>1809</v>
      </c>
      <c r="K592" t="s">
        <v>1810</v>
      </c>
    </row>
    <row r="593" spans="1:11">
      <c r="A593" t="s">
        <v>1811</v>
      </c>
      <c r="J593" t="s">
        <v>1812</v>
      </c>
      <c r="K593" t="s">
        <v>1813</v>
      </c>
    </row>
    <row r="594" spans="1:11">
      <c r="A594" t="s">
        <v>1814</v>
      </c>
      <c r="J594" t="s">
        <v>1815</v>
      </c>
      <c r="K594" t="s">
        <v>1816</v>
      </c>
    </row>
    <row r="595" spans="1:11">
      <c r="A595" t="s">
        <v>1817</v>
      </c>
      <c r="J595" t="s">
        <v>1818</v>
      </c>
      <c r="K595" t="s">
        <v>1819</v>
      </c>
    </row>
    <row r="596" spans="1:11">
      <c r="A596" t="s">
        <v>1820</v>
      </c>
      <c r="J596" t="s">
        <v>1821</v>
      </c>
      <c r="K596" t="s">
        <v>1822</v>
      </c>
    </row>
    <row r="597" spans="1:11">
      <c r="A597" t="s">
        <v>1823</v>
      </c>
      <c r="J597" t="s">
        <v>1824</v>
      </c>
      <c r="K597" t="s">
        <v>1825</v>
      </c>
    </row>
    <row r="598" spans="1:11">
      <c r="A598" t="s">
        <v>1826</v>
      </c>
      <c r="J598" t="s">
        <v>1827</v>
      </c>
      <c r="K598" t="s">
        <v>1828</v>
      </c>
    </row>
    <row r="599" spans="1:11">
      <c r="A599" t="s">
        <v>1829</v>
      </c>
      <c r="J599" t="s">
        <v>1830</v>
      </c>
      <c r="K599" t="s">
        <v>1831</v>
      </c>
    </row>
    <row r="600" spans="1:11">
      <c r="A600" t="s">
        <v>1832</v>
      </c>
      <c r="J600" t="s">
        <v>1833</v>
      </c>
      <c r="K600" t="s">
        <v>1834</v>
      </c>
    </row>
    <row r="601" spans="1:11">
      <c r="A601" t="s">
        <v>1835</v>
      </c>
      <c r="J601" t="s">
        <v>1836</v>
      </c>
      <c r="K601" t="s">
        <v>1837</v>
      </c>
    </row>
    <row r="602" spans="1:11">
      <c r="A602" t="s">
        <v>1838</v>
      </c>
      <c r="J602" t="s">
        <v>1839</v>
      </c>
      <c r="K602" t="s">
        <v>1840</v>
      </c>
    </row>
    <row r="603" spans="1:11">
      <c r="A603" t="s">
        <v>1841</v>
      </c>
      <c r="J603" t="s">
        <v>1842</v>
      </c>
      <c r="K603" t="s">
        <v>1843</v>
      </c>
    </row>
    <row r="604" spans="1:11">
      <c r="A604" t="s">
        <v>1844</v>
      </c>
      <c r="J604" t="s">
        <v>1845</v>
      </c>
      <c r="K604" t="s">
        <v>1846</v>
      </c>
    </row>
    <row r="605" spans="1:11">
      <c r="A605" t="s">
        <v>1847</v>
      </c>
      <c r="J605" t="s">
        <v>1848</v>
      </c>
      <c r="K605" t="s">
        <v>1849</v>
      </c>
    </row>
    <row r="606" spans="1:11">
      <c r="A606" t="s">
        <v>1850</v>
      </c>
      <c r="J606" t="s">
        <v>1851</v>
      </c>
      <c r="K606" t="s">
        <v>1852</v>
      </c>
    </row>
    <row r="607" spans="1:11">
      <c r="A607" t="s">
        <v>1853</v>
      </c>
      <c r="J607" t="s">
        <v>1854</v>
      </c>
      <c r="K607" t="s">
        <v>1855</v>
      </c>
    </row>
    <row r="608" spans="1:11">
      <c r="A608" t="s">
        <v>1856</v>
      </c>
      <c r="J608" t="s">
        <v>1857</v>
      </c>
      <c r="K608" t="s">
        <v>1858</v>
      </c>
    </row>
    <row r="609" spans="1:11">
      <c r="A609" t="s">
        <v>1859</v>
      </c>
      <c r="J609" t="s">
        <v>1860</v>
      </c>
      <c r="K609" t="s">
        <v>1861</v>
      </c>
    </row>
    <row r="610" spans="1:11">
      <c r="A610" t="s">
        <v>1862</v>
      </c>
      <c r="J610" t="s">
        <v>1863</v>
      </c>
      <c r="K610" t="s">
        <v>1864</v>
      </c>
    </row>
    <row r="611" spans="1:11">
      <c r="A611" t="s">
        <v>1865</v>
      </c>
      <c r="J611" t="s">
        <v>1866</v>
      </c>
      <c r="K611" t="s">
        <v>1867</v>
      </c>
    </row>
    <row r="612" spans="1:11">
      <c r="A612" t="s">
        <v>1868</v>
      </c>
      <c r="J612" t="s">
        <v>1869</v>
      </c>
      <c r="K612" t="s">
        <v>1870</v>
      </c>
    </row>
    <row r="613" spans="1:11">
      <c r="A613" t="s">
        <v>1871</v>
      </c>
      <c r="J613" t="s">
        <v>1872</v>
      </c>
      <c r="K613" t="s">
        <v>1873</v>
      </c>
    </row>
    <row r="614" spans="1:11">
      <c r="A614" t="s">
        <v>1874</v>
      </c>
      <c r="J614" t="s">
        <v>1875</v>
      </c>
      <c r="K614" t="s">
        <v>1876</v>
      </c>
    </row>
    <row r="615" spans="1:11">
      <c r="A615" t="s">
        <v>1877</v>
      </c>
      <c r="J615" t="s">
        <v>1878</v>
      </c>
      <c r="K615" t="s">
        <v>1879</v>
      </c>
    </row>
    <row r="616" spans="1:11">
      <c r="A616" t="s">
        <v>1880</v>
      </c>
      <c r="J616" t="s">
        <v>1881</v>
      </c>
      <c r="K616" t="s">
        <v>1882</v>
      </c>
    </row>
    <row r="617" spans="1:11">
      <c r="A617" t="s">
        <v>1883</v>
      </c>
      <c r="J617" t="s">
        <v>1884</v>
      </c>
      <c r="K617" t="s">
        <v>1885</v>
      </c>
    </row>
    <row r="618" spans="1:11">
      <c r="A618" t="s">
        <v>1886</v>
      </c>
      <c r="J618" t="s">
        <v>1887</v>
      </c>
      <c r="K618" t="s">
        <v>1888</v>
      </c>
    </row>
    <row r="619" spans="1:11">
      <c r="A619" t="s">
        <v>1889</v>
      </c>
      <c r="J619" t="s">
        <v>1890</v>
      </c>
      <c r="K619" t="s">
        <v>1891</v>
      </c>
    </row>
    <row r="620" spans="1:11">
      <c r="A620" t="s">
        <v>1892</v>
      </c>
      <c r="J620" t="s">
        <v>1893</v>
      </c>
      <c r="K620" t="s">
        <v>1894</v>
      </c>
    </row>
    <row r="621" spans="1:11">
      <c r="A621" t="s">
        <v>1895</v>
      </c>
      <c r="J621" t="s">
        <v>1896</v>
      </c>
      <c r="K621" t="s">
        <v>1897</v>
      </c>
    </row>
    <row r="622" spans="1:11">
      <c r="A622" t="s">
        <v>1898</v>
      </c>
      <c r="J622" t="s">
        <v>1899</v>
      </c>
      <c r="K622" t="s">
        <v>1900</v>
      </c>
    </row>
    <row r="623" spans="1:11">
      <c r="A623" t="s">
        <v>1901</v>
      </c>
      <c r="J623" t="s">
        <v>1902</v>
      </c>
      <c r="K623" t="s">
        <v>1903</v>
      </c>
    </row>
    <row r="624" spans="1:11">
      <c r="A624" t="s">
        <v>1904</v>
      </c>
      <c r="J624" t="s">
        <v>1905</v>
      </c>
      <c r="K624" t="s">
        <v>1906</v>
      </c>
    </row>
    <row r="625" spans="1:11">
      <c r="A625" t="s">
        <v>1907</v>
      </c>
      <c r="J625" t="s">
        <v>1908</v>
      </c>
      <c r="K625" t="s">
        <v>1909</v>
      </c>
    </row>
    <row r="626" spans="1:11">
      <c r="A626" t="s">
        <v>1910</v>
      </c>
      <c r="J626" t="s">
        <v>1911</v>
      </c>
      <c r="K626" t="s">
        <v>1912</v>
      </c>
    </row>
    <row r="627" spans="1:11">
      <c r="A627" t="s">
        <v>1913</v>
      </c>
      <c r="J627" t="s">
        <v>1914</v>
      </c>
      <c r="K627" t="s">
        <v>1915</v>
      </c>
    </row>
    <row r="628" spans="1:11">
      <c r="A628" t="s">
        <v>1916</v>
      </c>
      <c r="J628" t="s">
        <v>1917</v>
      </c>
      <c r="K628" t="s">
        <v>1918</v>
      </c>
    </row>
    <row r="629" spans="1:11">
      <c r="A629" t="s">
        <v>1919</v>
      </c>
      <c r="J629" t="s">
        <v>1920</v>
      </c>
      <c r="K629" t="s">
        <v>1921</v>
      </c>
    </row>
    <row r="630" spans="1:11">
      <c r="A630" t="s">
        <v>1922</v>
      </c>
      <c r="J630" t="s">
        <v>1923</v>
      </c>
      <c r="K630" t="s">
        <v>1924</v>
      </c>
    </row>
    <row r="631" spans="1:11">
      <c r="A631" t="s">
        <v>1925</v>
      </c>
      <c r="J631" t="s">
        <v>1926</v>
      </c>
      <c r="K631" t="s">
        <v>1927</v>
      </c>
    </row>
    <row r="632" spans="1:11">
      <c r="A632" t="s">
        <v>1928</v>
      </c>
      <c r="J632" t="s">
        <v>1929</v>
      </c>
      <c r="K632" t="s">
        <v>1930</v>
      </c>
    </row>
    <row r="633" spans="1:11">
      <c r="A633" t="s">
        <v>1931</v>
      </c>
      <c r="J633" t="s">
        <v>1932</v>
      </c>
      <c r="K633" t="s">
        <v>1933</v>
      </c>
    </row>
    <row r="634" spans="1:11">
      <c r="A634" t="s">
        <v>1934</v>
      </c>
      <c r="J634" t="s">
        <v>1935</v>
      </c>
      <c r="K634" t="s">
        <v>1936</v>
      </c>
    </row>
    <row r="635" spans="1:11">
      <c r="A635" t="s">
        <v>1937</v>
      </c>
      <c r="J635" t="s">
        <v>1938</v>
      </c>
      <c r="K635" t="s">
        <v>1939</v>
      </c>
    </row>
    <row r="636" spans="1:11">
      <c r="A636" t="s">
        <v>1940</v>
      </c>
      <c r="J636" t="s">
        <v>1941</v>
      </c>
      <c r="K636" t="s">
        <v>1942</v>
      </c>
    </row>
    <row r="637" spans="1:11">
      <c r="A637" t="s">
        <v>1943</v>
      </c>
      <c r="J637" t="s">
        <v>1944</v>
      </c>
      <c r="K637" t="s">
        <v>1945</v>
      </c>
    </row>
    <row r="638" spans="1:11">
      <c r="A638" t="s">
        <v>1946</v>
      </c>
      <c r="J638" t="s">
        <v>1947</v>
      </c>
      <c r="K638" t="s">
        <v>1948</v>
      </c>
    </row>
    <row r="639" spans="1:11">
      <c r="A639" t="s">
        <v>1949</v>
      </c>
      <c r="J639" t="s">
        <v>1950</v>
      </c>
      <c r="K639" t="s">
        <v>1951</v>
      </c>
    </row>
    <row r="640" spans="1:11">
      <c r="A640" t="s">
        <v>1952</v>
      </c>
      <c r="J640" t="s">
        <v>1953</v>
      </c>
      <c r="K640" t="s">
        <v>1954</v>
      </c>
    </row>
    <row r="641" spans="1:11">
      <c r="A641" t="s">
        <v>1955</v>
      </c>
      <c r="J641" t="s">
        <v>1956</v>
      </c>
      <c r="K641" t="s">
        <v>1957</v>
      </c>
    </row>
    <row r="642" spans="1:11">
      <c r="A642" t="s">
        <v>1958</v>
      </c>
      <c r="J642" t="s">
        <v>1959</v>
      </c>
      <c r="K642" t="s">
        <v>1960</v>
      </c>
    </row>
    <row r="643" spans="1:11">
      <c r="A643" t="s">
        <v>1961</v>
      </c>
      <c r="J643" t="s">
        <v>1962</v>
      </c>
      <c r="K643" t="s">
        <v>1963</v>
      </c>
    </row>
    <row r="644" spans="1:11">
      <c r="A644" t="s">
        <v>1964</v>
      </c>
      <c r="J644" t="s">
        <v>1965</v>
      </c>
      <c r="K644" t="s">
        <v>1966</v>
      </c>
    </row>
    <row r="645" spans="1:11">
      <c r="A645" t="s">
        <v>1967</v>
      </c>
      <c r="J645" t="s">
        <v>1968</v>
      </c>
      <c r="K645" t="s">
        <v>1969</v>
      </c>
    </row>
    <row r="646" spans="1:11">
      <c r="A646" t="s">
        <v>1970</v>
      </c>
      <c r="J646" t="s">
        <v>1971</v>
      </c>
      <c r="K646" t="s">
        <v>1972</v>
      </c>
    </row>
    <row r="647" spans="1:11">
      <c r="A647" t="s">
        <v>1973</v>
      </c>
      <c r="J647" t="s">
        <v>1974</v>
      </c>
      <c r="K647" t="s">
        <v>1975</v>
      </c>
    </row>
    <row r="648" spans="1:11">
      <c r="A648" t="s">
        <v>1976</v>
      </c>
      <c r="J648" t="s">
        <v>1977</v>
      </c>
      <c r="K648" t="s">
        <v>1978</v>
      </c>
    </row>
    <row r="649" spans="1:11">
      <c r="A649" t="s">
        <v>1979</v>
      </c>
      <c r="J649" t="s">
        <v>1980</v>
      </c>
      <c r="K649" t="s">
        <v>1981</v>
      </c>
    </row>
    <row r="650" spans="1:11">
      <c r="A650" t="s">
        <v>1982</v>
      </c>
      <c r="J650" t="s">
        <v>1983</v>
      </c>
      <c r="K650" t="s">
        <v>1984</v>
      </c>
    </row>
    <row r="651" spans="1:11">
      <c r="A651" t="s">
        <v>1985</v>
      </c>
      <c r="J651" t="s">
        <v>1986</v>
      </c>
      <c r="K651" t="s">
        <v>1987</v>
      </c>
    </row>
    <row r="652" spans="1:11">
      <c r="A652" t="s">
        <v>1988</v>
      </c>
      <c r="J652" t="s">
        <v>1989</v>
      </c>
      <c r="K652" t="s">
        <v>1990</v>
      </c>
    </row>
    <row r="653" spans="1:11">
      <c r="A653" t="s">
        <v>1991</v>
      </c>
      <c r="J653" t="s">
        <v>1992</v>
      </c>
      <c r="K653" t="s">
        <v>1993</v>
      </c>
    </row>
    <row r="654" spans="1:11">
      <c r="A654" t="s">
        <v>1994</v>
      </c>
      <c r="J654" t="s">
        <v>1995</v>
      </c>
      <c r="K654" t="s">
        <v>1996</v>
      </c>
    </row>
    <row r="655" spans="1:11">
      <c r="A655" t="s">
        <v>1997</v>
      </c>
      <c r="J655" t="s">
        <v>1998</v>
      </c>
      <c r="K655" t="s">
        <v>1999</v>
      </c>
    </row>
    <row r="656" spans="1:11">
      <c r="A656" t="s">
        <v>2000</v>
      </c>
      <c r="J656" t="s">
        <v>2001</v>
      </c>
      <c r="K656" t="s">
        <v>2002</v>
      </c>
    </row>
    <row r="657" spans="1:11">
      <c r="A657" t="s">
        <v>2003</v>
      </c>
      <c r="J657" t="s">
        <v>2004</v>
      </c>
      <c r="K657" t="s">
        <v>2005</v>
      </c>
    </row>
    <row r="658" spans="1:11">
      <c r="A658" t="s">
        <v>2006</v>
      </c>
      <c r="J658" t="s">
        <v>2007</v>
      </c>
      <c r="K658" t="s">
        <v>2008</v>
      </c>
    </row>
    <row r="659" spans="1:11">
      <c r="A659" t="s">
        <v>2009</v>
      </c>
      <c r="J659" t="s">
        <v>2010</v>
      </c>
      <c r="K659" t="s">
        <v>2011</v>
      </c>
    </row>
    <row r="660" spans="1:11">
      <c r="A660" t="s">
        <v>2012</v>
      </c>
      <c r="J660" t="s">
        <v>2013</v>
      </c>
      <c r="K660" t="s">
        <v>2014</v>
      </c>
    </row>
    <row r="661" spans="1:11">
      <c r="A661" t="s">
        <v>2015</v>
      </c>
      <c r="J661" t="s">
        <v>2016</v>
      </c>
      <c r="K661" t="s">
        <v>2017</v>
      </c>
    </row>
    <row r="662" spans="1:11">
      <c r="A662" t="s">
        <v>2018</v>
      </c>
      <c r="J662" t="s">
        <v>2019</v>
      </c>
      <c r="K662" t="s">
        <v>2020</v>
      </c>
    </row>
    <row r="663" spans="1:11">
      <c r="A663" t="s">
        <v>2021</v>
      </c>
      <c r="J663" t="s">
        <v>2022</v>
      </c>
      <c r="K663" t="s">
        <v>2023</v>
      </c>
    </row>
    <row r="664" spans="1:11">
      <c r="A664" t="s">
        <v>2024</v>
      </c>
      <c r="J664" t="s">
        <v>2025</v>
      </c>
      <c r="K664" t="s">
        <v>2026</v>
      </c>
    </row>
    <row r="665" spans="1:11">
      <c r="A665" t="s">
        <v>2027</v>
      </c>
      <c r="J665" t="s">
        <v>2028</v>
      </c>
      <c r="K665" t="s">
        <v>2029</v>
      </c>
    </row>
    <row r="666" spans="1:11">
      <c r="A666" t="s">
        <v>2030</v>
      </c>
      <c r="J666" t="s">
        <v>2031</v>
      </c>
      <c r="K666" t="s">
        <v>2032</v>
      </c>
    </row>
    <row r="667" spans="1:11">
      <c r="A667" t="s">
        <v>2033</v>
      </c>
      <c r="J667" t="s">
        <v>2034</v>
      </c>
      <c r="K667" t="s">
        <v>2035</v>
      </c>
    </row>
    <row r="668" spans="1:11">
      <c r="A668" t="s">
        <v>2036</v>
      </c>
      <c r="J668" t="s">
        <v>2037</v>
      </c>
      <c r="K668" t="s">
        <v>2038</v>
      </c>
    </row>
    <row r="669" spans="1:11">
      <c r="A669" t="s">
        <v>2039</v>
      </c>
      <c r="J669" t="s">
        <v>2040</v>
      </c>
      <c r="K669" t="s">
        <v>2041</v>
      </c>
    </row>
    <row r="670" spans="1:11">
      <c r="A670" t="s">
        <v>2042</v>
      </c>
      <c r="J670" t="s">
        <v>2043</v>
      </c>
      <c r="K670" t="s">
        <v>2044</v>
      </c>
    </row>
    <row r="671" spans="1:11">
      <c r="A671" t="s">
        <v>2045</v>
      </c>
      <c r="J671" t="s">
        <v>2046</v>
      </c>
      <c r="K671" t="s">
        <v>2047</v>
      </c>
    </row>
    <row r="672" spans="1:11">
      <c r="A672" t="s">
        <v>2048</v>
      </c>
      <c r="J672" t="s">
        <v>2049</v>
      </c>
      <c r="K672" t="s">
        <v>2050</v>
      </c>
    </row>
    <row r="673" spans="1:11">
      <c r="A673" t="s">
        <v>2051</v>
      </c>
      <c r="J673" t="s">
        <v>2052</v>
      </c>
      <c r="K673" t="s">
        <v>2053</v>
      </c>
    </row>
    <row r="674" spans="1:11">
      <c r="A674" t="s">
        <v>2054</v>
      </c>
      <c r="J674" t="s">
        <v>2055</v>
      </c>
      <c r="K674" t="s">
        <v>2056</v>
      </c>
    </row>
    <row r="675" spans="1:11">
      <c r="A675" t="s">
        <v>2057</v>
      </c>
      <c r="J675" t="s">
        <v>2058</v>
      </c>
      <c r="K675" t="s">
        <v>2059</v>
      </c>
    </row>
    <row r="676" spans="1:11">
      <c r="A676" t="s">
        <v>2060</v>
      </c>
      <c r="J676" t="s">
        <v>2061</v>
      </c>
      <c r="K676" t="s">
        <v>2062</v>
      </c>
    </row>
    <row r="677" spans="1:11">
      <c r="A677" t="s">
        <v>2063</v>
      </c>
      <c r="J677" t="s">
        <v>2064</v>
      </c>
      <c r="K677" t="s">
        <v>2065</v>
      </c>
    </row>
    <row r="678" spans="1:11">
      <c r="A678" t="s">
        <v>2066</v>
      </c>
      <c r="J678" t="s">
        <v>2067</v>
      </c>
      <c r="K678" t="s">
        <v>2068</v>
      </c>
    </row>
    <row r="679" spans="1:11">
      <c r="A679" t="s">
        <v>2069</v>
      </c>
      <c r="J679" t="s">
        <v>2070</v>
      </c>
      <c r="K679" t="s">
        <v>2071</v>
      </c>
    </row>
    <row r="680" spans="1:11">
      <c r="A680" t="s">
        <v>2072</v>
      </c>
      <c r="J680" t="s">
        <v>2073</v>
      </c>
      <c r="K680" t="s">
        <v>2074</v>
      </c>
    </row>
    <row r="681" spans="1:11">
      <c r="A681" t="s">
        <v>2075</v>
      </c>
      <c r="J681" t="s">
        <v>2076</v>
      </c>
      <c r="K681" t="s">
        <v>2077</v>
      </c>
    </row>
    <row r="682" spans="1:11">
      <c r="A682" t="s">
        <v>2078</v>
      </c>
      <c r="J682" t="s">
        <v>2079</v>
      </c>
      <c r="K682" t="s">
        <v>2080</v>
      </c>
    </row>
    <row r="683" spans="1:11">
      <c r="A683" t="s">
        <v>2081</v>
      </c>
      <c r="J683" t="s">
        <v>2082</v>
      </c>
      <c r="K683" t="s">
        <v>2083</v>
      </c>
    </row>
    <row r="684" spans="1:11">
      <c r="A684" t="s">
        <v>2084</v>
      </c>
      <c r="J684" t="s">
        <v>2085</v>
      </c>
      <c r="K684" t="s">
        <v>2086</v>
      </c>
    </row>
    <row r="685" spans="1:11">
      <c r="A685" t="s">
        <v>2087</v>
      </c>
      <c r="J685" t="s">
        <v>2088</v>
      </c>
      <c r="K685" t="s">
        <v>2089</v>
      </c>
    </row>
    <row r="686" spans="1:11">
      <c r="A686" t="s">
        <v>2090</v>
      </c>
      <c r="J686" t="s">
        <v>2091</v>
      </c>
      <c r="K686" t="s">
        <v>2092</v>
      </c>
    </row>
    <row r="687" spans="1:11">
      <c r="A687" t="s">
        <v>2093</v>
      </c>
      <c r="J687" t="s">
        <v>2094</v>
      </c>
      <c r="K687" t="s">
        <v>2095</v>
      </c>
    </row>
    <row r="688" spans="1:11">
      <c r="A688" t="s">
        <v>2096</v>
      </c>
      <c r="J688" t="s">
        <v>2097</v>
      </c>
      <c r="K688" t="s">
        <v>2098</v>
      </c>
    </row>
    <row r="689" spans="1:11">
      <c r="A689" t="s">
        <v>2099</v>
      </c>
      <c r="J689" t="s">
        <v>2100</v>
      </c>
      <c r="K689" t="s">
        <v>2101</v>
      </c>
    </row>
    <row r="690" spans="1:11">
      <c r="A690" t="s">
        <v>2102</v>
      </c>
      <c r="J690" t="s">
        <v>2103</v>
      </c>
      <c r="K690" t="s">
        <v>2104</v>
      </c>
    </row>
    <row r="691" spans="1:11">
      <c r="A691" t="s">
        <v>2105</v>
      </c>
      <c r="J691" t="s">
        <v>2106</v>
      </c>
      <c r="K691" t="s">
        <v>2107</v>
      </c>
    </row>
    <row r="692" spans="1:11">
      <c r="A692" t="s">
        <v>2108</v>
      </c>
      <c r="J692" t="s">
        <v>2109</v>
      </c>
      <c r="K692" t="s">
        <v>2110</v>
      </c>
    </row>
    <row r="693" spans="1:11">
      <c r="A693" t="s">
        <v>2111</v>
      </c>
      <c r="J693" t="s">
        <v>2112</v>
      </c>
      <c r="K693" t="s">
        <v>2113</v>
      </c>
    </row>
    <row r="694" spans="1:11">
      <c r="A694" t="s">
        <v>2114</v>
      </c>
      <c r="J694" t="s">
        <v>2115</v>
      </c>
      <c r="K694" t="s">
        <v>2116</v>
      </c>
    </row>
    <row r="695" spans="1:11">
      <c r="A695" t="s">
        <v>2117</v>
      </c>
      <c r="J695" t="s">
        <v>2118</v>
      </c>
      <c r="K695" t="s">
        <v>2119</v>
      </c>
    </row>
    <row r="696" spans="1:11">
      <c r="A696" t="s">
        <v>2120</v>
      </c>
      <c r="J696" t="s">
        <v>2121</v>
      </c>
      <c r="K696" t="s">
        <v>2122</v>
      </c>
    </row>
    <row r="697" spans="1:11">
      <c r="A697" t="s">
        <v>2123</v>
      </c>
      <c r="J697" t="s">
        <v>2124</v>
      </c>
      <c r="K697" t="s">
        <v>2125</v>
      </c>
    </row>
    <row r="698" spans="1:11">
      <c r="A698" t="s">
        <v>2126</v>
      </c>
      <c r="J698" t="s">
        <v>2127</v>
      </c>
      <c r="K698" t="s">
        <v>2128</v>
      </c>
    </row>
    <row r="699" spans="1:11">
      <c r="A699" t="s">
        <v>2129</v>
      </c>
      <c r="J699" t="s">
        <v>2130</v>
      </c>
      <c r="K699" t="s">
        <v>2131</v>
      </c>
    </row>
    <row r="700" spans="1:11">
      <c r="A700" t="s">
        <v>2132</v>
      </c>
      <c r="J700" t="s">
        <v>2133</v>
      </c>
      <c r="K700" t="s">
        <v>2134</v>
      </c>
    </row>
    <row r="701" spans="1:11">
      <c r="A701" t="s">
        <v>2135</v>
      </c>
      <c r="J701" t="s">
        <v>2136</v>
      </c>
      <c r="K701" t="s">
        <v>2137</v>
      </c>
    </row>
    <row r="702" spans="1:11">
      <c r="A702" t="s">
        <v>2138</v>
      </c>
      <c r="J702" t="s">
        <v>2139</v>
      </c>
      <c r="K702" t="s">
        <v>2140</v>
      </c>
    </row>
    <row r="703" spans="1:11">
      <c r="A703" t="s">
        <v>2141</v>
      </c>
      <c r="J703" t="s">
        <v>2142</v>
      </c>
      <c r="K703" t="s">
        <v>2143</v>
      </c>
    </row>
    <row r="704" spans="1:11">
      <c r="A704" t="s">
        <v>2144</v>
      </c>
      <c r="J704" t="s">
        <v>2145</v>
      </c>
      <c r="K704" t="s">
        <v>2146</v>
      </c>
    </row>
    <row r="705" spans="1:11">
      <c r="A705" t="s">
        <v>2147</v>
      </c>
      <c r="J705" t="s">
        <v>2148</v>
      </c>
      <c r="K705" t="s">
        <v>2149</v>
      </c>
    </row>
    <row r="706" spans="1:11">
      <c r="A706" t="s">
        <v>2150</v>
      </c>
      <c r="J706" t="s">
        <v>2151</v>
      </c>
      <c r="K706" t="s">
        <v>2152</v>
      </c>
    </row>
    <row r="707" spans="1:11">
      <c r="A707" t="s">
        <v>2153</v>
      </c>
      <c r="J707" t="s">
        <v>2154</v>
      </c>
      <c r="K707" t="s">
        <v>2155</v>
      </c>
    </row>
    <row r="708" spans="1:11">
      <c r="A708" t="s">
        <v>2156</v>
      </c>
      <c r="J708" t="s">
        <v>2157</v>
      </c>
      <c r="K708" t="s">
        <v>2158</v>
      </c>
    </row>
    <row r="709" spans="1:11">
      <c r="A709" t="s">
        <v>2159</v>
      </c>
      <c r="J709" t="s">
        <v>2160</v>
      </c>
      <c r="K709" t="s">
        <v>2161</v>
      </c>
    </row>
    <row r="710" spans="1:11">
      <c r="A710" t="s">
        <v>2162</v>
      </c>
      <c r="J710" t="s">
        <v>2163</v>
      </c>
      <c r="K710" t="s">
        <v>2164</v>
      </c>
    </row>
    <row r="711" spans="1:11">
      <c r="A711" t="s">
        <v>2165</v>
      </c>
      <c r="J711" t="s">
        <v>2166</v>
      </c>
      <c r="K711" t="s">
        <v>2167</v>
      </c>
    </row>
    <row r="712" spans="1:11">
      <c r="A712" t="s">
        <v>2168</v>
      </c>
      <c r="J712" t="s">
        <v>2169</v>
      </c>
      <c r="K712" t="s">
        <v>2170</v>
      </c>
    </row>
    <row r="713" spans="1:11">
      <c r="A713" t="s">
        <v>2171</v>
      </c>
      <c r="J713" t="s">
        <v>2172</v>
      </c>
      <c r="K713" t="s">
        <v>2173</v>
      </c>
    </row>
    <row r="714" spans="1:11">
      <c r="A714" t="s">
        <v>2174</v>
      </c>
      <c r="J714" t="s">
        <v>2175</v>
      </c>
      <c r="K714" t="s">
        <v>2176</v>
      </c>
    </row>
    <row r="715" spans="1:11">
      <c r="A715" t="s">
        <v>2177</v>
      </c>
      <c r="J715" t="s">
        <v>2178</v>
      </c>
      <c r="K715" t="s">
        <v>2179</v>
      </c>
    </row>
    <row r="716" spans="1:11">
      <c r="A716" t="s">
        <v>2180</v>
      </c>
      <c r="J716" t="s">
        <v>2181</v>
      </c>
      <c r="K716" t="s">
        <v>2182</v>
      </c>
    </row>
    <row r="717" spans="1:11">
      <c r="A717" t="s">
        <v>2183</v>
      </c>
      <c r="J717" t="s">
        <v>2184</v>
      </c>
      <c r="K717" t="s">
        <v>2185</v>
      </c>
    </row>
    <row r="718" spans="1:11">
      <c r="A718" t="s">
        <v>2186</v>
      </c>
      <c r="J718" t="s">
        <v>2187</v>
      </c>
      <c r="K718" t="s">
        <v>2188</v>
      </c>
    </row>
    <row r="719" spans="1:11">
      <c r="A719" t="s">
        <v>2189</v>
      </c>
      <c r="J719" t="s">
        <v>2190</v>
      </c>
      <c r="K719" t="s">
        <v>2191</v>
      </c>
    </row>
    <row r="720" spans="1:11">
      <c r="A720" t="s">
        <v>2192</v>
      </c>
      <c r="J720" t="s">
        <v>2193</v>
      </c>
      <c r="K720" t="s">
        <v>2194</v>
      </c>
    </row>
    <row r="721" spans="1:11">
      <c r="A721" t="s">
        <v>2195</v>
      </c>
      <c r="J721" t="s">
        <v>2196</v>
      </c>
      <c r="K721" t="s">
        <v>2197</v>
      </c>
    </row>
    <row r="722" spans="1:11">
      <c r="A722" t="s">
        <v>2198</v>
      </c>
      <c r="J722" t="s">
        <v>2199</v>
      </c>
      <c r="K722" t="s">
        <v>2200</v>
      </c>
    </row>
    <row r="723" spans="1:11">
      <c r="A723" t="s">
        <v>2201</v>
      </c>
      <c r="J723" t="s">
        <v>2202</v>
      </c>
      <c r="K723" t="s">
        <v>2203</v>
      </c>
    </row>
    <row r="724" spans="1:11">
      <c r="A724" t="s">
        <v>2204</v>
      </c>
      <c r="J724" t="s">
        <v>2205</v>
      </c>
      <c r="K724" t="s">
        <v>2206</v>
      </c>
    </row>
    <row r="725" spans="1:11">
      <c r="A725" t="s">
        <v>2207</v>
      </c>
      <c r="J725" t="s">
        <v>2208</v>
      </c>
      <c r="K725" t="s">
        <v>2209</v>
      </c>
    </row>
    <row r="726" spans="1:11">
      <c r="A726" t="s">
        <v>2210</v>
      </c>
      <c r="J726" t="s">
        <v>2211</v>
      </c>
      <c r="K726" t="s">
        <v>2212</v>
      </c>
    </row>
    <row r="727" spans="1:11">
      <c r="A727" t="s">
        <v>2213</v>
      </c>
      <c r="J727" t="s">
        <v>2214</v>
      </c>
      <c r="K727" t="s">
        <v>2215</v>
      </c>
    </row>
    <row r="728" spans="1:11">
      <c r="A728" t="s">
        <v>2216</v>
      </c>
      <c r="J728" t="s">
        <v>2217</v>
      </c>
      <c r="K728" t="s">
        <v>2218</v>
      </c>
    </row>
    <row r="729" spans="1:11">
      <c r="A729" t="s">
        <v>2219</v>
      </c>
      <c r="J729" t="s">
        <v>2220</v>
      </c>
      <c r="K729" t="s">
        <v>2221</v>
      </c>
    </row>
    <row r="730" spans="1:11">
      <c r="A730" t="s">
        <v>2222</v>
      </c>
      <c r="J730" t="s">
        <v>2223</v>
      </c>
      <c r="K730" t="s">
        <v>2224</v>
      </c>
    </row>
    <row r="731" spans="1:11">
      <c r="A731" t="s">
        <v>2225</v>
      </c>
      <c r="J731" t="s">
        <v>2226</v>
      </c>
      <c r="K731" t="s">
        <v>2227</v>
      </c>
    </row>
    <row r="732" spans="1:11">
      <c r="A732" t="s">
        <v>2228</v>
      </c>
      <c r="J732" t="s">
        <v>2229</v>
      </c>
      <c r="K732" t="s">
        <v>2230</v>
      </c>
    </row>
    <row r="733" spans="1:11">
      <c r="A733" t="s">
        <v>2231</v>
      </c>
      <c r="J733" t="s">
        <v>2232</v>
      </c>
      <c r="K733" t="s">
        <v>2233</v>
      </c>
    </row>
    <row r="734" spans="1:11">
      <c r="A734" t="s">
        <v>2234</v>
      </c>
      <c r="J734" t="s">
        <v>2235</v>
      </c>
      <c r="K734" t="s">
        <v>2236</v>
      </c>
    </row>
    <row r="735" spans="1:11">
      <c r="A735" t="s">
        <v>2237</v>
      </c>
      <c r="J735" t="s">
        <v>2238</v>
      </c>
      <c r="K735" t="s">
        <v>2239</v>
      </c>
    </row>
    <row r="736" spans="1:11">
      <c r="A736" t="s">
        <v>2240</v>
      </c>
      <c r="J736" t="s">
        <v>2241</v>
      </c>
      <c r="K736" t="s">
        <v>2242</v>
      </c>
    </row>
    <row r="737" spans="1:11">
      <c r="A737" t="s">
        <v>2243</v>
      </c>
      <c r="J737" t="s">
        <v>2244</v>
      </c>
      <c r="K737" t="s">
        <v>2245</v>
      </c>
    </row>
    <row r="738" spans="1:11">
      <c r="A738" t="s">
        <v>2246</v>
      </c>
      <c r="J738" t="s">
        <v>2247</v>
      </c>
      <c r="K738" t="s">
        <v>2248</v>
      </c>
    </row>
    <row r="739" spans="1:11">
      <c r="A739" t="s">
        <v>2249</v>
      </c>
      <c r="J739" t="s">
        <v>2250</v>
      </c>
      <c r="K739" t="s">
        <v>2251</v>
      </c>
    </row>
    <row r="740" spans="1:11">
      <c r="A740" t="s">
        <v>2252</v>
      </c>
      <c r="J740" t="s">
        <v>2253</v>
      </c>
      <c r="K740" t="s">
        <v>2254</v>
      </c>
    </row>
    <row r="741" spans="1:11">
      <c r="A741" t="s">
        <v>2255</v>
      </c>
      <c r="J741" t="s">
        <v>2256</v>
      </c>
      <c r="K741" t="s">
        <v>2257</v>
      </c>
    </row>
    <row r="742" spans="1:11">
      <c r="A742" t="s">
        <v>2258</v>
      </c>
      <c r="J742" t="s">
        <v>2259</v>
      </c>
      <c r="K742" t="s">
        <v>2260</v>
      </c>
    </row>
    <row r="743" spans="1:11">
      <c r="A743" t="s">
        <v>2261</v>
      </c>
      <c r="J743" t="s">
        <v>2262</v>
      </c>
      <c r="K743" t="s">
        <v>2263</v>
      </c>
    </row>
    <row r="744" spans="1:11">
      <c r="A744" t="s">
        <v>2264</v>
      </c>
      <c r="J744" t="s">
        <v>2265</v>
      </c>
      <c r="K744" t="s">
        <v>2266</v>
      </c>
    </row>
    <row r="745" spans="1:11">
      <c r="A745" t="s">
        <v>2267</v>
      </c>
      <c r="J745" t="s">
        <v>2268</v>
      </c>
      <c r="K745" t="s">
        <v>2269</v>
      </c>
    </row>
    <row r="746" spans="1:11">
      <c r="A746" t="s">
        <v>2270</v>
      </c>
      <c r="J746" t="s">
        <v>2271</v>
      </c>
      <c r="K746" t="s">
        <v>2272</v>
      </c>
    </row>
    <row r="747" spans="1:11">
      <c r="A747" t="s">
        <v>2273</v>
      </c>
      <c r="J747" t="s">
        <v>2274</v>
      </c>
      <c r="K747" t="s">
        <v>2275</v>
      </c>
    </row>
    <row r="748" spans="1:11">
      <c r="A748" t="s">
        <v>2276</v>
      </c>
      <c r="J748" t="s">
        <v>2277</v>
      </c>
      <c r="K748" t="s">
        <v>2278</v>
      </c>
    </row>
    <row r="749" spans="1:11">
      <c r="A749" t="s">
        <v>2279</v>
      </c>
      <c r="J749" t="s">
        <v>2280</v>
      </c>
      <c r="K749" t="s">
        <v>2281</v>
      </c>
    </row>
    <row r="750" spans="1:11">
      <c r="A750" t="s">
        <v>2282</v>
      </c>
      <c r="J750" t="s">
        <v>2283</v>
      </c>
      <c r="K750" t="s">
        <v>2284</v>
      </c>
    </row>
    <row r="751" spans="1:11">
      <c r="A751" t="s">
        <v>2285</v>
      </c>
      <c r="J751" t="s">
        <v>2286</v>
      </c>
      <c r="K751" t="s">
        <v>2287</v>
      </c>
    </row>
    <row r="752" spans="1:11">
      <c r="A752" t="s">
        <v>2288</v>
      </c>
      <c r="J752" t="s">
        <v>2289</v>
      </c>
      <c r="K752" t="s">
        <v>2290</v>
      </c>
    </row>
    <row r="753" spans="1:11">
      <c r="A753" t="s">
        <v>2291</v>
      </c>
      <c r="J753" t="s">
        <v>2292</v>
      </c>
      <c r="K753" t="s">
        <v>2293</v>
      </c>
    </row>
    <row r="754" spans="1:11">
      <c r="A754" t="s">
        <v>2294</v>
      </c>
      <c r="J754" t="s">
        <v>2295</v>
      </c>
      <c r="K754" t="s">
        <v>2296</v>
      </c>
    </row>
    <row r="755" spans="1:11">
      <c r="A755" t="s">
        <v>2297</v>
      </c>
      <c r="J755" t="s">
        <v>2298</v>
      </c>
      <c r="K755" t="s">
        <v>2299</v>
      </c>
    </row>
    <row r="756" spans="1:11">
      <c r="A756" t="s">
        <v>2300</v>
      </c>
      <c r="J756" t="s">
        <v>2301</v>
      </c>
      <c r="K756" t="s">
        <v>2302</v>
      </c>
    </row>
    <row r="757" spans="1:11">
      <c r="A757" t="s">
        <v>2303</v>
      </c>
      <c r="J757" t="s">
        <v>2304</v>
      </c>
      <c r="K757" t="s">
        <v>2305</v>
      </c>
    </row>
    <row r="758" spans="1:11">
      <c r="A758" t="s">
        <v>2306</v>
      </c>
      <c r="J758" t="s">
        <v>2307</v>
      </c>
      <c r="K758" t="s">
        <v>2308</v>
      </c>
    </row>
    <row r="759" spans="1:11">
      <c r="A759" t="s">
        <v>2309</v>
      </c>
      <c r="J759" t="s">
        <v>2310</v>
      </c>
      <c r="K759" t="s">
        <v>2311</v>
      </c>
    </row>
    <row r="760" spans="1:11">
      <c r="A760" t="s">
        <v>2312</v>
      </c>
      <c r="J760" t="s">
        <v>2313</v>
      </c>
      <c r="K760" t="s">
        <v>2314</v>
      </c>
    </row>
    <row r="761" spans="1:11">
      <c r="A761" t="s">
        <v>2315</v>
      </c>
      <c r="J761" t="s">
        <v>2316</v>
      </c>
      <c r="K761" t="s">
        <v>2317</v>
      </c>
    </row>
    <row r="762" spans="1:11">
      <c r="A762" t="s">
        <v>2318</v>
      </c>
      <c r="J762" t="s">
        <v>2319</v>
      </c>
      <c r="K762" t="s">
        <v>2320</v>
      </c>
    </row>
    <row r="763" spans="1:11">
      <c r="A763" t="s">
        <v>2321</v>
      </c>
      <c r="J763" t="s">
        <v>2322</v>
      </c>
      <c r="K763" t="s">
        <v>2323</v>
      </c>
    </row>
    <row r="764" spans="1:11">
      <c r="A764" t="s">
        <v>2324</v>
      </c>
      <c r="J764" t="s">
        <v>2325</v>
      </c>
      <c r="K764" t="s">
        <v>2326</v>
      </c>
    </row>
    <row r="765" spans="1:11">
      <c r="A765" t="s">
        <v>2327</v>
      </c>
      <c r="J765" t="s">
        <v>2328</v>
      </c>
      <c r="K765" t="s">
        <v>2329</v>
      </c>
    </row>
    <row r="766" spans="1:11">
      <c r="A766" t="s">
        <v>2330</v>
      </c>
      <c r="J766" t="s">
        <v>2331</v>
      </c>
      <c r="K766" t="s">
        <v>2332</v>
      </c>
    </row>
    <row r="767" spans="1:11">
      <c r="A767" t="s">
        <v>2333</v>
      </c>
      <c r="J767" t="s">
        <v>2334</v>
      </c>
      <c r="K767" t="s">
        <v>2335</v>
      </c>
    </row>
    <row r="768" spans="1:11">
      <c r="A768" t="s">
        <v>2336</v>
      </c>
      <c r="J768" t="s">
        <v>2337</v>
      </c>
      <c r="K768" t="s">
        <v>2338</v>
      </c>
    </row>
    <row r="769" spans="1:11">
      <c r="A769" t="s">
        <v>2339</v>
      </c>
      <c r="J769" t="s">
        <v>2340</v>
      </c>
      <c r="K769" t="s">
        <v>2341</v>
      </c>
    </row>
    <row r="770" spans="1:11">
      <c r="A770" t="s">
        <v>2342</v>
      </c>
      <c r="J770" t="s">
        <v>2343</v>
      </c>
      <c r="K770" t="s">
        <v>2344</v>
      </c>
    </row>
    <row r="771" spans="1:11">
      <c r="A771" t="s">
        <v>2345</v>
      </c>
      <c r="J771" t="s">
        <v>2346</v>
      </c>
      <c r="K771" t="s">
        <v>2347</v>
      </c>
    </row>
    <row r="772" spans="1:11">
      <c r="A772" t="s">
        <v>2348</v>
      </c>
      <c r="J772" t="s">
        <v>2349</v>
      </c>
      <c r="K772" t="s">
        <v>2350</v>
      </c>
    </row>
    <row r="773" spans="1:11">
      <c r="A773" t="s">
        <v>2351</v>
      </c>
      <c r="J773" t="s">
        <v>2352</v>
      </c>
      <c r="K773" t="s">
        <v>2353</v>
      </c>
    </row>
    <row r="774" spans="1:11">
      <c r="A774" t="s">
        <v>2354</v>
      </c>
      <c r="J774" t="s">
        <v>2355</v>
      </c>
      <c r="K774" t="s">
        <v>2356</v>
      </c>
    </row>
    <row r="775" spans="1:11">
      <c r="A775" t="s">
        <v>2357</v>
      </c>
      <c r="J775" t="s">
        <v>2358</v>
      </c>
      <c r="K775" t="s">
        <v>2359</v>
      </c>
    </row>
    <row r="776" spans="1:11">
      <c r="A776" t="s">
        <v>2360</v>
      </c>
      <c r="J776" t="s">
        <v>2361</v>
      </c>
      <c r="K776" t="s">
        <v>2362</v>
      </c>
    </row>
    <row r="777" spans="1:11">
      <c r="A777" t="s">
        <v>2363</v>
      </c>
      <c r="J777" t="s">
        <v>2364</v>
      </c>
      <c r="K777" t="s">
        <v>2365</v>
      </c>
    </row>
    <row r="778" spans="1:11">
      <c r="A778" t="s">
        <v>2366</v>
      </c>
      <c r="J778" t="s">
        <v>2367</v>
      </c>
      <c r="K778" t="s">
        <v>2368</v>
      </c>
    </row>
    <row r="779" spans="1:11">
      <c r="A779" t="s">
        <v>2369</v>
      </c>
      <c r="J779" t="s">
        <v>2370</v>
      </c>
      <c r="K779" t="s">
        <v>2371</v>
      </c>
    </row>
    <row r="780" spans="1:11">
      <c r="A780" t="s">
        <v>2372</v>
      </c>
      <c r="J780" t="s">
        <v>2373</v>
      </c>
      <c r="K780" t="s">
        <v>2374</v>
      </c>
    </row>
    <row r="781" spans="1:11">
      <c r="A781" t="s">
        <v>2375</v>
      </c>
      <c r="J781" t="s">
        <v>2376</v>
      </c>
      <c r="K781" t="s">
        <v>2377</v>
      </c>
    </row>
    <row r="782" spans="1:11">
      <c r="A782" t="s">
        <v>2378</v>
      </c>
      <c r="J782" t="s">
        <v>2379</v>
      </c>
      <c r="K782" t="s">
        <v>2380</v>
      </c>
    </row>
    <row r="783" spans="1:11">
      <c r="A783" t="s">
        <v>2381</v>
      </c>
      <c r="J783" t="s">
        <v>2382</v>
      </c>
      <c r="K783" t="s">
        <v>2383</v>
      </c>
    </row>
    <row r="784" spans="1:11">
      <c r="A784" t="s">
        <v>2384</v>
      </c>
      <c r="J784" t="s">
        <v>2385</v>
      </c>
      <c r="K784" t="s">
        <v>2386</v>
      </c>
    </row>
    <row r="785" spans="1:11">
      <c r="A785" t="s">
        <v>2387</v>
      </c>
      <c r="J785" t="s">
        <v>2388</v>
      </c>
      <c r="K785" t="s">
        <v>2389</v>
      </c>
    </row>
    <row r="786" spans="1:11">
      <c r="A786" t="s">
        <v>2390</v>
      </c>
      <c r="J786" t="s">
        <v>2391</v>
      </c>
      <c r="K786" t="s">
        <v>2392</v>
      </c>
    </row>
    <row r="787" spans="1:11">
      <c r="A787" t="s">
        <v>2393</v>
      </c>
      <c r="J787" t="s">
        <v>2394</v>
      </c>
      <c r="K787" t="s">
        <v>2395</v>
      </c>
    </row>
    <row r="788" spans="1:11">
      <c r="A788" t="s">
        <v>2396</v>
      </c>
      <c r="J788" t="s">
        <v>2397</v>
      </c>
      <c r="K788" t="s">
        <v>2398</v>
      </c>
    </row>
    <row r="789" spans="1:11">
      <c r="A789" t="s">
        <v>2399</v>
      </c>
      <c r="J789" t="s">
        <v>2400</v>
      </c>
      <c r="K789" t="s">
        <v>2401</v>
      </c>
    </row>
    <row r="790" spans="1:11">
      <c r="A790" t="s">
        <v>2402</v>
      </c>
      <c r="J790" t="s">
        <v>2403</v>
      </c>
      <c r="K790" t="s">
        <v>2404</v>
      </c>
    </row>
    <row r="791" spans="1:11">
      <c r="A791" t="s">
        <v>2405</v>
      </c>
      <c r="J791" t="s">
        <v>2406</v>
      </c>
      <c r="K791" t="s">
        <v>2407</v>
      </c>
    </row>
    <row r="792" spans="1:11">
      <c r="A792" t="s">
        <v>2408</v>
      </c>
      <c r="J792" t="s">
        <v>2409</v>
      </c>
      <c r="K792" t="s">
        <v>2410</v>
      </c>
    </row>
    <row r="793" spans="1:11">
      <c r="A793" t="s">
        <v>2411</v>
      </c>
      <c r="J793" t="s">
        <v>2412</v>
      </c>
      <c r="K793" t="s">
        <v>2413</v>
      </c>
    </row>
    <row r="794" spans="1:11">
      <c r="A794" t="s">
        <v>2414</v>
      </c>
      <c r="J794" t="s">
        <v>2415</v>
      </c>
      <c r="K794" t="s">
        <v>2416</v>
      </c>
    </row>
    <row r="795" spans="1:11">
      <c r="A795" t="s">
        <v>2417</v>
      </c>
      <c r="J795" t="s">
        <v>2418</v>
      </c>
      <c r="K795" t="s">
        <v>2419</v>
      </c>
    </row>
    <row r="796" spans="1:11">
      <c r="A796" t="s">
        <v>2420</v>
      </c>
      <c r="J796" t="s">
        <v>2421</v>
      </c>
      <c r="K796" t="s">
        <v>2422</v>
      </c>
    </row>
    <row r="797" spans="1:11">
      <c r="A797" t="s">
        <v>2423</v>
      </c>
      <c r="J797" t="s">
        <v>2424</v>
      </c>
      <c r="K797" t="s">
        <v>2425</v>
      </c>
    </row>
    <row r="798" spans="1:11">
      <c r="A798" t="s">
        <v>2426</v>
      </c>
      <c r="J798" t="s">
        <v>2427</v>
      </c>
      <c r="K798" t="s">
        <v>2428</v>
      </c>
    </row>
    <row r="799" spans="1:11">
      <c r="A799" t="s">
        <v>2429</v>
      </c>
      <c r="J799" t="s">
        <v>2430</v>
      </c>
      <c r="K799" t="s">
        <v>2431</v>
      </c>
    </row>
    <row r="800" spans="1:11">
      <c r="A800" t="s">
        <v>2432</v>
      </c>
      <c r="J800" t="s">
        <v>2433</v>
      </c>
      <c r="K800" t="s">
        <v>2434</v>
      </c>
    </row>
    <row r="801" spans="1:11">
      <c r="A801" t="s">
        <v>2435</v>
      </c>
      <c r="J801" t="s">
        <v>2436</v>
      </c>
      <c r="K801" t="s">
        <v>2437</v>
      </c>
    </row>
    <row r="802" spans="1:11">
      <c r="A802" t="s">
        <v>2438</v>
      </c>
      <c r="J802" t="s">
        <v>2439</v>
      </c>
      <c r="K802" t="s">
        <v>2440</v>
      </c>
    </row>
    <row r="803" spans="1:11">
      <c r="A803" t="s">
        <v>2441</v>
      </c>
      <c r="J803" t="s">
        <v>2442</v>
      </c>
      <c r="K803" t="s">
        <v>2443</v>
      </c>
    </row>
    <row r="804" spans="1:11">
      <c r="A804" t="s">
        <v>2444</v>
      </c>
      <c r="J804" t="s">
        <v>2445</v>
      </c>
      <c r="K804" t="s">
        <v>2446</v>
      </c>
    </row>
    <row r="805" spans="1:11">
      <c r="A805" t="s">
        <v>2447</v>
      </c>
      <c r="J805" t="s">
        <v>2448</v>
      </c>
      <c r="K805" t="s">
        <v>2449</v>
      </c>
    </row>
    <row r="806" spans="1:11">
      <c r="A806" t="s">
        <v>2450</v>
      </c>
      <c r="J806" t="s">
        <v>2451</v>
      </c>
      <c r="K806" t="s">
        <v>2452</v>
      </c>
    </row>
    <row r="807" spans="1:11">
      <c r="A807" t="s">
        <v>2453</v>
      </c>
      <c r="J807" t="s">
        <v>2454</v>
      </c>
      <c r="K807" t="s">
        <v>2455</v>
      </c>
    </row>
    <row r="808" spans="1:11">
      <c r="A808" t="s">
        <v>2456</v>
      </c>
      <c r="J808" t="s">
        <v>2457</v>
      </c>
      <c r="K808" t="s">
        <v>2458</v>
      </c>
    </row>
    <row r="809" spans="1:11">
      <c r="A809" t="s">
        <v>2459</v>
      </c>
      <c r="J809" t="s">
        <v>2460</v>
      </c>
      <c r="K809" t="s">
        <v>2461</v>
      </c>
    </row>
    <row r="810" spans="1:11">
      <c r="A810" t="s">
        <v>2462</v>
      </c>
      <c r="J810" t="s">
        <v>2463</v>
      </c>
      <c r="K810" t="s">
        <v>2464</v>
      </c>
    </row>
    <row r="811" spans="1:11">
      <c r="A811" t="s">
        <v>2465</v>
      </c>
      <c r="J811" t="s">
        <v>2466</v>
      </c>
      <c r="K811" t="s">
        <v>2467</v>
      </c>
    </row>
    <row r="812" spans="1:11">
      <c r="A812" t="s">
        <v>2468</v>
      </c>
      <c r="J812" t="s">
        <v>2469</v>
      </c>
      <c r="K812" t="s">
        <v>2470</v>
      </c>
    </row>
    <row r="813" spans="1:11">
      <c r="A813" t="s">
        <v>2471</v>
      </c>
      <c r="J813" t="s">
        <v>2472</v>
      </c>
      <c r="K813" t="s">
        <v>2473</v>
      </c>
    </row>
    <row r="814" spans="1:11">
      <c r="A814" t="s">
        <v>2474</v>
      </c>
      <c r="J814" t="s">
        <v>2475</v>
      </c>
      <c r="K814" t="s">
        <v>2476</v>
      </c>
    </row>
    <row r="815" spans="1:11">
      <c r="A815" t="s">
        <v>2477</v>
      </c>
      <c r="J815" t="s">
        <v>2478</v>
      </c>
      <c r="K815" t="s">
        <v>2479</v>
      </c>
    </row>
    <row r="816" spans="1:11">
      <c r="A816" t="s">
        <v>2480</v>
      </c>
      <c r="J816" t="s">
        <v>2481</v>
      </c>
      <c r="K816" t="s">
        <v>2482</v>
      </c>
    </row>
    <row r="817" spans="1:11">
      <c r="A817" t="s">
        <v>2483</v>
      </c>
      <c r="J817" t="s">
        <v>2484</v>
      </c>
      <c r="K817" t="s">
        <v>2485</v>
      </c>
    </row>
    <row r="818" spans="1:11">
      <c r="A818" t="s">
        <v>2486</v>
      </c>
      <c r="J818" t="s">
        <v>2487</v>
      </c>
      <c r="K818" t="s">
        <v>2488</v>
      </c>
    </row>
    <row r="819" spans="1:11">
      <c r="A819" t="s">
        <v>2489</v>
      </c>
      <c r="J819" t="s">
        <v>2490</v>
      </c>
      <c r="K819" t="s">
        <v>2491</v>
      </c>
    </row>
    <row r="820" spans="1:11">
      <c r="A820" t="s">
        <v>2492</v>
      </c>
      <c r="J820" t="s">
        <v>2493</v>
      </c>
      <c r="K820" t="s">
        <v>2494</v>
      </c>
    </row>
    <row r="821" spans="1:11">
      <c r="A821" t="s">
        <v>2495</v>
      </c>
      <c r="J821" t="s">
        <v>2496</v>
      </c>
      <c r="K821" t="s">
        <v>2497</v>
      </c>
    </row>
    <row r="822" spans="1:11">
      <c r="A822" t="s">
        <v>2498</v>
      </c>
      <c r="J822" t="s">
        <v>2499</v>
      </c>
      <c r="K822" t="s">
        <v>2500</v>
      </c>
    </row>
    <row r="823" spans="1:11">
      <c r="A823" t="s">
        <v>2501</v>
      </c>
      <c r="J823" t="s">
        <v>2502</v>
      </c>
      <c r="K823" t="s">
        <v>2503</v>
      </c>
    </row>
    <row r="824" spans="1:11">
      <c r="A824" t="s">
        <v>2504</v>
      </c>
      <c r="J824" t="s">
        <v>2505</v>
      </c>
      <c r="K824" t="s">
        <v>2506</v>
      </c>
    </row>
    <row r="825" spans="1:11">
      <c r="A825" t="s">
        <v>2507</v>
      </c>
      <c r="J825" t="s">
        <v>2508</v>
      </c>
      <c r="K825" t="s">
        <v>2509</v>
      </c>
    </row>
    <row r="826" spans="1:11">
      <c r="A826" t="s">
        <v>2510</v>
      </c>
      <c r="J826" t="s">
        <v>2511</v>
      </c>
      <c r="K826" t="s">
        <v>2512</v>
      </c>
    </row>
    <row r="827" spans="1:11">
      <c r="A827" t="s">
        <v>2513</v>
      </c>
      <c r="J827" t="s">
        <v>2514</v>
      </c>
      <c r="K827" t="s">
        <v>2515</v>
      </c>
    </row>
    <row r="828" spans="1:11">
      <c r="A828" t="s">
        <v>2516</v>
      </c>
      <c r="J828" t="s">
        <v>2517</v>
      </c>
      <c r="K828" t="s">
        <v>2518</v>
      </c>
    </row>
    <row r="829" spans="1:11">
      <c r="A829" t="s">
        <v>2519</v>
      </c>
      <c r="J829" t="s">
        <v>2520</v>
      </c>
      <c r="K829" t="s">
        <v>2521</v>
      </c>
    </row>
    <row r="830" spans="1:11">
      <c r="A830" t="s">
        <v>2522</v>
      </c>
      <c r="J830" t="s">
        <v>2523</v>
      </c>
      <c r="K830" t="s">
        <v>2524</v>
      </c>
    </row>
    <row r="831" spans="1:11">
      <c r="A831" t="s">
        <v>2525</v>
      </c>
      <c r="J831" t="s">
        <v>2526</v>
      </c>
      <c r="K831" t="s">
        <v>2527</v>
      </c>
    </row>
    <row r="832" spans="1:11">
      <c r="A832" t="s">
        <v>2528</v>
      </c>
      <c r="J832" t="s">
        <v>2529</v>
      </c>
      <c r="K832" t="s">
        <v>2530</v>
      </c>
    </row>
    <row r="833" spans="1:11">
      <c r="A833" t="s">
        <v>2531</v>
      </c>
      <c r="J833" t="s">
        <v>2532</v>
      </c>
      <c r="K833" t="s">
        <v>2533</v>
      </c>
    </row>
    <row r="834" spans="1:11">
      <c r="A834" t="s">
        <v>2534</v>
      </c>
      <c r="J834" t="s">
        <v>2535</v>
      </c>
      <c r="K834" t="s">
        <v>2536</v>
      </c>
    </row>
    <row r="835" spans="1:11">
      <c r="A835" t="s">
        <v>2537</v>
      </c>
      <c r="J835" t="s">
        <v>2538</v>
      </c>
      <c r="K835" t="s">
        <v>2539</v>
      </c>
    </row>
    <row r="836" spans="1:11">
      <c r="A836" t="s">
        <v>2540</v>
      </c>
      <c r="J836" t="s">
        <v>2541</v>
      </c>
      <c r="K836" t="s">
        <v>2542</v>
      </c>
    </row>
    <row r="837" spans="1:11">
      <c r="A837" t="s">
        <v>2543</v>
      </c>
      <c r="J837" t="s">
        <v>2544</v>
      </c>
      <c r="K837" t="s">
        <v>2545</v>
      </c>
    </row>
    <row r="838" spans="1:11">
      <c r="A838" t="s">
        <v>2546</v>
      </c>
      <c r="J838" t="s">
        <v>2547</v>
      </c>
      <c r="K838" t="s">
        <v>2548</v>
      </c>
    </row>
    <row r="839" spans="1:11">
      <c r="A839" t="s">
        <v>2549</v>
      </c>
      <c r="J839" t="s">
        <v>2550</v>
      </c>
      <c r="K839" t="s">
        <v>2551</v>
      </c>
    </row>
    <row r="840" spans="1:11">
      <c r="A840" t="s">
        <v>2552</v>
      </c>
      <c r="J840" t="s">
        <v>2553</v>
      </c>
      <c r="K840" t="s">
        <v>2554</v>
      </c>
    </row>
    <row r="841" spans="1:11">
      <c r="A841" t="s">
        <v>2555</v>
      </c>
      <c r="J841" t="s">
        <v>2556</v>
      </c>
      <c r="K841" t="s">
        <v>2557</v>
      </c>
    </row>
    <row r="842" spans="1:11">
      <c r="A842" t="s">
        <v>2558</v>
      </c>
      <c r="J842" t="s">
        <v>2559</v>
      </c>
      <c r="K842" t="s">
        <v>2560</v>
      </c>
    </row>
    <row r="843" spans="1:11">
      <c r="A843" t="s">
        <v>2561</v>
      </c>
      <c r="J843" t="s">
        <v>2562</v>
      </c>
      <c r="K843" t="s">
        <v>2563</v>
      </c>
    </row>
    <row r="844" spans="1:11">
      <c r="A844" t="s">
        <v>2564</v>
      </c>
      <c r="J844" t="s">
        <v>2565</v>
      </c>
      <c r="K844" t="s">
        <v>2566</v>
      </c>
    </row>
    <row r="845" spans="1:11">
      <c r="A845" t="s">
        <v>2567</v>
      </c>
      <c r="J845" t="s">
        <v>2568</v>
      </c>
      <c r="K845" t="s">
        <v>2569</v>
      </c>
    </row>
    <row r="846" spans="1:11">
      <c r="A846" t="s">
        <v>2570</v>
      </c>
      <c r="J846" t="s">
        <v>2571</v>
      </c>
      <c r="K846" t="s">
        <v>2572</v>
      </c>
    </row>
    <row r="847" spans="1:11">
      <c r="A847" t="s">
        <v>2573</v>
      </c>
      <c r="J847" t="s">
        <v>2574</v>
      </c>
      <c r="K847" t="s">
        <v>2575</v>
      </c>
    </row>
    <row r="848" spans="1:11">
      <c r="A848" t="s">
        <v>2576</v>
      </c>
      <c r="J848" t="s">
        <v>2577</v>
      </c>
      <c r="K848" t="s">
        <v>2578</v>
      </c>
    </row>
    <row r="849" spans="1:11">
      <c r="A849" t="s">
        <v>2579</v>
      </c>
      <c r="J849" t="s">
        <v>2580</v>
      </c>
      <c r="K849" t="s">
        <v>2581</v>
      </c>
    </row>
    <row r="850" spans="1:11">
      <c r="A850" t="s">
        <v>2582</v>
      </c>
      <c r="J850" t="s">
        <v>2583</v>
      </c>
      <c r="K850" t="s">
        <v>2584</v>
      </c>
    </row>
    <row r="851" spans="1:11">
      <c r="A851" t="s">
        <v>2585</v>
      </c>
      <c r="J851" t="s">
        <v>2586</v>
      </c>
      <c r="K851" t="s">
        <v>2587</v>
      </c>
    </row>
    <row r="852" spans="1:11">
      <c r="A852" t="s">
        <v>2588</v>
      </c>
      <c r="J852" t="s">
        <v>2589</v>
      </c>
      <c r="K852" t="s">
        <v>2590</v>
      </c>
    </row>
    <row r="853" spans="1:11">
      <c r="A853" t="s">
        <v>2591</v>
      </c>
      <c r="J853" t="s">
        <v>2592</v>
      </c>
      <c r="K853" t="s">
        <v>2593</v>
      </c>
    </row>
    <row r="854" spans="1:11">
      <c r="A854" t="s">
        <v>2594</v>
      </c>
      <c r="J854" t="s">
        <v>2595</v>
      </c>
      <c r="K854" t="s">
        <v>2596</v>
      </c>
    </row>
    <row r="855" spans="1:11">
      <c r="A855" t="s">
        <v>2597</v>
      </c>
      <c r="J855" t="s">
        <v>2598</v>
      </c>
      <c r="K855" t="s">
        <v>2599</v>
      </c>
    </row>
    <row r="856" spans="1:11">
      <c r="A856" t="s">
        <v>2600</v>
      </c>
      <c r="J856" t="s">
        <v>2601</v>
      </c>
      <c r="K856" t="s">
        <v>2602</v>
      </c>
    </row>
    <row r="857" spans="1:11">
      <c r="A857" t="s">
        <v>2603</v>
      </c>
      <c r="J857" t="s">
        <v>2604</v>
      </c>
      <c r="K857" t="s">
        <v>2605</v>
      </c>
    </row>
    <row r="858" spans="1:11">
      <c r="A858" t="s">
        <v>2606</v>
      </c>
      <c r="J858" t="s">
        <v>2607</v>
      </c>
      <c r="K858" t="s">
        <v>2608</v>
      </c>
    </row>
    <row r="859" spans="1:11">
      <c r="A859" t="s">
        <v>2609</v>
      </c>
      <c r="J859" t="s">
        <v>2610</v>
      </c>
      <c r="K859" t="s">
        <v>2611</v>
      </c>
    </row>
    <row r="860" spans="1:11">
      <c r="A860" t="s">
        <v>2612</v>
      </c>
      <c r="J860" t="s">
        <v>2613</v>
      </c>
      <c r="K860" t="s">
        <v>2614</v>
      </c>
    </row>
    <row r="861" spans="1:11">
      <c r="A861" t="s">
        <v>2615</v>
      </c>
      <c r="J861" t="s">
        <v>2616</v>
      </c>
      <c r="K861" t="s">
        <v>2617</v>
      </c>
    </row>
    <row r="862" spans="1:11">
      <c r="A862" t="s">
        <v>2618</v>
      </c>
      <c r="J862" t="s">
        <v>2619</v>
      </c>
      <c r="K862" t="s">
        <v>2620</v>
      </c>
    </row>
    <row r="863" spans="1:11">
      <c r="A863" t="s">
        <v>2621</v>
      </c>
      <c r="J863" t="s">
        <v>2622</v>
      </c>
      <c r="K863" t="s">
        <v>2623</v>
      </c>
    </row>
    <row r="864" spans="1:11">
      <c r="A864" t="s">
        <v>2624</v>
      </c>
      <c r="J864" t="s">
        <v>2625</v>
      </c>
      <c r="K864" t="s">
        <v>2626</v>
      </c>
    </row>
    <row r="865" spans="1:11">
      <c r="A865" t="s">
        <v>2627</v>
      </c>
      <c r="J865" t="s">
        <v>2628</v>
      </c>
      <c r="K865" t="s">
        <v>2629</v>
      </c>
    </row>
    <row r="866" spans="1:11">
      <c r="A866" t="s">
        <v>2630</v>
      </c>
      <c r="J866" t="s">
        <v>2631</v>
      </c>
      <c r="K866" t="s">
        <v>2632</v>
      </c>
    </row>
    <row r="867" spans="1:11">
      <c r="A867" t="s">
        <v>2633</v>
      </c>
      <c r="J867" t="s">
        <v>2634</v>
      </c>
      <c r="K867" t="s">
        <v>2635</v>
      </c>
    </row>
    <row r="868" spans="1:11">
      <c r="A868" t="s">
        <v>2636</v>
      </c>
      <c r="J868" t="s">
        <v>2637</v>
      </c>
      <c r="K868" t="s">
        <v>2638</v>
      </c>
    </row>
    <row r="869" spans="1:11">
      <c r="A869" t="s">
        <v>2639</v>
      </c>
      <c r="J869" t="s">
        <v>2640</v>
      </c>
      <c r="K869" t="s">
        <v>2641</v>
      </c>
    </row>
    <row r="870" spans="1:11">
      <c r="A870" t="s">
        <v>2642</v>
      </c>
      <c r="J870" t="s">
        <v>2643</v>
      </c>
      <c r="K870" t="s">
        <v>2644</v>
      </c>
    </row>
    <row r="871" spans="1:11">
      <c r="A871" t="s">
        <v>2645</v>
      </c>
      <c r="J871" t="s">
        <v>2646</v>
      </c>
      <c r="K871" t="s">
        <v>2647</v>
      </c>
    </row>
    <row r="872" spans="1:11">
      <c r="A872" t="s">
        <v>2648</v>
      </c>
      <c r="J872" t="s">
        <v>2649</v>
      </c>
      <c r="K872" t="s">
        <v>2650</v>
      </c>
    </row>
    <row r="873" spans="1:11">
      <c r="A873" t="s">
        <v>2651</v>
      </c>
      <c r="J873" t="s">
        <v>2652</v>
      </c>
      <c r="K873" t="s">
        <v>2653</v>
      </c>
    </row>
    <row r="874" spans="1:11">
      <c r="A874" t="s">
        <v>2654</v>
      </c>
      <c r="J874" t="s">
        <v>2655</v>
      </c>
      <c r="K874" t="s">
        <v>2656</v>
      </c>
    </row>
    <row r="875" spans="1:11">
      <c r="A875" t="s">
        <v>2657</v>
      </c>
      <c r="J875" t="s">
        <v>2658</v>
      </c>
      <c r="K875" t="s">
        <v>2659</v>
      </c>
    </row>
    <row r="876" spans="1:11">
      <c r="A876" t="s">
        <v>2660</v>
      </c>
      <c r="J876" t="s">
        <v>2661</v>
      </c>
      <c r="K876" t="s">
        <v>2662</v>
      </c>
    </row>
    <row r="877" spans="1:11">
      <c r="A877" t="s">
        <v>2663</v>
      </c>
      <c r="J877" t="s">
        <v>2664</v>
      </c>
      <c r="K877" t="s">
        <v>2665</v>
      </c>
    </row>
    <row r="878" spans="1:11">
      <c r="A878" t="s">
        <v>2666</v>
      </c>
      <c r="J878" t="s">
        <v>2667</v>
      </c>
      <c r="K878" t="s">
        <v>2668</v>
      </c>
    </row>
    <row r="879" spans="1:11">
      <c r="A879" t="s">
        <v>2669</v>
      </c>
      <c r="J879" t="s">
        <v>2670</v>
      </c>
      <c r="K879" t="s">
        <v>2671</v>
      </c>
    </row>
    <row r="880" spans="1:11">
      <c r="A880" t="s">
        <v>2672</v>
      </c>
      <c r="J880" t="s">
        <v>2673</v>
      </c>
      <c r="K880" t="s">
        <v>2674</v>
      </c>
    </row>
    <row r="881" spans="1:11">
      <c r="A881" t="s">
        <v>2675</v>
      </c>
      <c r="J881" t="s">
        <v>2676</v>
      </c>
      <c r="K881" t="s">
        <v>2677</v>
      </c>
    </row>
    <row r="882" spans="1:11">
      <c r="A882" t="s">
        <v>2678</v>
      </c>
      <c r="J882" t="s">
        <v>2679</v>
      </c>
      <c r="K882" t="s">
        <v>2680</v>
      </c>
    </row>
    <row r="883" spans="1:11">
      <c r="A883" t="s">
        <v>2681</v>
      </c>
      <c r="J883" t="s">
        <v>2682</v>
      </c>
      <c r="K883" t="s">
        <v>2683</v>
      </c>
    </row>
    <row r="884" spans="1:11">
      <c r="A884" t="s">
        <v>2684</v>
      </c>
      <c r="J884" t="s">
        <v>2685</v>
      </c>
      <c r="K884" t="s">
        <v>2686</v>
      </c>
    </row>
    <row r="885" spans="1:11">
      <c r="A885" t="s">
        <v>2687</v>
      </c>
      <c r="J885" t="s">
        <v>2688</v>
      </c>
      <c r="K885" t="s">
        <v>2689</v>
      </c>
    </row>
    <row r="886" spans="1:11">
      <c r="A886" t="s">
        <v>2690</v>
      </c>
      <c r="J886" t="s">
        <v>2691</v>
      </c>
      <c r="K886" t="s">
        <v>2692</v>
      </c>
    </row>
    <row r="887" spans="1:11">
      <c r="A887" t="s">
        <v>2693</v>
      </c>
      <c r="J887" t="s">
        <v>2694</v>
      </c>
      <c r="K887" t="s">
        <v>2695</v>
      </c>
    </row>
    <row r="888" spans="1:11">
      <c r="A888" t="s">
        <v>2696</v>
      </c>
      <c r="J888" t="s">
        <v>2697</v>
      </c>
      <c r="K888" t="s">
        <v>2698</v>
      </c>
    </row>
    <row r="889" spans="1:11">
      <c r="A889" t="s">
        <v>2699</v>
      </c>
      <c r="J889" t="s">
        <v>2700</v>
      </c>
      <c r="K889" t="s">
        <v>2701</v>
      </c>
    </row>
    <row r="890" spans="1:11">
      <c r="A890" t="s">
        <v>2702</v>
      </c>
      <c r="J890" t="s">
        <v>2703</v>
      </c>
      <c r="K890" t="s">
        <v>2704</v>
      </c>
    </row>
    <row r="891" spans="1:11">
      <c r="A891" t="s">
        <v>2705</v>
      </c>
      <c r="J891" t="s">
        <v>2706</v>
      </c>
      <c r="K891" t="s">
        <v>2707</v>
      </c>
    </row>
    <row r="892" spans="1:11">
      <c r="A892" t="s">
        <v>2708</v>
      </c>
      <c r="J892" t="s">
        <v>2709</v>
      </c>
      <c r="K892" t="s">
        <v>2710</v>
      </c>
    </row>
    <row r="893" spans="1:11">
      <c r="A893" t="s">
        <v>2711</v>
      </c>
      <c r="J893" t="s">
        <v>2712</v>
      </c>
      <c r="K893" t="s">
        <v>2713</v>
      </c>
    </row>
    <row r="894" spans="1:11">
      <c r="A894" t="s">
        <v>2714</v>
      </c>
      <c r="J894" t="s">
        <v>2715</v>
      </c>
      <c r="K894" t="s">
        <v>2716</v>
      </c>
    </row>
    <row r="895" spans="1:11">
      <c r="A895" t="s">
        <v>2717</v>
      </c>
      <c r="J895" t="s">
        <v>2718</v>
      </c>
      <c r="K895" t="s">
        <v>2719</v>
      </c>
    </row>
    <row r="896" spans="1:11">
      <c r="A896" t="s">
        <v>2720</v>
      </c>
      <c r="J896" t="s">
        <v>2721</v>
      </c>
      <c r="K896" t="s">
        <v>2722</v>
      </c>
    </row>
    <row r="897" spans="1:11">
      <c r="A897" t="s">
        <v>2723</v>
      </c>
      <c r="J897" t="s">
        <v>2724</v>
      </c>
      <c r="K897" t="s">
        <v>2725</v>
      </c>
    </row>
    <row r="898" spans="1:11">
      <c r="A898" t="s">
        <v>2726</v>
      </c>
      <c r="J898" t="s">
        <v>2727</v>
      </c>
      <c r="K898" t="s">
        <v>2728</v>
      </c>
    </row>
    <row r="899" spans="1:11">
      <c r="A899" t="s">
        <v>2729</v>
      </c>
      <c r="J899" t="s">
        <v>2730</v>
      </c>
      <c r="K899" t="s">
        <v>2731</v>
      </c>
    </row>
    <row r="900" spans="1:11">
      <c r="A900" t="s">
        <v>2732</v>
      </c>
      <c r="J900" t="s">
        <v>2733</v>
      </c>
      <c r="K900" t="s">
        <v>2734</v>
      </c>
    </row>
    <row r="901" spans="1:11">
      <c r="A901" t="s">
        <v>2735</v>
      </c>
      <c r="J901" t="s">
        <v>2736</v>
      </c>
      <c r="K901" t="s">
        <v>2737</v>
      </c>
    </row>
    <row r="902" spans="1:11">
      <c r="A902" t="s">
        <v>2738</v>
      </c>
      <c r="J902" t="s">
        <v>2739</v>
      </c>
      <c r="K902" t="s">
        <v>2740</v>
      </c>
    </row>
    <row r="903" spans="1:11">
      <c r="A903" t="s">
        <v>2741</v>
      </c>
      <c r="J903" t="s">
        <v>2742</v>
      </c>
      <c r="K903" t="s">
        <v>2743</v>
      </c>
    </row>
    <row r="904" spans="1:11">
      <c r="A904" t="s">
        <v>2744</v>
      </c>
      <c r="J904" t="s">
        <v>2745</v>
      </c>
      <c r="K904" t="s">
        <v>2746</v>
      </c>
    </row>
    <row r="905" spans="1:11">
      <c r="A905" t="s">
        <v>2747</v>
      </c>
      <c r="J905" t="s">
        <v>2748</v>
      </c>
      <c r="K905" t="s">
        <v>2749</v>
      </c>
    </row>
    <row r="906" spans="1:11">
      <c r="A906" t="s">
        <v>2750</v>
      </c>
      <c r="J906" t="s">
        <v>2751</v>
      </c>
      <c r="K906" t="s">
        <v>2752</v>
      </c>
    </row>
    <row r="907" spans="1:11">
      <c r="A907" t="s">
        <v>2753</v>
      </c>
      <c r="J907" t="s">
        <v>2754</v>
      </c>
      <c r="K907" t="s">
        <v>2755</v>
      </c>
    </row>
    <row r="908" spans="1:11">
      <c r="A908" t="s">
        <v>2756</v>
      </c>
      <c r="J908" t="s">
        <v>2757</v>
      </c>
      <c r="K908" t="s">
        <v>2758</v>
      </c>
    </row>
    <row r="909" spans="1:11">
      <c r="A909" t="s">
        <v>2759</v>
      </c>
      <c r="J909" t="s">
        <v>2760</v>
      </c>
      <c r="K909" t="s">
        <v>2761</v>
      </c>
    </row>
    <row r="910" spans="1:11">
      <c r="A910" t="s">
        <v>2762</v>
      </c>
      <c r="J910" t="s">
        <v>2763</v>
      </c>
      <c r="K910" t="s">
        <v>2764</v>
      </c>
    </row>
    <row r="911" spans="1:11">
      <c r="A911" t="s">
        <v>2765</v>
      </c>
      <c r="J911" t="s">
        <v>2766</v>
      </c>
      <c r="K911" t="s">
        <v>2767</v>
      </c>
    </row>
    <row r="912" spans="1:11">
      <c r="A912" t="s">
        <v>2768</v>
      </c>
      <c r="J912" t="s">
        <v>2769</v>
      </c>
      <c r="K912" t="s">
        <v>2770</v>
      </c>
    </row>
    <row r="913" spans="1:11">
      <c r="A913" t="s">
        <v>2771</v>
      </c>
      <c r="J913" t="s">
        <v>2772</v>
      </c>
      <c r="K913" t="s">
        <v>2773</v>
      </c>
    </row>
    <row r="914" spans="1:11">
      <c r="A914" t="s">
        <v>2774</v>
      </c>
      <c r="J914" t="s">
        <v>2775</v>
      </c>
      <c r="K914" t="s">
        <v>2776</v>
      </c>
    </row>
    <row r="915" spans="1:11">
      <c r="A915" t="s">
        <v>2777</v>
      </c>
      <c r="J915" t="s">
        <v>2778</v>
      </c>
      <c r="K915" t="s">
        <v>2779</v>
      </c>
    </row>
    <row r="916" spans="1:11">
      <c r="A916" t="s">
        <v>2780</v>
      </c>
      <c r="J916" t="s">
        <v>2781</v>
      </c>
      <c r="K916" t="s">
        <v>2782</v>
      </c>
    </row>
    <row r="917" spans="1:11">
      <c r="A917" t="s">
        <v>2783</v>
      </c>
      <c r="J917" t="s">
        <v>2784</v>
      </c>
      <c r="K917" t="s">
        <v>2785</v>
      </c>
    </row>
    <row r="918" spans="1:11">
      <c r="A918" t="s">
        <v>2786</v>
      </c>
      <c r="J918" t="s">
        <v>2787</v>
      </c>
      <c r="K918" t="s">
        <v>2788</v>
      </c>
    </row>
    <row r="919" spans="1:11">
      <c r="A919" t="s">
        <v>2789</v>
      </c>
      <c r="J919" t="s">
        <v>2790</v>
      </c>
      <c r="K919" t="s">
        <v>2791</v>
      </c>
    </row>
    <row r="920" spans="1:11">
      <c r="A920" t="s">
        <v>2792</v>
      </c>
      <c r="J920" t="s">
        <v>2793</v>
      </c>
      <c r="K920" t="s">
        <v>2794</v>
      </c>
    </row>
    <row r="921" spans="1:11">
      <c r="A921" t="s">
        <v>2795</v>
      </c>
      <c r="J921" t="s">
        <v>2796</v>
      </c>
      <c r="K921" t="s">
        <v>2797</v>
      </c>
    </row>
    <row r="922" spans="1:11">
      <c r="A922" t="s">
        <v>2798</v>
      </c>
      <c r="J922" t="s">
        <v>2799</v>
      </c>
      <c r="K922" t="s">
        <v>2800</v>
      </c>
    </row>
    <row r="923" spans="1:11">
      <c r="A923" t="s">
        <v>2801</v>
      </c>
      <c r="J923" t="s">
        <v>2802</v>
      </c>
      <c r="K923" t="s">
        <v>2803</v>
      </c>
    </row>
    <row r="924" spans="1:11">
      <c r="A924" t="s">
        <v>2804</v>
      </c>
      <c r="J924" t="s">
        <v>2805</v>
      </c>
      <c r="K924" t="s">
        <v>2806</v>
      </c>
    </row>
    <row r="925" spans="1:11">
      <c r="A925" t="s">
        <v>2807</v>
      </c>
      <c r="J925" t="s">
        <v>2808</v>
      </c>
      <c r="K925" t="s">
        <v>2809</v>
      </c>
    </row>
    <row r="926" spans="1:11">
      <c r="A926" t="s">
        <v>2810</v>
      </c>
      <c r="J926" t="s">
        <v>2811</v>
      </c>
      <c r="K926" t="s">
        <v>2812</v>
      </c>
    </row>
    <row r="927" spans="1:11">
      <c r="A927" t="s">
        <v>2813</v>
      </c>
      <c r="J927" t="s">
        <v>2814</v>
      </c>
      <c r="K927" t="s">
        <v>2815</v>
      </c>
    </row>
    <row r="928" spans="1:11">
      <c r="A928" t="s">
        <v>2816</v>
      </c>
      <c r="J928" t="s">
        <v>2817</v>
      </c>
      <c r="K928" t="s">
        <v>2818</v>
      </c>
    </row>
    <row r="929" spans="1:11">
      <c r="A929" t="s">
        <v>2819</v>
      </c>
      <c r="J929" t="s">
        <v>2820</v>
      </c>
      <c r="K929" t="s">
        <v>2821</v>
      </c>
    </row>
    <row r="930" spans="1:11">
      <c r="A930" t="s">
        <v>2822</v>
      </c>
      <c r="J930" t="s">
        <v>2823</v>
      </c>
      <c r="K930" t="s">
        <v>2824</v>
      </c>
    </row>
    <row r="931" spans="1:11">
      <c r="A931" t="s">
        <v>2825</v>
      </c>
      <c r="J931" t="s">
        <v>2826</v>
      </c>
      <c r="K931" t="s">
        <v>2827</v>
      </c>
    </row>
    <row r="932" spans="1:11">
      <c r="A932" t="s">
        <v>2828</v>
      </c>
      <c r="J932" t="s">
        <v>2829</v>
      </c>
      <c r="K932" t="s">
        <v>2830</v>
      </c>
    </row>
    <row r="933" spans="1:11">
      <c r="A933" t="s">
        <v>2831</v>
      </c>
      <c r="J933" t="s">
        <v>2832</v>
      </c>
      <c r="K933" t="s">
        <v>2833</v>
      </c>
    </row>
    <row r="934" spans="1:11">
      <c r="A934" t="s">
        <v>2834</v>
      </c>
      <c r="J934" t="s">
        <v>2835</v>
      </c>
      <c r="K934" t="s">
        <v>2836</v>
      </c>
    </row>
    <row r="935" spans="1:11">
      <c r="A935" t="s">
        <v>2837</v>
      </c>
      <c r="J935" t="s">
        <v>2838</v>
      </c>
      <c r="K935" t="s">
        <v>2839</v>
      </c>
    </row>
    <row r="936" spans="1:11">
      <c r="A936" t="s">
        <v>2840</v>
      </c>
      <c r="J936" t="s">
        <v>2841</v>
      </c>
      <c r="K936" t="s">
        <v>2842</v>
      </c>
    </row>
    <row r="937" spans="1:11">
      <c r="A937" t="s">
        <v>2843</v>
      </c>
      <c r="J937" t="s">
        <v>2844</v>
      </c>
      <c r="K937" t="s">
        <v>2845</v>
      </c>
    </row>
    <row r="938" spans="1:11">
      <c r="A938" t="s">
        <v>2846</v>
      </c>
      <c r="J938" t="s">
        <v>2847</v>
      </c>
      <c r="K938" t="s">
        <v>2848</v>
      </c>
    </row>
    <row r="939" spans="1:11">
      <c r="A939" t="s">
        <v>2849</v>
      </c>
      <c r="J939" t="s">
        <v>2850</v>
      </c>
      <c r="K939" t="s">
        <v>2851</v>
      </c>
    </row>
    <row r="940" spans="1:11">
      <c r="A940" t="s">
        <v>2852</v>
      </c>
      <c r="J940" t="s">
        <v>2853</v>
      </c>
      <c r="K940" t="s">
        <v>2854</v>
      </c>
    </row>
    <row r="941" spans="1:11">
      <c r="A941" t="s">
        <v>2855</v>
      </c>
      <c r="J941" t="s">
        <v>2856</v>
      </c>
      <c r="K941" t="s">
        <v>2857</v>
      </c>
    </row>
    <row r="942" spans="1:11">
      <c r="A942" t="s">
        <v>2858</v>
      </c>
      <c r="J942" t="s">
        <v>2859</v>
      </c>
      <c r="K942" t="s">
        <v>2860</v>
      </c>
    </row>
    <row r="943" spans="1:11">
      <c r="A943" t="s">
        <v>2861</v>
      </c>
      <c r="J943" t="s">
        <v>2862</v>
      </c>
      <c r="K943" t="s">
        <v>2863</v>
      </c>
    </row>
    <row r="944" spans="1:11">
      <c r="A944" t="s">
        <v>2864</v>
      </c>
      <c r="J944" t="s">
        <v>2865</v>
      </c>
      <c r="K944" t="s">
        <v>2866</v>
      </c>
    </row>
    <row r="945" spans="1:11">
      <c r="A945" t="s">
        <v>2867</v>
      </c>
      <c r="J945" t="s">
        <v>2868</v>
      </c>
      <c r="K945" t="s">
        <v>2869</v>
      </c>
    </row>
    <row r="946" spans="1:11">
      <c r="A946" t="s">
        <v>2870</v>
      </c>
      <c r="J946" t="s">
        <v>2871</v>
      </c>
      <c r="K946" t="s">
        <v>2872</v>
      </c>
    </row>
    <row r="947" spans="1:11">
      <c r="A947" t="s">
        <v>2873</v>
      </c>
      <c r="J947" t="s">
        <v>2874</v>
      </c>
      <c r="K947" t="s">
        <v>2875</v>
      </c>
    </row>
    <row r="948" spans="1:11">
      <c r="A948" t="s">
        <v>2876</v>
      </c>
      <c r="J948" t="s">
        <v>2877</v>
      </c>
      <c r="K948" t="s">
        <v>2878</v>
      </c>
    </row>
    <row r="949" spans="1:11">
      <c r="A949" t="s">
        <v>2879</v>
      </c>
      <c r="J949" t="s">
        <v>2880</v>
      </c>
      <c r="K949" t="s">
        <v>2881</v>
      </c>
    </row>
    <row r="950" spans="1:11">
      <c r="A950" t="s">
        <v>2882</v>
      </c>
      <c r="J950" t="s">
        <v>2883</v>
      </c>
      <c r="K950" t="s">
        <v>2884</v>
      </c>
    </row>
    <row r="951" spans="1:11">
      <c r="A951" t="s">
        <v>2885</v>
      </c>
      <c r="J951" t="s">
        <v>2886</v>
      </c>
      <c r="K951" t="s">
        <v>2887</v>
      </c>
    </row>
    <row r="952" spans="1:11">
      <c r="A952" t="s">
        <v>2888</v>
      </c>
      <c r="J952" t="s">
        <v>2889</v>
      </c>
      <c r="K952" t="s">
        <v>2890</v>
      </c>
    </row>
    <row r="953" spans="1:11">
      <c r="A953" t="s">
        <v>2891</v>
      </c>
      <c r="J953" t="s">
        <v>2892</v>
      </c>
      <c r="K953" t="s">
        <v>2893</v>
      </c>
    </row>
    <row r="954" spans="1:11">
      <c r="A954" t="s">
        <v>2894</v>
      </c>
      <c r="J954" t="s">
        <v>2895</v>
      </c>
      <c r="K954" t="s">
        <v>2896</v>
      </c>
    </row>
    <row r="955" spans="1:11">
      <c r="A955" t="s">
        <v>2897</v>
      </c>
      <c r="J955" t="s">
        <v>2898</v>
      </c>
      <c r="K955" t="s">
        <v>2899</v>
      </c>
    </row>
    <row r="956" spans="1:11">
      <c r="A956" t="s">
        <v>2900</v>
      </c>
      <c r="J956" t="s">
        <v>2901</v>
      </c>
      <c r="K956" t="s">
        <v>2902</v>
      </c>
    </row>
    <row r="957" spans="1:11">
      <c r="A957" t="s">
        <v>2903</v>
      </c>
      <c r="J957" t="s">
        <v>2904</v>
      </c>
      <c r="K957" t="s">
        <v>2905</v>
      </c>
    </row>
    <row r="958" spans="1:11">
      <c r="A958" t="s">
        <v>2906</v>
      </c>
      <c r="J958" t="s">
        <v>2907</v>
      </c>
      <c r="K958" t="s">
        <v>2908</v>
      </c>
    </row>
    <row r="959" spans="1:11">
      <c r="A959" t="s">
        <v>2909</v>
      </c>
      <c r="J959" t="s">
        <v>2910</v>
      </c>
      <c r="K959" t="s">
        <v>2911</v>
      </c>
    </row>
    <row r="960" spans="1:11">
      <c r="A960" t="s">
        <v>2912</v>
      </c>
      <c r="J960" t="s">
        <v>2913</v>
      </c>
      <c r="K960" t="s">
        <v>2914</v>
      </c>
    </row>
    <row r="961" spans="1:11">
      <c r="A961" t="s">
        <v>2915</v>
      </c>
      <c r="J961" t="s">
        <v>2916</v>
      </c>
      <c r="K961" t="s">
        <v>2917</v>
      </c>
    </row>
    <row r="962" spans="1:11">
      <c r="A962" t="s">
        <v>2918</v>
      </c>
      <c r="J962" t="s">
        <v>2919</v>
      </c>
      <c r="K962" t="s">
        <v>2920</v>
      </c>
    </row>
    <row r="963" spans="1:11">
      <c r="A963" t="s">
        <v>2921</v>
      </c>
      <c r="J963" t="s">
        <v>2922</v>
      </c>
      <c r="K963" t="s">
        <v>2923</v>
      </c>
    </row>
    <row r="964" spans="1:11">
      <c r="A964" t="s">
        <v>2924</v>
      </c>
      <c r="J964" t="s">
        <v>2925</v>
      </c>
      <c r="K964" t="s">
        <v>2926</v>
      </c>
    </row>
    <row r="965" spans="1:11">
      <c r="A965" t="s">
        <v>2927</v>
      </c>
      <c r="J965" t="s">
        <v>2928</v>
      </c>
      <c r="K965" t="s">
        <v>2929</v>
      </c>
    </row>
    <row r="966" spans="1:11">
      <c r="A966" t="s">
        <v>2930</v>
      </c>
      <c r="J966" t="s">
        <v>2931</v>
      </c>
      <c r="K966" t="s">
        <v>2932</v>
      </c>
    </row>
    <row r="967" spans="1:11">
      <c r="A967" t="s">
        <v>2933</v>
      </c>
      <c r="J967" t="s">
        <v>2934</v>
      </c>
      <c r="K967" t="s">
        <v>2935</v>
      </c>
    </row>
    <row r="968" spans="1:11">
      <c r="A968" t="s">
        <v>2936</v>
      </c>
      <c r="J968" t="s">
        <v>2937</v>
      </c>
      <c r="K968" t="s">
        <v>2938</v>
      </c>
    </row>
    <row r="969" spans="1:11">
      <c r="A969" t="s">
        <v>2939</v>
      </c>
      <c r="J969" t="s">
        <v>2940</v>
      </c>
      <c r="K969" t="s">
        <v>2941</v>
      </c>
    </row>
    <row r="970" spans="1:11">
      <c r="A970" t="s">
        <v>2942</v>
      </c>
      <c r="J970" t="s">
        <v>2943</v>
      </c>
      <c r="K970" t="s">
        <v>2944</v>
      </c>
    </row>
    <row r="971" spans="1:11">
      <c r="A971" t="s">
        <v>2945</v>
      </c>
      <c r="J971" t="s">
        <v>2946</v>
      </c>
      <c r="K971" t="s">
        <v>2947</v>
      </c>
    </row>
    <row r="972" spans="1:11">
      <c r="A972" t="s">
        <v>2948</v>
      </c>
      <c r="J972" t="s">
        <v>2949</v>
      </c>
      <c r="K972" t="s">
        <v>2950</v>
      </c>
    </row>
    <row r="973" spans="1:11">
      <c r="A973" t="s">
        <v>2951</v>
      </c>
      <c r="J973" t="s">
        <v>2952</v>
      </c>
      <c r="K973" t="s">
        <v>2953</v>
      </c>
    </row>
    <row r="974" spans="1:11">
      <c r="A974" t="s">
        <v>2954</v>
      </c>
      <c r="J974" t="s">
        <v>2955</v>
      </c>
      <c r="K974" t="s">
        <v>2956</v>
      </c>
    </row>
    <row r="975" spans="1:11">
      <c r="A975" t="s">
        <v>2957</v>
      </c>
      <c r="J975" t="s">
        <v>2958</v>
      </c>
      <c r="K975" t="s">
        <v>2959</v>
      </c>
    </row>
    <row r="976" spans="1:11">
      <c r="A976" t="s">
        <v>2960</v>
      </c>
      <c r="J976" t="s">
        <v>2961</v>
      </c>
      <c r="K976" t="s">
        <v>2962</v>
      </c>
    </row>
    <row r="977" spans="1:11">
      <c r="A977" t="s">
        <v>2963</v>
      </c>
      <c r="J977" t="s">
        <v>2964</v>
      </c>
      <c r="K977" t="s">
        <v>2965</v>
      </c>
    </row>
    <row r="978" spans="1:11">
      <c r="A978" t="s">
        <v>2966</v>
      </c>
      <c r="J978" t="s">
        <v>2967</v>
      </c>
      <c r="K978" t="s">
        <v>2968</v>
      </c>
    </row>
    <row r="979" spans="1:11">
      <c r="A979" t="s">
        <v>2969</v>
      </c>
      <c r="J979" t="s">
        <v>2970</v>
      </c>
      <c r="K979" t="s">
        <v>2971</v>
      </c>
    </row>
    <row r="980" spans="1:11">
      <c r="A980" t="s">
        <v>2972</v>
      </c>
      <c r="J980" t="s">
        <v>2973</v>
      </c>
      <c r="K980" t="s">
        <v>2974</v>
      </c>
    </row>
    <row r="981" spans="1:11">
      <c r="A981" t="s">
        <v>2975</v>
      </c>
      <c r="J981" t="s">
        <v>2976</v>
      </c>
      <c r="K981" t="s">
        <v>2977</v>
      </c>
    </row>
    <row r="982" spans="1:11">
      <c r="A982" t="s">
        <v>2978</v>
      </c>
      <c r="J982" t="s">
        <v>2979</v>
      </c>
      <c r="K982" t="s">
        <v>2980</v>
      </c>
    </row>
    <row r="983" spans="1:11">
      <c r="A983" t="s">
        <v>2981</v>
      </c>
      <c r="J983" t="s">
        <v>2982</v>
      </c>
      <c r="K983" t="s">
        <v>2983</v>
      </c>
    </row>
    <row r="984" spans="1:11">
      <c r="A984" t="s">
        <v>2984</v>
      </c>
      <c r="J984" t="s">
        <v>2985</v>
      </c>
      <c r="K984" t="s">
        <v>2986</v>
      </c>
    </row>
    <row r="985" spans="1:11">
      <c r="A985" t="s">
        <v>2987</v>
      </c>
      <c r="J985" t="s">
        <v>2988</v>
      </c>
      <c r="K985" t="s">
        <v>2989</v>
      </c>
    </row>
    <row r="986" spans="1:11">
      <c r="A986" t="s">
        <v>2990</v>
      </c>
      <c r="J986" t="s">
        <v>2991</v>
      </c>
      <c r="K986" t="s">
        <v>2992</v>
      </c>
    </row>
    <row r="987" spans="1:11">
      <c r="A987" t="s">
        <v>2993</v>
      </c>
      <c r="J987" t="s">
        <v>2994</v>
      </c>
      <c r="K987" t="s">
        <v>2995</v>
      </c>
    </row>
    <row r="988" spans="1:11">
      <c r="A988" t="s">
        <v>2996</v>
      </c>
      <c r="J988" t="s">
        <v>2997</v>
      </c>
      <c r="K988" t="s">
        <v>2998</v>
      </c>
    </row>
    <row r="989" spans="1:11">
      <c r="A989" t="s">
        <v>2999</v>
      </c>
      <c r="J989" t="s">
        <v>3000</v>
      </c>
      <c r="K989" t="s">
        <v>3001</v>
      </c>
    </row>
    <row r="990" spans="1:11">
      <c r="A990" t="s">
        <v>3002</v>
      </c>
      <c r="J990" t="s">
        <v>3003</v>
      </c>
      <c r="K990" t="s">
        <v>3004</v>
      </c>
    </row>
    <row r="991" spans="1:11">
      <c r="A991" t="s">
        <v>3005</v>
      </c>
      <c r="J991" t="s">
        <v>3006</v>
      </c>
      <c r="K991" t="s">
        <v>3007</v>
      </c>
    </row>
    <row r="992" spans="1:11">
      <c r="A992" t="s">
        <v>3008</v>
      </c>
      <c r="J992" t="s">
        <v>3009</v>
      </c>
      <c r="K992" t="s">
        <v>3010</v>
      </c>
    </row>
    <row r="993" spans="1:11">
      <c r="A993" t="s">
        <v>3011</v>
      </c>
      <c r="J993" t="s">
        <v>3012</v>
      </c>
      <c r="K993" t="s">
        <v>3013</v>
      </c>
    </row>
    <row r="994" spans="1:11">
      <c r="A994" t="s">
        <v>3014</v>
      </c>
      <c r="J994" t="s">
        <v>3015</v>
      </c>
      <c r="K994" t="s">
        <v>3016</v>
      </c>
    </row>
    <row r="995" spans="1:11">
      <c r="A995" t="s">
        <v>3017</v>
      </c>
      <c r="J995" t="s">
        <v>3018</v>
      </c>
      <c r="K995" t="s">
        <v>3019</v>
      </c>
    </row>
    <row r="996" spans="1:11">
      <c r="A996" t="s">
        <v>3020</v>
      </c>
      <c r="J996" t="s">
        <v>3021</v>
      </c>
      <c r="K996" t="s">
        <v>3022</v>
      </c>
    </row>
    <row r="997" spans="1:11">
      <c r="A997" t="s">
        <v>3023</v>
      </c>
      <c r="J997" t="s">
        <v>3024</v>
      </c>
      <c r="K997" t="s">
        <v>3025</v>
      </c>
    </row>
    <row r="998" spans="1:11">
      <c r="A998" t="s">
        <v>3026</v>
      </c>
      <c r="J998" t="s">
        <v>3027</v>
      </c>
      <c r="K998" t="s">
        <v>3028</v>
      </c>
    </row>
    <row r="999" spans="1:11">
      <c r="A999" t="s">
        <v>3029</v>
      </c>
      <c r="J999" t="s">
        <v>3030</v>
      </c>
      <c r="K999" t="s">
        <v>3031</v>
      </c>
    </row>
    <row r="1000" spans="1:11">
      <c r="A1000" t="s">
        <v>3032</v>
      </c>
      <c r="J1000" t="s">
        <v>3033</v>
      </c>
      <c r="K1000" t="s">
        <v>3034</v>
      </c>
    </row>
    <row r="1001" spans="1:11">
      <c r="A1001" t="s">
        <v>3035</v>
      </c>
      <c r="J1001" t="s">
        <v>3036</v>
      </c>
      <c r="K1001" t="s">
        <v>3037</v>
      </c>
    </row>
    <row r="1002" spans="1:11">
      <c r="A1002" t="s">
        <v>3038</v>
      </c>
      <c r="J1002" t="s">
        <v>3039</v>
      </c>
      <c r="K1002" t="s">
        <v>3040</v>
      </c>
    </row>
    <row r="1003" spans="1:11">
      <c r="A1003" t="s">
        <v>3041</v>
      </c>
      <c r="J1003" t="s">
        <v>3042</v>
      </c>
      <c r="K1003" t="s">
        <v>3043</v>
      </c>
    </row>
    <row r="1004" spans="1:11">
      <c r="A1004" t="s">
        <v>3044</v>
      </c>
      <c r="J1004" t="s">
        <v>3045</v>
      </c>
      <c r="K1004" t="s">
        <v>3046</v>
      </c>
    </row>
    <row r="1005" spans="1:11">
      <c r="A1005" t="s">
        <v>3047</v>
      </c>
      <c r="J1005" t="s">
        <v>3048</v>
      </c>
      <c r="K1005" t="s">
        <v>3049</v>
      </c>
    </row>
    <row r="1006" spans="1:11">
      <c r="A1006" t="s">
        <v>3050</v>
      </c>
      <c r="J1006" t="s">
        <v>3051</v>
      </c>
      <c r="K1006" t="s">
        <v>3052</v>
      </c>
    </row>
    <row r="1007" spans="1:11">
      <c r="A1007" t="s">
        <v>3053</v>
      </c>
      <c r="J1007" t="s">
        <v>3054</v>
      </c>
      <c r="K1007" t="s">
        <v>3055</v>
      </c>
    </row>
    <row r="1008" spans="1:11">
      <c r="A1008" t="s">
        <v>3056</v>
      </c>
      <c r="J1008" t="s">
        <v>3057</v>
      </c>
      <c r="K1008" t="s">
        <v>3058</v>
      </c>
    </row>
    <row r="1009" spans="1:11">
      <c r="A1009" t="s">
        <v>3059</v>
      </c>
      <c r="J1009" t="s">
        <v>3060</v>
      </c>
      <c r="K1009" t="s">
        <v>3061</v>
      </c>
    </row>
    <row r="1010" spans="1:11">
      <c r="A1010" t="s">
        <v>3062</v>
      </c>
      <c r="J1010" t="s">
        <v>3063</v>
      </c>
      <c r="K1010" t="s">
        <v>3064</v>
      </c>
    </row>
    <row r="1011" spans="1:11">
      <c r="A1011" t="s">
        <v>3065</v>
      </c>
      <c r="J1011" t="s">
        <v>3066</v>
      </c>
      <c r="K1011" t="s">
        <v>3067</v>
      </c>
    </row>
    <row r="1012" spans="1:11">
      <c r="A1012" t="s">
        <v>3068</v>
      </c>
      <c r="J1012" t="s">
        <v>3069</v>
      </c>
      <c r="K1012" t="s">
        <v>3070</v>
      </c>
    </row>
    <row r="1013" spans="1:11">
      <c r="A1013" t="s">
        <v>3071</v>
      </c>
      <c r="J1013" t="s">
        <v>3072</v>
      </c>
      <c r="K1013" t="s">
        <v>3073</v>
      </c>
    </row>
    <row r="1014" spans="1:11">
      <c r="A1014" t="s">
        <v>3074</v>
      </c>
      <c r="J1014" t="s">
        <v>3075</v>
      </c>
      <c r="K1014" t="s">
        <v>3076</v>
      </c>
    </row>
    <row r="1015" spans="1:11">
      <c r="A1015" t="s">
        <v>3077</v>
      </c>
      <c r="J1015" t="s">
        <v>3078</v>
      </c>
      <c r="K1015" t="s">
        <v>3079</v>
      </c>
    </row>
    <row r="1016" spans="1:11">
      <c r="A1016" t="s">
        <v>3080</v>
      </c>
      <c r="J1016" t="s">
        <v>3081</v>
      </c>
      <c r="K1016" t="s">
        <v>3082</v>
      </c>
    </row>
    <row r="1017" spans="1:11">
      <c r="A1017" t="s">
        <v>3083</v>
      </c>
      <c r="J1017" t="s">
        <v>3084</v>
      </c>
      <c r="K1017" t="s">
        <v>3085</v>
      </c>
    </row>
    <row r="1018" spans="1:11">
      <c r="A1018" t="s">
        <v>3086</v>
      </c>
      <c r="J1018" t="s">
        <v>3087</v>
      </c>
      <c r="K1018" t="s">
        <v>3088</v>
      </c>
    </row>
    <row r="1019" spans="1:11">
      <c r="A1019" t="s">
        <v>3089</v>
      </c>
      <c r="J1019" t="s">
        <v>3090</v>
      </c>
      <c r="K1019" t="s">
        <v>3091</v>
      </c>
    </row>
    <row r="1020" spans="1:11">
      <c r="A1020" t="s">
        <v>3092</v>
      </c>
      <c r="J1020" t="s">
        <v>3093</v>
      </c>
      <c r="K1020" t="s">
        <v>3094</v>
      </c>
    </row>
    <row r="1021" spans="1:11">
      <c r="A1021" t="s">
        <v>3095</v>
      </c>
      <c r="J1021" t="s">
        <v>3096</v>
      </c>
      <c r="K1021" t="s">
        <v>3097</v>
      </c>
    </row>
    <row r="1022" spans="1:11">
      <c r="A1022" t="s">
        <v>3098</v>
      </c>
      <c r="J1022" t="s">
        <v>3099</v>
      </c>
      <c r="K1022" t="s">
        <v>3100</v>
      </c>
    </row>
    <row r="1023" spans="1:11">
      <c r="A1023" t="s">
        <v>3101</v>
      </c>
      <c r="J1023" t="s">
        <v>3102</v>
      </c>
      <c r="K1023" t="s">
        <v>3103</v>
      </c>
    </row>
    <row r="1024" spans="1:11">
      <c r="A1024" t="s">
        <v>3104</v>
      </c>
      <c r="J1024" t="s">
        <v>3105</v>
      </c>
      <c r="K1024" t="s">
        <v>3106</v>
      </c>
    </row>
    <row r="1025" spans="1:11">
      <c r="A1025" t="s">
        <v>3107</v>
      </c>
      <c r="J1025" t="s">
        <v>3108</v>
      </c>
      <c r="K1025" t="s">
        <v>3109</v>
      </c>
    </row>
    <row r="1026" spans="1:11">
      <c r="A1026" t="s">
        <v>3110</v>
      </c>
      <c r="J1026" t="s">
        <v>3111</v>
      </c>
      <c r="K1026" t="s">
        <v>3112</v>
      </c>
    </row>
    <row r="1027" spans="1:11">
      <c r="A1027" t="s">
        <v>3113</v>
      </c>
      <c r="J1027" t="s">
        <v>3114</v>
      </c>
      <c r="K1027" t="s">
        <v>3115</v>
      </c>
    </row>
    <row r="1028" spans="1:11">
      <c r="A1028" t="s">
        <v>3116</v>
      </c>
      <c r="J1028" t="s">
        <v>3117</v>
      </c>
      <c r="K1028" t="s">
        <v>3118</v>
      </c>
    </row>
    <row r="1029" spans="1:11">
      <c r="A1029" t="s">
        <v>3119</v>
      </c>
      <c r="J1029" t="s">
        <v>3120</v>
      </c>
      <c r="K1029" t="s">
        <v>3121</v>
      </c>
    </row>
    <row r="1030" spans="1:11">
      <c r="A1030" t="s">
        <v>3122</v>
      </c>
      <c r="J1030" t="s">
        <v>3123</v>
      </c>
      <c r="K1030" t="s">
        <v>3124</v>
      </c>
    </row>
    <row r="1031" spans="1:11">
      <c r="A1031" t="s">
        <v>3125</v>
      </c>
      <c r="J1031" t="s">
        <v>3126</v>
      </c>
      <c r="K1031" t="s">
        <v>3127</v>
      </c>
    </row>
    <row r="1032" spans="1:11">
      <c r="A1032" t="s">
        <v>3128</v>
      </c>
      <c r="J1032" t="s">
        <v>3129</v>
      </c>
      <c r="K1032" t="s">
        <v>3130</v>
      </c>
    </row>
    <row r="1033" spans="1:11">
      <c r="A1033" t="s">
        <v>3131</v>
      </c>
      <c r="J1033" t="s">
        <v>3132</v>
      </c>
      <c r="K1033" t="s">
        <v>3133</v>
      </c>
    </row>
    <row r="1034" spans="1:11">
      <c r="A1034" t="s">
        <v>3134</v>
      </c>
      <c r="J1034" t="s">
        <v>3135</v>
      </c>
      <c r="K1034" t="s">
        <v>3136</v>
      </c>
    </row>
    <row r="1035" spans="1:11">
      <c r="A1035" t="s">
        <v>3137</v>
      </c>
      <c r="J1035" t="s">
        <v>3138</v>
      </c>
      <c r="K1035" t="s">
        <v>3139</v>
      </c>
    </row>
    <row r="1036" spans="1:11">
      <c r="A1036" t="s">
        <v>3140</v>
      </c>
      <c r="J1036" t="s">
        <v>3141</v>
      </c>
      <c r="K1036" t="s">
        <v>3142</v>
      </c>
    </row>
    <row r="1037" spans="1:11">
      <c r="A1037" t="s">
        <v>3143</v>
      </c>
      <c r="J1037" t="s">
        <v>3144</v>
      </c>
      <c r="K1037" t="s">
        <v>3145</v>
      </c>
    </row>
    <row r="1038" spans="1:11">
      <c r="A1038" t="s">
        <v>3146</v>
      </c>
      <c r="J1038" t="s">
        <v>3147</v>
      </c>
      <c r="K1038" t="s">
        <v>3148</v>
      </c>
    </row>
    <row r="1039" spans="1:11">
      <c r="A1039" t="s">
        <v>3149</v>
      </c>
      <c r="J1039" t="s">
        <v>3150</v>
      </c>
      <c r="K1039" t="s">
        <v>3151</v>
      </c>
    </row>
    <row r="1040" spans="1:11">
      <c r="A1040" t="s">
        <v>3152</v>
      </c>
      <c r="J1040" t="s">
        <v>3153</v>
      </c>
      <c r="K1040" t="s">
        <v>3154</v>
      </c>
    </row>
    <row r="1041" spans="1:11">
      <c r="A1041" t="s">
        <v>3155</v>
      </c>
      <c r="J1041" t="s">
        <v>3156</v>
      </c>
      <c r="K1041" t="s">
        <v>3157</v>
      </c>
    </row>
    <row r="1042" spans="1:11">
      <c r="A1042" t="s">
        <v>3158</v>
      </c>
      <c r="J1042" t="s">
        <v>3159</v>
      </c>
      <c r="K1042" t="s">
        <v>3160</v>
      </c>
    </row>
    <row r="1043" spans="1:11">
      <c r="A1043" t="s">
        <v>3161</v>
      </c>
      <c r="J1043" t="s">
        <v>3162</v>
      </c>
      <c r="K1043" t="s">
        <v>3163</v>
      </c>
    </row>
    <row r="1044" spans="1:11">
      <c r="A1044" t="s">
        <v>3164</v>
      </c>
      <c r="J1044" t="s">
        <v>3165</v>
      </c>
      <c r="K1044" t="s">
        <v>3166</v>
      </c>
    </row>
    <row r="1045" spans="1:11">
      <c r="A1045" t="s">
        <v>3167</v>
      </c>
      <c r="J1045" t="s">
        <v>3168</v>
      </c>
      <c r="K1045" t="s">
        <v>3169</v>
      </c>
    </row>
    <row r="1046" spans="1:11">
      <c r="A1046" t="s">
        <v>3170</v>
      </c>
      <c r="J1046" t="s">
        <v>3171</v>
      </c>
      <c r="K1046" t="s">
        <v>3172</v>
      </c>
    </row>
    <row r="1047" spans="1:11">
      <c r="A1047" t="s">
        <v>3173</v>
      </c>
      <c r="J1047" t="s">
        <v>3174</v>
      </c>
      <c r="K1047" t="s">
        <v>3175</v>
      </c>
    </row>
    <row r="1048" spans="1:11">
      <c r="A1048" t="s">
        <v>3176</v>
      </c>
      <c r="J1048" t="s">
        <v>3177</v>
      </c>
      <c r="K1048" t="s">
        <v>3178</v>
      </c>
    </row>
    <row r="1049" spans="1:11">
      <c r="A1049" t="s">
        <v>3179</v>
      </c>
      <c r="J1049" t="s">
        <v>3180</v>
      </c>
      <c r="K1049" t="s">
        <v>3181</v>
      </c>
    </row>
    <row r="1050" spans="1:11">
      <c r="A1050" t="s">
        <v>3182</v>
      </c>
      <c r="J1050" t="s">
        <v>3183</v>
      </c>
      <c r="K1050" t="s">
        <v>3184</v>
      </c>
    </row>
    <row r="1051" spans="1:11">
      <c r="A1051" t="s">
        <v>3185</v>
      </c>
      <c r="J1051" t="s">
        <v>3186</v>
      </c>
      <c r="K1051" t="s">
        <v>3187</v>
      </c>
    </row>
    <row r="1052" spans="1:11">
      <c r="A1052" t="s">
        <v>3188</v>
      </c>
      <c r="J1052" t="s">
        <v>3189</v>
      </c>
      <c r="K1052" t="s">
        <v>3190</v>
      </c>
    </row>
    <row r="1053" spans="1:11">
      <c r="A1053" t="s">
        <v>3191</v>
      </c>
      <c r="J1053" t="s">
        <v>3192</v>
      </c>
      <c r="K1053" t="s">
        <v>3193</v>
      </c>
    </row>
    <row r="1054" spans="1:11">
      <c r="A1054" t="s">
        <v>3194</v>
      </c>
      <c r="J1054" t="s">
        <v>3195</v>
      </c>
      <c r="K1054" t="s">
        <v>3196</v>
      </c>
    </row>
    <row r="1055" spans="1:11">
      <c r="A1055" t="s">
        <v>3197</v>
      </c>
      <c r="J1055" t="s">
        <v>3198</v>
      </c>
      <c r="K1055" t="s">
        <v>3199</v>
      </c>
    </row>
    <row r="1056" spans="1:11">
      <c r="A1056" t="s">
        <v>3200</v>
      </c>
      <c r="J1056" t="s">
        <v>3201</v>
      </c>
      <c r="K1056" t="s">
        <v>3202</v>
      </c>
    </row>
    <row r="1057" spans="1:11">
      <c r="A1057" t="s">
        <v>3203</v>
      </c>
      <c r="J1057" t="s">
        <v>3204</v>
      </c>
      <c r="K1057" t="s">
        <v>3205</v>
      </c>
    </row>
    <row r="1058" spans="1:11">
      <c r="A1058" t="s">
        <v>3206</v>
      </c>
      <c r="J1058" t="s">
        <v>3207</v>
      </c>
      <c r="K1058" t="s">
        <v>3208</v>
      </c>
    </row>
    <row r="1059" spans="1:11">
      <c r="A1059" t="s">
        <v>3209</v>
      </c>
      <c r="J1059" t="s">
        <v>3210</v>
      </c>
      <c r="K1059" t="s">
        <v>3211</v>
      </c>
    </row>
    <row r="1060" spans="1:11">
      <c r="A1060" t="s">
        <v>3212</v>
      </c>
      <c r="J1060" t="s">
        <v>3213</v>
      </c>
      <c r="K1060" t="s">
        <v>3214</v>
      </c>
    </row>
    <row r="1061" spans="1:11">
      <c r="A1061" t="s">
        <v>3215</v>
      </c>
      <c r="J1061" t="s">
        <v>3216</v>
      </c>
      <c r="K1061" t="s">
        <v>3217</v>
      </c>
    </row>
    <row r="1062" spans="1:11">
      <c r="A1062" t="s">
        <v>3218</v>
      </c>
      <c r="J1062" t="s">
        <v>3219</v>
      </c>
      <c r="K1062" t="s">
        <v>3220</v>
      </c>
    </row>
    <row r="1063" spans="1:11">
      <c r="A1063" t="s">
        <v>3221</v>
      </c>
      <c r="J1063" t="s">
        <v>3222</v>
      </c>
      <c r="K1063" t="s">
        <v>3223</v>
      </c>
    </row>
    <row r="1064" spans="1:11">
      <c r="A1064" t="s">
        <v>3224</v>
      </c>
      <c r="J1064" t="s">
        <v>3225</v>
      </c>
      <c r="K1064" t="s">
        <v>3226</v>
      </c>
    </row>
    <row r="1065" spans="1:11">
      <c r="A1065" t="s">
        <v>3227</v>
      </c>
      <c r="J1065" t="s">
        <v>3228</v>
      </c>
      <c r="K1065" t="s">
        <v>3229</v>
      </c>
    </row>
    <row r="1066" spans="1:11">
      <c r="A1066" t="s">
        <v>3230</v>
      </c>
      <c r="J1066" t="s">
        <v>3231</v>
      </c>
      <c r="K1066" t="s">
        <v>3232</v>
      </c>
    </row>
    <row r="1067" spans="1:11">
      <c r="A1067" t="s">
        <v>3233</v>
      </c>
      <c r="J1067" t="s">
        <v>3234</v>
      </c>
      <c r="K1067" t="s">
        <v>3235</v>
      </c>
    </row>
    <row r="1068" spans="1:11">
      <c r="A1068" t="s">
        <v>3236</v>
      </c>
      <c r="J1068" t="s">
        <v>3237</v>
      </c>
      <c r="K1068" t="s">
        <v>3238</v>
      </c>
    </row>
    <row r="1069" spans="1:11">
      <c r="A1069" t="s">
        <v>3239</v>
      </c>
      <c r="J1069" t="s">
        <v>3240</v>
      </c>
      <c r="K1069" t="s">
        <v>3241</v>
      </c>
    </row>
    <row r="1070" spans="1:11">
      <c r="A1070" t="s">
        <v>3242</v>
      </c>
      <c r="J1070" t="s">
        <v>3243</v>
      </c>
      <c r="K1070" t="s">
        <v>3244</v>
      </c>
    </row>
    <row r="1071" spans="1:11">
      <c r="A1071" t="s">
        <v>3245</v>
      </c>
      <c r="J1071" t="s">
        <v>3246</v>
      </c>
      <c r="K1071" t="s">
        <v>3247</v>
      </c>
    </row>
    <row r="1072" spans="1:11">
      <c r="A1072" t="s">
        <v>3248</v>
      </c>
      <c r="J1072" t="s">
        <v>3249</v>
      </c>
      <c r="K1072" t="s">
        <v>3250</v>
      </c>
    </row>
    <row r="1073" spans="1:11">
      <c r="A1073" t="s">
        <v>3251</v>
      </c>
      <c r="J1073" t="s">
        <v>3252</v>
      </c>
      <c r="K1073" t="s">
        <v>3253</v>
      </c>
    </row>
    <row r="1074" spans="1:11">
      <c r="A1074" t="s">
        <v>3254</v>
      </c>
      <c r="J1074" t="s">
        <v>3255</v>
      </c>
      <c r="K1074" t="s">
        <v>3256</v>
      </c>
    </row>
    <row r="1075" spans="1:11">
      <c r="A1075" t="s">
        <v>3257</v>
      </c>
      <c r="J1075" t="s">
        <v>3258</v>
      </c>
      <c r="K1075" t="s">
        <v>3259</v>
      </c>
    </row>
    <row r="1076" spans="1:11">
      <c r="A1076" t="s">
        <v>3260</v>
      </c>
      <c r="J1076" t="s">
        <v>3261</v>
      </c>
      <c r="K1076" t="s">
        <v>3262</v>
      </c>
    </row>
    <row r="1077" spans="1:11">
      <c r="A1077" t="s">
        <v>3263</v>
      </c>
      <c r="J1077" t="s">
        <v>3264</v>
      </c>
      <c r="K1077" t="s">
        <v>3265</v>
      </c>
    </row>
    <row r="1078" spans="1:11">
      <c r="A1078" t="s">
        <v>3266</v>
      </c>
      <c r="J1078" t="s">
        <v>3267</v>
      </c>
      <c r="K1078" t="s">
        <v>3268</v>
      </c>
    </row>
    <row r="1079" spans="1:11">
      <c r="A1079" t="s">
        <v>3269</v>
      </c>
      <c r="J1079" t="s">
        <v>3270</v>
      </c>
      <c r="K1079" t="s">
        <v>3271</v>
      </c>
    </row>
    <row r="1080" spans="1:11">
      <c r="A1080" t="s">
        <v>3272</v>
      </c>
      <c r="J1080" t="s">
        <v>3273</v>
      </c>
      <c r="K1080" t="s">
        <v>3274</v>
      </c>
    </row>
    <row r="1081" spans="1:11">
      <c r="A1081" t="s">
        <v>3275</v>
      </c>
      <c r="J1081" t="s">
        <v>3276</v>
      </c>
      <c r="K1081" t="s">
        <v>3277</v>
      </c>
    </row>
    <row r="1082" spans="1:11">
      <c r="A1082" t="s">
        <v>3278</v>
      </c>
      <c r="J1082" t="s">
        <v>3279</v>
      </c>
      <c r="K1082" t="s">
        <v>3280</v>
      </c>
    </row>
    <row r="1083" spans="1:11">
      <c r="A1083" t="s">
        <v>3281</v>
      </c>
      <c r="J1083" t="s">
        <v>3282</v>
      </c>
      <c r="K1083" t="s">
        <v>3283</v>
      </c>
    </row>
    <row r="1084" spans="1:11">
      <c r="A1084" t="s">
        <v>3284</v>
      </c>
      <c r="J1084" t="s">
        <v>3285</v>
      </c>
      <c r="K1084" t="s">
        <v>3286</v>
      </c>
    </row>
    <row r="1085" spans="1:11">
      <c r="A1085" t="s">
        <v>3287</v>
      </c>
      <c r="J1085" t="s">
        <v>3288</v>
      </c>
      <c r="K1085" t="s">
        <v>3289</v>
      </c>
    </row>
    <row r="1086" spans="1:11">
      <c r="A1086" t="s">
        <v>3290</v>
      </c>
      <c r="J1086" t="s">
        <v>3291</v>
      </c>
      <c r="K1086" t="s">
        <v>3292</v>
      </c>
    </row>
    <row r="1087" spans="1:11">
      <c r="A1087" t="s">
        <v>3293</v>
      </c>
      <c r="J1087" t="s">
        <v>3294</v>
      </c>
      <c r="K1087" t="s">
        <v>3295</v>
      </c>
    </row>
    <row r="1088" spans="1:11">
      <c r="A1088" t="s">
        <v>3296</v>
      </c>
      <c r="J1088" t="s">
        <v>3297</v>
      </c>
      <c r="K1088" t="s">
        <v>3298</v>
      </c>
    </row>
    <row r="1089" spans="1:11">
      <c r="A1089" t="s">
        <v>3299</v>
      </c>
      <c r="J1089" t="s">
        <v>3300</v>
      </c>
      <c r="K1089" t="s">
        <v>3301</v>
      </c>
    </row>
    <row r="1090" spans="1:11">
      <c r="A1090" t="s">
        <v>3302</v>
      </c>
      <c r="J1090" t="s">
        <v>3303</v>
      </c>
      <c r="K1090" t="s">
        <v>3304</v>
      </c>
    </row>
    <row r="1091" spans="1:11">
      <c r="A1091" t="s">
        <v>3305</v>
      </c>
      <c r="J1091" t="s">
        <v>3306</v>
      </c>
      <c r="K1091" t="s">
        <v>3307</v>
      </c>
    </row>
    <row r="1092" spans="1:11">
      <c r="A1092" t="s">
        <v>3308</v>
      </c>
      <c r="J1092" t="s">
        <v>3309</v>
      </c>
      <c r="K1092" t="s">
        <v>3310</v>
      </c>
    </row>
    <row r="1093" spans="1:11">
      <c r="A1093" t="s">
        <v>3311</v>
      </c>
      <c r="J1093" t="s">
        <v>3312</v>
      </c>
      <c r="K1093" t="s">
        <v>3313</v>
      </c>
    </row>
    <row r="1094" spans="1:11">
      <c r="A1094" t="s">
        <v>3314</v>
      </c>
      <c r="J1094" t="s">
        <v>3315</v>
      </c>
      <c r="K1094" t="s">
        <v>3316</v>
      </c>
    </row>
    <row r="1095" spans="1:11">
      <c r="A1095" t="s">
        <v>3317</v>
      </c>
      <c r="J1095" t="s">
        <v>3318</v>
      </c>
      <c r="K1095" t="s">
        <v>3319</v>
      </c>
    </row>
    <row r="1096" spans="1:11">
      <c r="A1096" t="s">
        <v>3320</v>
      </c>
      <c r="J1096" t="s">
        <v>3321</v>
      </c>
      <c r="K1096" t="s">
        <v>3322</v>
      </c>
    </row>
    <row r="1097" spans="1:11">
      <c r="A1097" t="s">
        <v>3323</v>
      </c>
      <c r="J1097" t="s">
        <v>3324</v>
      </c>
      <c r="K1097" t="s">
        <v>3325</v>
      </c>
    </row>
    <row r="1098" spans="1:11">
      <c r="A1098" t="s">
        <v>3326</v>
      </c>
      <c r="J1098" t="s">
        <v>3327</v>
      </c>
      <c r="K1098" t="s">
        <v>3328</v>
      </c>
    </row>
    <row r="1099" spans="1:11">
      <c r="A1099" t="s">
        <v>3329</v>
      </c>
      <c r="J1099" t="s">
        <v>3330</v>
      </c>
      <c r="K1099" t="s">
        <v>3331</v>
      </c>
    </row>
    <row r="1100" spans="1:11">
      <c r="A1100" t="s">
        <v>3332</v>
      </c>
      <c r="J1100" t="s">
        <v>3333</v>
      </c>
      <c r="K1100" t="s">
        <v>3334</v>
      </c>
    </row>
    <row r="1101" spans="1:11">
      <c r="A1101" t="s">
        <v>3335</v>
      </c>
      <c r="J1101" t="s">
        <v>3336</v>
      </c>
      <c r="K1101" t="s">
        <v>3337</v>
      </c>
    </row>
    <row r="1102" spans="1:11">
      <c r="A1102" t="s">
        <v>3338</v>
      </c>
      <c r="J1102" t="s">
        <v>3339</v>
      </c>
      <c r="K1102" t="s">
        <v>3340</v>
      </c>
    </row>
    <row r="1103" spans="1:11">
      <c r="A1103" t="s">
        <v>3341</v>
      </c>
      <c r="J1103" t="s">
        <v>3342</v>
      </c>
      <c r="K1103" t="s">
        <v>3343</v>
      </c>
    </row>
    <row r="1104" spans="1:11">
      <c r="A1104" t="s">
        <v>3344</v>
      </c>
      <c r="J1104" t="s">
        <v>3345</v>
      </c>
      <c r="K1104" t="s">
        <v>3346</v>
      </c>
    </row>
    <row r="1105" spans="1:11">
      <c r="A1105" t="s">
        <v>3347</v>
      </c>
      <c r="J1105" t="s">
        <v>3348</v>
      </c>
      <c r="K1105" t="s">
        <v>3349</v>
      </c>
    </row>
    <row r="1106" spans="1:11">
      <c r="A1106" t="s">
        <v>3350</v>
      </c>
      <c r="J1106" t="s">
        <v>3351</v>
      </c>
      <c r="K1106" t="s">
        <v>3352</v>
      </c>
    </row>
    <row r="1107" spans="1:11">
      <c r="A1107" t="s">
        <v>3353</v>
      </c>
      <c r="J1107" t="s">
        <v>3354</v>
      </c>
      <c r="K1107" t="s">
        <v>3355</v>
      </c>
    </row>
    <row r="1108" spans="1:11">
      <c r="A1108" t="s">
        <v>3356</v>
      </c>
      <c r="J1108" t="s">
        <v>3357</v>
      </c>
      <c r="K1108" t="s">
        <v>3358</v>
      </c>
    </row>
    <row r="1109" spans="1:11">
      <c r="A1109" t="s">
        <v>3359</v>
      </c>
      <c r="J1109" t="s">
        <v>3360</v>
      </c>
      <c r="K1109" t="s">
        <v>3361</v>
      </c>
    </row>
    <row r="1110" spans="1:11">
      <c r="A1110" t="s">
        <v>3362</v>
      </c>
      <c r="J1110" t="s">
        <v>3363</v>
      </c>
      <c r="K1110" t="s">
        <v>3364</v>
      </c>
    </row>
    <row r="1111" spans="1:11">
      <c r="A1111" t="s">
        <v>3365</v>
      </c>
      <c r="J1111" t="s">
        <v>3366</v>
      </c>
      <c r="K1111" t="s">
        <v>3367</v>
      </c>
    </row>
    <row r="1112" spans="1:11">
      <c r="A1112" t="s">
        <v>3368</v>
      </c>
      <c r="J1112" t="s">
        <v>3369</v>
      </c>
      <c r="K1112" t="s">
        <v>3370</v>
      </c>
    </row>
    <row r="1113" spans="1:11">
      <c r="A1113" t="s">
        <v>3371</v>
      </c>
      <c r="J1113" t="s">
        <v>3372</v>
      </c>
      <c r="K1113" t="s">
        <v>3373</v>
      </c>
    </row>
    <row r="1114" spans="1:11">
      <c r="A1114" t="s">
        <v>3374</v>
      </c>
      <c r="J1114" t="s">
        <v>3375</v>
      </c>
      <c r="K1114" t="s">
        <v>3376</v>
      </c>
    </row>
    <row r="1115" spans="1:11">
      <c r="A1115" t="s">
        <v>3377</v>
      </c>
      <c r="J1115" t="s">
        <v>3378</v>
      </c>
      <c r="K1115" t="s">
        <v>3379</v>
      </c>
    </row>
    <row r="1116" spans="1:11">
      <c r="A1116" t="s">
        <v>3380</v>
      </c>
      <c r="J1116" t="s">
        <v>3381</v>
      </c>
      <c r="K1116" t="s">
        <v>3382</v>
      </c>
    </row>
    <row r="1117" spans="1:11">
      <c r="A1117" t="s">
        <v>3383</v>
      </c>
      <c r="J1117" t="s">
        <v>3384</v>
      </c>
      <c r="K1117" t="s">
        <v>3385</v>
      </c>
    </row>
    <row r="1118" spans="1:11">
      <c r="A1118" t="s">
        <v>3386</v>
      </c>
      <c r="J1118" t="s">
        <v>3387</v>
      </c>
      <c r="K1118" t="s">
        <v>3388</v>
      </c>
    </row>
    <row r="1119" spans="1:11">
      <c r="A1119" t="s">
        <v>3389</v>
      </c>
      <c r="J1119" t="s">
        <v>3390</v>
      </c>
      <c r="K1119" t="s">
        <v>3391</v>
      </c>
    </row>
    <row r="1120" spans="1:11">
      <c r="A1120" t="s">
        <v>3392</v>
      </c>
      <c r="J1120" t="s">
        <v>3393</v>
      </c>
      <c r="K1120" t="s">
        <v>3394</v>
      </c>
    </row>
    <row r="1121" spans="1:11">
      <c r="A1121" t="s">
        <v>3395</v>
      </c>
      <c r="J1121" t="s">
        <v>3396</v>
      </c>
      <c r="K1121" t="s">
        <v>3397</v>
      </c>
    </row>
    <row r="1122" spans="1:11">
      <c r="A1122" t="s">
        <v>3398</v>
      </c>
      <c r="J1122" t="s">
        <v>3399</v>
      </c>
      <c r="K1122" t="s">
        <v>3400</v>
      </c>
    </row>
    <row r="1123" spans="1:11">
      <c r="A1123" t="s">
        <v>3401</v>
      </c>
      <c r="J1123" t="s">
        <v>3402</v>
      </c>
      <c r="K1123" t="s">
        <v>3403</v>
      </c>
    </row>
    <row r="1124" spans="1:11">
      <c r="A1124" t="s">
        <v>3404</v>
      </c>
      <c r="J1124" t="s">
        <v>3405</v>
      </c>
      <c r="K1124" t="s">
        <v>3406</v>
      </c>
    </row>
    <row r="1125" spans="1:11">
      <c r="A1125" t="s">
        <v>3407</v>
      </c>
      <c r="J1125" t="s">
        <v>3408</v>
      </c>
      <c r="K1125" t="s">
        <v>3409</v>
      </c>
    </row>
    <row r="1126" spans="1:11">
      <c r="A1126" t="s">
        <v>3410</v>
      </c>
      <c r="J1126" t="s">
        <v>3411</v>
      </c>
      <c r="K1126" t="s">
        <v>3412</v>
      </c>
    </row>
    <row r="1127" spans="1:11">
      <c r="A1127" t="s">
        <v>3413</v>
      </c>
      <c r="J1127" t="s">
        <v>3414</v>
      </c>
      <c r="K1127" t="s">
        <v>3415</v>
      </c>
    </row>
    <row r="1128" spans="1:11">
      <c r="A1128" t="s">
        <v>3416</v>
      </c>
      <c r="J1128" t="s">
        <v>3417</v>
      </c>
      <c r="K1128" t="s">
        <v>3418</v>
      </c>
    </row>
    <row r="1129" spans="1:11">
      <c r="A1129" t="s">
        <v>3419</v>
      </c>
      <c r="J1129" t="s">
        <v>3420</v>
      </c>
      <c r="K1129" t="s">
        <v>3421</v>
      </c>
    </row>
    <row r="1130" spans="1:11">
      <c r="A1130" t="s">
        <v>3422</v>
      </c>
      <c r="J1130" t="s">
        <v>3423</v>
      </c>
      <c r="K1130" t="s">
        <v>3424</v>
      </c>
    </row>
    <row r="1131" spans="1:11">
      <c r="A1131" t="s">
        <v>3425</v>
      </c>
      <c r="J1131" t="s">
        <v>3426</v>
      </c>
      <c r="K1131" t="s">
        <v>3427</v>
      </c>
    </row>
    <row r="1132" spans="1:11">
      <c r="A1132" t="s">
        <v>3428</v>
      </c>
      <c r="J1132" t="s">
        <v>3429</v>
      </c>
      <c r="K1132" t="s">
        <v>3430</v>
      </c>
    </row>
    <row r="1133" spans="1:11">
      <c r="A1133" t="s">
        <v>3431</v>
      </c>
      <c r="J1133" t="s">
        <v>3432</v>
      </c>
      <c r="K1133" t="s">
        <v>3433</v>
      </c>
    </row>
    <row r="1134" spans="1:11">
      <c r="A1134" t="s">
        <v>3434</v>
      </c>
      <c r="J1134" t="s">
        <v>3435</v>
      </c>
      <c r="K1134" t="s">
        <v>3436</v>
      </c>
    </row>
    <row r="1135" spans="1:11">
      <c r="A1135" t="s">
        <v>3437</v>
      </c>
      <c r="J1135" t="s">
        <v>3438</v>
      </c>
      <c r="K1135" t="s">
        <v>3439</v>
      </c>
    </row>
    <row r="1136" spans="1:11">
      <c r="A1136" t="s">
        <v>3440</v>
      </c>
      <c r="J1136" t="s">
        <v>3441</v>
      </c>
      <c r="K1136" t="s">
        <v>3442</v>
      </c>
    </row>
    <row r="1137" spans="1:11">
      <c r="A1137" t="s">
        <v>3443</v>
      </c>
      <c r="J1137" t="s">
        <v>3444</v>
      </c>
      <c r="K1137" t="s">
        <v>3445</v>
      </c>
    </row>
    <row r="1138" spans="1:11">
      <c r="A1138" t="s">
        <v>3446</v>
      </c>
      <c r="J1138" t="s">
        <v>3447</v>
      </c>
      <c r="K1138" t="s">
        <v>3448</v>
      </c>
    </row>
    <row r="1139" spans="1:11">
      <c r="A1139" t="s">
        <v>3449</v>
      </c>
      <c r="J1139" t="s">
        <v>3450</v>
      </c>
      <c r="K1139" t="s">
        <v>3451</v>
      </c>
    </row>
    <row r="1140" spans="1:11">
      <c r="A1140" t="s">
        <v>3452</v>
      </c>
      <c r="J1140" t="s">
        <v>3453</v>
      </c>
      <c r="K1140" t="s">
        <v>3454</v>
      </c>
    </row>
    <row r="1141" spans="1:11">
      <c r="A1141" t="s">
        <v>3455</v>
      </c>
      <c r="J1141" t="s">
        <v>3456</v>
      </c>
      <c r="K1141" t="s">
        <v>3457</v>
      </c>
    </row>
    <row r="1142" spans="1:11">
      <c r="A1142" t="s">
        <v>3458</v>
      </c>
      <c r="J1142" t="s">
        <v>3459</v>
      </c>
      <c r="K1142" t="s">
        <v>3460</v>
      </c>
    </row>
    <row r="1143" spans="1:11">
      <c r="A1143" t="s">
        <v>3461</v>
      </c>
      <c r="J1143" t="s">
        <v>3462</v>
      </c>
      <c r="K1143" t="s">
        <v>3463</v>
      </c>
    </row>
    <row r="1144" spans="1:11">
      <c r="A1144" t="s">
        <v>3464</v>
      </c>
      <c r="J1144" t="s">
        <v>3465</v>
      </c>
      <c r="K1144" t="s">
        <v>3466</v>
      </c>
    </row>
    <row r="1145" spans="1:11">
      <c r="A1145" t="s">
        <v>3467</v>
      </c>
      <c r="J1145" t="s">
        <v>3468</v>
      </c>
      <c r="K1145" t="s">
        <v>3469</v>
      </c>
    </row>
    <row r="1146" spans="1:11">
      <c r="A1146" t="s">
        <v>3470</v>
      </c>
      <c r="J1146" t="s">
        <v>3471</v>
      </c>
      <c r="K1146" t="s">
        <v>3472</v>
      </c>
    </row>
    <row r="1147" spans="1:11">
      <c r="A1147" t="s">
        <v>3473</v>
      </c>
      <c r="J1147" t="s">
        <v>3474</v>
      </c>
      <c r="K1147" t="s">
        <v>3475</v>
      </c>
    </row>
    <row r="1148" spans="1:11">
      <c r="A1148" t="s">
        <v>3476</v>
      </c>
      <c r="J1148" t="s">
        <v>3477</v>
      </c>
      <c r="K1148" t="s">
        <v>3478</v>
      </c>
    </row>
    <row r="1149" spans="1:11">
      <c r="A1149" t="s">
        <v>3479</v>
      </c>
      <c r="J1149" t="s">
        <v>3480</v>
      </c>
      <c r="K1149" t="s">
        <v>3481</v>
      </c>
    </row>
    <row r="1150" spans="1:11">
      <c r="A1150" t="s">
        <v>3482</v>
      </c>
      <c r="J1150" t="s">
        <v>3483</v>
      </c>
      <c r="K1150" t="s">
        <v>3484</v>
      </c>
    </row>
    <row r="1151" spans="1:11">
      <c r="A1151" t="s">
        <v>3485</v>
      </c>
      <c r="J1151" t="s">
        <v>3486</v>
      </c>
      <c r="K1151" t="s">
        <v>3487</v>
      </c>
    </row>
    <row r="1152" spans="1:11">
      <c r="A1152" t="s">
        <v>3488</v>
      </c>
      <c r="J1152" t="s">
        <v>3489</v>
      </c>
      <c r="K1152" t="s">
        <v>3490</v>
      </c>
    </row>
    <row r="1153" spans="1:11">
      <c r="A1153" t="s">
        <v>3491</v>
      </c>
      <c r="J1153" t="s">
        <v>3492</v>
      </c>
      <c r="K1153" t="s">
        <v>3493</v>
      </c>
    </row>
    <row r="1154" spans="1:11">
      <c r="A1154" t="s">
        <v>3494</v>
      </c>
      <c r="J1154" t="s">
        <v>3495</v>
      </c>
      <c r="K1154" t="s">
        <v>3496</v>
      </c>
    </row>
    <row r="1155" spans="1:11">
      <c r="A1155" t="s">
        <v>3497</v>
      </c>
      <c r="J1155" t="s">
        <v>3498</v>
      </c>
      <c r="K1155" t="s">
        <v>3499</v>
      </c>
    </row>
    <row r="1156" spans="1:11">
      <c r="A1156" t="s">
        <v>3500</v>
      </c>
      <c r="J1156" t="s">
        <v>3501</v>
      </c>
      <c r="K1156" t="s">
        <v>3502</v>
      </c>
    </row>
    <row r="1157" spans="1:11">
      <c r="A1157" t="s">
        <v>3503</v>
      </c>
      <c r="J1157" t="s">
        <v>3504</v>
      </c>
      <c r="K1157" t="s">
        <v>3505</v>
      </c>
    </row>
    <row r="1158" spans="1:11">
      <c r="A1158" t="s">
        <v>3506</v>
      </c>
      <c r="J1158" t="s">
        <v>3507</v>
      </c>
      <c r="K1158" t="s">
        <v>3508</v>
      </c>
    </row>
    <row r="1159" spans="1:11">
      <c r="A1159" t="s">
        <v>3509</v>
      </c>
      <c r="J1159" t="s">
        <v>3510</v>
      </c>
      <c r="K1159" t="s">
        <v>3511</v>
      </c>
    </row>
    <row r="1160" spans="1:11">
      <c r="A1160" t="s">
        <v>3512</v>
      </c>
      <c r="J1160" t="s">
        <v>3513</v>
      </c>
      <c r="K1160" t="s">
        <v>3514</v>
      </c>
    </row>
    <row r="1161" spans="1:11">
      <c r="A1161" t="s">
        <v>3515</v>
      </c>
      <c r="J1161" t="s">
        <v>3516</v>
      </c>
      <c r="K1161" t="s">
        <v>3517</v>
      </c>
    </row>
    <row r="1162" spans="1:11">
      <c r="A1162" t="s">
        <v>3518</v>
      </c>
      <c r="J1162" t="s">
        <v>3519</v>
      </c>
      <c r="K1162" t="s">
        <v>3520</v>
      </c>
    </row>
    <row r="1163" spans="1:11">
      <c r="A1163" t="s">
        <v>3521</v>
      </c>
      <c r="J1163" t="s">
        <v>3522</v>
      </c>
      <c r="K1163" t="s">
        <v>3523</v>
      </c>
    </row>
    <row r="1164" spans="1:11">
      <c r="A1164" t="s">
        <v>3524</v>
      </c>
      <c r="J1164" t="s">
        <v>3525</v>
      </c>
      <c r="K1164" t="s">
        <v>3526</v>
      </c>
    </row>
    <row r="1165" spans="1:11">
      <c r="A1165" t="s">
        <v>3527</v>
      </c>
      <c r="J1165" t="s">
        <v>3528</v>
      </c>
      <c r="K1165" t="s">
        <v>3529</v>
      </c>
    </row>
    <row r="1166" spans="1:11">
      <c r="A1166" t="s">
        <v>3530</v>
      </c>
      <c r="J1166" t="s">
        <v>3531</v>
      </c>
      <c r="K1166" t="s">
        <v>3532</v>
      </c>
    </row>
    <row r="1167" spans="1:11">
      <c r="A1167" t="s">
        <v>3533</v>
      </c>
      <c r="J1167" t="s">
        <v>3534</v>
      </c>
      <c r="K1167" t="s">
        <v>3535</v>
      </c>
    </row>
    <row r="1168" spans="1:11">
      <c r="A1168" t="s">
        <v>3536</v>
      </c>
      <c r="J1168" t="s">
        <v>3537</v>
      </c>
      <c r="K1168" t="s">
        <v>3538</v>
      </c>
    </row>
    <row r="1169" spans="1:11">
      <c r="A1169" t="s">
        <v>3539</v>
      </c>
      <c r="J1169" t="s">
        <v>3540</v>
      </c>
      <c r="K1169" t="s">
        <v>3541</v>
      </c>
    </row>
    <row r="1170" spans="1:11">
      <c r="A1170" t="s">
        <v>3542</v>
      </c>
      <c r="J1170" t="s">
        <v>3543</v>
      </c>
      <c r="K1170" t="s">
        <v>3544</v>
      </c>
    </row>
    <row r="1171" spans="1:11">
      <c r="A1171" t="s">
        <v>3545</v>
      </c>
      <c r="J1171" t="s">
        <v>3546</v>
      </c>
      <c r="K1171" t="s">
        <v>3547</v>
      </c>
    </row>
    <row r="1172" spans="1:11">
      <c r="A1172" t="s">
        <v>3548</v>
      </c>
      <c r="J1172" t="s">
        <v>3549</v>
      </c>
      <c r="K1172" t="s">
        <v>3550</v>
      </c>
    </row>
    <row r="1173" spans="1:11">
      <c r="A1173" t="s">
        <v>3551</v>
      </c>
      <c r="J1173" t="s">
        <v>3552</v>
      </c>
      <c r="K1173" t="s">
        <v>3553</v>
      </c>
    </row>
    <row r="1174" spans="1:11">
      <c r="A1174" t="s">
        <v>3554</v>
      </c>
      <c r="J1174" t="s">
        <v>3555</v>
      </c>
      <c r="K1174" t="s">
        <v>3556</v>
      </c>
    </row>
    <row r="1175" spans="1:11">
      <c r="A1175" t="s">
        <v>3557</v>
      </c>
      <c r="J1175" t="s">
        <v>3558</v>
      </c>
      <c r="K1175" t="s">
        <v>3559</v>
      </c>
    </row>
    <row r="1176" spans="1:11">
      <c r="A1176" t="s">
        <v>3560</v>
      </c>
      <c r="J1176" t="s">
        <v>3561</v>
      </c>
      <c r="K1176" t="s">
        <v>3562</v>
      </c>
    </row>
    <row r="1177" spans="1:11">
      <c r="A1177" t="s">
        <v>3563</v>
      </c>
      <c r="J1177" t="s">
        <v>3564</v>
      </c>
      <c r="K1177" t="s">
        <v>3565</v>
      </c>
    </row>
    <row r="1178" spans="1:11">
      <c r="A1178" t="s">
        <v>3566</v>
      </c>
      <c r="J1178" t="s">
        <v>3567</v>
      </c>
      <c r="K1178" t="s">
        <v>3568</v>
      </c>
    </row>
    <row r="1179" spans="1:11">
      <c r="A1179" t="s">
        <v>3569</v>
      </c>
      <c r="J1179" t="s">
        <v>3570</v>
      </c>
      <c r="K1179" t="s">
        <v>3571</v>
      </c>
    </row>
    <row r="1180" spans="1:11">
      <c r="A1180" t="s">
        <v>3572</v>
      </c>
      <c r="J1180" t="s">
        <v>3573</v>
      </c>
      <c r="K1180" t="s">
        <v>3574</v>
      </c>
    </row>
    <row r="1181" spans="1:11">
      <c r="A1181" t="s">
        <v>3575</v>
      </c>
      <c r="J1181" t="s">
        <v>3576</v>
      </c>
      <c r="K1181" t="s">
        <v>3577</v>
      </c>
    </row>
    <row r="1182" spans="1:11">
      <c r="A1182" t="s">
        <v>3578</v>
      </c>
      <c r="J1182" t="s">
        <v>3579</v>
      </c>
      <c r="K1182" t="s">
        <v>3580</v>
      </c>
    </row>
    <row r="1183" spans="1:11">
      <c r="A1183" t="s">
        <v>3581</v>
      </c>
      <c r="J1183" t="s">
        <v>3582</v>
      </c>
      <c r="K1183" t="s">
        <v>3583</v>
      </c>
    </row>
    <row r="1184" spans="1:11">
      <c r="A1184" t="s">
        <v>3584</v>
      </c>
      <c r="J1184" t="s">
        <v>3585</v>
      </c>
      <c r="K1184" t="s">
        <v>3586</v>
      </c>
    </row>
    <row r="1185" spans="1:11">
      <c r="A1185" t="s">
        <v>3587</v>
      </c>
      <c r="J1185" t="s">
        <v>3588</v>
      </c>
      <c r="K1185" t="s">
        <v>3589</v>
      </c>
    </row>
    <row r="1186" spans="1:11">
      <c r="A1186" t="s">
        <v>3590</v>
      </c>
      <c r="J1186" t="s">
        <v>3591</v>
      </c>
      <c r="K1186" t="s">
        <v>3592</v>
      </c>
    </row>
    <row r="1187" spans="1:11">
      <c r="A1187" t="s">
        <v>3593</v>
      </c>
      <c r="J1187" t="s">
        <v>3594</v>
      </c>
      <c r="K1187" t="s">
        <v>3595</v>
      </c>
    </row>
    <row r="1188" spans="1:11">
      <c r="A1188" t="s">
        <v>3596</v>
      </c>
      <c r="J1188" t="s">
        <v>3597</v>
      </c>
      <c r="K1188" t="s">
        <v>3598</v>
      </c>
    </row>
    <row r="1189" spans="1:11">
      <c r="A1189" t="s">
        <v>3599</v>
      </c>
      <c r="J1189" t="s">
        <v>3600</v>
      </c>
      <c r="K1189" t="s">
        <v>3601</v>
      </c>
    </row>
    <row r="1190" spans="1:11">
      <c r="A1190" t="s">
        <v>3602</v>
      </c>
      <c r="J1190" t="s">
        <v>3603</v>
      </c>
      <c r="K1190" t="s">
        <v>3604</v>
      </c>
    </row>
    <row r="1191" spans="1:11">
      <c r="A1191" t="s">
        <v>3605</v>
      </c>
      <c r="J1191" t="s">
        <v>3606</v>
      </c>
      <c r="K1191" t="s">
        <v>3607</v>
      </c>
    </row>
    <row r="1192" spans="1:11">
      <c r="A1192" t="s">
        <v>3608</v>
      </c>
      <c r="J1192" t="s">
        <v>3609</v>
      </c>
      <c r="K1192" t="s">
        <v>3610</v>
      </c>
    </row>
    <row r="1193" spans="1:11">
      <c r="A1193" t="s">
        <v>3611</v>
      </c>
      <c r="J1193" t="s">
        <v>3612</v>
      </c>
      <c r="K1193" t="s">
        <v>3613</v>
      </c>
    </row>
    <row r="1194" spans="1:11">
      <c r="A1194" t="s">
        <v>3614</v>
      </c>
      <c r="J1194" t="s">
        <v>3615</v>
      </c>
      <c r="K1194" t="s">
        <v>3616</v>
      </c>
    </row>
    <row r="1195" spans="1:11">
      <c r="A1195" t="s">
        <v>3617</v>
      </c>
      <c r="J1195" t="s">
        <v>3618</v>
      </c>
      <c r="K1195" t="s">
        <v>3619</v>
      </c>
    </row>
    <row r="1196" spans="1:11">
      <c r="A1196" t="s">
        <v>3620</v>
      </c>
      <c r="J1196" t="s">
        <v>3621</v>
      </c>
      <c r="K1196" t="s">
        <v>3622</v>
      </c>
    </row>
    <row r="1197" spans="1:11">
      <c r="A1197" t="s">
        <v>3623</v>
      </c>
      <c r="J1197" t="s">
        <v>3624</v>
      </c>
      <c r="K1197" t="s">
        <v>3625</v>
      </c>
    </row>
    <row r="1198" spans="1:11">
      <c r="A1198" t="s">
        <v>3626</v>
      </c>
      <c r="J1198" t="s">
        <v>3627</v>
      </c>
      <c r="K1198" t="s">
        <v>3628</v>
      </c>
    </row>
    <row r="1199" spans="1:11">
      <c r="A1199" t="s">
        <v>3629</v>
      </c>
      <c r="J1199" t="s">
        <v>3630</v>
      </c>
      <c r="K1199" t="s">
        <v>3631</v>
      </c>
    </row>
    <row r="1200" spans="1:11">
      <c r="A1200" t="s">
        <v>3632</v>
      </c>
      <c r="J1200" t="s">
        <v>3633</v>
      </c>
      <c r="K1200" t="s">
        <v>3634</v>
      </c>
    </row>
    <row r="1201" spans="1:11">
      <c r="A1201" t="s">
        <v>3635</v>
      </c>
      <c r="J1201" t="s">
        <v>3636</v>
      </c>
      <c r="K1201" t="s">
        <v>3637</v>
      </c>
    </row>
    <row r="1202" spans="1:11">
      <c r="A1202" t="s">
        <v>3638</v>
      </c>
      <c r="J1202" t="s">
        <v>3639</v>
      </c>
      <c r="K1202" t="s">
        <v>3640</v>
      </c>
    </row>
    <row r="1203" spans="1:11">
      <c r="A1203" t="s">
        <v>3641</v>
      </c>
      <c r="J1203" t="s">
        <v>3642</v>
      </c>
      <c r="K1203" t="s">
        <v>3643</v>
      </c>
    </row>
    <row r="1204" spans="1:11">
      <c r="A1204" t="s">
        <v>3644</v>
      </c>
      <c r="J1204" t="s">
        <v>3645</v>
      </c>
      <c r="K1204" t="s">
        <v>3646</v>
      </c>
    </row>
    <row r="1205" spans="1:11">
      <c r="A1205" t="s">
        <v>3647</v>
      </c>
      <c r="J1205" t="s">
        <v>3648</v>
      </c>
      <c r="K1205" t="s">
        <v>3649</v>
      </c>
    </row>
    <row r="1206" spans="1:11">
      <c r="A1206" t="s">
        <v>3650</v>
      </c>
      <c r="J1206" t="s">
        <v>3651</v>
      </c>
      <c r="K1206" t="s">
        <v>3652</v>
      </c>
    </row>
    <row r="1207" spans="1:11">
      <c r="A1207" t="s">
        <v>3653</v>
      </c>
      <c r="J1207" t="s">
        <v>3654</v>
      </c>
      <c r="K1207" t="s">
        <v>3655</v>
      </c>
    </row>
    <row r="1208" spans="1:11">
      <c r="A1208" t="s">
        <v>3656</v>
      </c>
      <c r="J1208" t="s">
        <v>3657</v>
      </c>
      <c r="K1208" t="s">
        <v>3658</v>
      </c>
    </row>
    <row r="1209" spans="1:11">
      <c r="A1209" t="s">
        <v>3659</v>
      </c>
      <c r="J1209" t="s">
        <v>3660</v>
      </c>
      <c r="K1209" t="s">
        <v>3661</v>
      </c>
    </row>
    <row r="1210" spans="1:11">
      <c r="A1210" t="s">
        <v>3662</v>
      </c>
      <c r="J1210" t="s">
        <v>3663</v>
      </c>
      <c r="K1210" t="s">
        <v>3664</v>
      </c>
    </row>
    <row r="1211" spans="1:11">
      <c r="A1211" t="s">
        <v>3665</v>
      </c>
      <c r="J1211" t="s">
        <v>3666</v>
      </c>
      <c r="K1211" t="s">
        <v>3667</v>
      </c>
    </row>
    <row r="1212" spans="1:11">
      <c r="A1212" t="s">
        <v>3668</v>
      </c>
      <c r="J1212" t="s">
        <v>3669</v>
      </c>
      <c r="K1212" t="s">
        <v>3670</v>
      </c>
    </row>
    <row r="1213" spans="1:11">
      <c r="A1213" t="s">
        <v>3671</v>
      </c>
      <c r="J1213" t="s">
        <v>3672</v>
      </c>
      <c r="K1213" t="s">
        <v>3673</v>
      </c>
    </row>
    <row r="1214" spans="1:11">
      <c r="A1214" t="s">
        <v>3674</v>
      </c>
      <c r="J1214" t="s">
        <v>3675</v>
      </c>
      <c r="K1214" t="s">
        <v>3676</v>
      </c>
    </row>
    <row r="1215" spans="1:11">
      <c r="A1215" t="s">
        <v>3677</v>
      </c>
      <c r="J1215" t="s">
        <v>3678</v>
      </c>
      <c r="K1215" t="s">
        <v>3679</v>
      </c>
    </row>
    <row r="1216" spans="1:11">
      <c r="A1216" t="s">
        <v>3680</v>
      </c>
      <c r="J1216" t="s">
        <v>3681</v>
      </c>
      <c r="K1216" t="s">
        <v>3682</v>
      </c>
    </row>
    <row r="1217" spans="1:11">
      <c r="A1217" t="s">
        <v>3683</v>
      </c>
      <c r="J1217" t="s">
        <v>3684</v>
      </c>
      <c r="K1217" t="s">
        <v>3685</v>
      </c>
    </row>
    <row r="1218" spans="1:11">
      <c r="A1218" t="s">
        <v>3686</v>
      </c>
      <c r="J1218" t="s">
        <v>3687</v>
      </c>
      <c r="K1218" t="s">
        <v>3688</v>
      </c>
    </row>
    <row r="1219" spans="1:11">
      <c r="A1219" t="s">
        <v>3689</v>
      </c>
      <c r="J1219" t="s">
        <v>3690</v>
      </c>
      <c r="K1219" t="s">
        <v>3691</v>
      </c>
    </row>
    <row r="1220" spans="1:11">
      <c r="A1220" t="s">
        <v>3692</v>
      </c>
      <c r="J1220" t="s">
        <v>3693</v>
      </c>
      <c r="K1220" t="s">
        <v>3694</v>
      </c>
    </row>
    <row r="1221" spans="1:11">
      <c r="A1221" t="s">
        <v>3695</v>
      </c>
      <c r="J1221" t="s">
        <v>3696</v>
      </c>
      <c r="K1221" t="s">
        <v>3697</v>
      </c>
    </row>
    <row r="1222" spans="1:11">
      <c r="A1222" t="s">
        <v>3698</v>
      </c>
      <c r="J1222" t="s">
        <v>3699</v>
      </c>
      <c r="K1222" t="s">
        <v>3700</v>
      </c>
    </row>
    <row r="1223" spans="1:11">
      <c r="A1223" t="s">
        <v>3701</v>
      </c>
      <c r="J1223" t="s">
        <v>3702</v>
      </c>
      <c r="K1223" t="s">
        <v>3703</v>
      </c>
    </row>
    <row r="1224" spans="1:11">
      <c r="A1224" t="s">
        <v>3704</v>
      </c>
      <c r="J1224" t="s">
        <v>3705</v>
      </c>
      <c r="K1224" t="s">
        <v>3706</v>
      </c>
    </row>
    <row r="1225" spans="1:11">
      <c r="A1225" t="s">
        <v>3707</v>
      </c>
      <c r="J1225" t="s">
        <v>3708</v>
      </c>
      <c r="K1225" t="s">
        <v>3709</v>
      </c>
    </row>
    <row r="1226" spans="1:11">
      <c r="A1226" t="s">
        <v>3710</v>
      </c>
      <c r="J1226" t="s">
        <v>3711</v>
      </c>
      <c r="K1226" t="s">
        <v>3712</v>
      </c>
    </row>
    <row r="1227" spans="1:11">
      <c r="A1227" t="s">
        <v>3713</v>
      </c>
      <c r="J1227" t="s">
        <v>3714</v>
      </c>
      <c r="K1227" t="s">
        <v>3715</v>
      </c>
    </row>
    <row r="1228" spans="1:11">
      <c r="A1228" t="s">
        <v>3716</v>
      </c>
      <c r="J1228" t="s">
        <v>3717</v>
      </c>
      <c r="K1228" t="s">
        <v>3718</v>
      </c>
    </row>
    <row r="1229" spans="1:11">
      <c r="A1229" t="s">
        <v>3719</v>
      </c>
      <c r="J1229" t="s">
        <v>3720</v>
      </c>
      <c r="K1229" t="s">
        <v>3721</v>
      </c>
    </row>
    <row r="1230" spans="1:11">
      <c r="A1230" t="s">
        <v>3722</v>
      </c>
      <c r="J1230" t="s">
        <v>3723</v>
      </c>
      <c r="K1230" t="s">
        <v>3724</v>
      </c>
    </row>
    <row r="1231" spans="1:11">
      <c r="A1231" t="s">
        <v>3725</v>
      </c>
      <c r="J1231" t="s">
        <v>3726</v>
      </c>
      <c r="K1231" t="s">
        <v>3727</v>
      </c>
    </row>
    <row r="1232" spans="1:11">
      <c r="A1232" t="s">
        <v>3728</v>
      </c>
      <c r="J1232" t="s">
        <v>3729</v>
      </c>
      <c r="K1232" t="s">
        <v>3730</v>
      </c>
    </row>
    <row r="1233" spans="1:11">
      <c r="A1233" t="s">
        <v>3731</v>
      </c>
      <c r="J1233" t="s">
        <v>3732</v>
      </c>
      <c r="K1233" t="s">
        <v>3733</v>
      </c>
    </row>
    <row r="1234" spans="1:11">
      <c r="A1234" t="s">
        <v>3734</v>
      </c>
      <c r="J1234" t="s">
        <v>3735</v>
      </c>
      <c r="K1234" t="s">
        <v>3736</v>
      </c>
    </row>
    <row r="1235" spans="1:11">
      <c r="A1235" t="s">
        <v>3737</v>
      </c>
      <c r="J1235" t="s">
        <v>3738</v>
      </c>
      <c r="K1235" t="s">
        <v>3739</v>
      </c>
    </row>
    <row r="1236" spans="1:11">
      <c r="A1236" t="s">
        <v>3740</v>
      </c>
      <c r="J1236" t="s">
        <v>3741</v>
      </c>
      <c r="K1236" t="s">
        <v>3742</v>
      </c>
    </row>
    <row r="1237" spans="1:11">
      <c r="A1237" t="s">
        <v>3743</v>
      </c>
      <c r="J1237" t="s">
        <v>3744</v>
      </c>
      <c r="K1237" t="s">
        <v>3745</v>
      </c>
    </row>
    <row r="1238" spans="1:11">
      <c r="A1238" t="s">
        <v>3746</v>
      </c>
      <c r="J1238" t="s">
        <v>3747</v>
      </c>
      <c r="K1238" t="s">
        <v>3748</v>
      </c>
    </row>
    <row r="1239" spans="1:11">
      <c r="A1239" t="s">
        <v>3749</v>
      </c>
      <c r="J1239" t="s">
        <v>3750</v>
      </c>
      <c r="K1239" t="s">
        <v>3751</v>
      </c>
    </row>
    <row r="1240" spans="1:11">
      <c r="A1240" t="s">
        <v>3752</v>
      </c>
      <c r="J1240" t="s">
        <v>3753</v>
      </c>
      <c r="K1240" t="s">
        <v>3754</v>
      </c>
    </row>
    <row r="1241" spans="1:11">
      <c r="A1241" t="s">
        <v>3755</v>
      </c>
      <c r="J1241" t="s">
        <v>3756</v>
      </c>
      <c r="K1241" t="s">
        <v>3757</v>
      </c>
    </row>
    <row r="1242" spans="1:11">
      <c r="A1242" t="s">
        <v>3758</v>
      </c>
      <c r="J1242" t="s">
        <v>3759</v>
      </c>
      <c r="K1242" t="s">
        <v>3760</v>
      </c>
    </row>
    <row r="1243" spans="1:11">
      <c r="A1243" t="s">
        <v>3761</v>
      </c>
      <c r="J1243" t="s">
        <v>3762</v>
      </c>
      <c r="K1243" t="s">
        <v>3763</v>
      </c>
    </row>
    <row r="1244" spans="1:11">
      <c r="A1244" t="s">
        <v>3764</v>
      </c>
      <c r="J1244" t="s">
        <v>3765</v>
      </c>
      <c r="K1244" t="s">
        <v>3766</v>
      </c>
    </row>
    <row r="1245" spans="1:11">
      <c r="A1245" t="s">
        <v>3767</v>
      </c>
      <c r="J1245" t="s">
        <v>3768</v>
      </c>
      <c r="K1245" t="s">
        <v>3769</v>
      </c>
    </row>
    <row r="1246" spans="1:11">
      <c r="A1246" t="s">
        <v>3770</v>
      </c>
      <c r="J1246" t="s">
        <v>3771</v>
      </c>
      <c r="K1246" t="s">
        <v>3772</v>
      </c>
    </row>
    <row r="1247" spans="1:11">
      <c r="A1247" t="s">
        <v>3773</v>
      </c>
      <c r="J1247" t="s">
        <v>3774</v>
      </c>
      <c r="K1247" t="s">
        <v>3775</v>
      </c>
    </row>
    <row r="1248" spans="1:11">
      <c r="A1248" t="s">
        <v>3776</v>
      </c>
      <c r="J1248" t="s">
        <v>3777</v>
      </c>
      <c r="K1248" t="s">
        <v>3778</v>
      </c>
    </row>
    <row r="1249" spans="1:11">
      <c r="A1249" t="s">
        <v>3779</v>
      </c>
      <c r="J1249" t="s">
        <v>3780</v>
      </c>
      <c r="K1249" t="s">
        <v>3781</v>
      </c>
    </row>
    <row r="1250" spans="1:11">
      <c r="A1250" t="s">
        <v>3782</v>
      </c>
      <c r="J1250" t="s">
        <v>3783</v>
      </c>
      <c r="K1250" t="s">
        <v>3784</v>
      </c>
    </row>
    <row r="1251" spans="1:11">
      <c r="A1251" t="s">
        <v>3785</v>
      </c>
      <c r="J1251" t="s">
        <v>3786</v>
      </c>
      <c r="K1251" t="s">
        <v>3787</v>
      </c>
    </row>
    <row r="1252" spans="1:11">
      <c r="A1252" t="s">
        <v>3788</v>
      </c>
      <c r="J1252" t="s">
        <v>3789</v>
      </c>
      <c r="K1252" t="s">
        <v>3790</v>
      </c>
    </row>
    <row r="1253" spans="1:11">
      <c r="A1253" t="s">
        <v>3791</v>
      </c>
      <c r="J1253" t="s">
        <v>3792</v>
      </c>
      <c r="K1253" t="s">
        <v>3793</v>
      </c>
    </row>
    <row r="1254" spans="1:11">
      <c r="A1254" t="s">
        <v>3794</v>
      </c>
      <c r="J1254" t="s">
        <v>3795</v>
      </c>
      <c r="K1254" t="s">
        <v>3796</v>
      </c>
    </row>
    <row r="1255" spans="1:11">
      <c r="A1255" t="s">
        <v>3797</v>
      </c>
      <c r="J1255" t="s">
        <v>3798</v>
      </c>
      <c r="K1255" t="s">
        <v>3799</v>
      </c>
    </row>
    <row r="1256" spans="1:11">
      <c r="A1256" t="s">
        <v>3800</v>
      </c>
      <c r="J1256" t="s">
        <v>3801</v>
      </c>
      <c r="K1256" t="s">
        <v>3802</v>
      </c>
    </row>
    <row r="1257" spans="1:11">
      <c r="A1257" t="s">
        <v>3803</v>
      </c>
      <c r="J1257" t="s">
        <v>3804</v>
      </c>
      <c r="K1257" t="s">
        <v>3805</v>
      </c>
    </row>
    <row r="1258" spans="1:11">
      <c r="A1258" t="s">
        <v>3806</v>
      </c>
      <c r="J1258" t="s">
        <v>3807</v>
      </c>
      <c r="K1258" t="s">
        <v>3808</v>
      </c>
    </row>
    <row r="1259" spans="1:11">
      <c r="A1259" t="s">
        <v>3809</v>
      </c>
      <c r="J1259" t="s">
        <v>3810</v>
      </c>
      <c r="K1259" t="s">
        <v>3811</v>
      </c>
    </row>
    <row r="1260" spans="1:11">
      <c r="A1260" t="s">
        <v>3812</v>
      </c>
      <c r="J1260" t="s">
        <v>3813</v>
      </c>
      <c r="K1260" t="s">
        <v>3814</v>
      </c>
    </row>
    <row r="1261" spans="1:11">
      <c r="A1261" t="s">
        <v>3815</v>
      </c>
      <c r="J1261" t="s">
        <v>3816</v>
      </c>
      <c r="K1261" t="s">
        <v>3817</v>
      </c>
    </row>
    <row r="1262" spans="1:11">
      <c r="A1262" t="s">
        <v>3818</v>
      </c>
      <c r="J1262" t="s">
        <v>3819</v>
      </c>
      <c r="K1262" t="s">
        <v>3820</v>
      </c>
    </row>
    <row r="1263" spans="1:11">
      <c r="A1263" t="s">
        <v>3821</v>
      </c>
      <c r="J1263" t="s">
        <v>3822</v>
      </c>
      <c r="K1263" t="s">
        <v>3823</v>
      </c>
    </row>
    <row r="1264" spans="1:11">
      <c r="A1264" t="s">
        <v>3824</v>
      </c>
      <c r="J1264" t="s">
        <v>3825</v>
      </c>
      <c r="K1264" t="s">
        <v>3826</v>
      </c>
    </row>
    <row r="1265" spans="1:11">
      <c r="A1265" t="s">
        <v>3827</v>
      </c>
      <c r="J1265" t="s">
        <v>3828</v>
      </c>
      <c r="K1265" t="s">
        <v>3829</v>
      </c>
    </row>
    <row r="1266" spans="1:11">
      <c r="A1266" t="s">
        <v>3830</v>
      </c>
      <c r="J1266" t="s">
        <v>3831</v>
      </c>
      <c r="K1266" t="s">
        <v>3832</v>
      </c>
    </row>
    <row r="1267" spans="1:11">
      <c r="A1267" t="s">
        <v>3833</v>
      </c>
      <c r="J1267" t="s">
        <v>3834</v>
      </c>
      <c r="K1267" t="s">
        <v>3835</v>
      </c>
    </row>
    <row r="1268" spans="1:11">
      <c r="A1268" t="s">
        <v>3836</v>
      </c>
      <c r="J1268" t="s">
        <v>3837</v>
      </c>
      <c r="K1268" t="s">
        <v>3838</v>
      </c>
    </row>
    <row r="1269" spans="1:11">
      <c r="A1269" t="s">
        <v>3839</v>
      </c>
      <c r="J1269" t="s">
        <v>3840</v>
      </c>
      <c r="K1269" t="s">
        <v>3841</v>
      </c>
    </row>
    <row r="1270" spans="1:11">
      <c r="A1270" t="s">
        <v>3842</v>
      </c>
      <c r="J1270" t="s">
        <v>3843</v>
      </c>
      <c r="K1270" t="s">
        <v>3844</v>
      </c>
    </row>
    <row r="1271" spans="1:11">
      <c r="A1271" t="s">
        <v>3845</v>
      </c>
      <c r="J1271" t="s">
        <v>3846</v>
      </c>
      <c r="K1271" t="s">
        <v>3847</v>
      </c>
    </row>
    <row r="1272" spans="1:11">
      <c r="A1272" t="s">
        <v>3848</v>
      </c>
      <c r="J1272" t="s">
        <v>3849</v>
      </c>
      <c r="K1272" t="s">
        <v>3850</v>
      </c>
    </row>
    <row r="1273" spans="1:11">
      <c r="A1273" t="s">
        <v>3851</v>
      </c>
      <c r="J1273" t="s">
        <v>3852</v>
      </c>
      <c r="K1273" t="s">
        <v>3853</v>
      </c>
    </row>
    <row r="1274" spans="1:11">
      <c r="A1274" t="s">
        <v>3854</v>
      </c>
      <c r="J1274" t="s">
        <v>3855</v>
      </c>
      <c r="K1274" t="s">
        <v>3856</v>
      </c>
    </row>
    <row r="1275" spans="1:11">
      <c r="A1275" t="s">
        <v>3857</v>
      </c>
      <c r="J1275" t="s">
        <v>3858</v>
      </c>
      <c r="K1275" t="s">
        <v>3859</v>
      </c>
    </row>
    <row r="1276" spans="1:11">
      <c r="A1276" t="s">
        <v>3860</v>
      </c>
      <c r="J1276" t="s">
        <v>3861</v>
      </c>
      <c r="K1276" t="s">
        <v>3862</v>
      </c>
    </row>
    <row r="1277" spans="1:11">
      <c r="A1277" t="s">
        <v>3863</v>
      </c>
      <c r="J1277" t="s">
        <v>3864</v>
      </c>
      <c r="K1277" t="s">
        <v>3865</v>
      </c>
    </row>
    <row r="1278" spans="1:11">
      <c r="A1278" t="s">
        <v>3866</v>
      </c>
      <c r="J1278" t="s">
        <v>3867</v>
      </c>
      <c r="K1278" t="s">
        <v>3868</v>
      </c>
    </row>
    <row r="1279" spans="1:11">
      <c r="A1279" t="s">
        <v>3869</v>
      </c>
      <c r="J1279" t="s">
        <v>3870</v>
      </c>
      <c r="K1279" t="s">
        <v>3871</v>
      </c>
    </row>
    <row r="1280" spans="1:11">
      <c r="A1280" t="s">
        <v>3872</v>
      </c>
      <c r="J1280" t="s">
        <v>3873</v>
      </c>
      <c r="K1280" t="s">
        <v>3874</v>
      </c>
    </row>
    <row r="1281" spans="1:11">
      <c r="A1281" t="s">
        <v>3875</v>
      </c>
      <c r="J1281" t="s">
        <v>3876</v>
      </c>
      <c r="K1281" t="s">
        <v>3877</v>
      </c>
    </row>
    <row r="1282" spans="1:11">
      <c r="A1282" t="s">
        <v>3878</v>
      </c>
      <c r="J1282" t="s">
        <v>3879</v>
      </c>
      <c r="K1282" t="s">
        <v>3880</v>
      </c>
    </row>
    <row r="1283" spans="1:11">
      <c r="A1283" t="s">
        <v>3881</v>
      </c>
      <c r="J1283" t="s">
        <v>3882</v>
      </c>
      <c r="K1283" t="s">
        <v>3883</v>
      </c>
    </row>
    <row r="1284" spans="1:11">
      <c r="A1284" t="s">
        <v>3884</v>
      </c>
      <c r="J1284" t="s">
        <v>3885</v>
      </c>
      <c r="K1284" t="s">
        <v>3886</v>
      </c>
    </row>
    <row r="1285" spans="1:11">
      <c r="A1285" t="s">
        <v>3887</v>
      </c>
      <c r="J1285" t="s">
        <v>3888</v>
      </c>
      <c r="K1285" t="s">
        <v>3889</v>
      </c>
    </row>
    <row r="1286" spans="1:11">
      <c r="A1286" t="s">
        <v>3890</v>
      </c>
      <c r="J1286" t="s">
        <v>3891</v>
      </c>
      <c r="K1286" t="s">
        <v>3892</v>
      </c>
    </row>
    <row r="1287" spans="1:11">
      <c r="A1287" t="s">
        <v>3893</v>
      </c>
      <c r="J1287" t="s">
        <v>3894</v>
      </c>
      <c r="K1287" t="s">
        <v>3895</v>
      </c>
    </row>
    <row r="1288" spans="1:11">
      <c r="A1288" t="s">
        <v>3896</v>
      </c>
      <c r="J1288" t="s">
        <v>3897</v>
      </c>
      <c r="K1288" t="s">
        <v>3898</v>
      </c>
    </row>
    <row r="1289" spans="1:11">
      <c r="A1289" t="s">
        <v>3899</v>
      </c>
      <c r="J1289" t="s">
        <v>3900</v>
      </c>
      <c r="K1289" t="s">
        <v>3901</v>
      </c>
    </row>
    <row r="1290" spans="1:11">
      <c r="A1290" t="s">
        <v>3902</v>
      </c>
      <c r="J1290" t="s">
        <v>3903</v>
      </c>
      <c r="K1290" t="s">
        <v>3904</v>
      </c>
    </row>
    <row r="1291" spans="1:11">
      <c r="A1291" t="s">
        <v>3905</v>
      </c>
      <c r="J1291" t="s">
        <v>3906</v>
      </c>
      <c r="K1291" t="s">
        <v>3907</v>
      </c>
    </row>
    <row r="1292" spans="1:11">
      <c r="A1292" t="s">
        <v>3908</v>
      </c>
      <c r="J1292" t="s">
        <v>3909</v>
      </c>
      <c r="K1292" t="s">
        <v>3910</v>
      </c>
    </row>
    <row r="1293" spans="1:11">
      <c r="A1293" t="s">
        <v>3911</v>
      </c>
      <c r="J1293" t="s">
        <v>3912</v>
      </c>
      <c r="K1293" t="s">
        <v>3913</v>
      </c>
    </row>
    <row r="1294" spans="1:11">
      <c r="A1294" t="s">
        <v>3914</v>
      </c>
      <c r="J1294" t="s">
        <v>3915</v>
      </c>
      <c r="K1294" t="s">
        <v>3916</v>
      </c>
    </row>
    <row r="1295" spans="1:11">
      <c r="A1295" t="s">
        <v>3917</v>
      </c>
      <c r="J1295" t="s">
        <v>3918</v>
      </c>
      <c r="K1295" t="s">
        <v>3919</v>
      </c>
    </row>
    <row r="1296" spans="1:11">
      <c r="A1296" t="s">
        <v>3920</v>
      </c>
      <c r="J1296" t="s">
        <v>3921</v>
      </c>
      <c r="K1296" t="s">
        <v>3922</v>
      </c>
    </row>
    <row r="1297" spans="1:11">
      <c r="A1297" t="s">
        <v>3923</v>
      </c>
      <c r="J1297" t="s">
        <v>3924</v>
      </c>
      <c r="K1297" t="s">
        <v>3925</v>
      </c>
    </row>
    <row r="1298" spans="1:11">
      <c r="A1298" t="s">
        <v>3926</v>
      </c>
      <c r="J1298" t="s">
        <v>3927</v>
      </c>
      <c r="K1298" t="s">
        <v>3928</v>
      </c>
    </row>
    <row r="1299" spans="1:11">
      <c r="A1299" t="s">
        <v>3929</v>
      </c>
      <c r="J1299" t="s">
        <v>3930</v>
      </c>
      <c r="K1299" t="s">
        <v>3931</v>
      </c>
    </row>
    <row r="1300" spans="1:11">
      <c r="A1300" t="s">
        <v>3932</v>
      </c>
      <c r="J1300" t="s">
        <v>3933</v>
      </c>
      <c r="K1300" t="s">
        <v>3934</v>
      </c>
    </row>
    <row r="1301" spans="1:11">
      <c r="A1301" t="s">
        <v>3935</v>
      </c>
      <c r="J1301" t="s">
        <v>3936</v>
      </c>
      <c r="K1301" t="s">
        <v>3937</v>
      </c>
    </row>
    <row r="1302" spans="1:11">
      <c r="A1302" t="s">
        <v>3938</v>
      </c>
      <c r="J1302" t="s">
        <v>3939</v>
      </c>
      <c r="K1302" t="s">
        <v>3940</v>
      </c>
    </row>
    <row r="1303" spans="1:11">
      <c r="A1303" t="s">
        <v>3941</v>
      </c>
      <c r="J1303" t="s">
        <v>3942</v>
      </c>
      <c r="K1303" t="s">
        <v>3943</v>
      </c>
    </row>
    <row r="1304" spans="1:11">
      <c r="A1304" t="s">
        <v>3944</v>
      </c>
      <c r="J1304" t="s">
        <v>3945</v>
      </c>
      <c r="K1304" t="s">
        <v>3946</v>
      </c>
    </row>
    <row r="1305" spans="1:11">
      <c r="A1305" t="s">
        <v>3947</v>
      </c>
      <c r="J1305" t="s">
        <v>3948</v>
      </c>
      <c r="K1305" t="s">
        <v>3949</v>
      </c>
    </row>
    <row r="1306" spans="1:11">
      <c r="A1306" t="s">
        <v>3950</v>
      </c>
      <c r="J1306" t="s">
        <v>3951</v>
      </c>
      <c r="K1306" t="s">
        <v>3952</v>
      </c>
    </row>
    <row r="1307" spans="1:11">
      <c r="A1307" t="s">
        <v>3953</v>
      </c>
      <c r="J1307" t="s">
        <v>3954</v>
      </c>
      <c r="K1307" t="s">
        <v>3955</v>
      </c>
    </row>
    <row r="1308" spans="1:11">
      <c r="A1308" t="s">
        <v>3956</v>
      </c>
      <c r="J1308" t="s">
        <v>3957</v>
      </c>
      <c r="K1308" t="s">
        <v>3958</v>
      </c>
    </row>
    <row r="1309" spans="1:11">
      <c r="A1309" t="s">
        <v>3959</v>
      </c>
      <c r="J1309" t="s">
        <v>3960</v>
      </c>
      <c r="K1309" t="s">
        <v>3961</v>
      </c>
    </row>
    <row r="1310" spans="1:11">
      <c r="A1310" t="s">
        <v>3962</v>
      </c>
      <c r="J1310" t="s">
        <v>3963</v>
      </c>
      <c r="K1310" t="s">
        <v>3964</v>
      </c>
    </row>
    <row r="1311" spans="1:11">
      <c r="A1311" t="s">
        <v>3965</v>
      </c>
      <c r="J1311" t="s">
        <v>3966</v>
      </c>
      <c r="K1311" t="s">
        <v>3967</v>
      </c>
    </row>
    <row r="1312" spans="1:11">
      <c r="A1312" t="s">
        <v>3968</v>
      </c>
      <c r="J1312" t="s">
        <v>3969</v>
      </c>
      <c r="K1312" t="s">
        <v>3970</v>
      </c>
    </row>
    <row r="1313" spans="1:11">
      <c r="A1313" t="s">
        <v>3971</v>
      </c>
      <c r="J1313" t="s">
        <v>3972</v>
      </c>
      <c r="K1313" t="s">
        <v>3973</v>
      </c>
    </row>
    <row r="1314" spans="1:11">
      <c r="A1314" t="s">
        <v>3974</v>
      </c>
      <c r="J1314" t="s">
        <v>3975</v>
      </c>
      <c r="K1314" t="s">
        <v>3976</v>
      </c>
    </row>
    <row r="1315" spans="1:11">
      <c r="A1315" t="s">
        <v>3977</v>
      </c>
      <c r="J1315" t="s">
        <v>3978</v>
      </c>
      <c r="K1315" t="s">
        <v>3979</v>
      </c>
    </row>
    <row r="1316" spans="1:11">
      <c r="A1316" t="s">
        <v>3980</v>
      </c>
      <c r="J1316" t="s">
        <v>3981</v>
      </c>
      <c r="K1316" t="s">
        <v>3982</v>
      </c>
    </row>
    <row r="1317" spans="1:11">
      <c r="A1317" t="s">
        <v>3983</v>
      </c>
      <c r="J1317" t="s">
        <v>3984</v>
      </c>
      <c r="K1317" t="s">
        <v>3985</v>
      </c>
    </row>
    <row r="1318" spans="1:11">
      <c r="A1318" t="s">
        <v>3986</v>
      </c>
      <c r="J1318" t="s">
        <v>3987</v>
      </c>
      <c r="K1318" t="s">
        <v>3988</v>
      </c>
    </row>
    <row r="1319" spans="1:11">
      <c r="A1319" t="s">
        <v>3989</v>
      </c>
      <c r="J1319" t="s">
        <v>3990</v>
      </c>
      <c r="K1319" t="s">
        <v>3991</v>
      </c>
    </row>
    <row r="1320" spans="1:11">
      <c r="A1320" t="s">
        <v>3992</v>
      </c>
      <c r="J1320" t="s">
        <v>3993</v>
      </c>
      <c r="K1320" t="s">
        <v>3994</v>
      </c>
    </row>
    <row r="1321" spans="1:11">
      <c r="A1321" t="s">
        <v>3995</v>
      </c>
      <c r="J1321" t="s">
        <v>3996</v>
      </c>
      <c r="K1321" t="s">
        <v>3997</v>
      </c>
    </row>
    <row r="1322" spans="1:11">
      <c r="A1322" t="s">
        <v>3998</v>
      </c>
      <c r="J1322" t="s">
        <v>3999</v>
      </c>
      <c r="K1322" t="s">
        <v>4000</v>
      </c>
    </row>
    <row r="1323" spans="1:11">
      <c r="A1323" t="s">
        <v>4001</v>
      </c>
      <c r="J1323" t="s">
        <v>4002</v>
      </c>
      <c r="K1323" t="s">
        <v>4003</v>
      </c>
    </row>
    <row r="1324" spans="1:11">
      <c r="A1324" t="s">
        <v>4004</v>
      </c>
      <c r="J1324" t="s">
        <v>4005</v>
      </c>
      <c r="K1324" t="s">
        <v>4006</v>
      </c>
    </row>
    <row r="1325" spans="1:11">
      <c r="A1325" t="s">
        <v>4007</v>
      </c>
      <c r="J1325" t="s">
        <v>4008</v>
      </c>
      <c r="K1325" t="s">
        <v>4009</v>
      </c>
    </row>
    <row r="1326" spans="1:11">
      <c r="A1326" t="s">
        <v>4010</v>
      </c>
      <c r="J1326" t="s">
        <v>4011</v>
      </c>
      <c r="K1326" t="s">
        <v>4012</v>
      </c>
    </row>
    <row r="1327" spans="1:11">
      <c r="A1327" t="s">
        <v>4013</v>
      </c>
      <c r="J1327" t="s">
        <v>4014</v>
      </c>
      <c r="K1327" t="s">
        <v>4015</v>
      </c>
    </row>
    <row r="1328" spans="1:11">
      <c r="A1328" t="s">
        <v>4016</v>
      </c>
      <c r="J1328" t="s">
        <v>4017</v>
      </c>
      <c r="K1328" t="s">
        <v>4018</v>
      </c>
    </row>
    <row r="1329" spans="1:11">
      <c r="A1329" t="s">
        <v>4019</v>
      </c>
      <c r="J1329" t="s">
        <v>4020</v>
      </c>
      <c r="K1329" t="s">
        <v>4021</v>
      </c>
    </row>
    <row r="1330" spans="1:11">
      <c r="A1330" t="s">
        <v>4022</v>
      </c>
      <c r="J1330" t="s">
        <v>4023</v>
      </c>
      <c r="K1330" t="s">
        <v>4024</v>
      </c>
    </row>
    <row r="1331" spans="1:11">
      <c r="A1331" t="s">
        <v>4025</v>
      </c>
      <c r="J1331" t="s">
        <v>4026</v>
      </c>
      <c r="K1331" t="s">
        <v>4027</v>
      </c>
    </row>
    <row r="1332" spans="1:11">
      <c r="A1332" t="s">
        <v>4028</v>
      </c>
      <c r="J1332" t="s">
        <v>4029</v>
      </c>
      <c r="K1332" t="s">
        <v>4030</v>
      </c>
    </row>
    <row r="1333" spans="1:11">
      <c r="A1333" t="s">
        <v>4031</v>
      </c>
      <c r="J1333" t="s">
        <v>4032</v>
      </c>
      <c r="K1333" t="s">
        <v>4033</v>
      </c>
    </row>
    <row r="1334" spans="1:11">
      <c r="A1334" t="s">
        <v>4034</v>
      </c>
      <c r="J1334" t="s">
        <v>4035</v>
      </c>
      <c r="K1334" t="s">
        <v>4036</v>
      </c>
    </row>
    <row r="1335" spans="1:11">
      <c r="A1335" t="s">
        <v>4037</v>
      </c>
      <c r="J1335" t="s">
        <v>4038</v>
      </c>
      <c r="K1335" t="s">
        <v>4039</v>
      </c>
    </row>
    <row r="1336" spans="1:11">
      <c r="A1336" t="s">
        <v>4040</v>
      </c>
      <c r="J1336" t="s">
        <v>4041</v>
      </c>
      <c r="K1336" t="s">
        <v>4042</v>
      </c>
    </row>
    <row r="1337" spans="1:11">
      <c r="A1337" t="s">
        <v>4043</v>
      </c>
      <c r="J1337" t="s">
        <v>4044</v>
      </c>
      <c r="K1337" t="s">
        <v>4045</v>
      </c>
    </row>
    <row r="1338" spans="1:11">
      <c r="A1338" t="s">
        <v>4046</v>
      </c>
      <c r="J1338" t="s">
        <v>4047</v>
      </c>
      <c r="K1338" t="s">
        <v>4048</v>
      </c>
    </row>
    <row r="1339" spans="1:11">
      <c r="A1339" t="s">
        <v>4049</v>
      </c>
      <c r="J1339" t="s">
        <v>4050</v>
      </c>
      <c r="K1339" t="s">
        <v>4051</v>
      </c>
    </row>
    <row r="1340" spans="1:11">
      <c r="A1340" t="s">
        <v>4052</v>
      </c>
      <c r="J1340" t="s">
        <v>4053</v>
      </c>
      <c r="K1340" t="s">
        <v>4054</v>
      </c>
    </row>
    <row r="1341" spans="1:11">
      <c r="A1341" t="s">
        <v>4055</v>
      </c>
      <c r="J1341" t="s">
        <v>4056</v>
      </c>
      <c r="K1341" t="s">
        <v>4057</v>
      </c>
    </row>
    <row r="1342" spans="1:11">
      <c r="A1342" t="s">
        <v>4058</v>
      </c>
      <c r="J1342" t="s">
        <v>4059</v>
      </c>
      <c r="K1342" t="s">
        <v>4060</v>
      </c>
    </row>
    <row r="1343" spans="1:11">
      <c r="A1343" t="s">
        <v>4061</v>
      </c>
      <c r="J1343" t="s">
        <v>4062</v>
      </c>
      <c r="K1343" t="s">
        <v>4063</v>
      </c>
    </row>
    <row r="1344" spans="1:11">
      <c r="A1344" t="s">
        <v>4064</v>
      </c>
      <c r="J1344" t="s">
        <v>4065</v>
      </c>
      <c r="K1344" t="s">
        <v>4066</v>
      </c>
    </row>
    <row r="1345" spans="1:11">
      <c r="A1345" t="s">
        <v>4067</v>
      </c>
      <c r="J1345" t="s">
        <v>4068</v>
      </c>
      <c r="K1345" t="s">
        <v>4069</v>
      </c>
    </row>
    <row r="1346" spans="1:11">
      <c r="A1346" t="s">
        <v>4070</v>
      </c>
      <c r="J1346" t="s">
        <v>4071</v>
      </c>
      <c r="K1346" t="s">
        <v>4072</v>
      </c>
    </row>
    <row r="1347" spans="1:11">
      <c r="A1347" t="s">
        <v>4073</v>
      </c>
      <c r="J1347" t="s">
        <v>4074</v>
      </c>
      <c r="K1347" t="s">
        <v>4075</v>
      </c>
    </row>
    <row r="1348" spans="1:11">
      <c r="A1348" t="s">
        <v>4076</v>
      </c>
      <c r="J1348" t="s">
        <v>4077</v>
      </c>
      <c r="K1348" t="s">
        <v>4078</v>
      </c>
    </row>
    <row r="1349" spans="1:11">
      <c r="A1349" t="s">
        <v>4079</v>
      </c>
      <c r="J1349" t="s">
        <v>4080</v>
      </c>
      <c r="K1349" t="s">
        <v>4081</v>
      </c>
    </row>
    <row r="1350" spans="1:11">
      <c r="A1350" t="s">
        <v>4082</v>
      </c>
      <c r="J1350" t="s">
        <v>4083</v>
      </c>
      <c r="K1350" t="s">
        <v>4084</v>
      </c>
    </row>
    <row r="1351" spans="1:11">
      <c r="A1351" t="s">
        <v>4085</v>
      </c>
      <c r="J1351" t="s">
        <v>4086</v>
      </c>
      <c r="K1351" t="s">
        <v>4087</v>
      </c>
    </row>
    <row r="1352" spans="1:11">
      <c r="A1352" t="s">
        <v>4088</v>
      </c>
      <c r="J1352" t="s">
        <v>4089</v>
      </c>
      <c r="K1352" t="s">
        <v>4090</v>
      </c>
    </row>
    <row r="1353" spans="1:11">
      <c r="A1353" t="s">
        <v>4091</v>
      </c>
      <c r="J1353" t="s">
        <v>4092</v>
      </c>
      <c r="K1353" t="s">
        <v>4093</v>
      </c>
    </row>
    <row r="1354" spans="1:11">
      <c r="A1354" t="s">
        <v>4094</v>
      </c>
      <c r="J1354" t="s">
        <v>4095</v>
      </c>
      <c r="K1354" t="s">
        <v>4096</v>
      </c>
    </row>
    <row r="1355" spans="1:11">
      <c r="A1355" t="s">
        <v>4097</v>
      </c>
      <c r="J1355" t="s">
        <v>4098</v>
      </c>
      <c r="K1355" t="s">
        <v>4099</v>
      </c>
    </row>
    <row r="1356" spans="1:11">
      <c r="A1356" t="s">
        <v>4100</v>
      </c>
      <c r="J1356" t="s">
        <v>4101</v>
      </c>
      <c r="K1356" t="s">
        <v>4102</v>
      </c>
    </row>
    <row r="1357" spans="1:11">
      <c r="A1357" t="s">
        <v>4103</v>
      </c>
      <c r="J1357" t="s">
        <v>4104</v>
      </c>
      <c r="K1357" t="s">
        <v>4105</v>
      </c>
    </row>
    <row r="1358" spans="1:11">
      <c r="A1358" t="s">
        <v>4106</v>
      </c>
      <c r="J1358" t="s">
        <v>4107</v>
      </c>
      <c r="K1358" t="s">
        <v>4108</v>
      </c>
    </row>
    <row r="1359" spans="1:11">
      <c r="A1359" t="s">
        <v>4109</v>
      </c>
      <c r="J1359" t="s">
        <v>4110</v>
      </c>
      <c r="K1359" t="s">
        <v>4111</v>
      </c>
    </row>
    <row r="1360" spans="1:11">
      <c r="A1360" t="s">
        <v>4112</v>
      </c>
      <c r="J1360" t="s">
        <v>4113</v>
      </c>
      <c r="K1360" t="s">
        <v>4114</v>
      </c>
    </row>
    <row r="1361" spans="1:11">
      <c r="A1361" t="s">
        <v>4115</v>
      </c>
      <c r="J1361" t="s">
        <v>4116</v>
      </c>
      <c r="K1361" t="s">
        <v>4117</v>
      </c>
    </row>
    <row r="1362" spans="1:11">
      <c r="A1362" t="s">
        <v>4118</v>
      </c>
      <c r="J1362" t="s">
        <v>4119</v>
      </c>
      <c r="K1362" t="s">
        <v>4120</v>
      </c>
    </row>
    <row r="1363" spans="1:11">
      <c r="A1363" t="s">
        <v>4121</v>
      </c>
      <c r="J1363" t="s">
        <v>4122</v>
      </c>
      <c r="K1363" t="s">
        <v>4123</v>
      </c>
    </row>
    <row r="1364" spans="1:11">
      <c r="A1364" t="s">
        <v>4124</v>
      </c>
      <c r="J1364" t="s">
        <v>4125</v>
      </c>
      <c r="K1364" t="s">
        <v>4126</v>
      </c>
    </row>
    <row r="1365" spans="1:11">
      <c r="A1365" t="s">
        <v>4127</v>
      </c>
      <c r="J1365" t="s">
        <v>4128</v>
      </c>
      <c r="K1365" t="s">
        <v>4129</v>
      </c>
    </row>
    <row r="1366" spans="1:11">
      <c r="A1366" t="s">
        <v>4130</v>
      </c>
      <c r="J1366" t="s">
        <v>4131</v>
      </c>
      <c r="K1366" t="s">
        <v>4132</v>
      </c>
    </row>
    <row r="1367" spans="1:11">
      <c r="A1367" t="s">
        <v>4133</v>
      </c>
      <c r="J1367" t="s">
        <v>4134</v>
      </c>
      <c r="K1367" t="s">
        <v>4135</v>
      </c>
    </row>
    <row r="1368" spans="1:11">
      <c r="A1368" t="s">
        <v>4136</v>
      </c>
      <c r="J1368" t="s">
        <v>4137</v>
      </c>
      <c r="K1368" t="s">
        <v>4138</v>
      </c>
    </row>
    <row r="1369" spans="1:11">
      <c r="A1369" t="s">
        <v>4139</v>
      </c>
      <c r="J1369" t="s">
        <v>4140</v>
      </c>
      <c r="K1369" t="s">
        <v>4141</v>
      </c>
    </row>
    <row r="1370" spans="1:11">
      <c r="A1370" t="s">
        <v>4142</v>
      </c>
      <c r="J1370" t="s">
        <v>4143</v>
      </c>
      <c r="K1370" t="s">
        <v>4144</v>
      </c>
    </row>
    <row r="1371" spans="1:11">
      <c r="A1371" t="s">
        <v>4145</v>
      </c>
      <c r="J1371" t="s">
        <v>4146</v>
      </c>
      <c r="K1371" t="s">
        <v>4147</v>
      </c>
    </row>
    <row r="1372" spans="1:11">
      <c r="A1372" t="s">
        <v>4148</v>
      </c>
      <c r="J1372" t="s">
        <v>4149</v>
      </c>
      <c r="K1372" t="s">
        <v>4150</v>
      </c>
    </row>
    <row r="1373" spans="1:11">
      <c r="A1373" t="s">
        <v>4151</v>
      </c>
      <c r="J1373" t="s">
        <v>4152</v>
      </c>
      <c r="K1373" t="s">
        <v>4153</v>
      </c>
    </row>
    <row r="1374" spans="1:11">
      <c r="A1374" t="s">
        <v>4154</v>
      </c>
      <c r="J1374" t="s">
        <v>4155</v>
      </c>
      <c r="K1374" t="s">
        <v>4156</v>
      </c>
    </row>
    <row r="1375" spans="1:11">
      <c r="A1375" t="s">
        <v>4157</v>
      </c>
      <c r="J1375" t="s">
        <v>4158</v>
      </c>
      <c r="K1375" t="s">
        <v>4159</v>
      </c>
    </row>
    <row r="1376" spans="1:11">
      <c r="A1376" t="s">
        <v>4160</v>
      </c>
      <c r="J1376" t="s">
        <v>4161</v>
      </c>
      <c r="K1376" t="s">
        <v>4162</v>
      </c>
    </row>
    <row r="1377" spans="1:11">
      <c r="A1377" t="s">
        <v>4163</v>
      </c>
      <c r="J1377" t="s">
        <v>4164</v>
      </c>
      <c r="K1377" t="s">
        <v>4165</v>
      </c>
    </row>
    <row r="1378" spans="1:11">
      <c r="A1378" t="s">
        <v>4166</v>
      </c>
      <c r="J1378" t="s">
        <v>4167</v>
      </c>
      <c r="K1378" t="s">
        <v>4168</v>
      </c>
    </row>
    <row r="1379" spans="1:11">
      <c r="A1379" t="s">
        <v>4169</v>
      </c>
      <c r="J1379" t="s">
        <v>4170</v>
      </c>
      <c r="K1379" t="s">
        <v>4171</v>
      </c>
    </row>
    <row r="1380" spans="1:11">
      <c r="A1380" t="s">
        <v>4172</v>
      </c>
      <c r="J1380" t="s">
        <v>4173</v>
      </c>
      <c r="K1380" t="s">
        <v>4174</v>
      </c>
    </row>
    <row r="1381" spans="1:11">
      <c r="A1381" t="s">
        <v>4175</v>
      </c>
      <c r="J1381" t="s">
        <v>4176</v>
      </c>
      <c r="K1381" t="s">
        <v>4177</v>
      </c>
    </row>
    <row r="1382" spans="1:11">
      <c r="A1382" t="s">
        <v>4178</v>
      </c>
      <c r="J1382" t="s">
        <v>4179</v>
      </c>
      <c r="K1382" t="s">
        <v>4180</v>
      </c>
    </row>
    <row r="1383" spans="1:11">
      <c r="A1383" t="s">
        <v>4181</v>
      </c>
      <c r="J1383" t="s">
        <v>4182</v>
      </c>
      <c r="K1383" t="s">
        <v>4183</v>
      </c>
    </row>
    <row r="1384" spans="1:11">
      <c r="A1384" t="s">
        <v>4184</v>
      </c>
      <c r="J1384" t="s">
        <v>4185</v>
      </c>
      <c r="K1384" t="s">
        <v>4186</v>
      </c>
    </row>
    <row r="1385" spans="1:11">
      <c r="A1385" t="s">
        <v>4187</v>
      </c>
      <c r="J1385" t="s">
        <v>4188</v>
      </c>
      <c r="K1385" t="s">
        <v>4189</v>
      </c>
    </row>
    <row r="1386" spans="1:11">
      <c r="A1386" t="s">
        <v>4190</v>
      </c>
      <c r="J1386" t="s">
        <v>4191</v>
      </c>
      <c r="K1386" t="s">
        <v>4192</v>
      </c>
    </row>
    <row r="1387" spans="1:11">
      <c r="A1387" t="s">
        <v>4193</v>
      </c>
      <c r="J1387" t="s">
        <v>4194</v>
      </c>
      <c r="K1387" t="s">
        <v>4195</v>
      </c>
    </row>
    <row r="1388" spans="1:11">
      <c r="A1388" t="s">
        <v>4196</v>
      </c>
      <c r="J1388" t="s">
        <v>4197</v>
      </c>
      <c r="K1388" t="s">
        <v>4198</v>
      </c>
    </row>
    <row r="1389" spans="1:11">
      <c r="A1389" t="s">
        <v>4199</v>
      </c>
      <c r="J1389" t="s">
        <v>4200</v>
      </c>
      <c r="K1389" t="s">
        <v>4201</v>
      </c>
    </row>
    <row r="1390" spans="1:11">
      <c r="A1390" t="s">
        <v>4202</v>
      </c>
      <c r="J1390" t="s">
        <v>4203</v>
      </c>
      <c r="K1390" t="s">
        <v>4204</v>
      </c>
    </row>
    <row r="1391" spans="1:11">
      <c r="A1391" t="s">
        <v>4205</v>
      </c>
      <c r="J1391" t="s">
        <v>4206</v>
      </c>
      <c r="K1391" t="s">
        <v>4207</v>
      </c>
    </row>
    <row r="1392" spans="1:11">
      <c r="A1392" t="s">
        <v>4208</v>
      </c>
      <c r="J1392" t="s">
        <v>4209</v>
      </c>
      <c r="K1392" t="s">
        <v>4210</v>
      </c>
    </row>
    <row r="1393" spans="1:11">
      <c r="A1393" t="s">
        <v>4211</v>
      </c>
      <c r="J1393" t="s">
        <v>4212</v>
      </c>
      <c r="K1393" t="s">
        <v>4213</v>
      </c>
    </row>
    <row r="1394" spans="1:11">
      <c r="A1394" t="s">
        <v>4214</v>
      </c>
      <c r="J1394" t="s">
        <v>4215</v>
      </c>
      <c r="K1394" t="s">
        <v>4216</v>
      </c>
    </row>
    <row r="1395" spans="1:11">
      <c r="A1395" t="s">
        <v>4217</v>
      </c>
      <c r="J1395" t="s">
        <v>4218</v>
      </c>
      <c r="K1395" t="s">
        <v>4219</v>
      </c>
    </row>
    <row r="1396" spans="1:11">
      <c r="A1396" t="s">
        <v>4220</v>
      </c>
      <c r="J1396" t="s">
        <v>4221</v>
      </c>
      <c r="K1396" t="s">
        <v>4222</v>
      </c>
    </row>
    <row r="1397" spans="1:11">
      <c r="A1397" t="s">
        <v>4223</v>
      </c>
      <c r="J1397" t="s">
        <v>4224</v>
      </c>
      <c r="K1397" t="s">
        <v>4225</v>
      </c>
    </row>
    <row r="1398" spans="1:11">
      <c r="A1398" t="s">
        <v>4226</v>
      </c>
      <c r="J1398" t="s">
        <v>4227</v>
      </c>
      <c r="K1398" t="s">
        <v>4228</v>
      </c>
    </row>
    <row r="1399" spans="1:11">
      <c r="A1399" t="s">
        <v>4229</v>
      </c>
      <c r="J1399" t="s">
        <v>4230</v>
      </c>
      <c r="K1399" t="s">
        <v>4231</v>
      </c>
    </row>
    <row r="1400" spans="1:11">
      <c r="A1400" t="s">
        <v>4232</v>
      </c>
      <c r="J1400" t="s">
        <v>4233</v>
      </c>
      <c r="K1400" t="s">
        <v>4234</v>
      </c>
    </row>
    <row r="1401" spans="1:11">
      <c r="A1401" t="s">
        <v>4235</v>
      </c>
      <c r="J1401" t="s">
        <v>4236</v>
      </c>
      <c r="K1401" t="s">
        <v>4237</v>
      </c>
    </row>
    <row r="1402" spans="1:11">
      <c r="A1402" t="s">
        <v>4238</v>
      </c>
      <c r="J1402" t="s">
        <v>4239</v>
      </c>
      <c r="K1402" t="s">
        <v>4240</v>
      </c>
    </row>
    <row r="1403" spans="1:11">
      <c r="A1403" t="s">
        <v>4241</v>
      </c>
      <c r="J1403" t="s">
        <v>4242</v>
      </c>
      <c r="K1403" t="s">
        <v>4243</v>
      </c>
    </row>
    <row r="1404" spans="1:11">
      <c r="A1404" t="s">
        <v>4244</v>
      </c>
      <c r="J1404" t="s">
        <v>4245</v>
      </c>
      <c r="K1404" t="s">
        <v>4246</v>
      </c>
    </row>
    <row r="1405" spans="1:11">
      <c r="A1405" t="s">
        <v>4247</v>
      </c>
      <c r="J1405" t="s">
        <v>4248</v>
      </c>
      <c r="K1405" t="s">
        <v>4249</v>
      </c>
    </row>
    <row r="1406" spans="1:11">
      <c r="A1406" t="s">
        <v>4250</v>
      </c>
      <c r="J1406" t="s">
        <v>4251</v>
      </c>
      <c r="K1406" t="s">
        <v>4252</v>
      </c>
    </row>
    <row r="1407" spans="1:11">
      <c r="A1407" t="s">
        <v>4253</v>
      </c>
      <c r="J1407" t="s">
        <v>4254</v>
      </c>
      <c r="K1407" t="s">
        <v>4255</v>
      </c>
    </row>
    <row r="1408" spans="1:11">
      <c r="A1408" t="s">
        <v>4256</v>
      </c>
      <c r="J1408" t="s">
        <v>4257</v>
      </c>
      <c r="K1408" t="s">
        <v>4258</v>
      </c>
    </row>
    <row r="1409" spans="1:11">
      <c r="A1409" t="s">
        <v>4259</v>
      </c>
      <c r="J1409" t="s">
        <v>4260</v>
      </c>
      <c r="K1409" t="s">
        <v>4261</v>
      </c>
    </row>
    <row r="1410" spans="1:11">
      <c r="A1410" t="s">
        <v>4262</v>
      </c>
      <c r="J1410" t="s">
        <v>4263</v>
      </c>
      <c r="K1410" t="s">
        <v>4264</v>
      </c>
    </row>
    <row r="1411" spans="1:11">
      <c r="A1411" t="s">
        <v>4265</v>
      </c>
      <c r="J1411" t="s">
        <v>4266</v>
      </c>
      <c r="K1411" t="s">
        <v>4267</v>
      </c>
    </row>
    <row r="1412" spans="1:11">
      <c r="A1412" t="s">
        <v>4268</v>
      </c>
      <c r="J1412" t="s">
        <v>4269</v>
      </c>
      <c r="K1412" t="s">
        <v>4270</v>
      </c>
    </row>
    <row r="1413" spans="1:11">
      <c r="A1413" t="s">
        <v>4271</v>
      </c>
      <c r="J1413" t="s">
        <v>4272</v>
      </c>
      <c r="K1413" t="s">
        <v>4273</v>
      </c>
    </row>
    <row r="1414" spans="1:11">
      <c r="A1414" t="s">
        <v>4274</v>
      </c>
      <c r="J1414" t="s">
        <v>4275</v>
      </c>
      <c r="K1414" t="s">
        <v>4276</v>
      </c>
    </row>
    <row r="1415" spans="1:11">
      <c r="A1415" t="s">
        <v>4277</v>
      </c>
      <c r="J1415" t="s">
        <v>4278</v>
      </c>
      <c r="K1415" t="s">
        <v>4279</v>
      </c>
    </row>
    <row r="1416" spans="1:11">
      <c r="A1416" t="s">
        <v>4280</v>
      </c>
      <c r="J1416" t="s">
        <v>4281</v>
      </c>
      <c r="K1416" t="s">
        <v>4282</v>
      </c>
    </row>
    <row r="1417" spans="1:11">
      <c r="A1417" t="s">
        <v>4283</v>
      </c>
      <c r="J1417" t="s">
        <v>4284</v>
      </c>
      <c r="K1417" t="s">
        <v>4285</v>
      </c>
    </row>
    <row r="1418" spans="1:11">
      <c r="A1418" t="s">
        <v>4286</v>
      </c>
      <c r="J1418" t="s">
        <v>4287</v>
      </c>
      <c r="K1418" t="s">
        <v>4288</v>
      </c>
    </row>
    <row r="1419" spans="1:11">
      <c r="A1419" t="s">
        <v>4289</v>
      </c>
      <c r="J1419" t="s">
        <v>4290</v>
      </c>
      <c r="K1419" t="s">
        <v>4291</v>
      </c>
    </row>
    <row r="1420" spans="1:11">
      <c r="A1420" t="s">
        <v>4292</v>
      </c>
      <c r="J1420" t="s">
        <v>4293</v>
      </c>
      <c r="K1420" t="s">
        <v>4294</v>
      </c>
    </row>
    <row r="1421" spans="1:11">
      <c r="A1421" t="s">
        <v>4295</v>
      </c>
      <c r="J1421" t="s">
        <v>4296</v>
      </c>
      <c r="K1421" t="s">
        <v>4297</v>
      </c>
    </row>
    <row r="1422" spans="1:11">
      <c r="A1422" t="s">
        <v>4298</v>
      </c>
      <c r="J1422" t="s">
        <v>4299</v>
      </c>
      <c r="K1422" t="s">
        <v>4300</v>
      </c>
    </row>
    <row r="1423" spans="1:11">
      <c r="A1423" t="s">
        <v>4301</v>
      </c>
      <c r="J1423" t="s">
        <v>4302</v>
      </c>
      <c r="K1423" t="s">
        <v>4303</v>
      </c>
    </row>
    <row r="1424" spans="1:11">
      <c r="A1424" t="s">
        <v>4304</v>
      </c>
      <c r="J1424" t="s">
        <v>4305</v>
      </c>
      <c r="K1424" t="s">
        <v>4306</v>
      </c>
    </row>
    <row r="1425" spans="1:11">
      <c r="A1425" t="s">
        <v>4307</v>
      </c>
      <c r="J1425" t="s">
        <v>4308</v>
      </c>
      <c r="K1425" t="s">
        <v>4309</v>
      </c>
    </row>
    <row r="1426" spans="1:11">
      <c r="A1426" t="s">
        <v>4310</v>
      </c>
      <c r="J1426" t="s">
        <v>4311</v>
      </c>
      <c r="K1426" t="s">
        <v>4312</v>
      </c>
    </row>
    <row r="1427" spans="1:11">
      <c r="A1427" t="s">
        <v>4313</v>
      </c>
      <c r="J1427" t="s">
        <v>4314</v>
      </c>
      <c r="K1427" t="s">
        <v>4315</v>
      </c>
    </row>
    <row r="1428" spans="1:11">
      <c r="A1428" t="s">
        <v>4316</v>
      </c>
      <c r="J1428" t="s">
        <v>4317</v>
      </c>
      <c r="K1428" t="s">
        <v>4318</v>
      </c>
    </row>
    <row r="1429" spans="1:11">
      <c r="A1429" t="s">
        <v>4319</v>
      </c>
      <c r="J1429" t="s">
        <v>4320</v>
      </c>
      <c r="K1429" t="s">
        <v>4321</v>
      </c>
    </row>
    <row r="1430" spans="1:11">
      <c r="A1430" t="s">
        <v>4322</v>
      </c>
      <c r="J1430" t="s">
        <v>4323</v>
      </c>
      <c r="K1430" t="s">
        <v>4324</v>
      </c>
    </row>
    <row r="1431" spans="1:11">
      <c r="A1431" t="s">
        <v>4325</v>
      </c>
      <c r="J1431" t="s">
        <v>4326</v>
      </c>
      <c r="K1431" t="s">
        <v>4327</v>
      </c>
    </row>
    <row r="1432" spans="1:11">
      <c r="A1432" t="s">
        <v>4328</v>
      </c>
      <c r="J1432" t="s">
        <v>4329</v>
      </c>
      <c r="K1432" t="s">
        <v>4330</v>
      </c>
    </row>
    <row r="1433" spans="1:11">
      <c r="A1433" t="s">
        <v>4331</v>
      </c>
      <c r="J1433" t="s">
        <v>4332</v>
      </c>
      <c r="K1433" t="s">
        <v>4333</v>
      </c>
    </row>
    <row r="1434" spans="1:11">
      <c r="A1434" t="s">
        <v>4334</v>
      </c>
      <c r="J1434" t="s">
        <v>4335</v>
      </c>
      <c r="K1434" t="s">
        <v>4336</v>
      </c>
    </row>
    <row r="1435" spans="1:11">
      <c r="A1435" t="s">
        <v>4337</v>
      </c>
      <c r="J1435" t="s">
        <v>4338</v>
      </c>
      <c r="K1435" t="s">
        <v>4339</v>
      </c>
    </row>
    <row r="1436" spans="1:11">
      <c r="A1436" t="s">
        <v>4340</v>
      </c>
      <c r="J1436" t="s">
        <v>4341</v>
      </c>
      <c r="K1436" t="s">
        <v>4342</v>
      </c>
    </row>
    <row r="1437" spans="1:11">
      <c r="A1437" t="s">
        <v>4343</v>
      </c>
      <c r="J1437" t="s">
        <v>4344</v>
      </c>
      <c r="K1437" t="s">
        <v>4345</v>
      </c>
    </row>
    <row r="1438" spans="1:11">
      <c r="A1438" t="s">
        <v>4346</v>
      </c>
      <c r="J1438" t="s">
        <v>4347</v>
      </c>
      <c r="K1438" t="s">
        <v>4348</v>
      </c>
    </row>
    <row r="1439" spans="1:11">
      <c r="A1439" t="s">
        <v>4349</v>
      </c>
      <c r="J1439" t="s">
        <v>4350</v>
      </c>
      <c r="K1439" t="s">
        <v>4351</v>
      </c>
    </row>
    <row r="1440" spans="1:11">
      <c r="A1440" t="s">
        <v>4352</v>
      </c>
      <c r="J1440" t="s">
        <v>4353</v>
      </c>
      <c r="K1440" t="s">
        <v>4354</v>
      </c>
    </row>
    <row r="1441" spans="1:11">
      <c r="A1441" t="s">
        <v>4355</v>
      </c>
      <c r="J1441" t="s">
        <v>4356</v>
      </c>
      <c r="K1441" t="s">
        <v>4357</v>
      </c>
    </row>
    <row r="1442" spans="1:11">
      <c r="A1442" t="s">
        <v>4358</v>
      </c>
      <c r="J1442" t="s">
        <v>4359</v>
      </c>
      <c r="K1442" t="s">
        <v>4360</v>
      </c>
    </row>
    <row r="1443" spans="1:11">
      <c r="A1443" t="s">
        <v>4361</v>
      </c>
      <c r="J1443" t="s">
        <v>4362</v>
      </c>
      <c r="K1443" t="s">
        <v>4363</v>
      </c>
    </row>
    <row r="1444" spans="1:11">
      <c r="A1444" t="s">
        <v>4364</v>
      </c>
      <c r="J1444" t="s">
        <v>4365</v>
      </c>
      <c r="K1444" t="s">
        <v>4366</v>
      </c>
    </row>
    <row r="1445" spans="1:11">
      <c r="A1445" t="s">
        <v>4367</v>
      </c>
      <c r="J1445" t="s">
        <v>4368</v>
      </c>
      <c r="K1445" t="s">
        <v>4369</v>
      </c>
    </row>
    <row r="1446" spans="1:11">
      <c r="A1446" t="s">
        <v>4370</v>
      </c>
      <c r="J1446" t="s">
        <v>4371</v>
      </c>
      <c r="K1446" t="s">
        <v>4372</v>
      </c>
    </row>
    <row r="1447" spans="1:11">
      <c r="A1447" t="s">
        <v>4373</v>
      </c>
      <c r="J1447" t="s">
        <v>4374</v>
      </c>
      <c r="K1447" t="s">
        <v>4375</v>
      </c>
    </row>
    <row r="1448" spans="1:11">
      <c r="A1448" t="s">
        <v>4376</v>
      </c>
      <c r="J1448" t="s">
        <v>4377</v>
      </c>
      <c r="K1448" t="s">
        <v>4378</v>
      </c>
    </row>
    <row r="1449" spans="1:11">
      <c r="A1449" t="s">
        <v>4379</v>
      </c>
      <c r="J1449" t="s">
        <v>4380</v>
      </c>
      <c r="K1449" t="s">
        <v>4381</v>
      </c>
    </row>
    <row r="1450" spans="1:11">
      <c r="A1450" t="s">
        <v>4382</v>
      </c>
      <c r="J1450" t="s">
        <v>4383</v>
      </c>
      <c r="K1450" t="s">
        <v>4384</v>
      </c>
    </row>
    <row r="1451" spans="1:11">
      <c r="A1451" t="s">
        <v>4385</v>
      </c>
      <c r="J1451" t="s">
        <v>4386</v>
      </c>
      <c r="K1451" t="s">
        <v>4387</v>
      </c>
    </row>
    <row r="1452" spans="1:11">
      <c r="A1452" t="s">
        <v>4388</v>
      </c>
      <c r="J1452" t="s">
        <v>4389</v>
      </c>
      <c r="K1452" t="s">
        <v>4390</v>
      </c>
    </row>
    <row r="1453" spans="1:11">
      <c r="A1453" t="s">
        <v>4391</v>
      </c>
      <c r="J1453" t="s">
        <v>4392</v>
      </c>
      <c r="K1453" t="s">
        <v>4393</v>
      </c>
    </row>
    <row r="1454" spans="1:11">
      <c r="A1454" t="s">
        <v>4394</v>
      </c>
      <c r="J1454" t="s">
        <v>4395</v>
      </c>
      <c r="K1454" t="s">
        <v>4396</v>
      </c>
    </row>
    <row r="1455" spans="1:11">
      <c r="A1455" t="s">
        <v>4397</v>
      </c>
      <c r="J1455" t="s">
        <v>4398</v>
      </c>
      <c r="K1455" t="s">
        <v>4399</v>
      </c>
    </row>
    <row r="1456" spans="1:11">
      <c r="A1456" t="s">
        <v>4400</v>
      </c>
      <c r="J1456" t="s">
        <v>4401</v>
      </c>
      <c r="K1456" t="s">
        <v>4402</v>
      </c>
    </row>
    <row r="1457" spans="1:11">
      <c r="A1457" t="s">
        <v>4403</v>
      </c>
      <c r="J1457" t="s">
        <v>4404</v>
      </c>
      <c r="K1457" t="s">
        <v>4405</v>
      </c>
    </row>
    <row r="1458" spans="1:11">
      <c r="A1458" t="s">
        <v>4406</v>
      </c>
      <c r="J1458" t="s">
        <v>4407</v>
      </c>
      <c r="K1458" t="s">
        <v>4408</v>
      </c>
    </row>
    <row r="1459" spans="1:11">
      <c r="A1459" t="s">
        <v>4409</v>
      </c>
      <c r="J1459" t="s">
        <v>4410</v>
      </c>
      <c r="K1459" t="s">
        <v>4411</v>
      </c>
    </row>
    <row r="1460" spans="1:11">
      <c r="A1460" t="s">
        <v>4412</v>
      </c>
      <c r="J1460" t="s">
        <v>4413</v>
      </c>
      <c r="K1460" t="s">
        <v>4414</v>
      </c>
    </row>
    <row r="1461" spans="1:11">
      <c r="A1461" t="s">
        <v>4415</v>
      </c>
      <c r="J1461" t="s">
        <v>4416</v>
      </c>
      <c r="K1461" t="s">
        <v>4417</v>
      </c>
    </row>
    <row r="1462" spans="1:11">
      <c r="A1462" t="s">
        <v>4418</v>
      </c>
      <c r="J1462" t="s">
        <v>4419</v>
      </c>
      <c r="K1462" t="s">
        <v>4420</v>
      </c>
    </row>
    <row r="1463" spans="1:11">
      <c r="A1463" t="s">
        <v>4421</v>
      </c>
      <c r="J1463" t="s">
        <v>4422</v>
      </c>
      <c r="K1463" t="s">
        <v>4423</v>
      </c>
    </row>
    <row r="1464" spans="1:11">
      <c r="A1464" t="s">
        <v>4424</v>
      </c>
      <c r="J1464" t="s">
        <v>4425</v>
      </c>
      <c r="K1464" t="s">
        <v>4426</v>
      </c>
    </row>
    <row r="1465" spans="1:11">
      <c r="A1465" t="s">
        <v>4427</v>
      </c>
      <c r="J1465" t="s">
        <v>4428</v>
      </c>
      <c r="K1465" t="s">
        <v>4429</v>
      </c>
    </row>
    <row r="1466" spans="1:11">
      <c r="A1466" t="s">
        <v>4430</v>
      </c>
      <c r="J1466" t="s">
        <v>4431</v>
      </c>
      <c r="K1466" t="s">
        <v>4432</v>
      </c>
    </row>
    <row r="1467" spans="1:11">
      <c r="A1467" t="s">
        <v>4433</v>
      </c>
      <c r="J1467" t="s">
        <v>4434</v>
      </c>
      <c r="K1467" t="s">
        <v>4435</v>
      </c>
    </row>
    <row r="1468" spans="1:11">
      <c r="A1468" t="s">
        <v>4436</v>
      </c>
      <c r="J1468" t="s">
        <v>4437</v>
      </c>
      <c r="K1468" t="s">
        <v>4438</v>
      </c>
    </row>
    <row r="1469" spans="1:11">
      <c r="A1469" t="s">
        <v>4439</v>
      </c>
      <c r="J1469" t="s">
        <v>4440</v>
      </c>
      <c r="K1469" t="s">
        <v>4441</v>
      </c>
    </row>
    <row r="1470" spans="1:11">
      <c r="A1470" t="s">
        <v>4442</v>
      </c>
      <c r="J1470" t="s">
        <v>4443</v>
      </c>
      <c r="K1470" t="s">
        <v>4444</v>
      </c>
    </row>
    <row r="1471" spans="1:11">
      <c r="A1471" t="s">
        <v>4445</v>
      </c>
      <c r="J1471" t="s">
        <v>4446</v>
      </c>
      <c r="K1471" t="s">
        <v>4447</v>
      </c>
    </row>
    <row r="1472" spans="1:11">
      <c r="A1472" t="s">
        <v>4448</v>
      </c>
      <c r="J1472" t="s">
        <v>4449</v>
      </c>
      <c r="K1472" t="s">
        <v>4450</v>
      </c>
    </row>
    <row r="1473" spans="1:11">
      <c r="A1473" t="s">
        <v>4451</v>
      </c>
      <c r="J1473" t="s">
        <v>4452</v>
      </c>
      <c r="K1473" t="s">
        <v>4453</v>
      </c>
    </row>
    <row r="1474" spans="1:11">
      <c r="A1474" t="s">
        <v>4454</v>
      </c>
      <c r="J1474" t="s">
        <v>4455</v>
      </c>
      <c r="K1474" t="s">
        <v>4456</v>
      </c>
    </row>
    <row r="1475" spans="1:11">
      <c r="A1475" t="s">
        <v>4457</v>
      </c>
      <c r="J1475" t="s">
        <v>4458</v>
      </c>
      <c r="K1475" t="s">
        <v>4459</v>
      </c>
    </row>
    <row r="1476" spans="1:11">
      <c r="A1476" t="s">
        <v>4460</v>
      </c>
      <c r="J1476" t="s">
        <v>4461</v>
      </c>
      <c r="K1476" t="s">
        <v>4462</v>
      </c>
    </row>
    <row r="1477" spans="1:11">
      <c r="A1477" t="s">
        <v>4463</v>
      </c>
      <c r="J1477" t="s">
        <v>4464</v>
      </c>
      <c r="K1477" t="s">
        <v>4465</v>
      </c>
    </row>
    <row r="1478" spans="1:11">
      <c r="A1478" t="s">
        <v>4466</v>
      </c>
      <c r="J1478" t="s">
        <v>4467</v>
      </c>
      <c r="K1478" t="s">
        <v>4468</v>
      </c>
    </row>
    <row r="1479" spans="1:11">
      <c r="A1479" t="s">
        <v>4469</v>
      </c>
      <c r="J1479" t="s">
        <v>4470</v>
      </c>
      <c r="K1479" t="s">
        <v>4471</v>
      </c>
    </row>
    <row r="1480" spans="1:11">
      <c r="A1480" t="s">
        <v>4472</v>
      </c>
      <c r="J1480" t="s">
        <v>4473</v>
      </c>
      <c r="K1480" t="s">
        <v>4474</v>
      </c>
    </row>
    <row r="1481" spans="1:11">
      <c r="A1481" t="s">
        <v>4475</v>
      </c>
      <c r="J1481" t="s">
        <v>4476</v>
      </c>
      <c r="K1481" t="s">
        <v>4477</v>
      </c>
    </row>
    <row r="1482" spans="1:11">
      <c r="A1482" t="s">
        <v>4478</v>
      </c>
      <c r="J1482" t="s">
        <v>4479</v>
      </c>
      <c r="K1482" t="s">
        <v>4480</v>
      </c>
    </row>
    <row r="1483" spans="1:11">
      <c r="A1483" t="s">
        <v>4481</v>
      </c>
      <c r="J1483" t="s">
        <v>4482</v>
      </c>
      <c r="K1483" t="s">
        <v>4483</v>
      </c>
    </row>
    <row r="1484" spans="1:11">
      <c r="A1484" t="s">
        <v>4484</v>
      </c>
      <c r="J1484" t="s">
        <v>4485</v>
      </c>
      <c r="K1484" t="s">
        <v>4486</v>
      </c>
    </row>
    <row r="1485" spans="1:11">
      <c r="A1485" t="s">
        <v>4487</v>
      </c>
      <c r="J1485" t="s">
        <v>4488</v>
      </c>
      <c r="K1485" t="s">
        <v>4489</v>
      </c>
    </row>
    <row r="1486" spans="1:11">
      <c r="A1486" t="s">
        <v>4490</v>
      </c>
      <c r="J1486" t="s">
        <v>4491</v>
      </c>
      <c r="K1486" t="s">
        <v>4492</v>
      </c>
    </row>
    <row r="1487" spans="1:11">
      <c r="A1487" t="s">
        <v>4493</v>
      </c>
      <c r="J1487" t="s">
        <v>4494</v>
      </c>
      <c r="K1487" t="s">
        <v>4495</v>
      </c>
    </row>
    <row r="1488" spans="1:11">
      <c r="A1488" t="s">
        <v>4496</v>
      </c>
      <c r="J1488" t="s">
        <v>4497</v>
      </c>
      <c r="K1488" t="s">
        <v>4498</v>
      </c>
    </row>
    <row r="1489" spans="1:11">
      <c r="A1489" t="s">
        <v>4499</v>
      </c>
      <c r="J1489" t="s">
        <v>4500</v>
      </c>
      <c r="K1489" t="s">
        <v>4501</v>
      </c>
    </row>
    <row r="1490" spans="1:11">
      <c r="A1490" t="s">
        <v>4502</v>
      </c>
      <c r="J1490" t="s">
        <v>4503</v>
      </c>
      <c r="K1490" t="s">
        <v>4504</v>
      </c>
    </row>
    <row r="1491" spans="1:11">
      <c r="A1491" t="s">
        <v>4505</v>
      </c>
      <c r="J1491" t="s">
        <v>4506</v>
      </c>
      <c r="K1491" t="s">
        <v>4507</v>
      </c>
    </row>
    <row r="1492" spans="1:11">
      <c r="A1492" t="s">
        <v>4508</v>
      </c>
      <c r="J1492" t="s">
        <v>4509</v>
      </c>
      <c r="K1492" t="s">
        <v>4510</v>
      </c>
    </row>
    <row r="1493" spans="1:11">
      <c r="A1493" t="s">
        <v>4511</v>
      </c>
      <c r="J1493" t="s">
        <v>4512</v>
      </c>
      <c r="K1493" t="s">
        <v>4513</v>
      </c>
    </row>
    <row r="1494" spans="1:11">
      <c r="A1494" t="s">
        <v>4514</v>
      </c>
      <c r="J1494" t="s">
        <v>4515</v>
      </c>
      <c r="K1494" t="s">
        <v>4516</v>
      </c>
    </row>
    <row r="1495" spans="1:11">
      <c r="A1495" t="s">
        <v>4517</v>
      </c>
      <c r="J1495" t="s">
        <v>4518</v>
      </c>
      <c r="K1495" t="s">
        <v>4519</v>
      </c>
    </row>
    <row r="1496" spans="1:11">
      <c r="A1496" t="s">
        <v>4520</v>
      </c>
      <c r="J1496" t="s">
        <v>4521</v>
      </c>
      <c r="K1496" t="s">
        <v>4522</v>
      </c>
    </row>
    <row r="1497" spans="1:11">
      <c r="A1497" t="s">
        <v>4523</v>
      </c>
      <c r="J1497" t="s">
        <v>4524</v>
      </c>
      <c r="K1497" t="s">
        <v>4525</v>
      </c>
    </row>
    <row r="1498" spans="1:11">
      <c r="A1498" t="s">
        <v>4526</v>
      </c>
      <c r="J1498" t="s">
        <v>4527</v>
      </c>
      <c r="K1498" t="s">
        <v>4528</v>
      </c>
    </row>
    <row r="1499" spans="1:11">
      <c r="A1499" t="s">
        <v>4529</v>
      </c>
      <c r="J1499" t="s">
        <v>4530</v>
      </c>
      <c r="K1499" t="s">
        <v>4531</v>
      </c>
    </row>
    <row r="1500" spans="1:11">
      <c r="A1500" t="s">
        <v>4532</v>
      </c>
      <c r="J1500" t="s">
        <v>4533</v>
      </c>
      <c r="K1500" t="s">
        <v>4534</v>
      </c>
    </row>
    <row r="1501" spans="1:11">
      <c r="A1501" t="s">
        <v>4535</v>
      </c>
      <c r="J1501" t="s">
        <v>4536</v>
      </c>
      <c r="K1501" t="s">
        <v>4537</v>
      </c>
    </row>
    <row r="1502" spans="1:11">
      <c r="A1502" t="s">
        <v>4538</v>
      </c>
      <c r="J1502" t="s">
        <v>4539</v>
      </c>
      <c r="K1502" t="s">
        <v>4540</v>
      </c>
    </row>
    <row r="1503" spans="1:11">
      <c r="A1503" t="s">
        <v>4541</v>
      </c>
      <c r="J1503" t="s">
        <v>4542</v>
      </c>
      <c r="K1503" t="s">
        <v>4543</v>
      </c>
    </row>
    <row r="1504" spans="1:11">
      <c r="A1504" t="s">
        <v>4544</v>
      </c>
      <c r="J1504" t="s">
        <v>4545</v>
      </c>
      <c r="K1504" t="s">
        <v>4546</v>
      </c>
    </row>
    <row r="1505" spans="1:11">
      <c r="A1505" t="s">
        <v>4547</v>
      </c>
      <c r="J1505" t="s">
        <v>4548</v>
      </c>
      <c r="K1505" t="s">
        <v>4549</v>
      </c>
    </row>
    <row r="1506" spans="1:11">
      <c r="A1506" t="s">
        <v>4550</v>
      </c>
      <c r="J1506" t="s">
        <v>4551</v>
      </c>
      <c r="K1506" t="s">
        <v>4552</v>
      </c>
    </row>
    <row r="1507" spans="1:11">
      <c r="A1507" t="s">
        <v>4553</v>
      </c>
      <c r="J1507" t="s">
        <v>4554</v>
      </c>
      <c r="K1507" t="s">
        <v>4555</v>
      </c>
    </row>
    <row r="1508" spans="1:11">
      <c r="A1508" t="s">
        <v>4556</v>
      </c>
      <c r="J1508" t="s">
        <v>4557</v>
      </c>
      <c r="K1508" t="s">
        <v>4558</v>
      </c>
    </row>
    <row r="1509" spans="1:11">
      <c r="A1509" t="s">
        <v>4559</v>
      </c>
      <c r="J1509" t="s">
        <v>4560</v>
      </c>
      <c r="K1509" t="s">
        <v>4561</v>
      </c>
    </row>
    <row r="1510" spans="1:11">
      <c r="A1510" t="s">
        <v>4562</v>
      </c>
      <c r="J1510" t="s">
        <v>4563</v>
      </c>
      <c r="K1510" t="s">
        <v>4564</v>
      </c>
    </row>
    <row r="1511" spans="1:11">
      <c r="A1511" t="s">
        <v>4565</v>
      </c>
      <c r="J1511" t="s">
        <v>4566</v>
      </c>
      <c r="K1511" t="s">
        <v>4567</v>
      </c>
    </row>
    <row r="1512" spans="1:11">
      <c r="A1512" t="s">
        <v>4568</v>
      </c>
      <c r="J1512" t="s">
        <v>4569</v>
      </c>
      <c r="K1512" t="s">
        <v>4570</v>
      </c>
    </row>
    <row r="1513" spans="1:11">
      <c r="A1513" t="s">
        <v>4571</v>
      </c>
      <c r="J1513" t="s">
        <v>4572</v>
      </c>
      <c r="K1513" t="s">
        <v>4573</v>
      </c>
    </row>
    <row r="1514" spans="1:11">
      <c r="A1514" t="s">
        <v>4574</v>
      </c>
      <c r="J1514" t="s">
        <v>4575</v>
      </c>
      <c r="K1514" t="s">
        <v>4576</v>
      </c>
    </row>
    <row r="1515" spans="1:11">
      <c r="A1515" t="s">
        <v>4577</v>
      </c>
      <c r="J1515" t="s">
        <v>4578</v>
      </c>
      <c r="K1515" t="s">
        <v>4579</v>
      </c>
    </row>
    <row r="1516" spans="1:11">
      <c r="A1516" t="s">
        <v>4580</v>
      </c>
      <c r="J1516" t="s">
        <v>4581</v>
      </c>
      <c r="K1516" t="s">
        <v>4582</v>
      </c>
    </row>
    <row r="1517" spans="1:11">
      <c r="A1517" t="s">
        <v>4583</v>
      </c>
      <c r="J1517" t="s">
        <v>4584</v>
      </c>
      <c r="K1517" t="s">
        <v>4585</v>
      </c>
    </row>
    <row r="1518" spans="1:11">
      <c r="A1518" t="s">
        <v>4586</v>
      </c>
      <c r="J1518" t="s">
        <v>4587</v>
      </c>
      <c r="K1518" t="s">
        <v>4588</v>
      </c>
    </row>
    <row r="1519" spans="1:11">
      <c r="A1519" t="s">
        <v>4589</v>
      </c>
      <c r="J1519" t="s">
        <v>4590</v>
      </c>
      <c r="K1519" t="s">
        <v>4591</v>
      </c>
    </row>
    <row r="1520" spans="1:11">
      <c r="A1520" t="s">
        <v>4592</v>
      </c>
      <c r="J1520" t="s">
        <v>4593</v>
      </c>
      <c r="K1520" t="s">
        <v>4594</v>
      </c>
    </row>
    <row r="1521" spans="1:11">
      <c r="A1521" t="s">
        <v>4595</v>
      </c>
      <c r="J1521" t="s">
        <v>4596</v>
      </c>
      <c r="K1521" t="s">
        <v>4597</v>
      </c>
    </row>
    <row r="1522" spans="1:11">
      <c r="A1522" t="s">
        <v>4598</v>
      </c>
      <c r="J1522" t="s">
        <v>4599</v>
      </c>
      <c r="K1522" t="s">
        <v>4600</v>
      </c>
    </row>
    <row r="1523" spans="1:11">
      <c r="A1523" t="s">
        <v>4601</v>
      </c>
      <c r="J1523" t="s">
        <v>4602</v>
      </c>
      <c r="K1523" t="s">
        <v>4603</v>
      </c>
    </row>
    <row r="1524" spans="1:11">
      <c r="A1524" t="s">
        <v>4604</v>
      </c>
      <c r="J1524" t="s">
        <v>4605</v>
      </c>
      <c r="K1524" t="s">
        <v>4606</v>
      </c>
    </row>
    <row r="1525" spans="1:11">
      <c r="A1525" t="s">
        <v>4607</v>
      </c>
      <c r="J1525" t="s">
        <v>4608</v>
      </c>
      <c r="K1525" t="s">
        <v>4609</v>
      </c>
    </row>
    <row r="1526" spans="1:11">
      <c r="A1526" t="s">
        <v>4610</v>
      </c>
      <c r="J1526" t="s">
        <v>4611</v>
      </c>
      <c r="K1526" t="s">
        <v>4612</v>
      </c>
    </row>
    <row r="1527" spans="1:11">
      <c r="A1527" t="s">
        <v>4613</v>
      </c>
      <c r="J1527" t="s">
        <v>4614</v>
      </c>
      <c r="K1527" t="s">
        <v>4615</v>
      </c>
    </row>
    <row r="1528" spans="1:11">
      <c r="A1528" t="s">
        <v>4616</v>
      </c>
      <c r="J1528" t="s">
        <v>4617</v>
      </c>
      <c r="K1528" t="s">
        <v>4618</v>
      </c>
    </row>
    <row r="1529" spans="1:11">
      <c r="A1529" t="s">
        <v>4619</v>
      </c>
      <c r="J1529" t="s">
        <v>4620</v>
      </c>
      <c r="K1529" t="s">
        <v>4621</v>
      </c>
    </row>
    <row r="1530" spans="1:11">
      <c r="A1530" t="s">
        <v>4622</v>
      </c>
      <c r="J1530" t="s">
        <v>4623</v>
      </c>
      <c r="K1530" t="s">
        <v>4624</v>
      </c>
    </row>
    <row r="1531" spans="1:11">
      <c r="A1531" t="s">
        <v>4625</v>
      </c>
      <c r="J1531" t="s">
        <v>4626</v>
      </c>
      <c r="K1531" t="s">
        <v>4627</v>
      </c>
    </row>
    <row r="1532" spans="1:11">
      <c r="A1532" t="s">
        <v>4628</v>
      </c>
      <c r="J1532" t="s">
        <v>4629</v>
      </c>
      <c r="K1532" t="s">
        <v>4630</v>
      </c>
    </row>
    <row r="1533" spans="1:11">
      <c r="A1533" t="s">
        <v>4631</v>
      </c>
      <c r="J1533" t="s">
        <v>4632</v>
      </c>
      <c r="K1533" t="s">
        <v>4633</v>
      </c>
    </row>
    <row r="1534" spans="1:11">
      <c r="A1534" t="s">
        <v>4634</v>
      </c>
      <c r="J1534" t="s">
        <v>4635</v>
      </c>
      <c r="K1534" t="s">
        <v>4636</v>
      </c>
    </row>
    <row r="1535" spans="1:11">
      <c r="A1535" t="s">
        <v>4637</v>
      </c>
      <c r="J1535" t="s">
        <v>4638</v>
      </c>
      <c r="K1535" t="s">
        <v>4639</v>
      </c>
    </row>
    <row r="1536" spans="1:11">
      <c r="A1536" t="s">
        <v>4640</v>
      </c>
      <c r="J1536" t="s">
        <v>4641</v>
      </c>
      <c r="K1536" t="s">
        <v>4642</v>
      </c>
    </row>
    <row r="1537" spans="1:11">
      <c r="A1537" t="s">
        <v>4643</v>
      </c>
      <c r="J1537" t="s">
        <v>4644</v>
      </c>
      <c r="K1537" t="s">
        <v>4645</v>
      </c>
    </row>
    <row r="1538" spans="1:11">
      <c r="A1538" t="s">
        <v>4646</v>
      </c>
      <c r="J1538" t="s">
        <v>4647</v>
      </c>
      <c r="K1538" t="s">
        <v>4648</v>
      </c>
    </row>
    <row r="1539" spans="1:11">
      <c r="A1539" t="s">
        <v>4649</v>
      </c>
      <c r="J1539" t="s">
        <v>4650</v>
      </c>
      <c r="K1539" t="s">
        <v>4651</v>
      </c>
    </row>
    <row r="1540" spans="1:11">
      <c r="A1540" t="s">
        <v>4652</v>
      </c>
      <c r="J1540" t="s">
        <v>4653</v>
      </c>
      <c r="K1540" t="s">
        <v>4654</v>
      </c>
    </row>
    <row r="1541" spans="1:11">
      <c r="A1541" t="s">
        <v>4655</v>
      </c>
      <c r="J1541" t="s">
        <v>4656</v>
      </c>
      <c r="K1541" t="s">
        <v>4657</v>
      </c>
    </row>
    <row r="1542" spans="1:11">
      <c r="A1542" t="s">
        <v>4658</v>
      </c>
      <c r="J1542" t="s">
        <v>4659</v>
      </c>
      <c r="K1542" t="s">
        <v>4660</v>
      </c>
    </row>
    <row r="1543" spans="1:11">
      <c r="A1543" t="s">
        <v>4661</v>
      </c>
      <c r="J1543" t="s">
        <v>4662</v>
      </c>
      <c r="K1543" t="s">
        <v>4663</v>
      </c>
    </row>
    <row r="1544" spans="1:11">
      <c r="A1544" t="s">
        <v>4664</v>
      </c>
      <c r="J1544" t="s">
        <v>4665</v>
      </c>
      <c r="K1544" t="s">
        <v>4666</v>
      </c>
    </row>
    <row r="1545" spans="1:11">
      <c r="A1545" t="s">
        <v>4667</v>
      </c>
      <c r="J1545" t="s">
        <v>4668</v>
      </c>
      <c r="K1545" t="s">
        <v>4669</v>
      </c>
    </row>
    <row r="1546" spans="1:11">
      <c r="A1546" t="s">
        <v>4670</v>
      </c>
      <c r="J1546" t="s">
        <v>4671</v>
      </c>
      <c r="K1546" t="s">
        <v>4672</v>
      </c>
    </row>
    <row r="1547" spans="1:11">
      <c r="A1547" t="s">
        <v>4673</v>
      </c>
      <c r="J1547" t="s">
        <v>4674</v>
      </c>
      <c r="K1547" t="s">
        <v>4675</v>
      </c>
    </row>
    <row r="1548" spans="1:11">
      <c r="A1548" t="s">
        <v>4676</v>
      </c>
      <c r="J1548" t="s">
        <v>4677</v>
      </c>
      <c r="K1548" t="s">
        <v>4678</v>
      </c>
    </row>
    <row r="1549" spans="1:11">
      <c r="A1549" t="s">
        <v>4679</v>
      </c>
      <c r="J1549" t="s">
        <v>4680</v>
      </c>
      <c r="K1549" t="s">
        <v>4681</v>
      </c>
    </row>
    <row r="1550" spans="1:11">
      <c r="A1550" t="s">
        <v>4682</v>
      </c>
      <c r="J1550" t="s">
        <v>4683</v>
      </c>
      <c r="K1550" t="s">
        <v>4684</v>
      </c>
    </row>
    <row r="1551" spans="1:11">
      <c r="A1551" t="s">
        <v>4685</v>
      </c>
      <c r="J1551" t="s">
        <v>4686</v>
      </c>
      <c r="K1551" t="s">
        <v>4687</v>
      </c>
    </row>
    <row r="1552" spans="1:11">
      <c r="A1552" t="s">
        <v>4688</v>
      </c>
      <c r="J1552" t="s">
        <v>4689</v>
      </c>
      <c r="K1552" t="s">
        <v>4690</v>
      </c>
    </row>
    <row r="1553" spans="1:11">
      <c r="A1553" t="s">
        <v>4691</v>
      </c>
      <c r="J1553" t="s">
        <v>4692</v>
      </c>
      <c r="K1553" t="s">
        <v>4693</v>
      </c>
    </row>
    <row r="1554" spans="1:11">
      <c r="A1554" t="s">
        <v>4694</v>
      </c>
      <c r="J1554" t="s">
        <v>4695</v>
      </c>
      <c r="K1554" t="s">
        <v>4696</v>
      </c>
    </row>
    <row r="1555" spans="1:11">
      <c r="A1555" t="s">
        <v>4697</v>
      </c>
      <c r="J1555" t="s">
        <v>4698</v>
      </c>
      <c r="K1555" t="s">
        <v>4699</v>
      </c>
    </row>
    <row r="1556" spans="1:11">
      <c r="A1556" t="s">
        <v>4700</v>
      </c>
      <c r="J1556" t="s">
        <v>4701</v>
      </c>
      <c r="K1556" t="s">
        <v>4702</v>
      </c>
    </row>
    <row r="1557" spans="1:11">
      <c r="A1557" t="s">
        <v>4703</v>
      </c>
      <c r="J1557" t="s">
        <v>4704</v>
      </c>
      <c r="K1557" t="s">
        <v>4705</v>
      </c>
    </row>
    <row r="1558" spans="1:11">
      <c r="A1558" t="s">
        <v>4706</v>
      </c>
      <c r="J1558" t="s">
        <v>4707</v>
      </c>
      <c r="K1558" t="s">
        <v>4708</v>
      </c>
    </row>
    <row r="1559" spans="1:11">
      <c r="A1559" t="s">
        <v>4709</v>
      </c>
      <c r="J1559" t="s">
        <v>4710</v>
      </c>
      <c r="K1559" t="s">
        <v>4711</v>
      </c>
    </row>
    <row r="1560" spans="1:11">
      <c r="A1560" t="s">
        <v>4712</v>
      </c>
      <c r="J1560" t="s">
        <v>4713</v>
      </c>
      <c r="K1560" t="s">
        <v>4714</v>
      </c>
    </row>
    <row r="1561" spans="1:11">
      <c r="A1561" t="s">
        <v>4715</v>
      </c>
      <c r="J1561" t="s">
        <v>4716</v>
      </c>
      <c r="K1561" t="s">
        <v>4717</v>
      </c>
    </row>
    <row r="1562" spans="1:11">
      <c r="A1562" t="s">
        <v>4718</v>
      </c>
      <c r="J1562" t="s">
        <v>4719</v>
      </c>
      <c r="K1562" t="s">
        <v>4720</v>
      </c>
    </row>
    <row r="1563" spans="1:11">
      <c r="A1563" t="s">
        <v>4721</v>
      </c>
      <c r="J1563" t="s">
        <v>4722</v>
      </c>
      <c r="K1563" t="s">
        <v>4723</v>
      </c>
    </row>
    <row r="1564" spans="1:11">
      <c r="A1564" t="s">
        <v>4724</v>
      </c>
      <c r="J1564" t="s">
        <v>4725</v>
      </c>
      <c r="K1564" t="s">
        <v>4726</v>
      </c>
    </row>
    <row r="1565" spans="1:11">
      <c r="A1565" t="s">
        <v>4727</v>
      </c>
      <c r="J1565" t="s">
        <v>4728</v>
      </c>
      <c r="K1565" t="s">
        <v>4729</v>
      </c>
    </row>
    <row r="1566" spans="1:11">
      <c r="A1566" t="s">
        <v>4730</v>
      </c>
      <c r="J1566" t="s">
        <v>4731</v>
      </c>
      <c r="K1566" t="s">
        <v>4732</v>
      </c>
    </row>
    <row r="1567" spans="1:11">
      <c r="A1567" t="s">
        <v>4733</v>
      </c>
      <c r="J1567" t="s">
        <v>4734</v>
      </c>
      <c r="K1567" t="s">
        <v>4735</v>
      </c>
    </row>
    <row r="1568" spans="1:11">
      <c r="A1568" t="s">
        <v>4736</v>
      </c>
      <c r="J1568" t="s">
        <v>4737</v>
      </c>
      <c r="K1568" t="s">
        <v>4738</v>
      </c>
    </row>
    <row r="1569" spans="1:11">
      <c r="A1569" t="s">
        <v>4739</v>
      </c>
      <c r="J1569" t="s">
        <v>4740</v>
      </c>
      <c r="K1569" t="s">
        <v>4741</v>
      </c>
    </row>
    <row r="1570" spans="1:11">
      <c r="A1570" t="s">
        <v>4742</v>
      </c>
      <c r="J1570" t="s">
        <v>4743</v>
      </c>
      <c r="K1570" t="s">
        <v>4744</v>
      </c>
    </row>
    <row r="1571" spans="1:11">
      <c r="A1571" t="s">
        <v>4745</v>
      </c>
      <c r="J1571" t="s">
        <v>4746</v>
      </c>
      <c r="K1571" t="s">
        <v>4747</v>
      </c>
    </row>
    <row r="1572" spans="1:11">
      <c r="A1572" t="s">
        <v>4748</v>
      </c>
      <c r="J1572" t="s">
        <v>4749</v>
      </c>
      <c r="K1572" t="s">
        <v>4750</v>
      </c>
    </row>
    <row r="1573" spans="1:11">
      <c r="A1573" t="s">
        <v>4751</v>
      </c>
      <c r="J1573" t="s">
        <v>4752</v>
      </c>
      <c r="K1573" t="s">
        <v>4753</v>
      </c>
    </row>
    <row r="1574" spans="1:11">
      <c r="A1574" t="s">
        <v>4754</v>
      </c>
      <c r="J1574" t="s">
        <v>4755</v>
      </c>
      <c r="K1574" t="s">
        <v>4756</v>
      </c>
    </row>
    <row r="1575" spans="1:11">
      <c r="A1575" t="s">
        <v>4757</v>
      </c>
      <c r="J1575" t="s">
        <v>4758</v>
      </c>
      <c r="K1575" t="s">
        <v>4759</v>
      </c>
    </row>
    <row r="1576" spans="1:11">
      <c r="A1576" t="s">
        <v>4760</v>
      </c>
      <c r="J1576" t="s">
        <v>4761</v>
      </c>
      <c r="K1576" t="s">
        <v>4762</v>
      </c>
    </row>
    <row r="1577" spans="1:11">
      <c r="A1577" t="s">
        <v>4763</v>
      </c>
      <c r="J1577" t="s">
        <v>4764</v>
      </c>
      <c r="K1577" t="s">
        <v>4765</v>
      </c>
    </row>
    <row r="1578" spans="1:11">
      <c r="A1578" t="s">
        <v>4766</v>
      </c>
      <c r="J1578" t="s">
        <v>4767</v>
      </c>
      <c r="K1578" t="s">
        <v>4768</v>
      </c>
    </row>
    <row r="1579" spans="1:11">
      <c r="A1579" t="s">
        <v>4769</v>
      </c>
      <c r="J1579" t="s">
        <v>4770</v>
      </c>
      <c r="K1579" t="s">
        <v>4771</v>
      </c>
    </row>
    <row r="1580" spans="1:11">
      <c r="A1580" t="s">
        <v>4772</v>
      </c>
      <c r="J1580" t="s">
        <v>4773</v>
      </c>
      <c r="K1580" t="s">
        <v>4774</v>
      </c>
    </row>
    <row r="1581" spans="1:11">
      <c r="A1581" t="s">
        <v>4775</v>
      </c>
      <c r="J1581" t="s">
        <v>4776</v>
      </c>
      <c r="K1581" t="s">
        <v>4777</v>
      </c>
    </row>
    <row r="1582" spans="1:11">
      <c r="A1582" t="s">
        <v>4778</v>
      </c>
      <c r="J1582" t="s">
        <v>4779</v>
      </c>
      <c r="K1582" t="s">
        <v>4780</v>
      </c>
    </row>
    <row r="1583" spans="1:11">
      <c r="A1583" t="s">
        <v>4781</v>
      </c>
      <c r="J1583" t="s">
        <v>4782</v>
      </c>
      <c r="K1583" t="s">
        <v>4783</v>
      </c>
    </row>
    <row r="1584" spans="1:11">
      <c r="A1584" t="s">
        <v>4784</v>
      </c>
      <c r="J1584" t="s">
        <v>4785</v>
      </c>
      <c r="K1584" t="s">
        <v>4786</v>
      </c>
    </row>
    <row r="1585" spans="1:11">
      <c r="A1585" t="s">
        <v>4787</v>
      </c>
      <c r="J1585" t="s">
        <v>4788</v>
      </c>
      <c r="K1585" t="s">
        <v>4789</v>
      </c>
    </row>
    <row r="1586" spans="1:11">
      <c r="A1586" t="s">
        <v>4790</v>
      </c>
      <c r="J1586" t="s">
        <v>4791</v>
      </c>
      <c r="K1586" t="s">
        <v>4792</v>
      </c>
    </row>
    <row r="1587" spans="1:11">
      <c r="A1587" t="s">
        <v>4793</v>
      </c>
      <c r="J1587" t="s">
        <v>4794</v>
      </c>
      <c r="K1587" t="s">
        <v>4795</v>
      </c>
    </row>
    <row r="1588" spans="1:11">
      <c r="A1588" t="s">
        <v>4796</v>
      </c>
      <c r="J1588" t="s">
        <v>4797</v>
      </c>
      <c r="K1588" t="s">
        <v>4798</v>
      </c>
    </row>
    <row r="1589" spans="1:11">
      <c r="A1589" t="s">
        <v>4799</v>
      </c>
      <c r="J1589" t="s">
        <v>4800</v>
      </c>
      <c r="K1589" t="s">
        <v>4801</v>
      </c>
    </row>
    <row r="1590" spans="1:11">
      <c r="A1590" t="s">
        <v>4802</v>
      </c>
      <c r="J1590" t="s">
        <v>4803</v>
      </c>
      <c r="K1590" t="s">
        <v>4804</v>
      </c>
    </row>
    <row r="1591" spans="1:11">
      <c r="A1591" t="s">
        <v>4805</v>
      </c>
      <c r="J1591" t="s">
        <v>4806</v>
      </c>
      <c r="K1591" t="s">
        <v>4807</v>
      </c>
    </row>
    <row r="1592" spans="1:11">
      <c r="A1592" t="s">
        <v>4808</v>
      </c>
      <c r="J1592" t="s">
        <v>4809</v>
      </c>
      <c r="K1592" t="s">
        <v>4810</v>
      </c>
    </row>
    <row r="1593" spans="1:11">
      <c r="A1593" t="s">
        <v>4811</v>
      </c>
      <c r="J1593" t="s">
        <v>4812</v>
      </c>
      <c r="K1593" t="s">
        <v>4813</v>
      </c>
    </row>
    <row r="1594" spans="1:11">
      <c r="A1594" t="s">
        <v>4814</v>
      </c>
      <c r="J1594" t="s">
        <v>4815</v>
      </c>
      <c r="K1594" t="s">
        <v>4816</v>
      </c>
    </row>
    <row r="1595" spans="1:11">
      <c r="A1595" t="s">
        <v>4817</v>
      </c>
      <c r="J1595" t="s">
        <v>4818</v>
      </c>
      <c r="K1595" t="s">
        <v>4819</v>
      </c>
    </row>
    <row r="1596" spans="1:11">
      <c r="A1596" t="s">
        <v>4820</v>
      </c>
      <c r="J1596" t="s">
        <v>4821</v>
      </c>
      <c r="K1596" t="s">
        <v>4822</v>
      </c>
    </row>
    <row r="1597" spans="1:11">
      <c r="A1597" t="s">
        <v>4823</v>
      </c>
      <c r="J1597" t="s">
        <v>4824</v>
      </c>
      <c r="K1597" t="s">
        <v>4825</v>
      </c>
    </row>
    <row r="1598" spans="1:11">
      <c r="A1598" t="s">
        <v>4826</v>
      </c>
      <c r="J1598" t="s">
        <v>4827</v>
      </c>
      <c r="K1598" t="s">
        <v>4828</v>
      </c>
    </row>
    <row r="1599" spans="1:11">
      <c r="A1599" t="s">
        <v>4829</v>
      </c>
      <c r="J1599" t="s">
        <v>4830</v>
      </c>
      <c r="K1599" t="s">
        <v>4831</v>
      </c>
    </row>
    <row r="1600" spans="1:11">
      <c r="A1600" t="s">
        <v>4832</v>
      </c>
      <c r="J1600" t="s">
        <v>4833</v>
      </c>
      <c r="K1600" t="s">
        <v>4834</v>
      </c>
    </row>
    <row r="1601" spans="1:11">
      <c r="A1601" t="s">
        <v>4835</v>
      </c>
      <c r="J1601" t="s">
        <v>4836</v>
      </c>
      <c r="K1601" t="s">
        <v>4837</v>
      </c>
    </row>
    <row r="1602" spans="1:11">
      <c r="A1602" t="s">
        <v>4838</v>
      </c>
      <c r="J1602" t="s">
        <v>4839</v>
      </c>
      <c r="K1602" t="s">
        <v>4840</v>
      </c>
    </row>
    <row r="1603" spans="1:11">
      <c r="A1603" t="s">
        <v>4841</v>
      </c>
      <c r="J1603" t="s">
        <v>4842</v>
      </c>
      <c r="K1603" t="s">
        <v>4843</v>
      </c>
    </row>
    <row r="1604" spans="1:11">
      <c r="A1604" t="s">
        <v>4844</v>
      </c>
      <c r="J1604" t="s">
        <v>4845</v>
      </c>
      <c r="K1604" t="s">
        <v>4846</v>
      </c>
    </row>
    <row r="1605" spans="1:11">
      <c r="A1605" t="s">
        <v>4847</v>
      </c>
      <c r="J1605" t="s">
        <v>4848</v>
      </c>
      <c r="K1605" t="s">
        <v>4849</v>
      </c>
    </row>
    <row r="1606" spans="1:11">
      <c r="A1606" t="s">
        <v>4850</v>
      </c>
      <c r="J1606" t="s">
        <v>4851</v>
      </c>
      <c r="K1606" t="s">
        <v>4852</v>
      </c>
    </row>
    <row r="1607" spans="1:11">
      <c r="A1607" t="s">
        <v>4853</v>
      </c>
      <c r="J1607" t="s">
        <v>4854</v>
      </c>
      <c r="K1607" t="s">
        <v>4855</v>
      </c>
    </row>
    <row r="1608" spans="1:11">
      <c r="A1608" t="s">
        <v>4856</v>
      </c>
      <c r="J1608" t="s">
        <v>4857</v>
      </c>
      <c r="K1608" t="s">
        <v>4858</v>
      </c>
    </row>
    <row r="1609" spans="1:11">
      <c r="A1609" t="s">
        <v>4859</v>
      </c>
      <c r="J1609" t="s">
        <v>4860</v>
      </c>
      <c r="K1609" t="s">
        <v>4861</v>
      </c>
    </row>
    <row r="1610" spans="1:11">
      <c r="A1610" t="s">
        <v>4862</v>
      </c>
      <c r="J1610" t="s">
        <v>4863</v>
      </c>
      <c r="K1610" t="s">
        <v>4864</v>
      </c>
    </row>
    <row r="1611" spans="1:11">
      <c r="A1611" t="s">
        <v>4865</v>
      </c>
      <c r="J1611" t="s">
        <v>4866</v>
      </c>
      <c r="K1611" t="s">
        <v>4867</v>
      </c>
    </row>
    <row r="1612" spans="1:11">
      <c r="A1612" t="s">
        <v>4868</v>
      </c>
      <c r="J1612" t="s">
        <v>4869</v>
      </c>
      <c r="K1612" t="s">
        <v>4870</v>
      </c>
    </row>
    <row r="1613" spans="1:11">
      <c r="A1613" t="s">
        <v>4871</v>
      </c>
      <c r="J1613" t="s">
        <v>4872</v>
      </c>
      <c r="K1613" t="s">
        <v>4873</v>
      </c>
    </row>
    <row r="1614" spans="1:11">
      <c r="A1614" t="s">
        <v>4874</v>
      </c>
      <c r="J1614" t="s">
        <v>4875</v>
      </c>
      <c r="K1614" t="s">
        <v>4876</v>
      </c>
    </row>
    <row r="1615" spans="1:11">
      <c r="A1615" t="s">
        <v>4877</v>
      </c>
      <c r="J1615" t="s">
        <v>4878</v>
      </c>
      <c r="K1615" t="s">
        <v>4879</v>
      </c>
    </row>
    <row r="1616" spans="1:11">
      <c r="A1616" t="s">
        <v>4880</v>
      </c>
      <c r="J1616" t="s">
        <v>4881</v>
      </c>
      <c r="K1616" t="s">
        <v>4882</v>
      </c>
    </row>
    <row r="1617" spans="1:11">
      <c r="A1617" t="s">
        <v>4883</v>
      </c>
      <c r="J1617" t="s">
        <v>4884</v>
      </c>
      <c r="K1617" t="s">
        <v>4885</v>
      </c>
    </row>
    <row r="1618" spans="1:11">
      <c r="A1618" t="s">
        <v>4886</v>
      </c>
      <c r="J1618" t="s">
        <v>4887</v>
      </c>
      <c r="K1618" t="s">
        <v>4888</v>
      </c>
    </row>
    <row r="1619" spans="1:11">
      <c r="A1619" t="s">
        <v>4889</v>
      </c>
      <c r="J1619" t="s">
        <v>4890</v>
      </c>
      <c r="K1619" t="s">
        <v>4891</v>
      </c>
    </row>
    <row r="1620" spans="1:11">
      <c r="A1620" t="s">
        <v>4892</v>
      </c>
      <c r="J1620" t="s">
        <v>4893</v>
      </c>
      <c r="K1620" t="s">
        <v>4894</v>
      </c>
    </row>
    <row r="1621" spans="1:11">
      <c r="A1621" t="s">
        <v>4895</v>
      </c>
      <c r="J1621" t="s">
        <v>4896</v>
      </c>
      <c r="K1621" t="s">
        <v>4897</v>
      </c>
    </row>
    <row r="1622" spans="1:11">
      <c r="A1622" t="s">
        <v>4898</v>
      </c>
      <c r="J1622" t="s">
        <v>4899</v>
      </c>
      <c r="K1622" t="s">
        <v>4900</v>
      </c>
    </row>
    <row r="1623" spans="1:11">
      <c r="A1623" t="s">
        <v>4901</v>
      </c>
      <c r="J1623" t="s">
        <v>4902</v>
      </c>
      <c r="K1623" t="s">
        <v>4903</v>
      </c>
    </row>
    <row r="1624" spans="1:11">
      <c r="A1624" t="s">
        <v>4904</v>
      </c>
      <c r="J1624" t="s">
        <v>4905</v>
      </c>
      <c r="K1624" t="s">
        <v>4906</v>
      </c>
    </row>
    <row r="1625" spans="1:11">
      <c r="A1625" t="s">
        <v>4907</v>
      </c>
      <c r="J1625" t="s">
        <v>4908</v>
      </c>
      <c r="K1625" t="s">
        <v>4909</v>
      </c>
    </row>
    <row r="1626" spans="1:11">
      <c r="A1626" t="s">
        <v>4910</v>
      </c>
      <c r="J1626" t="s">
        <v>4911</v>
      </c>
      <c r="K1626" t="s">
        <v>4912</v>
      </c>
    </row>
    <row r="1627" spans="1:11">
      <c r="A1627" t="s">
        <v>4913</v>
      </c>
      <c r="J1627" t="s">
        <v>4914</v>
      </c>
      <c r="K1627" t="s">
        <v>4915</v>
      </c>
    </row>
    <row r="1628" spans="1:11">
      <c r="A1628" t="s">
        <v>4916</v>
      </c>
      <c r="J1628" t="s">
        <v>4917</v>
      </c>
      <c r="K1628" t="s">
        <v>4918</v>
      </c>
    </row>
    <row r="1629" spans="1:11">
      <c r="A1629" t="s">
        <v>4919</v>
      </c>
      <c r="J1629" t="s">
        <v>4920</v>
      </c>
      <c r="K1629" t="s">
        <v>4921</v>
      </c>
    </row>
    <row r="1630" spans="1:11">
      <c r="A1630" t="s">
        <v>4922</v>
      </c>
      <c r="J1630" t="s">
        <v>4923</v>
      </c>
      <c r="K1630" t="s">
        <v>4924</v>
      </c>
    </row>
    <row r="1631" spans="1:11">
      <c r="A1631" t="s">
        <v>4925</v>
      </c>
      <c r="J1631" t="s">
        <v>4926</v>
      </c>
      <c r="K1631" t="s">
        <v>4927</v>
      </c>
    </row>
    <row r="1632" spans="1:11">
      <c r="A1632" t="s">
        <v>4928</v>
      </c>
      <c r="J1632" t="s">
        <v>4929</v>
      </c>
      <c r="K1632" t="s">
        <v>4930</v>
      </c>
    </row>
    <row r="1633" spans="1:11">
      <c r="A1633" t="s">
        <v>4931</v>
      </c>
      <c r="J1633" t="s">
        <v>4932</v>
      </c>
      <c r="K1633" t="s">
        <v>4933</v>
      </c>
    </row>
    <row r="1634" spans="1:11">
      <c r="A1634" t="s">
        <v>4934</v>
      </c>
      <c r="J1634" t="s">
        <v>4935</v>
      </c>
      <c r="K1634" t="s">
        <v>4936</v>
      </c>
    </row>
    <row r="1635" spans="1:11">
      <c r="A1635" t="s">
        <v>4937</v>
      </c>
      <c r="J1635" t="s">
        <v>4938</v>
      </c>
      <c r="K1635" t="s">
        <v>4939</v>
      </c>
    </row>
    <row r="1636" spans="1:11">
      <c r="A1636" t="s">
        <v>4940</v>
      </c>
      <c r="J1636" t="s">
        <v>4941</v>
      </c>
      <c r="K1636" t="s">
        <v>4942</v>
      </c>
    </row>
    <row r="1637" spans="1:11">
      <c r="A1637" t="s">
        <v>4943</v>
      </c>
      <c r="J1637" t="s">
        <v>4944</v>
      </c>
      <c r="K1637" t="s">
        <v>4945</v>
      </c>
    </row>
    <row r="1638" spans="1:11">
      <c r="A1638" t="s">
        <v>4946</v>
      </c>
      <c r="J1638" t="s">
        <v>4947</v>
      </c>
      <c r="K1638" t="s">
        <v>4948</v>
      </c>
    </row>
    <row r="1639" spans="1:11">
      <c r="A1639" t="s">
        <v>4949</v>
      </c>
      <c r="J1639" t="s">
        <v>4950</v>
      </c>
      <c r="K1639" t="s">
        <v>4951</v>
      </c>
    </row>
    <row r="1640" spans="1:11">
      <c r="A1640" t="s">
        <v>4952</v>
      </c>
      <c r="J1640" t="s">
        <v>4953</v>
      </c>
      <c r="K1640" t="s">
        <v>4954</v>
      </c>
    </row>
    <row r="1641" spans="1:11">
      <c r="A1641" t="s">
        <v>4955</v>
      </c>
      <c r="J1641" t="s">
        <v>4956</v>
      </c>
      <c r="K1641" t="s">
        <v>4957</v>
      </c>
    </row>
    <row r="1642" spans="1:11">
      <c r="A1642" t="s">
        <v>4958</v>
      </c>
      <c r="J1642" t="s">
        <v>4959</v>
      </c>
      <c r="K1642" t="s">
        <v>4960</v>
      </c>
    </row>
    <row r="1643" spans="1:11">
      <c r="A1643" t="s">
        <v>4961</v>
      </c>
      <c r="J1643" t="s">
        <v>4962</v>
      </c>
      <c r="K1643" t="s">
        <v>4963</v>
      </c>
    </row>
    <row r="1644" spans="1:11">
      <c r="A1644" t="s">
        <v>4964</v>
      </c>
      <c r="J1644" t="s">
        <v>4965</v>
      </c>
      <c r="K1644" t="s">
        <v>4966</v>
      </c>
    </row>
    <row r="1645" spans="1:11">
      <c r="A1645" t="s">
        <v>4967</v>
      </c>
      <c r="J1645" t="s">
        <v>4968</v>
      </c>
      <c r="K1645" t="s">
        <v>4969</v>
      </c>
    </row>
    <row r="1646" spans="1:11">
      <c r="A1646" t="s">
        <v>4970</v>
      </c>
      <c r="J1646" t="s">
        <v>4971</v>
      </c>
      <c r="K1646" t="s">
        <v>4972</v>
      </c>
    </row>
    <row r="1647" spans="1:11">
      <c r="A1647" t="s">
        <v>4973</v>
      </c>
      <c r="J1647" t="s">
        <v>4974</v>
      </c>
      <c r="K1647" t="s">
        <v>4975</v>
      </c>
    </row>
    <row r="1648" spans="1:11">
      <c r="A1648" t="s">
        <v>4976</v>
      </c>
      <c r="J1648" t="s">
        <v>4977</v>
      </c>
      <c r="K1648" t="s">
        <v>4978</v>
      </c>
    </row>
    <row r="1649" spans="1:11">
      <c r="A1649" t="s">
        <v>4979</v>
      </c>
      <c r="J1649" t="s">
        <v>4980</v>
      </c>
      <c r="K1649" t="s">
        <v>4981</v>
      </c>
    </row>
    <row r="1650" spans="1:11">
      <c r="A1650" t="s">
        <v>4982</v>
      </c>
      <c r="J1650" t="s">
        <v>4983</v>
      </c>
      <c r="K1650" t="s">
        <v>4984</v>
      </c>
    </row>
    <row r="1651" spans="1:11">
      <c r="A1651" t="s">
        <v>4985</v>
      </c>
      <c r="J1651" t="s">
        <v>4986</v>
      </c>
      <c r="K1651" t="s">
        <v>4987</v>
      </c>
    </row>
    <row r="1652" spans="1:11">
      <c r="A1652" t="s">
        <v>4988</v>
      </c>
      <c r="J1652" t="s">
        <v>4989</v>
      </c>
      <c r="K1652" t="s">
        <v>4990</v>
      </c>
    </row>
    <row r="1653" spans="1:11">
      <c r="A1653" t="s">
        <v>4991</v>
      </c>
      <c r="J1653" t="s">
        <v>4992</v>
      </c>
      <c r="K1653" t="s">
        <v>4993</v>
      </c>
    </row>
    <row r="1654" spans="1:11">
      <c r="A1654" t="s">
        <v>4994</v>
      </c>
      <c r="J1654" t="s">
        <v>4995</v>
      </c>
      <c r="K1654" t="s">
        <v>4996</v>
      </c>
    </row>
    <row r="1655" spans="1:11">
      <c r="A1655" t="s">
        <v>4997</v>
      </c>
      <c r="J1655" t="s">
        <v>4998</v>
      </c>
      <c r="K1655" t="s">
        <v>4999</v>
      </c>
    </row>
    <row r="1656" spans="1:11">
      <c r="A1656" t="s">
        <v>5000</v>
      </c>
      <c r="J1656" t="s">
        <v>5001</v>
      </c>
      <c r="K1656" t="s">
        <v>5002</v>
      </c>
    </row>
    <row r="1657" spans="1:11">
      <c r="A1657" t="s">
        <v>5003</v>
      </c>
      <c r="J1657" t="s">
        <v>5004</v>
      </c>
      <c r="K1657" t="s">
        <v>5005</v>
      </c>
    </row>
    <row r="1658" spans="1:11">
      <c r="A1658" t="s">
        <v>5006</v>
      </c>
      <c r="J1658" t="s">
        <v>5007</v>
      </c>
      <c r="K1658" t="s">
        <v>5008</v>
      </c>
    </row>
    <row r="1659" spans="1:11">
      <c r="A1659" t="s">
        <v>5009</v>
      </c>
      <c r="J1659" t="s">
        <v>5010</v>
      </c>
      <c r="K1659" t="s">
        <v>5011</v>
      </c>
    </row>
    <row r="1660" spans="1:11">
      <c r="A1660" t="s">
        <v>5012</v>
      </c>
      <c r="J1660" t="s">
        <v>5013</v>
      </c>
      <c r="K1660" t="s">
        <v>5014</v>
      </c>
    </row>
    <row r="1661" spans="1:11">
      <c r="A1661" t="s">
        <v>5015</v>
      </c>
      <c r="J1661" t="s">
        <v>5016</v>
      </c>
      <c r="K1661" t="s">
        <v>5017</v>
      </c>
    </row>
    <row r="1662" spans="1:11">
      <c r="A1662" t="s">
        <v>5018</v>
      </c>
      <c r="J1662" t="s">
        <v>5019</v>
      </c>
      <c r="K1662" t="s">
        <v>5020</v>
      </c>
    </row>
    <row r="1663" spans="1:11">
      <c r="A1663" t="s">
        <v>5021</v>
      </c>
      <c r="J1663" t="s">
        <v>5022</v>
      </c>
      <c r="K1663" t="s">
        <v>5023</v>
      </c>
    </row>
    <row r="1664" spans="1:11">
      <c r="A1664" t="s">
        <v>5024</v>
      </c>
      <c r="J1664" t="s">
        <v>5025</v>
      </c>
      <c r="K1664" t="s">
        <v>5026</v>
      </c>
    </row>
    <row r="1665" spans="1:11">
      <c r="A1665" t="s">
        <v>5027</v>
      </c>
      <c r="J1665" t="s">
        <v>5028</v>
      </c>
      <c r="K1665" t="s">
        <v>5029</v>
      </c>
    </row>
    <row r="1666" spans="1:11">
      <c r="A1666" t="s">
        <v>5030</v>
      </c>
      <c r="J1666" t="s">
        <v>5031</v>
      </c>
      <c r="K1666" t="s">
        <v>5032</v>
      </c>
    </row>
    <row r="1667" spans="1:11">
      <c r="A1667" t="s">
        <v>5033</v>
      </c>
      <c r="J1667" t="s">
        <v>5034</v>
      </c>
      <c r="K1667" t="s">
        <v>5035</v>
      </c>
    </row>
    <row r="1668" spans="1:11">
      <c r="A1668" t="s">
        <v>5036</v>
      </c>
      <c r="J1668" t="s">
        <v>5037</v>
      </c>
      <c r="K1668" t="s">
        <v>5038</v>
      </c>
    </row>
    <row r="1669" spans="1:11">
      <c r="A1669" t="s">
        <v>5039</v>
      </c>
      <c r="J1669" t="s">
        <v>5040</v>
      </c>
      <c r="K1669" t="s">
        <v>5041</v>
      </c>
    </row>
    <row r="1670" spans="1:11">
      <c r="A1670" t="s">
        <v>5042</v>
      </c>
      <c r="J1670" t="s">
        <v>5043</v>
      </c>
      <c r="K1670" t="s">
        <v>5044</v>
      </c>
    </row>
    <row r="1671" spans="1:11">
      <c r="A1671" t="s">
        <v>5045</v>
      </c>
      <c r="J1671" t="s">
        <v>5046</v>
      </c>
      <c r="K1671" t="s">
        <v>5047</v>
      </c>
    </row>
    <row r="1672" spans="1:11">
      <c r="A1672" t="s">
        <v>5048</v>
      </c>
      <c r="J1672" t="s">
        <v>5049</v>
      </c>
      <c r="K1672" t="s">
        <v>5050</v>
      </c>
    </row>
    <row r="1673" spans="1:11">
      <c r="A1673" t="s">
        <v>5051</v>
      </c>
      <c r="J1673" t="s">
        <v>5052</v>
      </c>
      <c r="K1673" t="s">
        <v>5053</v>
      </c>
    </row>
    <row r="1674" spans="1:11">
      <c r="A1674" t="s">
        <v>5054</v>
      </c>
      <c r="J1674" t="s">
        <v>5055</v>
      </c>
      <c r="K1674" t="s">
        <v>5056</v>
      </c>
    </row>
    <row r="1675" spans="1:11">
      <c r="A1675" t="s">
        <v>5057</v>
      </c>
      <c r="J1675" t="s">
        <v>5058</v>
      </c>
      <c r="K1675" t="s">
        <v>5059</v>
      </c>
    </row>
    <row r="1676" spans="1:11">
      <c r="A1676" t="s">
        <v>5060</v>
      </c>
      <c r="J1676" t="s">
        <v>5061</v>
      </c>
      <c r="K1676" t="s">
        <v>5062</v>
      </c>
    </row>
    <row r="1677" spans="1:11">
      <c r="A1677" t="s">
        <v>5063</v>
      </c>
      <c r="J1677" t="s">
        <v>5064</v>
      </c>
      <c r="K1677" t="s">
        <v>5065</v>
      </c>
    </row>
    <row r="1678" spans="1:11">
      <c r="A1678" t="s">
        <v>5066</v>
      </c>
      <c r="J1678" t="s">
        <v>5067</v>
      </c>
      <c r="K1678" t="s">
        <v>5068</v>
      </c>
    </row>
    <row r="1679" spans="1:11">
      <c r="A1679" t="s">
        <v>5069</v>
      </c>
      <c r="J1679" t="s">
        <v>5070</v>
      </c>
      <c r="K1679" t="s">
        <v>5071</v>
      </c>
    </row>
    <row r="1680" spans="1:11">
      <c r="A1680" t="s">
        <v>5072</v>
      </c>
      <c r="J1680" t="s">
        <v>5073</v>
      </c>
      <c r="K1680" t="s">
        <v>5074</v>
      </c>
    </row>
    <row r="1681" spans="1:11">
      <c r="A1681" t="s">
        <v>5075</v>
      </c>
      <c r="J1681" t="s">
        <v>5076</v>
      </c>
      <c r="K1681" t="s">
        <v>5077</v>
      </c>
    </row>
    <row r="1682" spans="1:11">
      <c r="A1682" t="s">
        <v>5078</v>
      </c>
      <c r="J1682" t="s">
        <v>5079</v>
      </c>
      <c r="K1682" t="s">
        <v>5080</v>
      </c>
    </row>
    <row r="1683" spans="1:11">
      <c r="A1683" t="s">
        <v>5081</v>
      </c>
      <c r="J1683" t="s">
        <v>5082</v>
      </c>
      <c r="K1683" t="s">
        <v>5083</v>
      </c>
    </row>
    <row r="1684" spans="1:11">
      <c r="A1684" t="s">
        <v>5084</v>
      </c>
      <c r="J1684" t="s">
        <v>5085</v>
      </c>
      <c r="K1684" t="s">
        <v>5086</v>
      </c>
    </row>
    <row r="1685" spans="1:11">
      <c r="A1685" t="s">
        <v>5087</v>
      </c>
      <c r="J1685" t="s">
        <v>5088</v>
      </c>
      <c r="K1685" t="s">
        <v>5089</v>
      </c>
    </row>
    <row r="1686" spans="1:11">
      <c r="A1686" t="s">
        <v>5090</v>
      </c>
      <c r="J1686" t="s">
        <v>5091</v>
      </c>
      <c r="K1686" t="s">
        <v>5092</v>
      </c>
    </row>
    <row r="1687" spans="1:11">
      <c r="A1687" t="s">
        <v>5093</v>
      </c>
      <c r="J1687" t="s">
        <v>5094</v>
      </c>
      <c r="K1687" t="s">
        <v>5095</v>
      </c>
    </row>
    <row r="1688" spans="1:11">
      <c r="A1688" t="s">
        <v>5096</v>
      </c>
      <c r="J1688" t="s">
        <v>5097</v>
      </c>
      <c r="K1688" t="s">
        <v>5098</v>
      </c>
    </row>
    <row r="1689" spans="1:11">
      <c r="A1689" t="s">
        <v>5099</v>
      </c>
      <c r="J1689" t="s">
        <v>5100</v>
      </c>
      <c r="K1689" t="s">
        <v>5101</v>
      </c>
    </row>
    <row r="1690" spans="1:11">
      <c r="A1690" t="s">
        <v>5102</v>
      </c>
      <c r="J1690" t="s">
        <v>5103</v>
      </c>
      <c r="K1690" t="s">
        <v>5104</v>
      </c>
    </row>
    <row r="1691" spans="1:11">
      <c r="A1691" t="s">
        <v>5105</v>
      </c>
      <c r="J1691" t="s">
        <v>5106</v>
      </c>
      <c r="K1691" t="s">
        <v>5107</v>
      </c>
    </row>
    <row r="1692" spans="1:11">
      <c r="A1692" t="s">
        <v>5108</v>
      </c>
      <c r="J1692" t="s">
        <v>5109</v>
      </c>
      <c r="K1692" t="s">
        <v>5110</v>
      </c>
    </row>
    <row r="1693" spans="1:11">
      <c r="A1693" t="s">
        <v>5111</v>
      </c>
      <c r="J1693" t="s">
        <v>5112</v>
      </c>
      <c r="K1693" t="s">
        <v>5113</v>
      </c>
    </row>
    <row r="1694" spans="1:11">
      <c r="A1694" t="s">
        <v>5114</v>
      </c>
      <c r="J1694" t="s">
        <v>5115</v>
      </c>
      <c r="K1694" t="s">
        <v>5116</v>
      </c>
    </row>
    <row r="1695" spans="1:11">
      <c r="A1695" t="s">
        <v>5117</v>
      </c>
      <c r="J1695" t="s">
        <v>5118</v>
      </c>
      <c r="K1695" t="s">
        <v>5119</v>
      </c>
    </row>
    <row r="1696" spans="1:11">
      <c r="A1696" t="s">
        <v>5120</v>
      </c>
      <c r="J1696" t="s">
        <v>5121</v>
      </c>
      <c r="K1696" t="s">
        <v>5122</v>
      </c>
    </row>
    <row r="1697" spans="1:11">
      <c r="A1697" t="s">
        <v>5123</v>
      </c>
      <c r="J1697" t="s">
        <v>5124</v>
      </c>
      <c r="K1697" t="s">
        <v>5125</v>
      </c>
    </row>
    <row r="1698" spans="1:11">
      <c r="A1698" t="s">
        <v>5126</v>
      </c>
      <c r="J1698" t="s">
        <v>5127</v>
      </c>
      <c r="K1698" t="s">
        <v>5128</v>
      </c>
    </row>
    <row r="1699" spans="1:11">
      <c r="A1699" t="s">
        <v>5129</v>
      </c>
      <c r="J1699" t="s">
        <v>5130</v>
      </c>
      <c r="K1699" t="s">
        <v>5131</v>
      </c>
    </row>
    <row r="1700" spans="1:11">
      <c r="A1700" t="s">
        <v>5132</v>
      </c>
      <c r="J1700" t="s">
        <v>5133</v>
      </c>
      <c r="K1700" t="s">
        <v>5134</v>
      </c>
    </row>
    <row r="1701" spans="1:11">
      <c r="A1701" t="s">
        <v>5135</v>
      </c>
      <c r="J1701" t="s">
        <v>5136</v>
      </c>
      <c r="K1701" t="s">
        <v>5137</v>
      </c>
    </row>
    <row r="1702" spans="1:11">
      <c r="A1702" t="s">
        <v>5138</v>
      </c>
      <c r="J1702" t="s">
        <v>5139</v>
      </c>
      <c r="K1702" t="s">
        <v>5140</v>
      </c>
    </row>
    <row r="1703" spans="1:11">
      <c r="A1703" t="s">
        <v>5141</v>
      </c>
      <c r="J1703" t="s">
        <v>5142</v>
      </c>
      <c r="K1703" t="s">
        <v>5143</v>
      </c>
    </row>
    <row r="1704" spans="1:11">
      <c r="A1704" t="s">
        <v>5144</v>
      </c>
      <c r="J1704" t="s">
        <v>5145</v>
      </c>
      <c r="K1704" t="s">
        <v>5146</v>
      </c>
    </row>
    <row r="1705" spans="1:11">
      <c r="A1705" t="s">
        <v>5147</v>
      </c>
      <c r="J1705" t="s">
        <v>5148</v>
      </c>
      <c r="K1705" t="s">
        <v>5149</v>
      </c>
    </row>
    <row r="1706" spans="1:11">
      <c r="A1706" t="s">
        <v>5150</v>
      </c>
      <c r="J1706" t="s">
        <v>5151</v>
      </c>
      <c r="K1706" t="s">
        <v>5152</v>
      </c>
    </row>
    <row r="1707" spans="1:11">
      <c r="A1707" t="s">
        <v>5153</v>
      </c>
      <c r="J1707" t="s">
        <v>5154</v>
      </c>
      <c r="K1707" t="s">
        <v>5155</v>
      </c>
    </row>
    <row r="1708" spans="1:11">
      <c r="A1708" t="s">
        <v>5156</v>
      </c>
      <c r="J1708" t="s">
        <v>5157</v>
      </c>
      <c r="K1708" t="s">
        <v>5158</v>
      </c>
    </row>
    <row r="1709" spans="1:11">
      <c r="A1709" t="s">
        <v>5159</v>
      </c>
      <c r="J1709" t="s">
        <v>5160</v>
      </c>
      <c r="K1709" t="s">
        <v>5161</v>
      </c>
    </row>
    <row r="1710" spans="1:11">
      <c r="A1710" t="s">
        <v>5162</v>
      </c>
      <c r="J1710" t="s">
        <v>5163</v>
      </c>
      <c r="K1710" t="s">
        <v>5164</v>
      </c>
    </row>
    <row r="1711" spans="1:11">
      <c r="A1711" t="s">
        <v>5165</v>
      </c>
      <c r="J1711" t="s">
        <v>5166</v>
      </c>
      <c r="K1711" t="s">
        <v>5167</v>
      </c>
    </row>
    <row r="1712" spans="1:11">
      <c r="A1712" t="s">
        <v>5168</v>
      </c>
      <c r="J1712" t="s">
        <v>5169</v>
      </c>
      <c r="K1712" t="s">
        <v>5170</v>
      </c>
    </row>
    <row r="1713" spans="1:11">
      <c r="A1713" t="s">
        <v>5171</v>
      </c>
      <c r="J1713" t="s">
        <v>5172</v>
      </c>
      <c r="K1713" t="s">
        <v>5173</v>
      </c>
    </row>
    <row r="1714" spans="1:11">
      <c r="A1714" t="s">
        <v>5174</v>
      </c>
      <c r="J1714" t="s">
        <v>5175</v>
      </c>
      <c r="K1714" t="s">
        <v>5176</v>
      </c>
    </row>
    <row r="1715" spans="1:11">
      <c r="A1715" t="s">
        <v>5177</v>
      </c>
      <c r="J1715" t="s">
        <v>5178</v>
      </c>
      <c r="K1715" t="s">
        <v>5179</v>
      </c>
    </row>
    <row r="1716" spans="1:11">
      <c r="A1716" t="s">
        <v>5180</v>
      </c>
      <c r="J1716" t="s">
        <v>5181</v>
      </c>
      <c r="K1716" t="s">
        <v>5182</v>
      </c>
    </row>
    <row r="1717" spans="1:11">
      <c r="A1717" t="s">
        <v>5183</v>
      </c>
      <c r="J1717" t="s">
        <v>5184</v>
      </c>
      <c r="K1717" t="s">
        <v>5185</v>
      </c>
    </row>
    <row r="1718" spans="1:11">
      <c r="A1718" t="s">
        <v>5186</v>
      </c>
      <c r="J1718" t="s">
        <v>5187</v>
      </c>
      <c r="K1718" t="s">
        <v>5188</v>
      </c>
    </row>
    <row r="1719" spans="1:11">
      <c r="A1719" t="s">
        <v>5189</v>
      </c>
      <c r="J1719" t="s">
        <v>5190</v>
      </c>
      <c r="K1719" t="s">
        <v>5191</v>
      </c>
    </row>
    <row r="1720" spans="1:11">
      <c r="A1720" t="s">
        <v>5192</v>
      </c>
      <c r="J1720" t="s">
        <v>5193</v>
      </c>
      <c r="K1720" t="s">
        <v>5194</v>
      </c>
    </row>
    <row r="1721" spans="1:11">
      <c r="A1721" t="s">
        <v>5195</v>
      </c>
      <c r="J1721" t="s">
        <v>5196</v>
      </c>
      <c r="K1721" t="s">
        <v>5197</v>
      </c>
    </row>
    <row r="1722" spans="1:11">
      <c r="A1722" t="s">
        <v>5198</v>
      </c>
      <c r="J1722" t="s">
        <v>5199</v>
      </c>
      <c r="K1722" t="s">
        <v>5200</v>
      </c>
    </row>
    <row r="1723" spans="1:11">
      <c r="A1723" t="s">
        <v>5201</v>
      </c>
      <c r="J1723" t="s">
        <v>5202</v>
      </c>
      <c r="K1723" t="s">
        <v>5203</v>
      </c>
    </row>
    <row r="1724" spans="1:11">
      <c r="A1724" t="s">
        <v>5204</v>
      </c>
      <c r="J1724" t="s">
        <v>5205</v>
      </c>
      <c r="K1724" t="s">
        <v>5206</v>
      </c>
    </row>
    <row r="1725" spans="1:11">
      <c r="A1725" t="s">
        <v>5207</v>
      </c>
      <c r="J1725" t="s">
        <v>5208</v>
      </c>
      <c r="K1725" t="s">
        <v>5209</v>
      </c>
    </row>
    <row r="1726" spans="1:11">
      <c r="A1726" t="s">
        <v>5210</v>
      </c>
      <c r="J1726" t="s">
        <v>5211</v>
      </c>
      <c r="K1726" t="s">
        <v>5212</v>
      </c>
    </row>
    <row r="1727" spans="1:11">
      <c r="A1727" t="s">
        <v>5213</v>
      </c>
      <c r="J1727" t="s">
        <v>5214</v>
      </c>
      <c r="K1727" t="s">
        <v>5215</v>
      </c>
    </row>
    <row r="1728" spans="1:11">
      <c r="A1728" t="s">
        <v>5216</v>
      </c>
      <c r="J1728" t="s">
        <v>5217</v>
      </c>
      <c r="K1728" t="s">
        <v>5218</v>
      </c>
    </row>
    <row r="1729" spans="1:11">
      <c r="A1729" t="s">
        <v>5219</v>
      </c>
      <c r="J1729" t="s">
        <v>5220</v>
      </c>
      <c r="K1729" t="s">
        <v>5221</v>
      </c>
    </row>
    <row r="1730" spans="1:11">
      <c r="A1730" t="s">
        <v>5222</v>
      </c>
      <c r="J1730" t="s">
        <v>5223</v>
      </c>
      <c r="K1730" t="s">
        <v>5224</v>
      </c>
    </row>
    <row r="1731" spans="1:11">
      <c r="A1731" t="s">
        <v>5225</v>
      </c>
      <c r="J1731" t="s">
        <v>5226</v>
      </c>
      <c r="K1731" t="s">
        <v>5227</v>
      </c>
    </row>
    <row r="1732" spans="1:11">
      <c r="A1732" t="s">
        <v>5228</v>
      </c>
      <c r="J1732" t="s">
        <v>5229</v>
      </c>
      <c r="K1732" t="s">
        <v>5230</v>
      </c>
    </row>
    <row r="1733" spans="1:11">
      <c r="A1733" t="s">
        <v>5231</v>
      </c>
      <c r="J1733" t="s">
        <v>5232</v>
      </c>
      <c r="K1733" t="s">
        <v>5233</v>
      </c>
    </row>
    <row r="1734" spans="1:11">
      <c r="A1734" t="s">
        <v>5234</v>
      </c>
      <c r="J1734" t="s">
        <v>5235</v>
      </c>
      <c r="K1734" t="s">
        <v>5236</v>
      </c>
    </row>
    <row r="1735" spans="1:11">
      <c r="A1735" t="s">
        <v>5237</v>
      </c>
      <c r="J1735" t="s">
        <v>5238</v>
      </c>
      <c r="K1735" t="s">
        <v>5239</v>
      </c>
    </row>
    <row r="1736" spans="1:11">
      <c r="A1736" t="s">
        <v>5240</v>
      </c>
      <c r="J1736" t="s">
        <v>5241</v>
      </c>
      <c r="K1736" t="s">
        <v>5242</v>
      </c>
    </row>
    <row r="1737" spans="1:11">
      <c r="A1737" t="s">
        <v>5243</v>
      </c>
      <c r="J1737" t="s">
        <v>5244</v>
      </c>
      <c r="K1737" t="s">
        <v>5245</v>
      </c>
    </row>
    <row r="1738" spans="1:11">
      <c r="A1738" t="s">
        <v>5246</v>
      </c>
      <c r="J1738" t="s">
        <v>5247</v>
      </c>
      <c r="K1738" t="s">
        <v>5248</v>
      </c>
    </row>
    <row r="1739" spans="1:11">
      <c r="A1739" t="s">
        <v>5249</v>
      </c>
      <c r="J1739" t="s">
        <v>5250</v>
      </c>
      <c r="K1739" t="s">
        <v>5251</v>
      </c>
    </row>
    <row r="1740" spans="1:11">
      <c r="A1740" t="s">
        <v>5252</v>
      </c>
      <c r="J1740" t="s">
        <v>5253</v>
      </c>
      <c r="K1740" t="s">
        <v>5254</v>
      </c>
    </row>
    <row r="1741" spans="1:11">
      <c r="A1741" t="s">
        <v>5255</v>
      </c>
      <c r="J1741" t="s">
        <v>5256</v>
      </c>
      <c r="K1741" t="s">
        <v>5257</v>
      </c>
    </row>
    <row r="1742" spans="1:11">
      <c r="A1742" t="s">
        <v>5258</v>
      </c>
      <c r="J1742" t="s">
        <v>5259</v>
      </c>
      <c r="K1742" t="s">
        <v>5260</v>
      </c>
    </row>
    <row r="1743" spans="1:11">
      <c r="A1743" t="s">
        <v>5261</v>
      </c>
      <c r="J1743" t="s">
        <v>5262</v>
      </c>
      <c r="K1743" t="s">
        <v>5263</v>
      </c>
    </row>
    <row r="1744" spans="1:11">
      <c r="A1744" t="s">
        <v>5264</v>
      </c>
      <c r="J1744" t="s">
        <v>5265</v>
      </c>
      <c r="K1744" t="s">
        <v>5266</v>
      </c>
    </row>
    <row r="1745" spans="1:11">
      <c r="A1745" t="s">
        <v>5267</v>
      </c>
      <c r="J1745" t="s">
        <v>5268</v>
      </c>
      <c r="K1745" t="s">
        <v>5269</v>
      </c>
    </row>
    <row r="1746" spans="1:11">
      <c r="A1746" t="s">
        <v>5270</v>
      </c>
      <c r="J1746" t="s">
        <v>5271</v>
      </c>
      <c r="K1746" t="s">
        <v>5272</v>
      </c>
    </row>
    <row r="1747" spans="1:11">
      <c r="A1747" t="s">
        <v>5273</v>
      </c>
      <c r="J1747" t="s">
        <v>5274</v>
      </c>
      <c r="K1747" t="s">
        <v>5275</v>
      </c>
    </row>
    <row r="1748" spans="1:11">
      <c r="A1748" t="s">
        <v>5276</v>
      </c>
      <c r="J1748" t="s">
        <v>5277</v>
      </c>
      <c r="K1748" t="s">
        <v>5278</v>
      </c>
    </row>
    <row r="1749" spans="1:11">
      <c r="A1749" t="s">
        <v>5279</v>
      </c>
      <c r="J1749" t="s">
        <v>5280</v>
      </c>
      <c r="K1749" t="s">
        <v>5281</v>
      </c>
    </row>
    <row r="1750" spans="1:11">
      <c r="A1750" t="s">
        <v>5282</v>
      </c>
      <c r="J1750" t="s">
        <v>5283</v>
      </c>
      <c r="K1750" t="s">
        <v>5284</v>
      </c>
    </row>
    <row r="1751" spans="1:11">
      <c r="A1751" t="s">
        <v>5285</v>
      </c>
      <c r="J1751" t="s">
        <v>5286</v>
      </c>
      <c r="K1751" t="s">
        <v>5287</v>
      </c>
    </row>
    <row r="1752" spans="1:11">
      <c r="A1752" t="s">
        <v>5288</v>
      </c>
      <c r="J1752" t="s">
        <v>5289</v>
      </c>
      <c r="K1752" t="s">
        <v>5290</v>
      </c>
    </row>
    <row r="1753" spans="1:11">
      <c r="A1753" t="s">
        <v>5291</v>
      </c>
      <c r="J1753" t="s">
        <v>5292</v>
      </c>
      <c r="K1753" t="s">
        <v>5293</v>
      </c>
    </row>
    <row r="1754" spans="1:11">
      <c r="A1754" t="s">
        <v>5294</v>
      </c>
      <c r="J1754" t="s">
        <v>5295</v>
      </c>
      <c r="K1754" t="s">
        <v>5296</v>
      </c>
    </row>
    <row r="1755" spans="1:11">
      <c r="A1755" t="s">
        <v>5297</v>
      </c>
      <c r="J1755" t="s">
        <v>5298</v>
      </c>
      <c r="K1755" t="s">
        <v>5299</v>
      </c>
    </row>
    <row r="1756" spans="1:11">
      <c r="A1756" t="s">
        <v>5300</v>
      </c>
      <c r="J1756" t="s">
        <v>5301</v>
      </c>
      <c r="K1756" t="s">
        <v>5302</v>
      </c>
    </row>
    <row r="1757" spans="1:11">
      <c r="A1757" t="s">
        <v>5303</v>
      </c>
      <c r="J1757" t="s">
        <v>5304</v>
      </c>
      <c r="K1757" t="s">
        <v>5305</v>
      </c>
    </row>
    <row r="1758" spans="1:11">
      <c r="A1758" t="s">
        <v>5306</v>
      </c>
      <c r="J1758" t="s">
        <v>5307</v>
      </c>
      <c r="K1758" t="s">
        <v>5308</v>
      </c>
    </row>
    <row r="1759" spans="1:11">
      <c r="A1759" t="s">
        <v>5309</v>
      </c>
      <c r="J1759" t="s">
        <v>5310</v>
      </c>
      <c r="K1759" t="s">
        <v>5311</v>
      </c>
    </row>
    <row r="1760" spans="1:11">
      <c r="A1760" t="s">
        <v>5312</v>
      </c>
      <c r="J1760" t="s">
        <v>5313</v>
      </c>
      <c r="K1760" t="s">
        <v>5314</v>
      </c>
    </row>
    <row r="1761" spans="1:11">
      <c r="A1761" t="s">
        <v>5315</v>
      </c>
      <c r="J1761" t="s">
        <v>5316</v>
      </c>
      <c r="K1761" t="s">
        <v>5317</v>
      </c>
    </row>
    <row r="1762" spans="1:11">
      <c r="A1762" t="s">
        <v>5318</v>
      </c>
      <c r="J1762" t="s">
        <v>5319</v>
      </c>
      <c r="K1762" t="s">
        <v>5320</v>
      </c>
    </row>
    <row r="1763" spans="1:11">
      <c r="A1763" t="s">
        <v>5321</v>
      </c>
      <c r="J1763" t="s">
        <v>5322</v>
      </c>
      <c r="K1763" t="s">
        <v>5323</v>
      </c>
    </row>
    <row r="1764" spans="1:11">
      <c r="A1764" t="s">
        <v>5324</v>
      </c>
      <c r="J1764" t="s">
        <v>5325</v>
      </c>
      <c r="K1764" t="s">
        <v>5326</v>
      </c>
    </row>
    <row r="1765" spans="1:11">
      <c r="A1765" t="s">
        <v>5327</v>
      </c>
      <c r="J1765" t="s">
        <v>5328</v>
      </c>
      <c r="K1765" t="s">
        <v>5329</v>
      </c>
    </row>
    <row r="1766" spans="1:11">
      <c r="A1766" t="s">
        <v>5330</v>
      </c>
      <c r="J1766" t="s">
        <v>5331</v>
      </c>
      <c r="K1766" t="s">
        <v>5332</v>
      </c>
    </row>
    <row r="1767" spans="1:11">
      <c r="A1767" t="s">
        <v>5333</v>
      </c>
      <c r="J1767" t="s">
        <v>5334</v>
      </c>
      <c r="K1767" t="s">
        <v>5335</v>
      </c>
    </row>
    <row r="1768" spans="1:11">
      <c r="A1768" t="s">
        <v>5336</v>
      </c>
      <c r="J1768" t="s">
        <v>5337</v>
      </c>
      <c r="K1768" t="s">
        <v>5338</v>
      </c>
    </row>
    <row r="1769" spans="1:11">
      <c r="A1769" t="s">
        <v>5339</v>
      </c>
      <c r="J1769" t="s">
        <v>5340</v>
      </c>
      <c r="K1769" t="s">
        <v>5341</v>
      </c>
    </row>
    <row r="1770" spans="1:11">
      <c r="A1770" t="s">
        <v>5342</v>
      </c>
      <c r="J1770" t="s">
        <v>5343</v>
      </c>
      <c r="K1770" t="s">
        <v>5344</v>
      </c>
    </row>
    <row r="1771" spans="1:11">
      <c r="A1771" t="s">
        <v>5345</v>
      </c>
      <c r="J1771" t="s">
        <v>5346</v>
      </c>
      <c r="K1771" t="s">
        <v>5347</v>
      </c>
    </row>
    <row r="1772" spans="1:11">
      <c r="A1772" t="s">
        <v>5348</v>
      </c>
      <c r="J1772" t="s">
        <v>5349</v>
      </c>
      <c r="K1772" t="s">
        <v>5350</v>
      </c>
    </row>
    <row r="1773" spans="1:11">
      <c r="A1773" t="s">
        <v>5351</v>
      </c>
      <c r="J1773" t="s">
        <v>5352</v>
      </c>
      <c r="K1773" t="s">
        <v>5353</v>
      </c>
    </row>
    <row r="1774" spans="1:11">
      <c r="A1774" t="s">
        <v>5354</v>
      </c>
      <c r="J1774" t="s">
        <v>5355</v>
      </c>
      <c r="K1774" t="s">
        <v>5356</v>
      </c>
    </row>
    <row r="1775" spans="1:11">
      <c r="A1775" t="s">
        <v>5357</v>
      </c>
      <c r="J1775" t="s">
        <v>5358</v>
      </c>
      <c r="K1775" t="s">
        <v>5359</v>
      </c>
    </row>
    <row r="1776" spans="1:11">
      <c r="A1776" t="s">
        <v>5360</v>
      </c>
      <c r="J1776" t="s">
        <v>5361</v>
      </c>
      <c r="K1776" t="s">
        <v>5362</v>
      </c>
    </row>
    <row r="1777" spans="1:11">
      <c r="A1777" t="s">
        <v>5363</v>
      </c>
      <c r="J1777" t="s">
        <v>5364</v>
      </c>
      <c r="K1777" t="s">
        <v>5365</v>
      </c>
    </row>
    <row r="1778" spans="1:11">
      <c r="A1778" t="s">
        <v>5366</v>
      </c>
      <c r="J1778" t="s">
        <v>5367</v>
      </c>
      <c r="K1778" t="s">
        <v>5368</v>
      </c>
    </row>
    <row r="1779" spans="1:11">
      <c r="A1779" t="s">
        <v>5369</v>
      </c>
      <c r="J1779" t="s">
        <v>5370</v>
      </c>
      <c r="K1779" t="s">
        <v>5371</v>
      </c>
    </row>
    <row r="1780" spans="1:11">
      <c r="A1780" t="s">
        <v>5372</v>
      </c>
      <c r="J1780" t="s">
        <v>5373</v>
      </c>
      <c r="K1780" t="s">
        <v>5374</v>
      </c>
    </row>
    <row r="1781" spans="1:11">
      <c r="A1781" t="s">
        <v>5375</v>
      </c>
      <c r="J1781" t="s">
        <v>5376</v>
      </c>
      <c r="K1781" t="s">
        <v>5377</v>
      </c>
    </row>
    <row r="1782" spans="1:11">
      <c r="A1782" t="s">
        <v>5378</v>
      </c>
      <c r="J1782" t="s">
        <v>5379</v>
      </c>
      <c r="K1782" t="s">
        <v>5380</v>
      </c>
    </row>
    <row r="1783" spans="1:11">
      <c r="A1783" t="s">
        <v>5381</v>
      </c>
      <c r="J1783" t="s">
        <v>5382</v>
      </c>
      <c r="K1783" t="s">
        <v>5383</v>
      </c>
    </row>
    <row r="1784" spans="1:11">
      <c r="A1784" t="s">
        <v>5384</v>
      </c>
      <c r="J1784" t="s">
        <v>5385</v>
      </c>
      <c r="K1784" t="s">
        <v>5386</v>
      </c>
    </row>
    <row r="1785" spans="1:11">
      <c r="A1785" t="s">
        <v>5387</v>
      </c>
      <c r="J1785" t="s">
        <v>5388</v>
      </c>
      <c r="K1785" t="s">
        <v>5389</v>
      </c>
    </row>
    <row r="1786" spans="1:11">
      <c r="A1786" t="s">
        <v>5390</v>
      </c>
      <c r="J1786" t="s">
        <v>5391</v>
      </c>
      <c r="K1786" t="s">
        <v>5392</v>
      </c>
    </row>
    <row r="1787" spans="1:11">
      <c r="A1787" t="s">
        <v>5393</v>
      </c>
      <c r="J1787" t="s">
        <v>5394</v>
      </c>
      <c r="K1787" t="s">
        <v>5395</v>
      </c>
    </row>
    <row r="1788" spans="1:11">
      <c r="A1788" t="s">
        <v>5396</v>
      </c>
      <c r="J1788" t="s">
        <v>5397</v>
      </c>
      <c r="K1788" t="s">
        <v>5398</v>
      </c>
    </row>
    <row r="1789" spans="1:11">
      <c r="A1789" t="s">
        <v>5399</v>
      </c>
      <c r="J1789" t="s">
        <v>5400</v>
      </c>
      <c r="K1789" t="s">
        <v>5401</v>
      </c>
    </row>
    <row r="1790" spans="1:11">
      <c r="A1790" t="s">
        <v>5402</v>
      </c>
      <c r="J1790" t="s">
        <v>5403</v>
      </c>
      <c r="K1790" t="s">
        <v>5404</v>
      </c>
    </row>
    <row r="1791" spans="1:11">
      <c r="A1791" t="s">
        <v>5405</v>
      </c>
      <c r="J1791" t="s">
        <v>5406</v>
      </c>
      <c r="K1791" t="s">
        <v>5407</v>
      </c>
    </row>
    <row r="1792" spans="1:11">
      <c r="A1792" t="s">
        <v>5408</v>
      </c>
      <c r="J1792" t="s">
        <v>5409</v>
      </c>
      <c r="K1792" t="s">
        <v>5410</v>
      </c>
    </row>
    <row r="1793" spans="1:11">
      <c r="A1793" t="s">
        <v>5411</v>
      </c>
      <c r="J1793" t="s">
        <v>5412</v>
      </c>
      <c r="K1793" t="s">
        <v>5413</v>
      </c>
    </row>
    <row r="1794" spans="1:11">
      <c r="A1794" t="s">
        <v>5414</v>
      </c>
      <c r="J1794" t="s">
        <v>5415</v>
      </c>
      <c r="K1794" t="s">
        <v>5416</v>
      </c>
    </row>
    <row r="1795" spans="1:11">
      <c r="A1795" t="s">
        <v>5417</v>
      </c>
      <c r="J1795" t="s">
        <v>5418</v>
      </c>
      <c r="K1795" t="s">
        <v>5419</v>
      </c>
    </row>
    <row r="1796" spans="1:11">
      <c r="A1796" t="s">
        <v>5420</v>
      </c>
      <c r="J1796" t="s">
        <v>5421</v>
      </c>
      <c r="K1796" t="s">
        <v>5422</v>
      </c>
    </row>
    <row r="1797" spans="1:11">
      <c r="A1797" t="s">
        <v>5423</v>
      </c>
      <c r="J1797" t="s">
        <v>5424</v>
      </c>
      <c r="K1797" t="s">
        <v>5425</v>
      </c>
    </row>
    <row r="1798" spans="1:11">
      <c r="A1798" t="s">
        <v>5426</v>
      </c>
      <c r="J1798" t="s">
        <v>5427</v>
      </c>
      <c r="K1798" t="s">
        <v>5428</v>
      </c>
    </row>
    <row r="1799" spans="1:11">
      <c r="A1799" t="s">
        <v>5429</v>
      </c>
      <c r="J1799" t="s">
        <v>5430</v>
      </c>
      <c r="K1799" t="s">
        <v>5431</v>
      </c>
    </row>
    <row r="1800" spans="1:11">
      <c r="A1800" t="s">
        <v>5432</v>
      </c>
      <c r="J1800" t="s">
        <v>5433</v>
      </c>
      <c r="K1800" t="s">
        <v>5434</v>
      </c>
    </row>
    <row r="1801" spans="1:11">
      <c r="A1801" t="s">
        <v>5435</v>
      </c>
      <c r="J1801" t="s">
        <v>5436</v>
      </c>
      <c r="K1801" t="s">
        <v>5437</v>
      </c>
    </row>
    <row r="1802" spans="1:11">
      <c r="A1802" t="s">
        <v>5438</v>
      </c>
      <c r="J1802" t="s">
        <v>5439</v>
      </c>
      <c r="K1802" t="s">
        <v>5440</v>
      </c>
    </row>
    <row r="1803" spans="1:11">
      <c r="A1803" t="s">
        <v>5441</v>
      </c>
      <c r="J1803" t="s">
        <v>5442</v>
      </c>
      <c r="K1803" t="s">
        <v>5443</v>
      </c>
    </row>
    <row r="1804" spans="1:11">
      <c r="A1804" t="s">
        <v>5444</v>
      </c>
      <c r="J1804" t="s">
        <v>5445</v>
      </c>
      <c r="K1804" t="s">
        <v>5446</v>
      </c>
    </row>
    <row r="1805" spans="1:11">
      <c r="A1805" t="s">
        <v>5447</v>
      </c>
      <c r="J1805" t="s">
        <v>5448</v>
      </c>
      <c r="K1805" t="s">
        <v>5449</v>
      </c>
    </row>
    <row r="1806" spans="1:11">
      <c r="A1806" t="s">
        <v>5450</v>
      </c>
      <c r="J1806" t="s">
        <v>5451</v>
      </c>
      <c r="K1806" t="s">
        <v>5452</v>
      </c>
    </row>
    <row r="1807" spans="1:11">
      <c r="A1807" t="s">
        <v>5453</v>
      </c>
      <c r="J1807" t="s">
        <v>5454</v>
      </c>
      <c r="K1807" t="s">
        <v>5455</v>
      </c>
    </row>
    <row r="1808" spans="1:11">
      <c r="A1808" t="s">
        <v>5456</v>
      </c>
      <c r="J1808" t="s">
        <v>5457</v>
      </c>
      <c r="K1808" t="s">
        <v>5458</v>
      </c>
    </row>
    <row r="1809" spans="1:11">
      <c r="A1809" t="s">
        <v>5459</v>
      </c>
      <c r="J1809" t="s">
        <v>5460</v>
      </c>
      <c r="K1809" t="s">
        <v>5461</v>
      </c>
    </row>
    <row r="1810" spans="1:11">
      <c r="A1810" t="s">
        <v>5462</v>
      </c>
      <c r="J1810" t="s">
        <v>5463</v>
      </c>
      <c r="K1810" t="s">
        <v>5464</v>
      </c>
    </row>
    <row r="1811" spans="1:11">
      <c r="A1811" t="s">
        <v>5465</v>
      </c>
      <c r="J1811" t="s">
        <v>5466</v>
      </c>
      <c r="K1811" t="s">
        <v>5467</v>
      </c>
    </row>
    <row r="1812" spans="1:11">
      <c r="A1812" t="s">
        <v>5468</v>
      </c>
      <c r="J1812" t="s">
        <v>5469</v>
      </c>
      <c r="K1812" t="s">
        <v>5470</v>
      </c>
    </row>
    <row r="1813" spans="1:11">
      <c r="A1813" t="s">
        <v>5471</v>
      </c>
      <c r="J1813" t="s">
        <v>5472</v>
      </c>
      <c r="K1813" t="s">
        <v>5473</v>
      </c>
    </row>
    <row r="1814" spans="1:11">
      <c r="A1814" t="s">
        <v>5474</v>
      </c>
      <c r="J1814" t="s">
        <v>5475</v>
      </c>
      <c r="K1814" t="s">
        <v>5476</v>
      </c>
    </row>
    <row r="1815" spans="1:11">
      <c r="A1815" t="s">
        <v>5477</v>
      </c>
      <c r="J1815" t="s">
        <v>5478</v>
      </c>
      <c r="K1815" t="s">
        <v>5479</v>
      </c>
    </row>
    <row r="1816" spans="1:11">
      <c r="A1816" t="s">
        <v>5480</v>
      </c>
      <c r="J1816" t="s">
        <v>5481</v>
      </c>
      <c r="K1816" t="s">
        <v>5482</v>
      </c>
    </row>
    <row r="1817" spans="1:11">
      <c r="A1817" t="s">
        <v>5483</v>
      </c>
      <c r="J1817" t="s">
        <v>5484</v>
      </c>
      <c r="K1817" t="s">
        <v>5485</v>
      </c>
    </row>
    <row r="1818" spans="1:11">
      <c r="A1818" t="s">
        <v>5486</v>
      </c>
      <c r="J1818" t="s">
        <v>5487</v>
      </c>
      <c r="K1818" t="s">
        <v>5488</v>
      </c>
    </row>
    <row r="1819" spans="1:11">
      <c r="A1819" t="s">
        <v>5489</v>
      </c>
      <c r="J1819" t="s">
        <v>5490</v>
      </c>
      <c r="K1819" t="s">
        <v>5491</v>
      </c>
    </row>
    <row r="1820" spans="1:11">
      <c r="A1820" t="s">
        <v>5492</v>
      </c>
      <c r="J1820" t="s">
        <v>5493</v>
      </c>
      <c r="K1820" t="s">
        <v>5494</v>
      </c>
    </row>
    <row r="1821" spans="1:11">
      <c r="A1821" t="s">
        <v>5495</v>
      </c>
      <c r="J1821" t="s">
        <v>5496</v>
      </c>
      <c r="K1821" t="s">
        <v>5497</v>
      </c>
    </row>
    <row r="1822" spans="1:11">
      <c r="A1822" t="s">
        <v>5498</v>
      </c>
      <c r="J1822" t="s">
        <v>5499</v>
      </c>
      <c r="K1822" t="s">
        <v>5500</v>
      </c>
    </row>
    <row r="1823" spans="1:11">
      <c r="A1823" t="s">
        <v>5501</v>
      </c>
      <c r="J1823" t="s">
        <v>5502</v>
      </c>
      <c r="K1823" t="s">
        <v>5503</v>
      </c>
    </row>
    <row r="1824" spans="1:11">
      <c r="A1824" t="s">
        <v>5504</v>
      </c>
      <c r="J1824" t="s">
        <v>5505</v>
      </c>
      <c r="K1824" t="s">
        <v>5506</v>
      </c>
    </row>
    <row r="1825" spans="1:11">
      <c r="A1825" t="s">
        <v>5507</v>
      </c>
      <c r="J1825" t="s">
        <v>5508</v>
      </c>
      <c r="K1825" t="s">
        <v>5509</v>
      </c>
    </row>
    <row r="1826" spans="1:11">
      <c r="A1826" t="s">
        <v>5510</v>
      </c>
      <c r="J1826" t="s">
        <v>5511</v>
      </c>
      <c r="K1826" t="s">
        <v>5512</v>
      </c>
    </row>
    <row r="1827" spans="1:11">
      <c r="A1827" t="s">
        <v>5513</v>
      </c>
      <c r="J1827" t="s">
        <v>5514</v>
      </c>
      <c r="K1827" t="s">
        <v>5515</v>
      </c>
    </row>
    <row r="1828" spans="1:11">
      <c r="A1828" t="s">
        <v>5516</v>
      </c>
      <c r="J1828" t="s">
        <v>5517</v>
      </c>
      <c r="K1828" t="s">
        <v>5518</v>
      </c>
    </row>
    <row r="1829" spans="1:11">
      <c r="A1829" t="s">
        <v>5519</v>
      </c>
      <c r="J1829" t="s">
        <v>5520</v>
      </c>
      <c r="K1829" t="s">
        <v>5521</v>
      </c>
    </row>
    <row r="1830" spans="1:11">
      <c r="A1830" t="s">
        <v>5522</v>
      </c>
      <c r="J1830" t="s">
        <v>5523</v>
      </c>
      <c r="K1830" t="s">
        <v>5524</v>
      </c>
    </row>
    <row r="1831" spans="1:11">
      <c r="A1831" t="s">
        <v>5525</v>
      </c>
      <c r="J1831" t="s">
        <v>5526</v>
      </c>
      <c r="K1831" t="s">
        <v>5527</v>
      </c>
    </row>
    <row r="1832" spans="1:11">
      <c r="A1832" t="s">
        <v>5528</v>
      </c>
      <c r="J1832" t="s">
        <v>5529</v>
      </c>
      <c r="K1832" t="s">
        <v>5530</v>
      </c>
    </row>
    <row r="1833" spans="1:11">
      <c r="A1833" t="s">
        <v>5531</v>
      </c>
      <c r="J1833" t="s">
        <v>5532</v>
      </c>
      <c r="K1833" t="s">
        <v>5533</v>
      </c>
    </row>
    <row r="1834" spans="1:11">
      <c r="A1834" t="s">
        <v>5534</v>
      </c>
      <c r="J1834" t="s">
        <v>5535</v>
      </c>
      <c r="K1834" t="s">
        <v>5536</v>
      </c>
    </row>
    <row r="1835" spans="1:11">
      <c r="A1835" t="s">
        <v>5537</v>
      </c>
      <c r="J1835" t="s">
        <v>5538</v>
      </c>
      <c r="K1835" t="s">
        <v>5539</v>
      </c>
    </row>
    <row r="1836" spans="1:11">
      <c r="A1836" t="s">
        <v>5540</v>
      </c>
      <c r="J1836" t="s">
        <v>5541</v>
      </c>
      <c r="K1836" t="s">
        <v>5542</v>
      </c>
    </row>
    <row r="1837" spans="1:11">
      <c r="A1837" t="s">
        <v>5543</v>
      </c>
      <c r="J1837" t="s">
        <v>5544</v>
      </c>
      <c r="K1837" t="s">
        <v>5545</v>
      </c>
    </row>
    <row r="1838" spans="1:11">
      <c r="A1838" t="s">
        <v>5546</v>
      </c>
      <c r="J1838" t="s">
        <v>5547</v>
      </c>
      <c r="K1838" t="s">
        <v>5548</v>
      </c>
    </row>
    <row r="1839" spans="1:11">
      <c r="A1839" t="s">
        <v>5549</v>
      </c>
      <c r="J1839" t="s">
        <v>5550</v>
      </c>
      <c r="K1839" t="s">
        <v>5551</v>
      </c>
    </row>
    <row r="1840" spans="1:11">
      <c r="A1840" t="s">
        <v>5552</v>
      </c>
      <c r="J1840" t="s">
        <v>5553</v>
      </c>
      <c r="K1840" t="s">
        <v>5554</v>
      </c>
    </row>
    <row r="1841" spans="1:11">
      <c r="A1841" t="s">
        <v>5555</v>
      </c>
      <c r="J1841" t="s">
        <v>5556</v>
      </c>
      <c r="K1841" t="s">
        <v>5557</v>
      </c>
    </row>
    <row r="1842" spans="1:11">
      <c r="A1842" t="s">
        <v>5558</v>
      </c>
      <c r="J1842" t="s">
        <v>5559</v>
      </c>
      <c r="K1842" t="s">
        <v>5560</v>
      </c>
    </row>
    <row r="1843" spans="1:11">
      <c r="A1843" t="s">
        <v>5561</v>
      </c>
      <c r="J1843" t="s">
        <v>5562</v>
      </c>
      <c r="K1843" t="s">
        <v>5563</v>
      </c>
    </row>
    <row r="1844" spans="1:11">
      <c r="A1844" t="s">
        <v>5564</v>
      </c>
      <c r="J1844" t="s">
        <v>5565</v>
      </c>
      <c r="K1844" t="s">
        <v>5566</v>
      </c>
    </row>
    <row r="1845" spans="1:11">
      <c r="A1845" t="s">
        <v>5567</v>
      </c>
      <c r="J1845" t="s">
        <v>5568</v>
      </c>
      <c r="K1845" t="s">
        <v>5569</v>
      </c>
    </row>
    <row r="1846" spans="1:11">
      <c r="A1846" t="s">
        <v>5570</v>
      </c>
      <c r="J1846" t="s">
        <v>5571</v>
      </c>
      <c r="K1846" t="s">
        <v>5572</v>
      </c>
    </row>
    <row r="1847" spans="1:11">
      <c r="A1847" t="s">
        <v>5573</v>
      </c>
      <c r="J1847" t="s">
        <v>5574</v>
      </c>
      <c r="K1847" t="s">
        <v>5575</v>
      </c>
    </row>
    <row r="1848" spans="1:11">
      <c r="A1848" t="s">
        <v>5576</v>
      </c>
      <c r="J1848" t="s">
        <v>5577</v>
      </c>
      <c r="K1848" t="s">
        <v>5578</v>
      </c>
    </row>
    <row r="1849" spans="1:11">
      <c r="A1849" t="s">
        <v>5579</v>
      </c>
      <c r="J1849" t="s">
        <v>5580</v>
      </c>
      <c r="K1849" t="s">
        <v>5581</v>
      </c>
    </row>
    <row r="1850" spans="1:11">
      <c r="A1850" t="s">
        <v>5582</v>
      </c>
      <c r="J1850" t="s">
        <v>5583</v>
      </c>
      <c r="K1850" t="s">
        <v>5584</v>
      </c>
    </row>
    <row r="1851" spans="1:11">
      <c r="A1851" t="s">
        <v>5585</v>
      </c>
      <c r="J1851" t="s">
        <v>5586</v>
      </c>
      <c r="K1851" t="s">
        <v>5587</v>
      </c>
    </row>
    <row r="1852" spans="1:11">
      <c r="A1852" t="s">
        <v>5588</v>
      </c>
      <c r="J1852" t="s">
        <v>5589</v>
      </c>
      <c r="K1852" t="s">
        <v>5590</v>
      </c>
    </row>
    <row r="1853" spans="1:11">
      <c r="A1853" t="s">
        <v>5591</v>
      </c>
      <c r="J1853" t="s">
        <v>5592</v>
      </c>
      <c r="K1853" t="s">
        <v>5593</v>
      </c>
    </row>
    <row r="1854" spans="1:11">
      <c r="A1854" t="s">
        <v>5594</v>
      </c>
      <c r="J1854" t="s">
        <v>5595</v>
      </c>
      <c r="K1854" t="s">
        <v>5596</v>
      </c>
    </row>
    <row r="1855" spans="1:11">
      <c r="A1855" t="s">
        <v>5597</v>
      </c>
      <c r="J1855" t="s">
        <v>5598</v>
      </c>
      <c r="K1855" t="s">
        <v>5599</v>
      </c>
    </row>
    <row r="1856" spans="1:11">
      <c r="A1856" t="s">
        <v>5600</v>
      </c>
      <c r="J1856" t="s">
        <v>5601</v>
      </c>
      <c r="K1856" t="s">
        <v>5602</v>
      </c>
    </row>
    <row r="1857" spans="1:11">
      <c r="A1857" t="s">
        <v>5603</v>
      </c>
      <c r="J1857" t="s">
        <v>5604</v>
      </c>
      <c r="K1857" t="s">
        <v>5605</v>
      </c>
    </row>
    <row r="1858" spans="1:11">
      <c r="A1858" t="s">
        <v>5606</v>
      </c>
      <c r="J1858" t="s">
        <v>5607</v>
      </c>
      <c r="K1858" t="s">
        <v>5608</v>
      </c>
    </row>
    <row r="1859" spans="1:11">
      <c r="A1859" t="s">
        <v>5609</v>
      </c>
      <c r="J1859" t="s">
        <v>5610</v>
      </c>
      <c r="K1859" t="s">
        <v>5611</v>
      </c>
    </row>
    <row r="1860" spans="1:11">
      <c r="A1860" t="s">
        <v>5612</v>
      </c>
      <c r="J1860" t="s">
        <v>5613</v>
      </c>
      <c r="K1860" t="s">
        <v>5614</v>
      </c>
    </row>
    <row r="1861" spans="1:11">
      <c r="A1861" t="s">
        <v>5615</v>
      </c>
      <c r="J1861" t="s">
        <v>5616</v>
      </c>
      <c r="K1861" t="s">
        <v>5617</v>
      </c>
    </row>
    <row r="1862" spans="1:11">
      <c r="A1862" t="s">
        <v>5618</v>
      </c>
      <c r="J1862" t="s">
        <v>5619</v>
      </c>
      <c r="K1862" t="s">
        <v>5620</v>
      </c>
    </row>
    <row r="1863" spans="1:11">
      <c r="A1863" t="s">
        <v>5621</v>
      </c>
      <c r="J1863" t="s">
        <v>5622</v>
      </c>
      <c r="K1863" t="s">
        <v>5623</v>
      </c>
    </row>
    <row r="1864" spans="1:11">
      <c r="A1864" t="s">
        <v>5624</v>
      </c>
      <c r="J1864" t="s">
        <v>5625</v>
      </c>
      <c r="K1864" t="s">
        <v>5626</v>
      </c>
    </row>
    <row r="1865" spans="1:11">
      <c r="A1865" t="s">
        <v>5627</v>
      </c>
      <c r="J1865" t="s">
        <v>5628</v>
      </c>
      <c r="K1865" t="s">
        <v>5629</v>
      </c>
    </row>
    <row r="1866" spans="1:11">
      <c r="A1866" t="s">
        <v>5630</v>
      </c>
      <c r="J1866" t="s">
        <v>5631</v>
      </c>
      <c r="K1866" t="s">
        <v>5632</v>
      </c>
    </row>
    <row r="1867" spans="1:11">
      <c r="A1867" t="s">
        <v>5633</v>
      </c>
      <c r="J1867" t="s">
        <v>5634</v>
      </c>
      <c r="K1867" t="s">
        <v>5635</v>
      </c>
    </row>
    <row r="1868" spans="1:11">
      <c r="A1868" t="s">
        <v>5636</v>
      </c>
      <c r="J1868" t="s">
        <v>5637</v>
      </c>
      <c r="K1868" t="s">
        <v>5638</v>
      </c>
    </row>
    <row r="1869" spans="1:11">
      <c r="A1869" t="s">
        <v>5639</v>
      </c>
      <c r="J1869" t="s">
        <v>5640</v>
      </c>
      <c r="K1869" t="s">
        <v>5641</v>
      </c>
    </row>
    <row r="1870" spans="1:11">
      <c r="A1870" t="s">
        <v>5642</v>
      </c>
      <c r="J1870" t="s">
        <v>5643</v>
      </c>
      <c r="K1870" t="s">
        <v>5644</v>
      </c>
    </row>
    <row r="1871" spans="1:11">
      <c r="A1871" t="s">
        <v>5645</v>
      </c>
      <c r="J1871" t="s">
        <v>5646</v>
      </c>
      <c r="K1871" t="s">
        <v>5647</v>
      </c>
    </row>
    <row r="1872" spans="1:11">
      <c r="A1872" t="s">
        <v>5648</v>
      </c>
      <c r="J1872" t="s">
        <v>5649</v>
      </c>
      <c r="K1872" t="s">
        <v>5650</v>
      </c>
    </row>
    <row r="1873" spans="1:11">
      <c r="A1873" t="s">
        <v>5651</v>
      </c>
      <c r="J1873" t="s">
        <v>5652</v>
      </c>
      <c r="K1873" t="s">
        <v>5653</v>
      </c>
    </row>
    <row r="1874" spans="1:11">
      <c r="A1874" t="s">
        <v>5654</v>
      </c>
      <c r="J1874" t="s">
        <v>5655</v>
      </c>
      <c r="K1874" t="s">
        <v>5656</v>
      </c>
    </row>
    <row r="1875" spans="1:11">
      <c r="A1875" t="s">
        <v>5657</v>
      </c>
      <c r="J1875" t="s">
        <v>5658</v>
      </c>
      <c r="K1875" t="s">
        <v>5659</v>
      </c>
    </row>
    <row r="1876" spans="1:11">
      <c r="A1876" t="s">
        <v>5660</v>
      </c>
      <c r="J1876" t="s">
        <v>5661</v>
      </c>
      <c r="K1876" t="s">
        <v>5662</v>
      </c>
    </row>
    <row r="1877" spans="1:11">
      <c r="A1877" t="s">
        <v>5663</v>
      </c>
      <c r="J1877" t="s">
        <v>5664</v>
      </c>
      <c r="K1877" t="s">
        <v>5665</v>
      </c>
    </row>
    <row r="1878" spans="1:11">
      <c r="A1878" t="s">
        <v>5666</v>
      </c>
      <c r="J1878" t="s">
        <v>5667</v>
      </c>
      <c r="K1878" t="s">
        <v>5668</v>
      </c>
    </row>
    <row r="1879" spans="1:11">
      <c r="A1879" t="s">
        <v>5669</v>
      </c>
      <c r="J1879" t="s">
        <v>5670</v>
      </c>
      <c r="K1879" t="s">
        <v>5671</v>
      </c>
    </row>
    <row r="1880" spans="1:11">
      <c r="A1880" t="s">
        <v>5672</v>
      </c>
      <c r="J1880" t="s">
        <v>5673</v>
      </c>
      <c r="K1880" t="s">
        <v>5674</v>
      </c>
    </row>
    <row r="1881" spans="1:11">
      <c r="A1881" t="s">
        <v>5675</v>
      </c>
      <c r="J1881" t="s">
        <v>5676</v>
      </c>
      <c r="K1881" t="s">
        <v>5677</v>
      </c>
    </row>
    <row r="1882" spans="1:11">
      <c r="A1882" t="s">
        <v>5678</v>
      </c>
      <c r="J1882" t="s">
        <v>5679</v>
      </c>
      <c r="K1882" t="s">
        <v>5680</v>
      </c>
    </row>
    <row r="1883" spans="1:11">
      <c r="A1883" t="s">
        <v>5681</v>
      </c>
      <c r="J1883" t="s">
        <v>5682</v>
      </c>
      <c r="K1883" t="s">
        <v>5683</v>
      </c>
    </row>
    <row r="1884" spans="1:11">
      <c r="A1884" t="s">
        <v>5684</v>
      </c>
      <c r="J1884" t="s">
        <v>5685</v>
      </c>
      <c r="K1884" t="s">
        <v>5686</v>
      </c>
    </row>
    <row r="1885" spans="1:11">
      <c r="A1885" t="s">
        <v>5687</v>
      </c>
      <c r="J1885" t="s">
        <v>5688</v>
      </c>
      <c r="K1885" t="s">
        <v>5689</v>
      </c>
    </row>
    <row r="1886" spans="1:11">
      <c r="A1886" t="s">
        <v>5690</v>
      </c>
      <c r="J1886" t="s">
        <v>5691</v>
      </c>
      <c r="K1886" t="s">
        <v>5692</v>
      </c>
    </row>
    <row r="1887" spans="1:11">
      <c r="A1887" t="s">
        <v>5693</v>
      </c>
      <c r="J1887" t="s">
        <v>5694</v>
      </c>
      <c r="K1887" t="s">
        <v>5695</v>
      </c>
    </row>
    <row r="1888" spans="1:11">
      <c r="A1888" t="s">
        <v>5696</v>
      </c>
      <c r="J1888" t="s">
        <v>5697</v>
      </c>
      <c r="K1888" t="s">
        <v>5698</v>
      </c>
    </row>
    <row r="1889" spans="1:11">
      <c r="A1889" t="s">
        <v>5699</v>
      </c>
      <c r="J1889" t="s">
        <v>5700</v>
      </c>
      <c r="K1889" t="s">
        <v>5701</v>
      </c>
    </row>
    <row r="1890" spans="1:11">
      <c r="A1890" t="s">
        <v>5702</v>
      </c>
      <c r="J1890" t="s">
        <v>5703</v>
      </c>
      <c r="K1890" t="s">
        <v>5704</v>
      </c>
    </row>
    <row r="1891" spans="1:11">
      <c r="A1891" t="s">
        <v>5705</v>
      </c>
      <c r="J1891" t="s">
        <v>5706</v>
      </c>
      <c r="K1891" t="s">
        <v>5707</v>
      </c>
    </row>
    <row r="1892" spans="1:11">
      <c r="A1892" t="s">
        <v>5708</v>
      </c>
      <c r="J1892" t="s">
        <v>5709</v>
      </c>
      <c r="K1892" t="s">
        <v>5710</v>
      </c>
    </row>
    <row r="1893" spans="1:11">
      <c r="A1893" t="s">
        <v>5711</v>
      </c>
      <c r="J1893" t="s">
        <v>5712</v>
      </c>
      <c r="K1893" t="s">
        <v>5713</v>
      </c>
    </row>
    <row r="1894" spans="1:11">
      <c r="A1894" t="s">
        <v>5714</v>
      </c>
      <c r="J1894" t="s">
        <v>5715</v>
      </c>
      <c r="K1894" t="s">
        <v>5716</v>
      </c>
    </row>
    <row r="1895" spans="1:11">
      <c r="A1895" t="s">
        <v>5717</v>
      </c>
      <c r="J1895" t="s">
        <v>5718</v>
      </c>
      <c r="K1895" t="s">
        <v>5719</v>
      </c>
    </row>
    <row r="1896" spans="1:11">
      <c r="A1896" t="s">
        <v>5720</v>
      </c>
      <c r="J1896" t="s">
        <v>5721</v>
      </c>
      <c r="K1896" t="s">
        <v>5722</v>
      </c>
    </row>
    <row r="1897" spans="1:11">
      <c r="A1897" t="s">
        <v>5723</v>
      </c>
      <c r="J1897" t="s">
        <v>5724</v>
      </c>
      <c r="K1897" t="s">
        <v>5725</v>
      </c>
    </row>
    <row r="1898" spans="1:11">
      <c r="A1898" t="s">
        <v>5726</v>
      </c>
      <c r="J1898" t="s">
        <v>5727</v>
      </c>
      <c r="K1898" t="s">
        <v>5728</v>
      </c>
    </row>
    <row r="1899" spans="1:11">
      <c r="A1899" t="s">
        <v>5729</v>
      </c>
      <c r="J1899" t="s">
        <v>5730</v>
      </c>
      <c r="K1899" t="s">
        <v>5731</v>
      </c>
    </row>
    <row r="1900" spans="1:11">
      <c r="A1900" t="s">
        <v>5732</v>
      </c>
      <c r="J1900" t="s">
        <v>5733</v>
      </c>
      <c r="K1900" t="s">
        <v>5734</v>
      </c>
    </row>
    <row r="1901" spans="1:11">
      <c r="A1901" t="s">
        <v>5735</v>
      </c>
      <c r="J1901" t="s">
        <v>5736</v>
      </c>
      <c r="K1901" t="s">
        <v>5737</v>
      </c>
    </row>
    <row r="1902" spans="1:11">
      <c r="A1902" t="s">
        <v>5738</v>
      </c>
      <c r="J1902" t="s">
        <v>5739</v>
      </c>
      <c r="K1902" t="s">
        <v>5740</v>
      </c>
    </row>
    <row r="1903" spans="1:11">
      <c r="A1903" t="s">
        <v>5741</v>
      </c>
      <c r="J1903" t="s">
        <v>5742</v>
      </c>
      <c r="K1903" t="s">
        <v>5743</v>
      </c>
    </row>
    <row r="1904" spans="1:11">
      <c r="A1904" t="s">
        <v>5744</v>
      </c>
      <c r="J1904" t="s">
        <v>5745</v>
      </c>
      <c r="K1904" t="s">
        <v>5746</v>
      </c>
    </row>
    <row r="1905" spans="1:11">
      <c r="A1905" t="s">
        <v>5747</v>
      </c>
      <c r="J1905" t="s">
        <v>5748</v>
      </c>
      <c r="K1905" t="s">
        <v>5749</v>
      </c>
    </row>
    <row r="1906" spans="1:11">
      <c r="A1906" t="s">
        <v>5750</v>
      </c>
      <c r="J1906" t="s">
        <v>5751</v>
      </c>
      <c r="K1906" t="s">
        <v>5752</v>
      </c>
    </row>
    <row r="1907" spans="1:11">
      <c r="A1907" t="s">
        <v>5753</v>
      </c>
      <c r="J1907" t="s">
        <v>5754</v>
      </c>
      <c r="K1907" t="s">
        <v>5755</v>
      </c>
    </row>
    <row r="1908" spans="1:11">
      <c r="A1908" t="s">
        <v>5756</v>
      </c>
      <c r="J1908" t="s">
        <v>5757</v>
      </c>
      <c r="K1908" t="s">
        <v>5758</v>
      </c>
    </row>
    <row r="1909" spans="1:11">
      <c r="A1909" t="s">
        <v>5759</v>
      </c>
      <c r="J1909" t="s">
        <v>5760</v>
      </c>
      <c r="K1909" t="s">
        <v>5761</v>
      </c>
    </row>
    <row r="1910" spans="1:11">
      <c r="A1910" t="s">
        <v>5762</v>
      </c>
      <c r="J1910" t="s">
        <v>5763</v>
      </c>
      <c r="K1910" t="s">
        <v>5764</v>
      </c>
    </row>
    <row r="1911" spans="1:11">
      <c r="A1911" t="s">
        <v>5765</v>
      </c>
      <c r="J1911" t="s">
        <v>5766</v>
      </c>
      <c r="K1911" t="s">
        <v>5767</v>
      </c>
    </row>
    <row r="1912" spans="1:11">
      <c r="A1912" t="s">
        <v>5768</v>
      </c>
      <c r="J1912" t="s">
        <v>5769</v>
      </c>
      <c r="K1912" t="s">
        <v>5770</v>
      </c>
    </row>
    <row r="1913" spans="1:11">
      <c r="A1913" t="s">
        <v>5771</v>
      </c>
      <c r="J1913" t="s">
        <v>5772</v>
      </c>
      <c r="K1913" t="s">
        <v>5773</v>
      </c>
    </row>
    <row r="1914" spans="1:11">
      <c r="A1914" t="s">
        <v>5774</v>
      </c>
      <c r="J1914" t="s">
        <v>5775</v>
      </c>
      <c r="K1914" t="s">
        <v>5776</v>
      </c>
    </row>
    <row r="1915" spans="1:11">
      <c r="A1915" t="s">
        <v>5777</v>
      </c>
      <c r="J1915" t="s">
        <v>5778</v>
      </c>
      <c r="K1915" t="s">
        <v>5779</v>
      </c>
    </row>
    <row r="1916" spans="1:11">
      <c r="A1916" t="s">
        <v>5780</v>
      </c>
      <c r="J1916" t="s">
        <v>5781</v>
      </c>
      <c r="K1916" t="s">
        <v>5782</v>
      </c>
    </row>
    <row r="1917" spans="1:11">
      <c r="A1917" t="s">
        <v>5783</v>
      </c>
      <c r="J1917" t="s">
        <v>5784</v>
      </c>
      <c r="K1917" t="s">
        <v>5785</v>
      </c>
    </row>
    <row r="1918" spans="1:11">
      <c r="A1918" t="s">
        <v>5786</v>
      </c>
      <c r="J1918" t="s">
        <v>5787</v>
      </c>
      <c r="K1918" t="s">
        <v>5788</v>
      </c>
    </row>
    <row r="1919" spans="1:11">
      <c r="A1919" t="s">
        <v>5789</v>
      </c>
      <c r="J1919" t="s">
        <v>5790</v>
      </c>
      <c r="K1919" t="s">
        <v>5791</v>
      </c>
    </row>
    <row r="1920" spans="1:11">
      <c r="A1920" t="s">
        <v>5792</v>
      </c>
      <c r="J1920" t="s">
        <v>5793</v>
      </c>
      <c r="K1920" t="s">
        <v>5794</v>
      </c>
    </row>
    <row r="1921" spans="1:11">
      <c r="A1921" t="s">
        <v>5795</v>
      </c>
      <c r="J1921" t="s">
        <v>5796</v>
      </c>
      <c r="K1921" t="s">
        <v>5797</v>
      </c>
    </row>
    <row r="1922" spans="1:11">
      <c r="A1922" t="s">
        <v>5798</v>
      </c>
      <c r="J1922" t="s">
        <v>5799</v>
      </c>
      <c r="K1922" t="s">
        <v>5800</v>
      </c>
    </row>
    <row r="1923" spans="1:11">
      <c r="A1923" t="s">
        <v>5801</v>
      </c>
      <c r="J1923" t="s">
        <v>5802</v>
      </c>
      <c r="K1923" t="s">
        <v>5803</v>
      </c>
    </row>
    <row r="1924" spans="1:11">
      <c r="A1924" t="s">
        <v>5804</v>
      </c>
      <c r="J1924" t="s">
        <v>5805</v>
      </c>
      <c r="K1924" t="s">
        <v>5806</v>
      </c>
    </row>
    <row r="1925" spans="1:11">
      <c r="A1925" t="s">
        <v>5807</v>
      </c>
      <c r="J1925" t="s">
        <v>5808</v>
      </c>
      <c r="K1925" t="s">
        <v>5809</v>
      </c>
    </row>
    <row r="1926" spans="1:11">
      <c r="A1926" t="s">
        <v>5810</v>
      </c>
      <c r="J1926" t="s">
        <v>5811</v>
      </c>
      <c r="K1926" t="s">
        <v>5812</v>
      </c>
    </row>
    <row r="1927" spans="1:11">
      <c r="A1927" t="s">
        <v>5813</v>
      </c>
      <c r="J1927" t="s">
        <v>5814</v>
      </c>
      <c r="K1927" t="s">
        <v>5815</v>
      </c>
    </row>
    <row r="1928" spans="1:11">
      <c r="A1928" t="s">
        <v>5816</v>
      </c>
      <c r="J1928" t="s">
        <v>5817</v>
      </c>
      <c r="K1928" t="s">
        <v>5818</v>
      </c>
    </row>
    <row r="1929" spans="1:11">
      <c r="A1929" t="s">
        <v>5819</v>
      </c>
      <c r="J1929" t="s">
        <v>5820</v>
      </c>
      <c r="K1929" t="s">
        <v>5821</v>
      </c>
    </row>
    <row r="1930" spans="1:11">
      <c r="A1930" t="s">
        <v>5822</v>
      </c>
      <c r="J1930" t="s">
        <v>5823</v>
      </c>
      <c r="K1930" t="s">
        <v>5824</v>
      </c>
    </row>
    <row r="1931" spans="1:11">
      <c r="A1931" t="s">
        <v>5825</v>
      </c>
      <c r="J1931" t="s">
        <v>5826</v>
      </c>
      <c r="K1931" t="s">
        <v>5827</v>
      </c>
    </row>
    <row r="1932" spans="1:11">
      <c r="A1932" t="s">
        <v>5828</v>
      </c>
      <c r="J1932" t="s">
        <v>5829</v>
      </c>
      <c r="K1932" t="s">
        <v>5830</v>
      </c>
    </row>
    <row r="1933" spans="1:11">
      <c r="A1933" t="s">
        <v>5831</v>
      </c>
      <c r="J1933" t="s">
        <v>5832</v>
      </c>
      <c r="K1933" t="s">
        <v>5833</v>
      </c>
    </row>
    <row r="1934" spans="1:11">
      <c r="A1934" t="s">
        <v>5834</v>
      </c>
      <c r="J1934" t="s">
        <v>5835</v>
      </c>
      <c r="K1934" t="s">
        <v>5836</v>
      </c>
    </row>
    <row r="1935" spans="1:11">
      <c r="A1935" t="s">
        <v>5837</v>
      </c>
      <c r="J1935" t="s">
        <v>5838</v>
      </c>
      <c r="K1935" t="s">
        <v>5839</v>
      </c>
    </row>
    <row r="1936" spans="1:11">
      <c r="A1936" t="s">
        <v>5840</v>
      </c>
      <c r="J1936" t="s">
        <v>5841</v>
      </c>
      <c r="K1936" t="s">
        <v>5842</v>
      </c>
    </row>
    <row r="1937" spans="1:11">
      <c r="A1937" t="s">
        <v>5843</v>
      </c>
      <c r="J1937" t="s">
        <v>5844</v>
      </c>
      <c r="K1937" t="s">
        <v>5845</v>
      </c>
    </row>
    <row r="1938" spans="1:11">
      <c r="A1938" t="s">
        <v>5846</v>
      </c>
      <c r="J1938" t="s">
        <v>5847</v>
      </c>
      <c r="K1938" t="s">
        <v>5848</v>
      </c>
    </row>
    <row r="1939" spans="1:11">
      <c r="A1939" t="s">
        <v>5849</v>
      </c>
      <c r="J1939" t="s">
        <v>5850</v>
      </c>
      <c r="K1939" t="s">
        <v>5851</v>
      </c>
    </row>
    <row r="1940" spans="1:11">
      <c r="A1940" t="s">
        <v>5852</v>
      </c>
      <c r="J1940" t="s">
        <v>5853</v>
      </c>
      <c r="K1940" t="s">
        <v>5854</v>
      </c>
    </row>
    <row r="1941" spans="1:11">
      <c r="A1941" t="s">
        <v>5855</v>
      </c>
      <c r="J1941" t="s">
        <v>5856</v>
      </c>
      <c r="K1941" t="s">
        <v>5857</v>
      </c>
    </row>
    <row r="1942" spans="1:11">
      <c r="A1942" t="s">
        <v>5858</v>
      </c>
      <c r="J1942" t="s">
        <v>5859</v>
      </c>
      <c r="K1942" t="s">
        <v>5860</v>
      </c>
    </row>
    <row r="1943" spans="1:11">
      <c r="A1943" t="s">
        <v>5861</v>
      </c>
      <c r="J1943" t="s">
        <v>5862</v>
      </c>
      <c r="K1943" t="s">
        <v>5863</v>
      </c>
    </row>
    <row r="1944" spans="1:11">
      <c r="A1944" t="s">
        <v>5864</v>
      </c>
      <c r="J1944" t="s">
        <v>5865</v>
      </c>
      <c r="K1944" t="s">
        <v>5866</v>
      </c>
    </row>
    <row r="1945" spans="1:11">
      <c r="A1945" t="s">
        <v>5867</v>
      </c>
      <c r="J1945" t="s">
        <v>5868</v>
      </c>
      <c r="K1945" t="s">
        <v>5869</v>
      </c>
    </row>
    <row r="1946" spans="1:11">
      <c r="A1946" t="s">
        <v>5870</v>
      </c>
      <c r="J1946" t="s">
        <v>5871</v>
      </c>
      <c r="K1946" t="s">
        <v>5872</v>
      </c>
    </row>
    <row r="1947" spans="1:11">
      <c r="A1947" t="s">
        <v>5873</v>
      </c>
      <c r="J1947" t="s">
        <v>5874</v>
      </c>
      <c r="K1947" t="s">
        <v>5875</v>
      </c>
    </row>
    <row r="1948" spans="1:11">
      <c r="A1948" t="s">
        <v>5876</v>
      </c>
      <c r="J1948" t="s">
        <v>5877</v>
      </c>
      <c r="K1948" t="s">
        <v>5878</v>
      </c>
    </row>
    <row r="1949" spans="1:11">
      <c r="A1949" t="s">
        <v>5879</v>
      </c>
      <c r="J1949" t="s">
        <v>5880</v>
      </c>
      <c r="K1949" t="s">
        <v>5881</v>
      </c>
    </row>
    <row r="1950" spans="1:11">
      <c r="A1950" t="s">
        <v>5882</v>
      </c>
      <c r="J1950" t="s">
        <v>5883</v>
      </c>
      <c r="K1950" t="s">
        <v>5884</v>
      </c>
    </row>
    <row r="1951" spans="1:11">
      <c r="A1951" t="s">
        <v>5885</v>
      </c>
      <c r="J1951" t="s">
        <v>5886</v>
      </c>
      <c r="K1951" t="s">
        <v>5887</v>
      </c>
    </row>
    <row r="1952" spans="1:11">
      <c r="A1952" t="s">
        <v>5888</v>
      </c>
      <c r="J1952" t="s">
        <v>5889</v>
      </c>
      <c r="K1952" t="s">
        <v>5890</v>
      </c>
    </row>
    <row r="1953" spans="1:11">
      <c r="A1953" t="s">
        <v>5891</v>
      </c>
      <c r="J1953" t="s">
        <v>5892</v>
      </c>
      <c r="K1953" t="s">
        <v>5893</v>
      </c>
    </row>
    <row r="1954" spans="1:11">
      <c r="A1954" t="s">
        <v>5894</v>
      </c>
      <c r="J1954" t="s">
        <v>5895</v>
      </c>
      <c r="K1954" t="s">
        <v>5896</v>
      </c>
    </row>
    <row r="1955" spans="1:11">
      <c r="A1955" t="s">
        <v>5897</v>
      </c>
      <c r="J1955" t="s">
        <v>5898</v>
      </c>
      <c r="K1955" t="s">
        <v>5899</v>
      </c>
    </row>
    <row r="1956" spans="1:11">
      <c r="A1956" t="s">
        <v>5900</v>
      </c>
      <c r="J1956" t="s">
        <v>5901</v>
      </c>
      <c r="K1956" t="s">
        <v>5902</v>
      </c>
    </row>
    <row r="1957" spans="1:11">
      <c r="A1957" t="s">
        <v>5903</v>
      </c>
      <c r="J1957" t="s">
        <v>5904</v>
      </c>
      <c r="K1957" t="s">
        <v>5905</v>
      </c>
    </row>
    <row r="1958" spans="1:11">
      <c r="A1958" t="s">
        <v>5906</v>
      </c>
      <c r="J1958" t="s">
        <v>5907</v>
      </c>
      <c r="K1958" t="s">
        <v>5908</v>
      </c>
    </row>
    <row r="1959" spans="1:11">
      <c r="A1959" t="s">
        <v>5909</v>
      </c>
      <c r="J1959" t="s">
        <v>5910</v>
      </c>
      <c r="K1959" t="s">
        <v>5911</v>
      </c>
    </row>
    <row r="1960" spans="1:11">
      <c r="A1960" t="s">
        <v>5912</v>
      </c>
      <c r="J1960" t="s">
        <v>5913</v>
      </c>
      <c r="K1960" t="s">
        <v>5914</v>
      </c>
    </row>
    <row r="1961" spans="1:11">
      <c r="A1961" t="s">
        <v>5915</v>
      </c>
      <c r="J1961" t="s">
        <v>5916</v>
      </c>
      <c r="K1961" t="s">
        <v>5917</v>
      </c>
    </row>
    <row r="1962" spans="1:11">
      <c r="A1962" t="s">
        <v>5918</v>
      </c>
      <c r="J1962" t="s">
        <v>5919</v>
      </c>
      <c r="K1962" t="s">
        <v>5920</v>
      </c>
    </row>
    <row r="1963" spans="1:11">
      <c r="A1963" t="s">
        <v>5921</v>
      </c>
      <c r="J1963" t="s">
        <v>5922</v>
      </c>
      <c r="K1963" t="s">
        <v>5923</v>
      </c>
    </row>
    <row r="1964" spans="1:11">
      <c r="A1964" t="s">
        <v>5924</v>
      </c>
      <c r="J1964" t="s">
        <v>5925</v>
      </c>
      <c r="K1964" t="s">
        <v>5926</v>
      </c>
    </row>
    <row r="1965" spans="1:11">
      <c r="A1965" t="s">
        <v>5927</v>
      </c>
      <c r="J1965" t="s">
        <v>5928</v>
      </c>
      <c r="K1965" t="s">
        <v>5929</v>
      </c>
    </row>
    <row r="1966" spans="1:11">
      <c r="A1966" t="s">
        <v>5930</v>
      </c>
      <c r="J1966" t="s">
        <v>5931</v>
      </c>
      <c r="K1966" t="s">
        <v>5932</v>
      </c>
    </row>
    <row r="1967" spans="1:11">
      <c r="A1967" t="s">
        <v>5933</v>
      </c>
      <c r="J1967" t="s">
        <v>5934</v>
      </c>
      <c r="K1967" t="s">
        <v>5935</v>
      </c>
    </row>
    <row r="1968" spans="1:11">
      <c r="A1968" t="s">
        <v>5936</v>
      </c>
      <c r="J1968" t="s">
        <v>5937</v>
      </c>
      <c r="K1968" t="s">
        <v>5938</v>
      </c>
    </row>
    <row r="1969" spans="1:11">
      <c r="A1969" t="s">
        <v>5939</v>
      </c>
      <c r="J1969" t="s">
        <v>5940</v>
      </c>
      <c r="K1969" t="s">
        <v>5941</v>
      </c>
    </row>
    <row r="1970" spans="1:11">
      <c r="A1970" t="s">
        <v>5942</v>
      </c>
      <c r="J1970" t="s">
        <v>5943</v>
      </c>
      <c r="K1970" t="s">
        <v>5944</v>
      </c>
    </row>
    <row r="1971" spans="1:11">
      <c r="A1971" t="s">
        <v>5945</v>
      </c>
      <c r="J1971" t="s">
        <v>5946</v>
      </c>
      <c r="K1971" t="s">
        <v>5947</v>
      </c>
    </row>
    <row r="1972" spans="1:11">
      <c r="A1972" t="s">
        <v>5948</v>
      </c>
      <c r="J1972" t="s">
        <v>5949</v>
      </c>
      <c r="K1972" t="s">
        <v>5950</v>
      </c>
    </row>
    <row r="1973" spans="1:11">
      <c r="A1973" t="s">
        <v>5951</v>
      </c>
      <c r="J1973" t="s">
        <v>5952</v>
      </c>
      <c r="K1973" t="s">
        <v>5953</v>
      </c>
    </row>
    <row r="1974" spans="1:11">
      <c r="A1974" t="s">
        <v>5954</v>
      </c>
      <c r="J1974" t="s">
        <v>5955</v>
      </c>
      <c r="K1974" t="s">
        <v>5956</v>
      </c>
    </row>
    <row r="1975" spans="1:11">
      <c r="A1975" t="s">
        <v>5957</v>
      </c>
      <c r="J1975" t="s">
        <v>5958</v>
      </c>
      <c r="K1975" t="s">
        <v>5959</v>
      </c>
    </row>
    <row r="1976" spans="1:11">
      <c r="A1976" t="s">
        <v>5960</v>
      </c>
      <c r="J1976" t="s">
        <v>5961</v>
      </c>
      <c r="K1976" t="s">
        <v>5962</v>
      </c>
    </row>
    <row r="1977" spans="1:11">
      <c r="A1977" t="s">
        <v>5963</v>
      </c>
      <c r="J1977" t="s">
        <v>5964</v>
      </c>
      <c r="K1977" t="s">
        <v>5965</v>
      </c>
    </row>
    <row r="1978" spans="1:11">
      <c r="A1978" t="s">
        <v>5966</v>
      </c>
      <c r="J1978" t="s">
        <v>5967</v>
      </c>
      <c r="K1978" t="s">
        <v>5968</v>
      </c>
    </row>
    <row r="1979" spans="1:11">
      <c r="A1979" t="s">
        <v>5969</v>
      </c>
      <c r="J1979" t="s">
        <v>5970</v>
      </c>
      <c r="K1979" t="s">
        <v>5971</v>
      </c>
    </row>
    <row r="1980" spans="1:11">
      <c r="A1980" t="s">
        <v>5972</v>
      </c>
      <c r="J1980" t="s">
        <v>5973</v>
      </c>
      <c r="K1980" t="s">
        <v>5974</v>
      </c>
    </row>
    <row r="1981" spans="1:11">
      <c r="A1981" t="s">
        <v>5975</v>
      </c>
      <c r="J1981" t="s">
        <v>5976</v>
      </c>
      <c r="K1981" t="s">
        <v>5977</v>
      </c>
    </row>
    <row r="1982" spans="1:11">
      <c r="A1982" t="s">
        <v>5978</v>
      </c>
      <c r="J1982" t="s">
        <v>5979</v>
      </c>
      <c r="K1982" t="s">
        <v>5980</v>
      </c>
    </row>
    <row r="1983" spans="1:11">
      <c r="A1983" t="s">
        <v>5981</v>
      </c>
      <c r="J1983" t="s">
        <v>5982</v>
      </c>
      <c r="K1983" t="s">
        <v>5983</v>
      </c>
    </row>
    <row r="1984" spans="1:11">
      <c r="A1984" t="s">
        <v>5984</v>
      </c>
      <c r="J1984" t="s">
        <v>5985</v>
      </c>
      <c r="K1984" t="s">
        <v>5986</v>
      </c>
    </row>
    <row r="1985" spans="1:11">
      <c r="A1985" t="s">
        <v>5987</v>
      </c>
      <c r="J1985" t="s">
        <v>5988</v>
      </c>
      <c r="K1985" t="s">
        <v>5989</v>
      </c>
    </row>
    <row r="1986" spans="1:11">
      <c r="A1986" t="s">
        <v>5990</v>
      </c>
      <c r="J1986" t="s">
        <v>5991</v>
      </c>
      <c r="K1986" t="s">
        <v>5992</v>
      </c>
    </row>
    <row r="1987" spans="1:11">
      <c r="A1987" t="s">
        <v>5993</v>
      </c>
      <c r="J1987" t="s">
        <v>5994</v>
      </c>
      <c r="K1987" t="s">
        <v>5995</v>
      </c>
    </row>
    <row r="1988" spans="1:11">
      <c r="A1988" t="s">
        <v>5996</v>
      </c>
      <c r="J1988" t="s">
        <v>5997</v>
      </c>
      <c r="K1988" t="s">
        <v>5998</v>
      </c>
    </row>
    <row r="1989" spans="1:11">
      <c r="A1989" t="s">
        <v>5999</v>
      </c>
      <c r="J1989" t="s">
        <v>6000</v>
      </c>
      <c r="K1989" t="s">
        <v>6001</v>
      </c>
    </row>
    <row r="1990" spans="1:11">
      <c r="A1990" t="s">
        <v>6002</v>
      </c>
      <c r="J1990" t="s">
        <v>6003</v>
      </c>
      <c r="K1990" t="s">
        <v>6004</v>
      </c>
    </row>
    <row r="1991" spans="1:11">
      <c r="A1991" t="s">
        <v>6005</v>
      </c>
      <c r="J1991" t="s">
        <v>6006</v>
      </c>
      <c r="K1991" t="s">
        <v>6007</v>
      </c>
    </row>
    <row r="1992" spans="1:11">
      <c r="A1992" t="s">
        <v>6008</v>
      </c>
      <c r="J1992" t="s">
        <v>6009</v>
      </c>
      <c r="K1992" t="s">
        <v>6010</v>
      </c>
    </row>
    <row r="1993" spans="1:11">
      <c r="A1993" t="s">
        <v>6011</v>
      </c>
      <c r="J1993" t="s">
        <v>6012</v>
      </c>
      <c r="K1993" t="s">
        <v>6013</v>
      </c>
    </row>
    <row r="1994" spans="1:11">
      <c r="A1994" t="s">
        <v>6014</v>
      </c>
      <c r="J1994" t="s">
        <v>6015</v>
      </c>
      <c r="K1994" t="s">
        <v>6016</v>
      </c>
    </row>
    <row r="1995" spans="1:11">
      <c r="A1995" t="s">
        <v>6017</v>
      </c>
      <c r="J1995" t="s">
        <v>6018</v>
      </c>
      <c r="K1995" t="s">
        <v>6019</v>
      </c>
    </row>
    <row r="1996" spans="1:11">
      <c r="A1996" t="s">
        <v>6020</v>
      </c>
      <c r="J1996" t="s">
        <v>6021</v>
      </c>
      <c r="K1996" t="s">
        <v>6022</v>
      </c>
    </row>
    <row r="1997" spans="1:11">
      <c r="A1997" t="s">
        <v>6023</v>
      </c>
      <c r="J1997" t="s">
        <v>6024</v>
      </c>
      <c r="K1997" t="s">
        <v>6025</v>
      </c>
    </row>
    <row r="1998" spans="1:11">
      <c r="A1998" t="s">
        <v>6026</v>
      </c>
      <c r="J1998" t="s">
        <v>6027</v>
      </c>
      <c r="K1998" t="s">
        <v>6028</v>
      </c>
    </row>
    <row r="1999" spans="1:11">
      <c r="A1999" t="s">
        <v>6029</v>
      </c>
      <c r="J1999" t="s">
        <v>6030</v>
      </c>
      <c r="K1999" t="s">
        <v>6031</v>
      </c>
    </row>
    <row r="2000" spans="1:11">
      <c r="A2000" t="s">
        <v>6032</v>
      </c>
      <c r="J2000" t="s">
        <v>6033</v>
      </c>
      <c r="K2000" t="s">
        <v>6034</v>
      </c>
    </row>
    <row r="2001" spans="1:11">
      <c r="A2001" t="s">
        <v>6035</v>
      </c>
      <c r="J2001" t="s">
        <v>6036</v>
      </c>
      <c r="K2001" t="s">
        <v>6037</v>
      </c>
    </row>
    <row r="2002" spans="1:11">
      <c r="A2002" t="s">
        <v>6038</v>
      </c>
      <c r="J2002" t="s">
        <v>6039</v>
      </c>
      <c r="K2002" t="s">
        <v>6040</v>
      </c>
    </row>
    <row r="2003" spans="1:11">
      <c r="A2003" t="s">
        <v>6041</v>
      </c>
      <c r="J2003" t="s">
        <v>6042</v>
      </c>
      <c r="K2003" t="s">
        <v>6043</v>
      </c>
    </row>
    <row r="2004" spans="1:11">
      <c r="A2004" t="s">
        <v>6044</v>
      </c>
      <c r="J2004" t="s">
        <v>6045</v>
      </c>
      <c r="K2004" t="s">
        <v>6046</v>
      </c>
    </row>
    <row r="2005" spans="1:11">
      <c r="A2005" t="s">
        <v>6047</v>
      </c>
      <c r="J2005" t="s">
        <v>6048</v>
      </c>
      <c r="K2005" t="s">
        <v>6049</v>
      </c>
    </row>
    <row r="2006" spans="1:11">
      <c r="A2006" t="s">
        <v>6050</v>
      </c>
      <c r="J2006" t="s">
        <v>6051</v>
      </c>
      <c r="K2006" t="s">
        <v>6052</v>
      </c>
    </row>
    <row r="2007" spans="1:11">
      <c r="A2007" t="s">
        <v>6053</v>
      </c>
      <c r="J2007" t="s">
        <v>6054</v>
      </c>
      <c r="K2007" t="s">
        <v>6055</v>
      </c>
    </row>
    <row r="2008" spans="1:11">
      <c r="A2008" t="s">
        <v>6056</v>
      </c>
      <c r="J2008" t="s">
        <v>6057</v>
      </c>
      <c r="K2008" t="s">
        <v>6058</v>
      </c>
    </row>
    <row r="2009" spans="1:11">
      <c r="A2009" t="s">
        <v>6059</v>
      </c>
      <c r="J2009" t="s">
        <v>6060</v>
      </c>
      <c r="K2009" t="s">
        <v>6061</v>
      </c>
    </row>
    <row r="2010" spans="1:11">
      <c r="A2010" t="s">
        <v>6062</v>
      </c>
      <c r="J2010" t="s">
        <v>6063</v>
      </c>
      <c r="K2010" t="s">
        <v>6064</v>
      </c>
    </row>
    <row r="2011" spans="1:11">
      <c r="A2011" t="s">
        <v>6065</v>
      </c>
      <c r="J2011" t="s">
        <v>6066</v>
      </c>
      <c r="K2011" t="s">
        <v>6067</v>
      </c>
    </row>
    <row r="2012" spans="1:11">
      <c r="A2012" t="s">
        <v>6068</v>
      </c>
      <c r="J2012" t="s">
        <v>6069</v>
      </c>
      <c r="K2012" t="s">
        <v>6070</v>
      </c>
    </row>
    <row r="2013" spans="1:11">
      <c r="A2013" t="s">
        <v>6071</v>
      </c>
      <c r="J2013" t="s">
        <v>6072</v>
      </c>
      <c r="K2013" t="s">
        <v>6073</v>
      </c>
    </row>
    <row r="2014" spans="1:11">
      <c r="A2014" t="s">
        <v>6074</v>
      </c>
      <c r="J2014" t="s">
        <v>6075</v>
      </c>
      <c r="K2014" t="s">
        <v>6076</v>
      </c>
    </row>
    <row r="2015" spans="1:11">
      <c r="A2015" t="s">
        <v>6077</v>
      </c>
      <c r="J2015" t="s">
        <v>6078</v>
      </c>
      <c r="K2015" t="s">
        <v>6079</v>
      </c>
    </row>
    <row r="2016" spans="1:11">
      <c r="A2016" t="s">
        <v>6080</v>
      </c>
      <c r="J2016" t="s">
        <v>6081</v>
      </c>
      <c r="K2016" t="s">
        <v>6082</v>
      </c>
    </row>
    <row r="2017" spans="1:11">
      <c r="A2017" t="s">
        <v>6083</v>
      </c>
      <c r="J2017" t="s">
        <v>6084</v>
      </c>
      <c r="K2017" t="s">
        <v>6085</v>
      </c>
    </row>
    <row r="2018" spans="1:11">
      <c r="A2018" t="s">
        <v>6086</v>
      </c>
      <c r="J2018" t="s">
        <v>6087</v>
      </c>
      <c r="K2018" t="s">
        <v>6088</v>
      </c>
    </row>
    <row r="2019" spans="1:11">
      <c r="A2019" t="s">
        <v>6089</v>
      </c>
      <c r="J2019" t="s">
        <v>6090</v>
      </c>
      <c r="K2019" t="s">
        <v>6091</v>
      </c>
    </row>
    <row r="2020" spans="1:11">
      <c r="A2020" t="s">
        <v>6092</v>
      </c>
      <c r="J2020" t="s">
        <v>6093</v>
      </c>
      <c r="K2020" t="s">
        <v>6094</v>
      </c>
    </row>
    <row r="2021" spans="1:11">
      <c r="A2021" t="s">
        <v>6095</v>
      </c>
      <c r="J2021" t="s">
        <v>6096</v>
      </c>
      <c r="K2021" t="s">
        <v>6097</v>
      </c>
    </row>
    <row r="2022" spans="1:11">
      <c r="A2022" t="s">
        <v>6098</v>
      </c>
      <c r="J2022" t="s">
        <v>6099</v>
      </c>
      <c r="K2022" t="s">
        <v>6100</v>
      </c>
    </row>
    <row r="2023" spans="1:11">
      <c r="A2023" t="s">
        <v>6101</v>
      </c>
      <c r="J2023" t="s">
        <v>6102</v>
      </c>
      <c r="K2023" t="s">
        <v>6103</v>
      </c>
    </row>
    <row r="2024" spans="1:11">
      <c r="A2024" t="s">
        <v>6104</v>
      </c>
      <c r="J2024" t="s">
        <v>6105</v>
      </c>
      <c r="K2024" t="s">
        <v>6106</v>
      </c>
    </row>
    <row r="2025" spans="1:11">
      <c r="A2025" t="s">
        <v>6107</v>
      </c>
      <c r="J2025" t="s">
        <v>6108</v>
      </c>
      <c r="K2025" t="s">
        <v>6109</v>
      </c>
    </row>
    <row r="2026" spans="1:11">
      <c r="A2026" t="s">
        <v>6110</v>
      </c>
      <c r="J2026" t="s">
        <v>6111</v>
      </c>
      <c r="K2026" t="s">
        <v>6112</v>
      </c>
    </row>
    <row r="2027" spans="1:11">
      <c r="A2027" t="s">
        <v>6113</v>
      </c>
      <c r="J2027" t="s">
        <v>6114</v>
      </c>
      <c r="K2027" t="s">
        <v>6115</v>
      </c>
    </row>
    <row r="2028" spans="1:11">
      <c r="A2028" t="s">
        <v>6116</v>
      </c>
      <c r="J2028" t="s">
        <v>6117</v>
      </c>
      <c r="K2028" t="s">
        <v>6118</v>
      </c>
    </row>
    <row r="2029" spans="1:11">
      <c r="A2029" t="s">
        <v>6119</v>
      </c>
      <c r="J2029" t="s">
        <v>6120</v>
      </c>
      <c r="K2029" t="s">
        <v>6121</v>
      </c>
    </row>
    <row r="2030" spans="1:11">
      <c r="A2030" t="s">
        <v>6122</v>
      </c>
      <c r="J2030" t="s">
        <v>6123</v>
      </c>
      <c r="K2030" t="s">
        <v>6124</v>
      </c>
    </row>
    <row r="2031" spans="1:11">
      <c r="A2031" t="s">
        <v>6125</v>
      </c>
      <c r="J2031" t="s">
        <v>6126</v>
      </c>
      <c r="K2031" t="s">
        <v>6127</v>
      </c>
    </row>
    <row r="2032" spans="1:11">
      <c r="A2032" t="s">
        <v>6128</v>
      </c>
      <c r="J2032" t="s">
        <v>6129</v>
      </c>
      <c r="K2032" t="s">
        <v>6130</v>
      </c>
    </row>
    <row r="2033" spans="1:11">
      <c r="A2033" t="s">
        <v>6131</v>
      </c>
      <c r="J2033" t="s">
        <v>6132</v>
      </c>
      <c r="K2033" t="s">
        <v>6133</v>
      </c>
    </row>
    <row r="2034" spans="1:11">
      <c r="A2034" t="s">
        <v>6134</v>
      </c>
      <c r="J2034" t="s">
        <v>6135</v>
      </c>
      <c r="K2034" t="s">
        <v>6136</v>
      </c>
    </row>
    <row r="2035" spans="1:11">
      <c r="A2035" t="s">
        <v>6137</v>
      </c>
      <c r="J2035" t="s">
        <v>6138</v>
      </c>
      <c r="K2035" t="s">
        <v>6139</v>
      </c>
    </row>
    <row r="2036" spans="1:11">
      <c r="A2036" t="s">
        <v>6140</v>
      </c>
      <c r="J2036" t="s">
        <v>6141</v>
      </c>
      <c r="K2036" t="s">
        <v>6142</v>
      </c>
    </row>
    <row r="2037" spans="1:11">
      <c r="A2037" t="s">
        <v>6143</v>
      </c>
      <c r="J2037" t="s">
        <v>6144</v>
      </c>
      <c r="K2037" t="s">
        <v>6145</v>
      </c>
    </row>
    <row r="2038" spans="1:11">
      <c r="A2038" t="s">
        <v>6146</v>
      </c>
      <c r="J2038" t="s">
        <v>6147</v>
      </c>
      <c r="K2038" t="s">
        <v>6148</v>
      </c>
    </row>
    <row r="2039" spans="1:11">
      <c r="A2039" t="s">
        <v>6149</v>
      </c>
      <c r="J2039" t="s">
        <v>6150</v>
      </c>
      <c r="K2039" t="s">
        <v>6151</v>
      </c>
    </row>
    <row r="2040" spans="1:11">
      <c r="A2040" t="s">
        <v>6152</v>
      </c>
      <c r="J2040" t="s">
        <v>6153</v>
      </c>
      <c r="K2040" t="s">
        <v>6154</v>
      </c>
    </row>
    <row r="2041" spans="1:11">
      <c r="A2041" t="s">
        <v>6155</v>
      </c>
      <c r="J2041" t="s">
        <v>6156</v>
      </c>
      <c r="K2041" t="s">
        <v>6157</v>
      </c>
    </row>
    <row r="2042" spans="1:11">
      <c r="A2042" t="s">
        <v>6158</v>
      </c>
      <c r="J2042" t="s">
        <v>6159</v>
      </c>
      <c r="K2042" t="s">
        <v>6160</v>
      </c>
    </row>
    <row r="2043" spans="1:11">
      <c r="A2043" t="s">
        <v>6161</v>
      </c>
      <c r="J2043" t="s">
        <v>6162</v>
      </c>
      <c r="K2043" t="s">
        <v>6163</v>
      </c>
    </row>
    <row r="2044" spans="1:11">
      <c r="A2044" t="s">
        <v>6164</v>
      </c>
      <c r="J2044" t="s">
        <v>6165</v>
      </c>
      <c r="K2044" t="s">
        <v>6166</v>
      </c>
    </row>
    <row r="2045" spans="1:11">
      <c r="A2045" t="s">
        <v>6167</v>
      </c>
      <c r="J2045" t="s">
        <v>6168</v>
      </c>
      <c r="K2045" t="s">
        <v>6169</v>
      </c>
    </row>
    <row r="2046" spans="1:11">
      <c r="A2046" t="s">
        <v>6170</v>
      </c>
      <c r="J2046" t="s">
        <v>6171</v>
      </c>
      <c r="K2046" t="s">
        <v>6172</v>
      </c>
    </row>
    <row r="2047" spans="1:11">
      <c r="A2047" t="s">
        <v>6173</v>
      </c>
      <c r="J2047" t="s">
        <v>6174</v>
      </c>
      <c r="K2047" t="s">
        <v>6175</v>
      </c>
    </row>
    <row r="2048" spans="1:11">
      <c r="A2048" t="s">
        <v>6176</v>
      </c>
      <c r="J2048" t="s">
        <v>6177</v>
      </c>
      <c r="K2048" t="s">
        <v>6178</v>
      </c>
    </row>
    <row r="2049" spans="1:11">
      <c r="A2049" t="s">
        <v>6179</v>
      </c>
      <c r="J2049" t="s">
        <v>6180</v>
      </c>
      <c r="K2049" t="s">
        <v>6181</v>
      </c>
    </row>
    <row r="2050" spans="1:11">
      <c r="A2050" t="s">
        <v>6182</v>
      </c>
      <c r="J2050" t="s">
        <v>6183</v>
      </c>
      <c r="K2050" t="s">
        <v>6184</v>
      </c>
    </row>
    <row r="2051" spans="1:11">
      <c r="A2051" t="s">
        <v>6185</v>
      </c>
      <c r="J2051" t="s">
        <v>6186</v>
      </c>
      <c r="K2051" t="s">
        <v>6187</v>
      </c>
    </row>
    <row r="2052" spans="1:11">
      <c r="A2052" t="s">
        <v>6188</v>
      </c>
      <c r="J2052" t="s">
        <v>6189</v>
      </c>
      <c r="K2052" t="s">
        <v>6190</v>
      </c>
    </row>
    <row r="2053" spans="1:11">
      <c r="A2053" t="s">
        <v>6191</v>
      </c>
      <c r="J2053" t="s">
        <v>6192</v>
      </c>
      <c r="K2053" t="s">
        <v>6193</v>
      </c>
    </row>
    <row r="2054" spans="1:11">
      <c r="A2054" t="s">
        <v>6194</v>
      </c>
      <c r="J2054" t="s">
        <v>6195</v>
      </c>
      <c r="K2054" t="s">
        <v>6196</v>
      </c>
    </row>
    <row r="2055" spans="1:11">
      <c r="A2055" t="s">
        <v>6197</v>
      </c>
      <c r="J2055" t="s">
        <v>6198</v>
      </c>
      <c r="K2055" t="s">
        <v>6199</v>
      </c>
    </row>
    <row r="2056" spans="1:11">
      <c r="A2056" t="s">
        <v>6200</v>
      </c>
      <c r="J2056" t="s">
        <v>6201</v>
      </c>
      <c r="K2056" t="s">
        <v>6202</v>
      </c>
    </row>
    <row r="2057" spans="1:11">
      <c r="A2057" t="s">
        <v>6203</v>
      </c>
      <c r="J2057" t="s">
        <v>6204</v>
      </c>
      <c r="K2057" t="s">
        <v>6205</v>
      </c>
    </row>
    <row r="2058" spans="1:11">
      <c r="A2058" t="s">
        <v>6206</v>
      </c>
      <c r="J2058" t="s">
        <v>6207</v>
      </c>
      <c r="K2058" t="s">
        <v>6208</v>
      </c>
    </row>
    <row r="2059" spans="1:11">
      <c r="A2059" t="s">
        <v>6209</v>
      </c>
      <c r="J2059" t="s">
        <v>6210</v>
      </c>
      <c r="K2059" t="s">
        <v>6211</v>
      </c>
    </row>
    <row r="2060" spans="1:11">
      <c r="A2060" t="s">
        <v>6212</v>
      </c>
      <c r="J2060" t="s">
        <v>6213</v>
      </c>
      <c r="K2060" t="s">
        <v>6214</v>
      </c>
    </row>
    <row r="2061" spans="1:11">
      <c r="A2061" t="s">
        <v>6215</v>
      </c>
      <c r="J2061" t="s">
        <v>6216</v>
      </c>
      <c r="K2061" t="s">
        <v>6217</v>
      </c>
    </row>
    <row r="2062" spans="1:11">
      <c r="A2062" t="s">
        <v>6218</v>
      </c>
      <c r="J2062" t="s">
        <v>6219</v>
      </c>
      <c r="K2062" t="s">
        <v>6220</v>
      </c>
    </row>
    <row r="2063" spans="1:11">
      <c r="A2063" t="s">
        <v>6221</v>
      </c>
      <c r="J2063" t="s">
        <v>6222</v>
      </c>
      <c r="K2063" t="s">
        <v>6223</v>
      </c>
    </row>
    <row r="2064" spans="1:11">
      <c r="A2064" t="s">
        <v>6224</v>
      </c>
      <c r="J2064" t="s">
        <v>6225</v>
      </c>
      <c r="K2064" t="s">
        <v>6226</v>
      </c>
    </row>
    <row r="2065" spans="1:11">
      <c r="A2065" t="s">
        <v>6227</v>
      </c>
      <c r="J2065" t="s">
        <v>6228</v>
      </c>
      <c r="K2065" t="s">
        <v>6229</v>
      </c>
    </row>
    <row r="2066" spans="1:11">
      <c r="A2066" t="s">
        <v>6230</v>
      </c>
      <c r="J2066" t="s">
        <v>6231</v>
      </c>
      <c r="K2066" t="s">
        <v>6232</v>
      </c>
    </row>
    <row r="2067" spans="1:11">
      <c r="A2067" t="s">
        <v>6233</v>
      </c>
      <c r="J2067" t="s">
        <v>6234</v>
      </c>
      <c r="K2067" t="s">
        <v>6235</v>
      </c>
    </row>
    <row r="2068" spans="1:11">
      <c r="A2068" t="s">
        <v>6236</v>
      </c>
      <c r="J2068" t="s">
        <v>6237</v>
      </c>
      <c r="K2068" t="s">
        <v>6238</v>
      </c>
    </row>
    <row r="2069" spans="1:11">
      <c r="A2069" t="s">
        <v>6239</v>
      </c>
      <c r="J2069" t="s">
        <v>6240</v>
      </c>
      <c r="K2069" t="s">
        <v>6241</v>
      </c>
    </row>
    <row r="2070" spans="1:11">
      <c r="A2070" t="s">
        <v>6242</v>
      </c>
      <c r="J2070" t="s">
        <v>6243</v>
      </c>
      <c r="K2070" t="s">
        <v>6244</v>
      </c>
    </row>
    <row r="2071" spans="1:11">
      <c r="A2071" t="s">
        <v>6245</v>
      </c>
      <c r="J2071" t="s">
        <v>6246</v>
      </c>
      <c r="K2071" t="s">
        <v>6247</v>
      </c>
    </row>
    <row r="2072" spans="1:11">
      <c r="A2072" t="s">
        <v>6248</v>
      </c>
      <c r="J2072" t="s">
        <v>6249</v>
      </c>
      <c r="K2072" t="s">
        <v>6250</v>
      </c>
    </row>
    <row r="2073" spans="1:11">
      <c r="A2073" t="s">
        <v>6251</v>
      </c>
      <c r="J2073" t="s">
        <v>6252</v>
      </c>
      <c r="K2073" t="s">
        <v>6253</v>
      </c>
    </row>
    <row r="2074" spans="1:11">
      <c r="A2074" t="s">
        <v>6254</v>
      </c>
      <c r="J2074" t="s">
        <v>6255</v>
      </c>
      <c r="K2074" t="s">
        <v>6256</v>
      </c>
    </row>
    <row r="2075" spans="1:11">
      <c r="A2075" t="s">
        <v>6257</v>
      </c>
      <c r="J2075" t="s">
        <v>6258</v>
      </c>
      <c r="K2075" t="s">
        <v>6259</v>
      </c>
    </row>
    <row r="2076" spans="1:11">
      <c r="A2076" t="s">
        <v>6260</v>
      </c>
      <c r="J2076" t="s">
        <v>6261</v>
      </c>
      <c r="K2076" t="s">
        <v>6262</v>
      </c>
    </row>
    <row r="2077" spans="1:11">
      <c r="A2077" t="s">
        <v>6263</v>
      </c>
      <c r="J2077" t="s">
        <v>6264</v>
      </c>
      <c r="K2077" t="s">
        <v>6265</v>
      </c>
    </row>
    <row r="2078" spans="1:11">
      <c r="A2078" t="s">
        <v>6266</v>
      </c>
      <c r="J2078" t="s">
        <v>6267</v>
      </c>
      <c r="K2078" t="s">
        <v>6268</v>
      </c>
    </row>
    <row r="2079" spans="1:11">
      <c r="A2079" t="s">
        <v>6269</v>
      </c>
      <c r="J2079" t="s">
        <v>6270</v>
      </c>
      <c r="K2079" t="s">
        <v>6271</v>
      </c>
    </row>
    <row r="2080" spans="1:11">
      <c r="A2080" t="s">
        <v>6272</v>
      </c>
      <c r="J2080" t="s">
        <v>6273</v>
      </c>
      <c r="K2080" t="s">
        <v>6274</v>
      </c>
    </row>
    <row r="2081" spans="1:11">
      <c r="A2081" t="s">
        <v>6275</v>
      </c>
      <c r="J2081" t="s">
        <v>6276</v>
      </c>
      <c r="K2081" t="s">
        <v>6277</v>
      </c>
    </row>
    <row r="2082" spans="1:11">
      <c r="A2082" t="s">
        <v>6278</v>
      </c>
      <c r="J2082" t="s">
        <v>6279</v>
      </c>
      <c r="K2082" t="s">
        <v>6280</v>
      </c>
    </row>
    <row r="2083" spans="1:11">
      <c r="A2083" t="s">
        <v>6281</v>
      </c>
      <c r="J2083" t="s">
        <v>6282</v>
      </c>
      <c r="K2083" t="s">
        <v>6283</v>
      </c>
    </row>
    <row r="2084" spans="1:11">
      <c r="A2084" t="s">
        <v>6284</v>
      </c>
      <c r="J2084" t="s">
        <v>6285</v>
      </c>
      <c r="K2084" t="s">
        <v>6286</v>
      </c>
    </row>
    <row r="2085" spans="1:11">
      <c r="A2085" t="s">
        <v>6287</v>
      </c>
      <c r="J2085" t="s">
        <v>6288</v>
      </c>
      <c r="K2085" t="s">
        <v>6289</v>
      </c>
    </row>
    <row r="2086" spans="1:11">
      <c r="A2086" t="s">
        <v>6290</v>
      </c>
      <c r="J2086" t="s">
        <v>6291</v>
      </c>
      <c r="K2086" t="s">
        <v>6292</v>
      </c>
    </row>
    <row r="2087" spans="1:11">
      <c r="A2087" t="s">
        <v>6293</v>
      </c>
      <c r="J2087" t="s">
        <v>6294</v>
      </c>
      <c r="K2087" t="s">
        <v>6295</v>
      </c>
    </row>
    <row r="2088" spans="1:11">
      <c r="A2088" t="s">
        <v>6296</v>
      </c>
      <c r="J2088" t="s">
        <v>6297</v>
      </c>
      <c r="K2088" t="s">
        <v>6298</v>
      </c>
    </row>
    <row r="2089" spans="1:11">
      <c r="A2089" t="s">
        <v>6299</v>
      </c>
      <c r="J2089" t="s">
        <v>6300</v>
      </c>
      <c r="K2089" t="s">
        <v>6301</v>
      </c>
    </row>
    <row r="2090" spans="1:11">
      <c r="A2090" t="s">
        <v>6302</v>
      </c>
      <c r="J2090" t="s">
        <v>6303</v>
      </c>
      <c r="K2090" t="s">
        <v>6304</v>
      </c>
    </row>
    <row r="2091" spans="1:11">
      <c r="A2091" t="s">
        <v>6305</v>
      </c>
      <c r="J2091" t="s">
        <v>6306</v>
      </c>
      <c r="K2091" t="s">
        <v>6307</v>
      </c>
    </row>
    <row r="2092" spans="1:11">
      <c r="A2092" t="s">
        <v>6308</v>
      </c>
      <c r="J2092" t="s">
        <v>6309</v>
      </c>
      <c r="K2092" t="s">
        <v>6310</v>
      </c>
    </row>
    <row r="2093" spans="1:11">
      <c r="A2093" t="s">
        <v>6311</v>
      </c>
      <c r="J2093" t="s">
        <v>6312</v>
      </c>
      <c r="K2093" t="s">
        <v>6313</v>
      </c>
    </row>
    <row r="2094" spans="1:11">
      <c r="A2094" t="s">
        <v>6314</v>
      </c>
      <c r="J2094" t="s">
        <v>6315</v>
      </c>
      <c r="K2094" t="s">
        <v>6316</v>
      </c>
    </row>
    <row r="2095" spans="1:11">
      <c r="A2095" t="s">
        <v>6317</v>
      </c>
      <c r="J2095" t="s">
        <v>6318</v>
      </c>
      <c r="K2095" t="s">
        <v>6319</v>
      </c>
    </row>
    <row r="2096" spans="1:11">
      <c r="A2096" t="s">
        <v>6320</v>
      </c>
      <c r="J2096" t="s">
        <v>6321</v>
      </c>
      <c r="K2096" t="s">
        <v>6322</v>
      </c>
    </row>
    <row r="2097" spans="1:11">
      <c r="A2097" t="s">
        <v>6323</v>
      </c>
      <c r="J2097" t="s">
        <v>6324</v>
      </c>
      <c r="K2097" t="s">
        <v>6325</v>
      </c>
    </row>
    <row r="2098" spans="1:11">
      <c r="A2098" t="s">
        <v>6326</v>
      </c>
      <c r="J2098" t="s">
        <v>6327</v>
      </c>
      <c r="K2098" t="s">
        <v>6328</v>
      </c>
    </row>
    <row r="2099" spans="1:11">
      <c r="A2099" t="s">
        <v>6329</v>
      </c>
      <c r="J2099" t="s">
        <v>6330</v>
      </c>
      <c r="K2099" t="s">
        <v>6331</v>
      </c>
    </row>
    <row r="2100" spans="1:11">
      <c r="A2100" t="s">
        <v>6332</v>
      </c>
      <c r="J2100" t="s">
        <v>6333</v>
      </c>
      <c r="K2100" t="s">
        <v>6334</v>
      </c>
    </row>
    <row r="2101" spans="1:11">
      <c r="A2101" t="s">
        <v>6335</v>
      </c>
      <c r="J2101" t="s">
        <v>6336</v>
      </c>
      <c r="K2101" t="s">
        <v>6337</v>
      </c>
    </row>
    <row r="2102" spans="1:11">
      <c r="A2102" t="s">
        <v>6338</v>
      </c>
      <c r="J2102" t="s">
        <v>6339</v>
      </c>
      <c r="K2102" t="s">
        <v>6340</v>
      </c>
    </row>
    <row r="2103" spans="1:11">
      <c r="A2103" t="s">
        <v>6341</v>
      </c>
      <c r="J2103" t="s">
        <v>6342</v>
      </c>
      <c r="K2103" t="s">
        <v>6343</v>
      </c>
    </row>
    <row r="2104" spans="1:11">
      <c r="A2104" t="s">
        <v>6344</v>
      </c>
      <c r="J2104" t="s">
        <v>6345</v>
      </c>
      <c r="K2104" t="s">
        <v>6346</v>
      </c>
    </row>
    <row r="2105" spans="1:11">
      <c r="A2105" t="s">
        <v>6347</v>
      </c>
      <c r="J2105" t="s">
        <v>6348</v>
      </c>
      <c r="K2105" t="s">
        <v>6349</v>
      </c>
    </row>
    <row r="2106" spans="1:11">
      <c r="A2106" t="s">
        <v>6350</v>
      </c>
      <c r="J2106" t="s">
        <v>6351</v>
      </c>
      <c r="K2106" t="s">
        <v>6352</v>
      </c>
    </row>
    <row r="2107" spans="1:11">
      <c r="A2107" t="s">
        <v>6353</v>
      </c>
      <c r="J2107" t="s">
        <v>6354</v>
      </c>
      <c r="K2107" t="s">
        <v>6355</v>
      </c>
    </row>
    <row r="2108" spans="1:11">
      <c r="A2108" t="s">
        <v>6356</v>
      </c>
      <c r="J2108" t="s">
        <v>6357</v>
      </c>
      <c r="K2108" t="s">
        <v>6358</v>
      </c>
    </row>
    <row r="2109" spans="1:11">
      <c r="A2109" t="s">
        <v>6359</v>
      </c>
      <c r="J2109" t="s">
        <v>6360</v>
      </c>
      <c r="K2109" t="s">
        <v>6361</v>
      </c>
    </row>
    <row r="2110" spans="1:11">
      <c r="A2110" t="s">
        <v>6362</v>
      </c>
      <c r="J2110" t="s">
        <v>6363</v>
      </c>
      <c r="K2110" t="s">
        <v>6364</v>
      </c>
    </row>
    <row r="2111" spans="1:11">
      <c r="A2111" t="s">
        <v>6365</v>
      </c>
      <c r="J2111" t="s">
        <v>6366</v>
      </c>
      <c r="K2111" t="s">
        <v>6367</v>
      </c>
    </row>
    <row r="2112" spans="1:11">
      <c r="A2112" t="s">
        <v>6368</v>
      </c>
      <c r="J2112" t="s">
        <v>6369</v>
      </c>
      <c r="K2112" t="s">
        <v>6370</v>
      </c>
    </row>
    <row r="2113" spans="1:11">
      <c r="A2113" t="s">
        <v>6371</v>
      </c>
      <c r="J2113" t="s">
        <v>6372</v>
      </c>
      <c r="K2113" t="s">
        <v>6373</v>
      </c>
    </row>
    <row r="2114" spans="1:11">
      <c r="A2114" t="s">
        <v>6374</v>
      </c>
      <c r="J2114" t="s">
        <v>6375</v>
      </c>
      <c r="K2114" t="s">
        <v>6376</v>
      </c>
    </row>
    <row r="2115" spans="1:11">
      <c r="A2115" t="s">
        <v>6377</v>
      </c>
      <c r="J2115" t="s">
        <v>6378</v>
      </c>
      <c r="K2115" t="s">
        <v>6379</v>
      </c>
    </row>
    <row r="2116" spans="1:11">
      <c r="A2116" t="s">
        <v>6380</v>
      </c>
      <c r="J2116" t="s">
        <v>6381</v>
      </c>
      <c r="K2116" t="s">
        <v>6382</v>
      </c>
    </row>
    <row r="2117" spans="1:11">
      <c r="A2117" t="s">
        <v>6383</v>
      </c>
      <c r="J2117" t="s">
        <v>6384</v>
      </c>
      <c r="K2117" t="s">
        <v>6385</v>
      </c>
    </row>
    <row r="2118" spans="1:11">
      <c r="A2118" t="s">
        <v>6386</v>
      </c>
      <c r="J2118" t="s">
        <v>6387</v>
      </c>
      <c r="K2118" t="s">
        <v>6388</v>
      </c>
    </row>
    <row r="2119" spans="1:11">
      <c r="A2119" t="s">
        <v>6389</v>
      </c>
      <c r="J2119" t="s">
        <v>6390</v>
      </c>
      <c r="K2119" t="s">
        <v>6391</v>
      </c>
    </row>
    <row r="2120" spans="1:11">
      <c r="A2120" t="s">
        <v>6392</v>
      </c>
      <c r="J2120" t="s">
        <v>6393</v>
      </c>
      <c r="K2120" t="s">
        <v>6394</v>
      </c>
    </row>
    <row r="2121" spans="1:11">
      <c r="A2121" t="s">
        <v>6395</v>
      </c>
      <c r="J2121" t="s">
        <v>6396</v>
      </c>
      <c r="K2121" t="s">
        <v>6397</v>
      </c>
    </row>
    <row r="2122" spans="1:11">
      <c r="A2122" t="s">
        <v>6398</v>
      </c>
      <c r="J2122" t="s">
        <v>6399</v>
      </c>
      <c r="K2122" t="s">
        <v>6400</v>
      </c>
    </row>
    <row r="2123" spans="1:11">
      <c r="A2123" t="s">
        <v>6401</v>
      </c>
      <c r="J2123" t="s">
        <v>6402</v>
      </c>
      <c r="K2123" t="s">
        <v>6403</v>
      </c>
    </row>
    <row r="2124" spans="1:11">
      <c r="A2124" t="s">
        <v>6404</v>
      </c>
      <c r="J2124" t="s">
        <v>6405</v>
      </c>
      <c r="K2124" t="s">
        <v>6406</v>
      </c>
    </row>
    <row r="2125" spans="1:11">
      <c r="A2125" t="s">
        <v>6407</v>
      </c>
      <c r="J2125" t="s">
        <v>6408</v>
      </c>
      <c r="K2125" t="s">
        <v>6409</v>
      </c>
    </row>
    <row r="2126" spans="1:11">
      <c r="A2126" t="s">
        <v>6410</v>
      </c>
      <c r="J2126" t="s">
        <v>6411</v>
      </c>
      <c r="K2126" t="s">
        <v>6412</v>
      </c>
    </row>
    <row r="2127" spans="1:11">
      <c r="A2127" t="s">
        <v>6413</v>
      </c>
      <c r="J2127" t="s">
        <v>6414</v>
      </c>
      <c r="K2127" t="s">
        <v>6415</v>
      </c>
    </row>
    <row r="2128" spans="1:11">
      <c r="A2128" t="s">
        <v>6416</v>
      </c>
      <c r="J2128" t="s">
        <v>6417</v>
      </c>
      <c r="K2128" t="s">
        <v>6418</v>
      </c>
    </row>
    <row r="2129" spans="1:11">
      <c r="A2129" t="s">
        <v>6419</v>
      </c>
      <c r="J2129" t="s">
        <v>6420</v>
      </c>
      <c r="K2129" t="s">
        <v>6421</v>
      </c>
    </row>
    <row r="2130" spans="1:11">
      <c r="A2130" t="s">
        <v>6422</v>
      </c>
      <c r="J2130" t="s">
        <v>6423</v>
      </c>
      <c r="K2130" t="s">
        <v>6424</v>
      </c>
    </row>
    <row r="2131" spans="1:11">
      <c r="A2131" t="s">
        <v>6425</v>
      </c>
      <c r="J2131" t="s">
        <v>6426</v>
      </c>
      <c r="K2131" t="s">
        <v>6427</v>
      </c>
    </row>
    <row r="2132" spans="1:11">
      <c r="A2132" t="s">
        <v>6428</v>
      </c>
      <c r="J2132" t="s">
        <v>6429</v>
      </c>
      <c r="K2132" t="s">
        <v>6430</v>
      </c>
    </row>
    <row r="2133" spans="1:11">
      <c r="A2133" t="s">
        <v>6431</v>
      </c>
      <c r="J2133" t="s">
        <v>6432</v>
      </c>
      <c r="K2133" t="s">
        <v>6433</v>
      </c>
    </row>
    <row r="2134" spans="1:11">
      <c r="A2134" t="s">
        <v>6434</v>
      </c>
      <c r="J2134" t="s">
        <v>6435</v>
      </c>
      <c r="K2134" t="s">
        <v>6436</v>
      </c>
    </row>
    <row r="2135" spans="1:11">
      <c r="A2135" t="s">
        <v>6437</v>
      </c>
      <c r="J2135" t="s">
        <v>6438</v>
      </c>
      <c r="K2135" t="s">
        <v>6439</v>
      </c>
    </row>
    <row r="2136" spans="1:11">
      <c r="A2136" t="s">
        <v>6440</v>
      </c>
      <c r="J2136" t="s">
        <v>6441</v>
      </c>
      <c r="K2136" t="s">
        <v>6442</v>
      </c>
    </row>
    <row r="2137" spans="1:11">
      <c r="A2137" t="s">
        <v>6443</v>
      </c>
      <c r="J2137" t="s">
        <v>6444</v>
      </c>
      <c r="K2137" t="s">
        <v>6445</v>
      </c>
    </row>
    <row r="2138" spans="1:11">
      <c r="A2138" t="s">
        <v>6446</v>
      </c>
      <c r="J2138" t="s">
        <v>6447</v>
      </c>
      <c r="K2138" t="s">
        <v>6448</v>
      </c>
    </row>
    <row r="2139" spans="1:11">
      <c r="A2139" t="s">
        <v>6449</v>
      </c>
      <c r="J2139" t="s">
        <v>6450</v>
      </c>
      <c r="K2139" t="s">
        <v>6451</v>
      </c>
    </row>
    <row r="2140" spans="1:11">
      <c r="A2140" t="s">
        <v>6452</v>
      </c>
      <c r="J2140" t="s">
        <v>6453</v>
      </c>
      <c r="K2140" t="s">
        <v>6454</v>
      </c>
    </row>
    <row r="2141" spans="1:11">
      <c r="A2141" t="s">
        <v>6455</v>
      </c>
      <c r="J2141" t="s">
        <v>6456</v>
      </c>
      <c r="K2141" t="s">
        <v>6457</v>
      </c>
    </row>
    <row r="2142" spans="1:11">
      <c r="A2142" t="s">
        <v>6458</v>
      </c>
      <c r="J2142" t="s">
        <v>6459</v>
      </c>
      <c r="K2142" t="s">
        <v>6460</v>
      </c>
    </row>
    <row r="2143" spans="1:11">
      <c r="A2143" t="s">
        <v>6461</v>
      </c>
      <c r="J2143" t="s">
        <v>6462</v>
      </c>
      <c r="K2143" t="s">
        <v>6463</v>
      </c>
    </row>
    <row r="2144" spans="1:11">
      <c r="A2144" t="s">
        <v>6464</v>
      </c>
      <c r="J2144" t="s">
        <v>6465</v>
      </c>
      <c r="K2144" t="s">
        <v>6466</v>
      </c>
    </row>
    <row r="2145" spans="1:11">
      <c r="A2145" t="s">
        <v>6467</v>
      </c>
      <c r="J2145" t="s">
        <v>6468</v>
      </c>
      <c r="K2145" t="s">
        <v>6469</v>
      </c>
    </row>
    <row r="2146" spans="1:11">
      <c r="A2146" t="s">
        <v>6470</v>
      </c>
      <c r="J2146" t="s">
        <v>6471</v>
      </c>
      <c r="K2146" t="s">
        <v>6472</v>
      </c>
    </row>
    <row r="2147" spans="1:11">
      <c r="A2147" t="s">
        <v>6473</v>
      </c>
      <c r="J2147" t="s">
        <v>6474</v>
      </c>
      <c r="K2147" t="s">
        <v>6475</v>
      </c>
    </row>
    <row r="2148" spans="1:11">
      <c r="A2148" t="s">
        <v>6476</v>
      </c>
      <c r="J2148" t="s">
        <v>6477</v>
      </c>
      <c r="K2148" t="s">
        <v>6478</v>
      </c>
    </row>
    <row r="2149" spans="1:11">
      <c r="A2149" t="s">
        <v>6479</v>
      </c>
      <c r="J2149" t="s">
        <v>6480</v>
      </c>
      <c r="K2149" t="s">
        <v>6481</v>
      </c>
    </row>
    <row r="2150" spans="1:11">
      <c r="A2150" t="s">
        <v>6482</v>
      </c>
      <c r="J2150" t="s">
        <v>6483</v>
      </c>
      <c r="K2150" t="s">
        <v>6484</v>
      </c>
    </row>
    <row r="2151" spans="1:11">
      <c r="A2151" t="s">
        <v>6485</v>
      </c>
      <c r="J2151" t="s">
        <v>6486</v>
      </c>
      <c r="K2151" t="s">
        <v>6487</v>
      </c>
    </row>
    <row r="2152" spans="1:11">
      <c r="A2152" t="s">
        <v>6488</v>
      </c>
      <c r="J2152" t="s">
        <v>6489</v>
      </c>
      <c r="K2152" t="s">
        <v>6490</v>
      </c>
    </row>
    <row r="2153" spans="1:11">
      <c r="A2153" t="s">
        <v>6491</v>
      </c>
      <c r="J2153" t="s">
        <v>6492</v>
      </c>
      <c r="K2153" t="s">
        <v>6493</v>
      </c>
    </row>
    <row r="2154" spans="1:11">
      <c r="A2154" t="s">
        <v>6494</v>
      </c>
      <c r="J2154" t="s">
        <v>6495</v>
      </c>
      <c r="K2154" t="s">
        <v>6496</v>
      </c>
    </row>
    <row r="2155" spans="1:11">
      <c r="A2155" t="s">
        <v>6497</v>
      </c>
      <c r="J2155" t="s">
        <v>6498</v>
      </c>
      <c r="K2155" t="s">
        <v>6499</v>
      </c>
    </row>
    <row r="2156" spans="1:11">
      <c r="A2156" t="s">
        <v>6500</v>
      </c>
      <c r="J2156" t="s">
        <v>6501</v>
      </c>
      <c r="K2156" t="s">
        <v>6502</v>
      </c>
    </row>
    <row r="2157" spans="1:11">
      <c r="A2157" t="s">
        <v>6503</v>
      </c>
      <c r="J2157" t="s">
        <v>6504</v>
      </c>
      <c r="K2157" t="s">
        <v>6505</v>
      </c>
    </row>
    <row r="2158" spans="1:11">
      <c r="A2158" t="s">
        <v>6506</v>
      </c>
      <c r="J2158" t="s">
        <v>6507</v>
      </c>
      <c r="K2158" t="s">
        <v>6508</v>
      </c>
    </row>
    <row r="2159" spans="1:11">
      <c r="A2159" t="s">
        <v>6509</v>
      </c>
      <c r="J2159" t="s">
        <v>6510</v>
      </c>
      <c r="K2159" t="s">
        <v>6511</v>
      </c>
    </row>
    <row r="2160" spans="1:11">
      <c r="A2160" t="s">
        <v>6512</v>
      </c>
      <c r="J2160" t="s">
        <v>6513</v>
      </c>
      <c r="K2160" t="s">
        <v>6514</v>
      </c>
    </row>
    <row r="2161" spans="1:11">
      <c r="A2161" t="s">
        <v>6515</v>
      </c>
      <c r="J2161" t="s">
        <v>6516</v>
      </c>
      <c r="K2161" t="s">
        <v>6517</v>
      </c>
    </row>
    <row r="2162" spans="1:11">
      <c r="A2162" t="s">
        <v>6518</v>
      </c>
      <c r="J2162" t="s">
        <v>6519</v>
      </c>
      <c r="K2162" t="s">
        <v>6520</v>
      </c>
    </row>
    <row r="2163" spans="1:11">
      <c r="A2163" t="s">
        <v>6521</v>
      </c>
      <c r="J2163" t="s">
        <v>6522</v>
      </c>
      <c r="K2163" t="s">
        <v>6523</v>
      </c>
    </row>
    <row r="2164" spans="1:11">
      <c r="A2164" t="s">
        <v>6524</v>
      </c>
      <c r="J2164" t="s">
        <v>6525</v>
      </c>
      <c r="K2164" t="s">
        <v>6526</v>
      </c>
    </row>
    <row r="2165" spans="1:11">
      <c r="A2165" t="s">
        <v>6527</v>
      </c>
      <c r="J2165" t="s">
        <v>6528</v>
      </c>
      <c r="K2165" t="s">
        <v>6529</v>
      </c>
    </row>
    <row r="2166" spans="1:11">
      <c r="A2166" t="s">
        <v>6530</v>
      </c>
      <c r="J2166" t="s">
        <v>6531</v>
      </c>
      <c r="K2166" t="s">
        <v>6532</v>
      </c>
    </row>
    <row r="2167" spans="1:11">
      <c r="A2167" t="s">
        <v>6533</v>
      </c>
      <c r="J2167" t="s">
        <v>6534</v>
      </c>
      <c r="K2167" t="s">
        <v>6535</v>
      </c>
    </row>
    <row r="2168" spans="1:11">
      <c r="A2168" t="s">
        <v>6536</v>
      </c>
      <c r="J2168" t="s">
        <v>6537</v>
      </c>
      <c r="K2168" t="s">
        <v>6538</v>
      </c>
    </row>
    <row r="2169" spans="1:11">
      <c r="A2169" t="s">
        <v>6539</v>
      </c>
      <c r="J2169" t="s">
        <v>6540</v>
      </c>
      <c r="K2169" t="s">
        <v>6541</v>
      </c>
    </row>
    <row r="2170" spans="1:11">
      <c r="A2170" t="s">
        <v>6542</v>
      </c>
      <c r="J2170" t="s">
        <v>6543</v>
      </c>
      <c r="K2170" t="s">
        <v>6544</v>
      </c>
    </row>
    <row r="2171" spans="1:11">
      <c r="A2171" t="s">
        <v>6545</v>
      </c>
      <c r="J2171" t="s">
        <v>6546</v>
      </c>
      <c r="K2171" t="s">
        <v>6547</v>
      </c>
    </row>
    <row r="2172" spans="1:11">
      <c r="A2172" t="s">
        <v>6548</v>
      </c>
      <c r="J2172" t="s">
        <v>6549</v>
      </c>
      <c r="K2172" t="s">
        <v>6550</v>
      </c>
    </row>
    <row r="2173" spans="1:11">
      <c r="A2173" t="s">
        <v>6551</v>
      </c>
      <c r="J2173" t="s">
        <v>6552</v>
      </c>
      <c r="K2173" t="s">
        <v>6553</v>
      </c>
    </row>
    <row r="2174" spans="1:11">
      <c r="A2174" t="s">
        <v>6554</v>
      </c>
      <c r="J2174" t="s">
        <v>6555</v>
      </c>
      <c r="K2174" t="s">
        <v>6556</v>
      </c>
    </row>
    <row r="2175" spans="1:11">
      <c r="A2175" t="s">
        <v>6557</v>
      </c>
      <c r="J2175" t="s">
        <v>6558</v>
      </c>
      <c r="K2175" t="s">
        <v>6559</v>
      </c>
    </row>
    <row r="2176" spans="1:11">
      <c r="A2176" t="s">
        <v>6560</v>
      </c>
      <c r="J2176" t="s">
        <v>6561</v>
      </c>
      <c r="K2176" t="s">
        <v>6562</v>
      </c>
    </row>
    <row r="2177" spans="1:11">
      <c r="A2177" t="s">
        <v>6563</v>
      </c>
      <c r="J2177" t="s">
        <v>6564</v>
      </c>
      <c r="K2177" t="s">
        <v>6565</v>
      </c>
    </row>
    <row r="2178" spans="1:11">
      <c r="A2178" t="s">
        <v>6566</v>
      </c>
      <c r="J2178" t="s">
        <v>6567</v>
      </c>
      <c r="K2178" t="s">
        <v>6568</v>
      </c>
    </row>
    <row r="2179" spans="1:11">
      <c r="A2179" t="s">
        <v>6569</v>
      </c>
      <c r="J2179" t="s">
        <v>6570</v>
      </c>
      <c r="K2179" t="s">
        <v>6571</v>
      </c>
    </row>
    <row r="2180" spans="1:11">
      <c r="A2180" t="s">
        <v>6572</v>
      </c>
      <c r="J2180" t="s">
        <v>6573</v>
      </c>
      <c r="K2180" t="s">
        <v>6574</v>
      </c>
    </row>
    <row r="2181" spans="1:11">
      <c r="A2181" t="s">
        <v>6575</v>
      </c>
      <c r="J2181" t="s">
        <v>6576</v>
      </c>
      <c r="K2181" t="s">
        <v>6577</v>
      </c>
    </row>
    <row r="2182" spans="1:11">
      <c r="A2182" t="s">
        <v>6578</v>
      </c>
      <c r="J2182" t="s">
        <v>6579</v>
      </c>
      <c r="K2182" t="s">
        <v>6580</v>
      </c>
    </row>
    <row r="2183" spans="1:11">
      <c r="A2183" t="s">
        <v>6581</v>
      </c>
      <c r="J2183" t="s">
        <v>6582</v>
      </c>
      <c r="K2183" t="s">
        <v>6583</v>
      </c>
    </row>
    <row r="2184" spans="1:11">
      <c r="A2184" t="s">
        <v>6584</v>
      </c>
      <c r="J2184" t="s">
        <v>6585</v>
      </c>
      <c r="K2184" t="s">
        <v>6586</v>
      </c>
    </row>
    <row r="2185" spans="1:11">
      <c r="A2185" t="s">
        <v>6587</v>
      </c>
      <c r="J2185" t="s">
        <v>6588</v>
      </c>
      <c r="K2185" t="s">
        <v>6589</v>
      </c>
    </row>
    <row r="2186" spans="1:11">
      <c r="A2186" t="s">
        <v>6590</v>
      </c>
      <c r="J2186" t="s">
        <v>6591</v>
      </c>
      <c r="K2186" t="s">
        <v>6592</v>
      </c>
    </row>
    <row r="2187" spans="1:11">
      <c r="A2187" t="s">
        <v>6593</v>
      </c>
      <c r="J2187" t="s">
        <v>6594</v>
      </c>
      <c r="K2187" t="s">
        <v>6595</v>
      </c>
    </row>
    <row r="2188" spans="1:11">
      <c r="A2188" t="s">
        <v>6596</v>
      </c>
      <c r="J2188" t="s">
        <v>6597</v>
      </c>
      <c r="K2188" t="s">
        <v>6598</v>
      </c>
    </row>
    <row r="2189" spans="1:11">
      <c r="A2189" t="s">
        <v>6599</v>
      </c>
      <c r="J2189" t="s">
        <v>6600</v>
      </c>
      <c r="K2189" t="s">
        <v>6601</v>
      </c>
    </row>
    <row r="2190" spans="1:11">
      <c r="A2190" t="s">
        <v>6602</v>
      </c>
      <c r="J2190" t="s">
        <v>6603</v>
      </c>
      <c r="K2190" t="s">
        <v>6604</v>
      </c>
    </row>
    <row r="2191" spans="1:11">
      <c r="A2191" t="s">
        <v>6605</v>
      </c>
      <c r="J2191" t="s">
        <v>6606</v>
      </c>
      <c r="K2191" t="s">
        <v>6607</v>
      </c>
    </row>
    <row r="2192" spans="1:11">
      <c r="A2192" t="s">
        <v>6608</v>
      </c>
      <c r="J2192" t="s">
        <v>6609</v>
      </c>
      <c r="K2192" t="s">
        <v>6610</v>
      </c>
    </row>
    <row r="2193" spans="1:11">
      <c r="A2193" t="s">
        <v>6611</v>
      </c>
      <c r="J2193" t="s">
        <v>6612</v>
      </c>
      <c r="K2193" t="s">
        <v>6613</v>
      </c>
    </row>
    <row r="2194" spans="1:11">
      <c r="A2194" t="s">
        <v>6614</v>
      </c>
      <c r="J2194" t="s">
        <v>6615</v>
      </c>
      <c r="K2194" t="s">
        <v>6616</v>
      </c>
    </row>
    <row r="2195" spans="1:11">
      <c r="A2195" t="s">
        <v>6617</v>
      </c>
      <c r="J2195" t="s">
        <v>6618</v>
      </c>
      <c r="K2195" t="s">
        <v>6619</v>
      </c>
    </row>
    <row r="2196" spans="1:11">
      <c r="A2196" t="s">
        <v>6620</v>
      </c>
      <c r="J2196" t="s">
        <v>6621</v>
      </c>
      <c r="K2196" t="s">
        <v>6622</v>
      </c>
    </row>
    <row r="2197" spans="1:11">
      <c r="A2197" t="s">
        <v>6623</v>
      </c>
      <c r="J2197" t="s">
        <v>6624</v>
      </c>
      <c r="K2197" t="s">
        <v>6625</v>
      </c>
    </row>
    <row r="2198" spans="1:11">
      <c r="A2198" t="s">
        <v>6626</v>
      </c>
      <c r="J2198" t="s">
        <v>6627</v>
      </c>
      <c r="K2198" t="s">
        <v>6628</v>
      </c>
    </row>
    <row r="2199" spans="1:11">
      <c r="A2199" t="s">
        <v>6629</v>
      </c>
      <c r="J2199" t="s">
        <v>6630</v>
      </c>
      <c r="K2199" t="s">
        <v>6631</v>
      </c>
    </row>
    <row r="2200" spans="1:11">
      <c r="A2200" t="s">
        <v>6632</v>
      </c>
      <c r="J2200" t="s">
        <v>6633</v>
      </c>
      <c r="K2200" t="s">
        <v>6634</v>
      </c>
    </row>
    <row r="2201" spans="1:11">
      <c r="A2201" t="s">
        <v>6635</v>
      </c>
      <c r="J2201" t="s">
        <v>6636</v>
      </c>
      <c r="K2201" t="s">
        <v>6637</v>
      </c>
    </row>
    <row r="2202" spans="1:11">
      <c r="A2202" t="s">
        <v>6638</v>
      </c>
      <c r="J2202" t="s">
        <v>6639</v>
      </c>
      <c r="K2202" t="s">
        <v>6640</v>
      </c>
    </row>
    <row r="2203" spans="1:11">
      <c r="A2203" t="s">
        <v>6641</v>
      </c>
      <c r="J2203" t="s">
        <v>6642</v>
      </c>
      <c r="K2203" t="s">
        <v>6643</v>
      </c>
    </row>
    <row r="2204" spans="1:11">
      <c r="A2204" t="s">
        <v>6644</v>
      </c>
      <c r="J2204" t="s">
        <v>6645</v>
      </c>
      <c r="K2204" t="s">
        <v>6646</v>
      </c>
    </row>
    <row r="2205" spans="1:11">
      <c r="A2205" t="s">
        <v>6647</v>
      </c>
      <c r="J2205" t="s">
        <v>6648</v>
      </c>
      <c r="K2205" t="s">
        <v>6649</v>
      </c>
    </row>
    <row r="2206" spans="1:11">
      <c r="A2206" t="s">
        <v>6650</v>
      </c>
      <c r="J2206" t="s">
        <v>6651</v>
      </c>
      <c r="K2206" t="s">
        <v>6652</v>
      </c>
    </row>
    <row r="2207" spans="1:11">
      <c r="A2207" t="s">
        <v>6653</v>
      </c>
      <c r="J2207" t="s">
        <v>6654</v>
      </c>
      <c r="K2207" t="s">
        <v>6655</v>
      </c>
    </row>
    <row r="2208" spans="1:11">
      <c r="A2208" t="s">
        <v>6656</v>
      </c>
      <c r="J2208" t="s">
        <v>6657</v>
      </c>
      <c r="K2208" t="s">
        <v>6658</v>
      </c>
    </row>
    <row r="2209" spans="1:11">
      <c r="A2209" t="s">
        <v>6659</v>
      </c>
      <c r="J2209" t="s">
        <v>6660</v>
      </c>
      <c r="K2209" t="s">
        <v>6661</v>
      </c>
    </row>
    <row r="2210" spans="1:11">
      <c r="A2210" t="s">
        <v>6662</v>
      </c>
      <c r="J2210" t="s">
        <v>6663</v>
      </c>
      <c r="K2210" t="s">
        <v>6664</v>
      </c>
    </row>
    <row r="2211" spans="1:11">
      <c r="A2211" t="s">
        <v>6665</v>
      </c>
      <c r="J2211" t="s">
        <v>6666</v>
      </c>
      <c r="K2211" t="s">
        <v>6667</v>
      </c>
    </row>
    <row r="2212" spans="1:11">
      <c r="A2212" t="s">
        <v>6668</v>
      </c>
      <c r="J2212" t="s">
        <v>6669</v>
      </c>
      <c r="K2212" t="s">
        <v>6670</v>
      </c>
    </row>
    <row r="2213" spans="1:11">
      <c r="A2213" t="s">
        <v>6671</v>
      </c>
      <c r="J2213" t="s">
        <v>6672</v>
      </c>
      <c r="K2213" t="s">
        <v>6673</v>
      </c>
    </row>
    <row r="2214" spans="1:11">
      <c r="A2214" t="s">
        <v>6674</v>
      </c>
      <c r="J2214" t="s">
        <v>6675</v>
      </c>
      <c r="K2214" t="s">
        <v>6676</v>
      </c>
    </row>
    <row r="2215" spans="1:11">
      <c r="A2215" t="s">
        <v>6677</v>
      </c>
      <c r="J2215" t="s">
        <v>6678</v>
      </c>
      <c r="K2215" t="s">
        <v>6679</v>
      </c>
    </row>
    <row r="2216" spans="1:11">
      <c r="A2216" t="s">
        <v>6680</v>
      </c>
      <c r="J2216" t="s">
        <v>6681</v>
      </c>
      <c r="K2216" t="s">
        <v>6682</v>
      </c>
    </row>
    <row r="2217" spans="1:11">
      <c r="A2217" t="s">
        <v>6683</v>
      </c>
      <c r="J2217" t="s">
        <v>6684</v>
      </c>
      <c r="K2217" t="s">
        <v>6685</v>
      </c>
    </row>
    <row r="2218" spans="1:11">
      <c r="A2218" t="s">
        <v>6686</v>
      </c>
      <c r="J2218" t="s">
        <v>6687</v>
      </c>
      <c r="K2218" t="s">
        <v>6688</v>
      </c>
    </row>
    <row r="2219" spans="1:11">
      <c r="A2219" t="s">
        <v>6689</v>
      </c>
      <c r="J2219" t="s">
        <v>6690</v>
      </c>
      <c r="K2219" t="s">
        <v>6691</v>
      </c>
    </row>
    <row r="2220" spans="1:11">
      <c r="A2220" t="s">
        <v>6692</v>
      </c>
      <c r="J2220" t="s">
        <v>6693</v>
      </c>
      <c r="K2220" t="s">
        <v>6694</v>
      </c>
    </row>
    <row r="2221" spans="1:11">
      <c r="A2221" t="s">
        <v>6695</v>
      </c>
      <c r="J2221" t="s">
        <v>6696</v>
      </c>
      <c r="K2221" t="s">
        <v>6697</v>
      </c>
    </row>
    <row r="2222" spans="1:11">
      <c r="A2222" t="s">
        <v>6698</v>
      </c>
      <c r="J2222" t="s">
        <v>6699</v>
      </c>
      <c r="K2222" t="s">
        <v>6700</v>
      </c>
    </row>
    <row r="2223" spans="1:11">
      <c r="A2223" t="s">
        <v>6701</v>
      </c>
      <c r="J2223" t="s">
        <v>6702</v>
      </c>
      <c r="K2223" t="s">
        <v>6703</v>
      </c>
    </row>
    <row r="2224" spans="1:11">
      <c r="A2224" t="s">
        <v>6704</v>
      </c>
      <c r="J2224" t="s">
        <v>6705</v>
      </c>
      <c r="K2224" t="s">
        <v>6706</v>
      </c>
    </row>
    <row r="2225" spans="1:11">
      <c r="A2225" t="s">
        <v>6707</v>
      </c>
      <c r="J2225" t="s">
        <v>6708</v>
      </c>
      <c r="K2225" t="s">
        <v>6709</v>
      </c>
    </row>
    <row r="2226" spans="1:11">
      <c r="A2226" t="s">
        <v>6710</v>
      </c>
      <c r="J2226" t="s">
        <v>6711</v>
      </c>
      <c r="K2226" t="s">
        <v>6712</v>
      </c>
    </row>
    <row r="2227" spans="1:11">
      <c r="A2227" t="s">
        <v>6713</v>
      </c>
      <c r="J2227" t="s">
        <v>6714</v>
      </c>
      <c r="K2227" t="s">
        <v>6715</v>
      </c>
    </row>
    <row r="2228" spans="1:11">
      <c r="A2228" t="s">
        <v>6716</v>
      </c>
      <c r="J2228" t="s">
        <v>6717</v>
      </c>
      <c r="K2228" t="s">
        <v>6718</v>
      </c>
    </row>
    <row r="2229" spans="1:11">
      <c r="A2229" t="s">
        <v>6719</v>
      </c>
      <c r="J2229" t="s">
        <v>6720</v>
      </c>
      <c r="K2229" t="s">
        <v>6721</v>
      </c>
    </row>
    <row r="2230" spans="1:11">
      <c r="A2230" t="s">
        <v>6722</v>
      </c>
      <c r="J2230" t="s">
        <v>6723</v>
      </c>
      <c r="K2230" t="s">
        <v>6724</v>
      </c>
    </row>
    <row r="2231" spans="1:11">
      <c r="A2231" t="s">
        <v>6725</v>
      </c>
      <c r="J2231" t="s">
        <v>6726</v>
      </c>
      <c r="K2231" t="s">
        <v>6727</v>
      </c>
    </row>
    <row r="2232" spans="1:11">
      <c r="A2232" t="s">
        <v>6728</v>
      </c>
      <c r="J2232" t="s">
        <v>6729</v>
      </c>
      <c r="K2232" t="s">
        <v>6730</v>
      </c>
    </row>
    <row r="2233" spans="1:11">
      <c r="A2233" t="s">
        <v>6731</v>
      </c>
      <c r="J2233" t="s">
        <v>6732</v>
      </c>
      <c r="K2233" t="s">
        <v>6733</v>
      </c>
    </row>
    <row r="2234" spans="1:11">
      <c r="A2234" t="s">
        <v>6734</v>
      </c>
      <c r="J2234" t="s">
        <v>6735</v>
      </c>
      <c r="K2234" t="s">
        <v>6736</v>
      </c>
    </row>
    <row r="2235" spans="1:11">
      <c r="A2235" t="s">
        <v>6737</v>
      </c>
      <c r="J2235" t="s">
        <v>6738</v>
      </c>
      <c r="K2235" t="s">
        <v>6739</v>
      </c>
    </row>
    <row r="2236" spans="1:11">
      <c r="A2236" t="s">
        <v>6740</v>
      </c>
      <c r="J2236" t="s">
        <v>6741</v>
      </c>
      <c r="K2236" t="s">
        <v>6742</v>
      </c>
    </row>
    <row r="2237" spans="1:11">
      <c r="A2237" t="s">
        <v>6743</v>
      </c>
      <c r="J2237" t="s">
        <v>6744</v>
      </c>
      <c r="K2237" t="s">
        <v>6745</v>
      </c>
    </row>
    <row r="2238" spans="1:11">
      <c r="A2238" t="s">
        <v>6746</v>
      </c>
      <c r="J2238" t="s">
        <v>6747</v>
      </c>
      <c r="K2238" t="s">
        <v>6748</v>
      </c>
    </row>
    <row r="2239" spans="1:11">
      <c r="A2239" t="s">
        <v>6749</v>
      </c>
      <c r="J2239" t="s">
        <v>6750</v>
      </c>
      <c r="K2239" t="s">
        <v>6751</v>
      </c>
    </row>
    <row r="2240" spans="1:11">
      <c r="A2240" t="s">
        <v>6752</v>
      </c>
      <c r="J2240" t="s">
        <v>6753</v>
      </c>
      <c r="K2240" t="s">
        <v>6754</v>
      </c>
    </row>
    <row r="2241" spans="1:11">
      <c r="A2241" t="s">
        <v>6755</v>
      </c>
      <c r="J2241" t="s">
        <v>6756</v>
      </c>
      <c r="K2241" t="s">
        <v>6757</v>
      </c>
    </row>
    <row r="2242" spans="1:11">
      <c r="A2242" t="s">
        <v>6758</v>
      </c>
      <c r="J2242" t="s">
        <v>6759</v>
      </c>
      <c r="K2242" t="s">
        <v>6760</v>
      </c>
    </row>
    <row r="2243" spans="1:11">
      <c r="A2243" t="s">
        <v>6761</v>
      </c>
      <c r="J2243" t="s">
        <v>6762</v>
      </c>
      <c r="K2243" t="s">
        <v>6763</v>
      </c>
    </row>
    <row r="2244" spans="1:11">
      <c r="A2244" t="s">
        <v>6764</v>
      </c>
      <c r="J2244" t="s">
        <v>6765</v>
      </c>
      <c r="K2244" t="s">
        <v>6766</v>
      </c>
    </row>
    <row r="2245" spans="1:11">
      <c r="A2245" t="s">
        <v>6767</v>
      </c>
      <c r="J2245" t="s">
        <v>6768</v>
      </c>
      <c r="K2245" t="s">
        <v>6769</v>
      </c>
    </row>
    <row r="2246" spans="1:11">
      <c r="A2246" t="s">
        <v>6770</v>
      </c>
      <c r="J2246" t="s">
        <v>6771</v>
      </c>
      <c r="K2246" t="s">
        <v>6772</v>
      </c>
    </row>
    <row r="2247" spans="1:11">
      <c r="A2247" t="s">
        <v>6773</v>
      </c>
      <c r="J2247" t="s">
        <v>6774</v>
      </c>
      <c r="K2247" t="s">
        <v>6775</v>
      </c>
    </row>
    <row r="2248" spans="1:11">
      <c r="A2248" t="s">
        <v>6776</v>
      </c>
      <c r="J2248" t="s">
        <v>6777</v>
      </c>
      <c r="K2248" t="s">
        <v>6778</v>
      </c>
    </row>
    <row r="2249" spans="1:11">
      <c r="A2249" t="s">
        <v>6779</v>
      </c>
      <c r="J2249" t="s">
        <v>6780</v>
      </c>
      <c r="K2249" t="s">
        <v>6781</v>
      </c>
    </row>
    <row r="2250" spans="1:11">
      <c r="A2250" t="s">
        <v>6782</v>
      </c>
      <c r="J2250" t="s">
        <v>6783</v>
      </c>
      <c r="K2250" t="s">
        <v>6784</v>
      </c>
    </row>
    <row r="2251" spans="1:11">
      <c r="A2251" t="s">
        <v>6785</v>
      </c>
      <c r="J2251" t="s">
        <v>6786</v>
      </c>
      <c r="K2251" t="s">
        <v>6787</v>
      </c>
    </row>
    <row r="2252" spans="1:11">
      <c r="A2252" t="s">
        <v>6788</v>
      </c>
      <c r="J2252" t="s">
        <v>6789</v>
      </c>
      <c r="K2252" t="s">
        <v>6790</v>
      </c>
    </row>
    <row r="2253" spans="1:11">
      <c r="A2253" t="s">
        <v>6791</v>
      </c>
      <c r="J2253" t="s">
        <v>6792</v>
      </c>
      <c r="K2253" t="s">
        <v>6793</v>
      </c>
    </row>
    <row r="2254" spans="1:11">
      <c r="A2254" t="s">
        <v>6794</v>
      </c>
      <c r="J2254" t="s">
        <v>6795</v>
      </c>
      <c r="K2254" t="s">
        <v>6796</v>
      </c>
    </row>
    <row r="2255" spans="1:11">
      <c r="A2255" t="s">
        <v>6797</v>
      </c>
      <c r="J2255" t="s">
        <v>6798</v>
      </c>
      <c r="K2255" t="s">
        <v>6799</v>
      </c>
    </row>
    <row r="2256" spans="1:11">
      <c r="A2256" t="s">
        <v>6800</v>
      </c>
      <c r="J2256" t="s">
        <v>6801</v>
      </c>
      <c r="K2256" t="s">
        <v>6802</v>
      </c>
    </row>
    <row r="2257" spans="1:11">
      <c r="A2257" t="s">
        <v>6803</v>
      </c>
      <c r="J2257" t="s">
        <v>6804</v>
      </c>
      <c r="K2257" t="s">
        <v>6805</v>
      </c>
    </row>
    <row r="2258" spans="1:11">
      <c r="A2258" t="s">
        <v>6806</v>
      </c>
      <c r="J2258" t="s">
        <v>6807</v>
      </c>
      <c r="K2258" t="s">
        <v>6808</v>
      </c>
    </row>
    <row r="2259" spans="1:11">
      <c r="A2259" t="s">
        <v>6809</v>
      </c>
      <c r="J2259" t="s">
        <v>6810</v>
      </c>
      <c r="K2259" t="s">
        <v>6811</v>
      </c>
    </row>
    <row r="2260" spans="1:11">
      <c r="A2260" t="s">
        <v>6812</v>
      </c>
      <c r="J2260" t="s">
        <v>6813</v>
      </c>
      <c r="K2260" t="s">
        <v>6814</v>
      </c>
    </row>
    <row r="2261" spans="1:11">
      <c r="A2261" t="s">
        <v>6815</v>
      </c>
      <c r="J2261" t="s">
        <v>6816</v>
      </c>
      <c r="K2261" t="s">
        <v>6817</v>
      </c>
    </row>
    <row r="2262" spans="1:11">
      <c r="A2262" t="s">
        <v>6818</v>
      </c>
      <c r="J2262" t="s">
        <v>6819</v>
      </c>
      <c r="K2262" t="s">
        <v>6820</v>
      </c>
    </row>
    <row r="2263" spans="1:11">
      <c r="A2263" t="s">
        <v>6821</v>
      </c>
      <c r="J2263" t="s">
        <v>6822</v>
      </c>
      <c r="K2263" t="s">
        <v>6823</v>
      </c>
    </row>
    <row r="2264" spans="1:11">
      <c r="A2264" t="s">
        <v>6824</v>
      </c>
      <c r="J2264" t="s">
        <v>6825</v>
      </c>
      <c r="K2264" t="s">
        <v>6826</v>
      </c>
    </row>
    <row r="2265" spans="1:11">
      <c r="A2265" t="s">
        <v>6827</v>
      </c>
      <c r="J2265" t="s">
        <v>6828</v>
      </c>
      <c r="K2265" t="s">
        <v>6829</v>
      </c>
    </row>
    <row r="2266" spans="1:11">
      <c r="A2266" t="s">
        <v>6830</v>
      </c>
      <c r="J2266" t="s">
        <v>6831</v>
      </c>
      <c r="K2266" t="s">
        <v>6832</v>
      </c>
    </row>
    <row r="2267" spans="1:11">
      <c r="A2267" t="s">
        <v>6833</v>
      </c>
      <c r="J2267" t="s">
        <v>6834</v>
      </c>
      <c r="K2267" t="s">
        <v>6835</v>
      </c>
    </row>
    <row r="2268" spans="1:11">
      <c r="A2268" t="s">
        <v>6836</v>
      </c>
      <c r="J2268" t="s">
        <v>6837</v>
      </c>
      <c r="K2268" t="s">
        <v>6838</v>
      </c>
    </row>
    <row r="2269" spans="1:11">
      <c r="A2269" t="s">
        <v>6839</v>
      </c>
      <c r="J2269" t="s">
        <v>6840</v>
      </c>
      <c r="K2269" t="s">
        <v>6841</v>
      </c>
    </row>
    <row r="2270" spans="1:11">
      <c r="A2270" t="s">
        <v>6842</v>
      </c>
      <c r="J2270" t="s">
        <v>6843</v>
      </c>
      <c r="K2270" t="s">
        <v>6844</v>
      </c>
    </row>
    <row r="2271" spans="1:11">
      <c r="A2271" t="s">
        <v>6845</v>
      </c>
      <c r="J2271" t="s">
        <v>6846</v>
      </c>
      <c r="K2271" t="s">
        <v>6847</v>
      </c>
    </row>
    <row r="2272" spans="1:11">
      <c r="A2272" t="s">
        <v>6848</v>
      </c>
      <c r="J2272" t="s">
        <v>6849</v>
      </c>
      <c r="K2272" t="s">
        <v>6850</v>
      </c>
    </row>
    <row r="2273" spans="1:11">
      <c r="A2273" t="s">
        <v>6851</v>
      </c>
      <c r="J2273" t="s">
        <v>6852</v>
      </c>
      <c r="K2273" t="s">
        <v>6853</v>
      </c>
    </row>
    <row r="2274" spans="1:11">
      <c r="A2274" t="s">
        <v>6854</v>
      </c>
      <c r="J2274" t="s">
        <v>6855</v>
      </c>
      <c r="K2274" t="s">
        <v>6856</v>
      </c>
    </row>
    <row r="2275" spans="1:11">
      <c r="A2275" t="s">
        <v>6857</v>
      </c>
      <c r="J2275" t="s">
        <v>6858</v>
      </c>
      <c r="K2275" t="s">
        <v>6859</v>
      </c>
    </row>
    <row r="2276" spans="1:11">
      <c r="A2276" t="s">
        <v>6860</v>
      </c>
      <c r="J2276" t="s">
        <v>6861</v>
      </c>
      <c r="K2276" t="s">
        <v>6862</v>
      </c>
    </row>
    <row r="2277" spans="1:11">
      <c r="A2277" t="s">
        <v>6863</v>
      </c>
      <c r="J2277" t="s">
        <v>6864</v>
      </c>
      <c r="K2277" t="s">
        <v>6865</v>
      </c>
    </row>
    <row r="2278" spans="1:11">
      <c r="A2278" t="s">
        <v>6866</v>
      </c>
      <c r="J2278" t="s">
        <v>6867</v>
      </c>
      <c r="K2278" t="s">
        <v>6868</v>
      </c>
    </row>
    <row r="2279" spans="1:11">
      <c r="A2279" t="s">
        <v>6869</v>
      </c>
      <c r="J2279" t="s">
        <v>6870</v>
      </c>
      <c r="K2279" t="s">
        <v>6871</v>
      </c>
    </row>
    <row r="2280" spans="1:11">
      <c r="A2280" t="s">
        <v>6872</v>
      </c>
      <c r="J2280" t="s">
        <v>6873</v>
      </c>
      <c r="K2280" t="s">
        <v>6874</v>
      </c>
    </row>
    <row r="2281" spans="1:11">
      <c r="A2281" t="s">
        <v>6875</v>
      </c>
      <c r="J2281" t="s">
        <v>6876</v>
      </c>
      <c r="K2281" t="s">
        <v>6877</v>
      </c>
    </row>
    <row r="2282" spans="1:11">
      <c r="A2282" t="s">
        <v>6878</v>
      </c>
      <c r="J2282" t="s">
        <v>6879</v>
      </c>
      <c r="K2282" t="s">
        <v>6880</v>
      </c>
    </row>
    <row r="2283" spans="1:11">
      <c r="A2283" t="s">
        <v>6881</v>
      </c>
      <c r="J2283" t="s">
        <v>6882</v>
      </c>
      <c r="K2283" t="s">
        <v>6883</v>
      </c>
    </row>
    <row r="2284" spans="1:11">
      <c r="A2284" t="s">
        <v>6884</v>
      </c>
      <c r="J2284" t="s">
        <v>6885</v>
      </c>
      <c r="K2284" t="s">
        <v>6886</v>
      </c>
    </row>
    <row r="2285" spans="1:11">
      <c r="A2285" t="s">
        <v>6887</v>
      </c>
      <c r="J2285" t="s">
        <v>6888</v>
      </c>
      <c r="K2285" t="s">
        <v>6889</v>
      </c>
    </row>
    <row r="2286" spans="1:11">
      <c r="A2286" t="s">
        <v>6890</v>
      </c>
      <c r="J2286" t="s">
        <v>6891</v>
      </c>
      <c r="K2286" t="s">
        <v>6892</v>
      </c>
    </row>
    <row r="2287" spans="1:11">
      <c r="A2287" t="s">
        <v>6893</v>
      </c>
      <c r="J2287" t="s">
        <v>6894</v>
      </c>
      <c r="K2287" t="s">
        <v>6895</v>
      </c>
    </row>
    <row r="2288" spans="1:11">
      <c r="A2288" t="s">
        <v>6896</v>
      </c>
      <c r="J2288" t="s">
        <v>6897</v>
      </c>
      <c r="K2288" t="s">
        <v>6898</v>
      </c>
    </row>
    <row r="2289" spans="1:11">
      <c r="A2289" t="s">
        <v>6899</v>
      </c>
      <c r="J2289" t="s">
        <v>6900</v>
      </c>
      <c r="K2289" t="s">
        <v>6901</v>
      </c>
    </row>
    <row r="2290" spans="1:11">
      <c r="A2290" t="s">
        <v>6902</v>
      </c>
      <c r="J2290" t="s">
        <v>6903</v>
      </c>
      <c r="K2290" t="s">
        <v>6904</v>
      </c>
    </row>
    <row r="2291" spans="1:11">
      <c r="A2291" t="s">
        <v>6905</v>
      </c>
      <c r="J2291" t="s">
        <v>6906</v>
      </c>
      <c r="K2291" t="s">
        <v>6907</v>
      </c>
    </row>
    <row r="2292" spans="1:11">
      <c r="A2292" t="s">
        <v>6908</v>
      </c>
      <c r="J2292" t="s">
        <v>6909</v>
      </c>
      <c r="K2292" t="s">
        <v>6910</v>
      </c>
    </row>
    <row r="2293" spans="1:11">
      <c r="A2293" t="s">
        <v>6911</v>
      </c>
      <c r="J2293" t="s">
        <v>6912</v>
      </c>
      <c r="K2293" t="s">
        <v>6913</v>
      </c>
    </row>
    <row r="2294" spans="1:11">
      <c r="A2294" t="s">
        <v>6914</v>
      </c>
      <c r="J2294" t="s">
        <v>6915</v>
      </c>
      <c r="K2294" t="s">
        <v>6916</v>
      </c>
    </row>
    <row r="2295" spans="1:11">
      <c r="A2295" t="s">
        <v>6917</v>
      </c>
      <c r="J2295" t="s">
        <v>6918</v>
      </c>
      <c r="K2295" t="s">
        <v>6919</v>
      </c>
    </row>
    <row r="2296" spans="1:11">
      <c r="A2296" t="s">
        <v>6920</v>
      </c>
      <c r="J2296" t="s">
        <v>6921</v>
      </c>
      <c r="K2296" t="s">
        <v>6922</v>
      </c>
    </row>
    <row r="2297" spans="1:11">
      <c r="A2297" t="s">
        <v>6923</v>
      </c>
      <c r="J2297" t="s">
        <v>6924</v>
      </c>
      <c r="K2297" t="s">
        <v>6925</v>
      </c>
    </row>
    <row r="2298" spans="1:11">
      <c r="A2298" t="s">
        <v>6926</v>
      </c>
      <c r="J2298" t="s">
        <v>6927</v>
      </c>
      <c r="K2298" t="s">
        <v>6928</v>
      </c>
    </row>
    <row r="2299" spans="1:11">
      <c r="A2299" t="s">
        <v>6929</v>
      </c>
      <c r="J2299" t="s">
        <v>6930</v>
      </c>
      <c r="K2299" t="s">
        <v>6931</v>
      </c>
    </row>
    <row r="2300" spans="1:11">
      <c r="A2300" t="s">
        <v>6932</v>
      </c>
      <c r="J2300" t="s">
        <v>6933</v>
      </c>
      <c r="K2300" t="s">
        <v>6934</v>
      </c>
    </row>
    <row r="2301" spans="1:11">
      <c r="A2301" t="s">
        <v>6935</v>
      </c>
      <c r="J2301" t="s">
        <v>6936</v>
      </c>
      <c r="K2301" t="s">
        <v>6937</v>
      </c>
    </row>
    <row r="2302" spans="1:11">
      <c r="A2302" t="s">
        <v>6938</v>
      </c>
      <c r="J2302" t="s">
        <v>6939</v>
      </c>
      <c r="K2302" t="s">
        <v>6940</v>
      </c>
    </row>
    <row r="2303" spans="1:11">
      <c r="A2303" t="s">
        <v>6941</v>
      </c>
      <c r="J2303" t="s">
        <v>6942</v>
      </c>
      <c r="K2303" t="s">
        <v>6943</v>
      </c>
    </row>
    <row r="2304" spans="1:11">
      <c r="A2304" t="s">
        <v>6944</v>
      </c>
      <c r="J2304" t="s">
        <v>6945</v>
      </c>
      <c r="K2304" t="s">
        <v>6946</v>
      </c>
    </row>
    <row r="2305" spans="1:11">
      <c r="A2305" t="s">
        <v>6947</v>
      </c>
      <c r="J2305" t="s">
        <v>6948</v>
      </c>
      <c r="K2305" t="s">
        <v>6949</v>
      </c>
    </row>
    <row r="2306" spans="1:11">
      <c r="A2306" t="s">
        <v>6950</v>
      </c>
      <c r="J2306" t="s">
        <v>6951</v>
      </c>
      <c r="K2306" t="s">
        <v>6952</v>
      </c>
    </row>
    <row r="2307" spans="1:11">
      <c r="A2307" t="s">
        <v>6953</v>
      </c>
      <c r="J2307" t="s">
        <v>6954</v>
      </c>
      <c r="K2307" t="s">
        <v>6955</v>
      </c>
    </row>
    <row r="2308" spans="1:11">
      <c r="A2308" t="s">
        <v>6956</v>
      </c>
      <c r="J2308" t="s">
        <v>6957</v>
      </c>
      <c r="K2308" t="s">
        <v>6958</v>
      </c>
    </row>
    <row r="2309" spans="1:11">
      <c r="A2309" t="s">
        <v>6959</v>
      </c>
      <c r="J2309" t="s">
        <v>6960</v>
      </c>
      <c r="K2309" t="s">
        <v>6961</v>
      </c>
    </row>
    <row r="2310" spans="1:11">
      <c r="A2310" t="s">
        <v>6962</v>
      </c>
      <c r="J2310" t="s">
        <v>6963</v>
      </c>
      <c r="K2310" t="s">
        <v>6964</v>
      </c>
    </row>
    <row r="2311" spans="1:11">
      <c r="A2311" t="s">
        <v>6965</v>
      </c>
      <c r="J2311" t="s">
        <v>6966</v>
      </c>
      <c r="K2311" t="s">
        <v>6967</v>
      </c>
    </row>
    <row r="2312" spans="1:11">
      <c r="A2312" t="s">
        <v>6968</v>
      </c>
      <c r="J2312" t="s">
        <v>6969</v>
      </c>
      <c r="K2312" t="s">
        <v>6970</v>
      </c>
    </row>
    <row r="2313" spans="1:11">
      <c r="A2313" t="s">
        <v>6971</v>
      </c>
      <c r="J2313" t="s">
        <v>6972</v>
      </c>
      <c r="K2313" t="s">
        <v>6973</v>
      </c>
    </row>
    <row r="2314" spans="1:11">
      <c r="A2314" t="s">
        <v>6974</v>
      </c>
      <c r="J2314" t="s">
        <v>6975</v>
      </c>
      <c r="K2314" t="s">
        <v>6976</v>
      </c>
    </row>
    <row r="2315" spans="1:11">
      <c r="A2315" t="s">
        <v>6977</v>
      </c>
      <c r="J2315" t="s">
        <v>6978</v>
      </c>
      <c r="K2315" t="s">
        <v>6979</v>
      </c>
    </row>
    <row r="2316" spans="1:11">
      <c r="A2316" t="s">
        <v>6980</v>
      </c>
      <c r="J2316" t="s">
        <v>6981</v>
      </c>
      <c r="K2316" t="s">
        <v>6982</v>
      </c>
    </row>
    <row r="2317" spans="1:11">
      <c r="A2317" t="s">
        <v>6983</v>
      </c>
      <c r="J2317" t="s">
        <v>6984</v>
      </c>
      <c r="K2317" t="s">
        <v>6985</v>
      </c>
    </row>
    <row r="2318" spans="1:11">
      <c r="A2318" t="s">
        <v>6986</v>
      </c>
      <c r="J2318" t="s">
        <v>6987</v>
      </c>
      <c r="K2318" t="s">
        <v>6988</v>
      </c>
    </row>
    <row r="2319" spans="1:11">
      <c r="A2319" t="s">
        <v>6989</v>
      </c>
      <c r="J2319" t="s">
        <v>6990</v>
      </c>
      <c r="K2319" t="s">
        <v>6991</v>
      </c>
    </row>
    <row r="2320" spans="1:11">
      <c r="A2320" t="s">
        <v>6992</v>
      </c>
      <c r="J2320" t="s">
        <v>6993</v>
      </c>
      <c r="K2320" t="s">
        <v>6994</v>
      </c>
    </row>
    <row r="2321" spans="1:11">
      <c r="A2321" t="s">
        <v>6995</v>
      </c>
      <c r="J2321" t="s">
        <v>6996</v>
      </c>
      <c r="K2321" t="s">
        <v>6997</v>
      </c>
    </row>
    <row r="2322" spans="1:11">
      <c r="A2322" t="s">
        <v>6998</v>
      </c>
      <c r="J2322" t="s">
        <v>6999</v>
      </c>
      <c r="K2322" t="s">
        <v>7000</v>
      </c>
    </row>
    <row r="2323" spans="1:11">
      <c r="A2323" t="s">
        <v>7001</v>
      </c>
      <c r="J2323" t="s">
        <v>7002</v>
      </c>
      <c r="K2323" t="s">
        <v>7003</v>
      </c>
    </row>
    <row r="2324" spans="1:11">
      <c r="A2324" t="s">
        <v>7004</v>
      </c>
      <c r="J2324" t="s">
        <v>7005</v>
      </c>
      <c r="K2324" t="s">
        <v>7006</v>
      </c>
    </row>
    <row r="2325" spans="1:11">
      <c r="A2325" t="s">
        <v>7007</v>
      </c>
      <c r="J2325" t="s">
        <v>7008</v>
      </c>
      <c r="K2325" t="s">
        <v>7009</v>
      </c>
    </row>
    <row r="2326" spans="1:11">
      <c r="A2326" t="s">
        <v>7010</v>
      </c>
      <c r="J2326" t="s">
        <v>7011</v>
      </c>
      <c r="K2326" t="s">
        <v>7012</v>
      </c>
    </row>
    <row r="2327" spans="1:11">
      <c r="A2327" t="s">
        <v>7013</v>
      </c>
      <c r="J2327" t="s">
        <v>7014</v>
      </c>
      <c r="K2327" t="s">
        <v>7015</v>
      </c>
    </row>
    <row r="2328" spans="1:11">
      <c r="A2328" t="s">
        <v>7016</v>
      </c>
      <c r="J2328" t="s">
        <v>7017</v>
      </c>
      <c r="K2328" t="s">
        <v>7018</v>
      </c>
    </row>
    <row r="2329" spans="1:11">
      <c r="A2329" t="s">
        <v>7019</v>
      </c>
      <c r="J2329" t="s">
        <v>7020</v>
      </c>
      <c r="K2329" t="s">
        <v>7021</v>
      </c>
    </row>
    <row r="2330" spans="1:11">
      <c r="A2330" t="s">
        <v>7022</v>
      </c>
      <c r="J2330" t="s">
        <v>7023</v>
      </c>
      <c r="K2330" t="s">
        <v>7024</v>
      </c>
    </row>
    <row r="2331" spans="1:11">
      <c r="A2331" t="s">
        <v>7025</v>
      </c>
      <c r="J2331" t="s">
        <v>7026</v>
      </c>
      <c r="K2331" t="s">
        <v>7027</v>
      </c>
    </row>
    <row r="2332" spans="1:11">
      <c r="A2332" t="s">
        <v>7028</v>
      </c>
      <c r="J2332" t="s">
        <v>7029</v>
      </c>
      <c r="K2332" t="s">
        <v>7030</v>
      </c>
    </row>
    <row r="2333" spans="1:11">
      <c r="A2333" t="s">
        <v>7031</v>
      </c>
      <c r="J2333" t="s">
        <v>7032</v>
      </c>
      <c r="K2333" t="s">
        <v>7033</v>
      </c>
    </row>
    <row r="2334" spans="1:11">
      <c r="A2334" t="s">
        <v>7034</v>
      </c>
      <c r="J2334" t="s">
        <v>7035</v>
      </c>
      <c r="K2334" t="s">
        <v>7036</v>
      </c>
    </row>
    <row r="2335" spans="1:11">
      <c r="A2335" t="s">
        <v>7037</v>
      </c>
      <c r="J2335" t="s">
        <v>7038</v>
      </c>
      <c r="K2335" t="s">
        <v>7039</v>
      </c>
    </row>
    <row r="2336" spans="1:11">
      <c r="A2336" t="s">
        <v>7040</v>
      </c>
      <c r="J2336" t="s">
        <v>7041</v>
      </c>
      <c r="K2336" t="s">
        <v>7042</v>
      </c>
    </row>
    <row r="2337" spans="1:11">
      <c r="A2337" t="s">
        <v>7043</v>
      </c>
      <c r="J2337" t="s">
        <v>7044</v>
      </c>
      <c r="K2337" t="s">
        <v>7045</v>
      </c>
    </row>
    <row r="2338" spans="1:11">
      <c r="A2338" t="s">
        <v>7046</v>
      </c>
      <c r="J2338" t="s">
        <v>7047</v>
      </c>
      <c r="K2338" t="s">
        <v>7048</v>
      </c>
    </row>
    <row r="2339" spans="1:11">
      <c r="A2339" t="s">
        <v>7049</v>
      </c>
      <c r="J2339" t="s">
        <v>7050</v>
      </c>
      <c r="K2339" t="s">
        <v>7051</v>
      </c>
    </row>
    <row r="2340" spans="1:11">
      <c r="A2340" t="s">
        <v>7052</v>
      </c>
      <c r="J2340" t="s">
        <v>7053</v>
      </c>
      <c r="K2340" t="s">
        <v>7054</v>
      </c>
    </row>
    <row r="2341" spans="1:11">
      <c r="A2341" t="s">
        <v>7055</v>
      </c>
      <c r="J2341" t="s">
        <v>7056</v>
      </c>
      <c r="K2341" t="s">
        <v>7057</v>
      </c>
    </row>
    <row r="2342" spans="1:11">
      <c r="A2342" t="s">
        <v>7058</v>
      </c>
      <c r="J2342" t="s">
        <v>7059</v>
      </c>
      <c r="K2342" t="s">
        <v>7060</v>
      </c>
    </row>
    <row r="2343" spans="1:11">
      <c r="A2343" t="s">
        <v>7061</v>
      </c>
      <c r="J2343" t="s">
        <v>7062</v>
      </c>
      <c r="K2343" t="s">
        <v>7063</v>
      </c>
    </row>
    <row r="2344" spans="1:11">
      <c r="A2344" t="s">
        <v>7064</v>
      </c>
      <c r="J2344" t="s">
        <v>7065</v>
      </c>
      <c r="K2344" t="s">
        <v>7066</v>
      </c>
    </row>
    <row r="2345" spans="1:11">
      <c r="A2345" t="s">
        <v>7067</v>
      </c>
      <c r="J2345" t="s">
        <v>7068</v>
      </c>
      <c r="K2345" t="s">
        <v>7069</v>
      </c>
    </row>
    <row r="2346" spans="1:11">
      <c r="A2346" t="s">
        <v>7070</v>
      </c>
      <c r="J2346" t="s">
        <v>7071</v>
      </c>
      <c r="K2346" t="s">
        <v>7072</v>
      </c>
    </row>
    <row r="2347" spans="1:11">
      <c r="A2347" t="s">
        <v>7073</v>
      </c>
      <c r="J2347" t="s">
        <v>7074</v>
      </c>
      <c r="K2347" t="s">
        <v>7075</v>
      </c>
    </row>
    <row r="2348" spans="1:11">
      <c r="A2348" t="s">
        <v>7076</v>
      </c>
      <c r="J2348" t="s">
        <v>7077</v>
      </c>
      <c r="K2348" t="s">
        <v>7078</v>
      </c>
    </row>
    <row r="2349" spans="1:11">
      <c r="A2349" t="s">
        <v>7079</v>
      </c>
      <c r="J2349" t="s">
        <v>7080</v>
      </c>
      <c r="K2349" t="s">
        <v>7081</v>
      </c>
    </row>
    <row r="2350" spans="1:11">
      <c r="A2350" t="s">
        <v>7082</v>
      </c>
      <c r="J2350" t="s">
        <v>7083</v>
      </c>
      <c r="K2350" t="s">
        <v>7084</v>
      </c>
    </row>
    <row r="2351" spans="1:11">
      <c r="A2351" t="s">
        <v>7085</v>
      </c>
      <c r="J2351" t="s">
        <v>7086</v>
      </c>
      <c r="K2351" t="s">
        <v>7087</v>
      </c>
    </row>
    <row r="2352" spans="1:11">
      <c r="A2352" t="s">
        <v>7088</v>
      </c>
      <c r="J2352" t="s">
        <v>7089</v>
      </c>
      <c r="K2352" t="s">
        <v>7090</v>
      </c>
    </row>
    <row r="2353" spans="1:11">
      <c r="A2353" t="s">
        <v>7091</v>
      </c>
      <c r="J2353" t="s">
        <v>7092</v>
      </c>
      <c r="K2353" t="s">
        <v>7093</v>
      </c>
    </row>
    <row r="2354" spans="1:11">
      <c r="A2354" t="s">
        <v>7094</v>
      </c>
      <c r="J2354" t="s">
        <v>7095</v>
      </c>
      <c r="K2354" t="s">
        <v>7096</v>
      </c>
    </row>
    <row r="2355" spans="1:11">
      <c r="A2355" t="s">
        <v>7097</v>
      </c>
      <c r="J2355" t="s">
        <v>7098</v>
      </c>
      <c r="K2355" t="s">
        <v>7099</v>
      </c>
    </row>
    <row r="2356" spans="1:11">
      <c r="A2356" t="s">
        <v>7100</v>
      </c>
      <c r="J2356" t="s">
        <v>7101</v>
      </c>
      <c r="K2356" t="s">
        <v>7102</v>
      </c>
    </row>
    <row r="2357" spans="1:11">
      <c r="A2357" t="s">
        <v>7103</v>
      </c>
      <c r="J2357" t="s">
        <v>7104</v>
      </c>
      <c r="K2357" t="s">
        <v>7105</v>
      </c>
    </row>
    <row r="2358" spans="1:11">
      <c r="A2358" t="s">
        <v>7106</v>
      </c>
      <c r="J2358" t="s">
        <v>7107</v>
      </c>
      <c r="K2358" t="s">
        <v>7108</v>
      </c>
    </row>
    <row r="2359" spans="1:11">
      <c r="A2359" t="s">
        <v>7109</v>
      </c>
      <c r="J2359" t="s">
        <v>7110</v>
      </c>
      <c r="K2359" t="s">
        <v>7111</v>
      </c>
    </row>
    <row r="2360" spans="1:11">
      <c r="A2360" t="s">
        <v>7112</v>
      </c>
      <c r="J2360" t="s">
        <v>7113</v>
      </c>
      <c r="K2360" t="s">
        <v>7114</v>
      </c>
    </row>
    <row r="2361" spans="1:11">
      <c r="A2361" t="s">
        <v>7115</v>
      </c>
      <c r="J2361" t="s">
        <v>7116</v>
      </c>
      <c r="K2361" t="s">
        <v>7117</v>
      </c>
    </row>
    <row r="2362" spans="1:11">
      <c r="A2362" t="s">
        <v>7118</v>
      </c>
      <c r="J2362" t="s">
        <v>7119</v>
      </c>
      <c r="K2362" t="s">
        <v>7120</v>
      </c>
    </row>
    <row r="2363" spans="1:11">
      <c r="A2363" t="s">
        <v>7121</v>
      </c>
      <c r="J2363" t="s">
        <v>7122</v>
      </c>
      <c r="K2363" t="s">
        <v>7123</v>
      </c>
    </row>
    <row r="2364" spans="1:11">
      <c r="A2364" t="s">
        <v>7124</v>
      </c>
      <c r="J2364" t="s">
        <v>7125</v>
      </c>
      <c r="K2364" t="s">
        <v>7126</v>
      </c>
    </row>
    <row r="2365" spans="1:11">
      <c r="A2365" t="s">
        <v>7127</v>
      </c>
      <c r="J2365" t="s">
        <v>7128</v>
      </c>
      <c r="K2365" t="s">
        <v>7129</v>
      </c>
    </row>
    <row r="2366" spans="1:11">
      <c r="A2366" t="s">
        <v>7130</v>
      </c>
      <c r="J2366" t="s">
        <v>7131</v>
      </c>
      <c r="K2366" t="s">
        <v>7132</v>
      </c>
    </row>
    <row r="2367" spans="1:11">
      <c r="A2367" t="s">
        <v>7133</v>
      </c>
      <c r="J2367" t="s">
        <v>7134</v>
      </c>
      <c r="K2367" t="s">
        <v>7135</v>
      </c>
    </row>
    <row r="2368" spans="1:11">
      <c r="A2368" t="s">
        <v>7136</v>
      </c>
      <c r="J2368" t="s">
        <v>7137</v>
      </c>
      <c r="K2368" t="s">
        <v>7138</v>
      </c>
    </row>
    <row r="2369" spans="1:11">
      <c r="A2369" t="s">
        <v>7139</v>
      </c>
      <c r="J2369" t="s">
        <v>7140</v>
      </c>
      <c r="K2369" t="s">
        <v>7141</v>
      </c>
    </row>
    <row r="2370" spans="1:11">
      <c r="A2370" t="s">
        <v>7142</v>
      </c>
      <c r="J2370" t="s">
        <v>7143</v>
      </c>
      <c r="K2370" t="s">
        <v>7144</v>
      </c>
    </row>
    <row r="2371" spans="1:11">
      <c r="A2371" t="s">
        <v>7145</v>
      </c>
      <c r="J2371" t="s">
        <v>7146</v>
      </c>
      <c r="K2371" t="s">
        <v>7147</v>
      </c>
    </row>
    <row r="2372" spans="1:11">
      <c r="A2372" t="s">
        <v>7148</v>
      </c>
      <c r="J2372" t="s">
        <v>7149</v>
      </c>
      <c r="K2372" t="s">
        <v>7150</v>
      </c>
    </row>
    <row r="2373" spans="1:11">
      <c r="A2373" t="s">
        <v>7151</v>
      </c>
      <c r="J2373" t="s">
        <v>7152</v>
      </c>
      <c r="K2373" t="s">
        <v>7153</v>
      </c>
    </row>
    <row r="2374" spans="1:11">
      <c r="A2374" t="s">
        <v>7154</v>
      </c>
      <c r="J2374" t="s">
        <v>7155</v>
      </c>
      <c r="K2374" t="s">
        <v>7156</v>
      </c>
    </row>
    <row r="2375" spans="1:11">
      <c r="A2375" t="s">
        <v>7157</v>
      </c>
      <c r="J2375" t="s">
        <v>7158</v>
      </c>
      <c r="K2375" t="s">
        <v>7159</v>
      </c>
    </row>
    <row r="2376" spans="1:11">
      <c r="A2376" t="s">
        <v>7160</v>
      </c>
      <c r="J2376" t="s">
        <v>7161</v>
      </c>
      <c r="K2376" t="s">
        <v>7162</v>
      </c>
    </row>
    <row r="2377" spans="1:11">
      <c r="A2377" t="s">
        <v>7163</v>
      </c>
      <c r="J2377" t="s">
        <v>7164</v>
      </c>
      <c r="K2377" t="s">
        <v>7165</v>
      </c>
    </row>
    <row r="2378" spans="1:11">
      <c r="A2378" t="s">
        <v>7166</v>
      </c>
      <c r="J2378" t="s">
        <v>7167</v>
      </c>
      <c r="K2378" t="s">
        <v>7168</v>
      </c>
    </row>
    <row r="2379" spans="1:11">
      <c r="A2379" t="s">
        <v>7169</v>
      </c>
      <c r="J2379" t="s">
        <v>7170</v>
      </c>
      <c r="K2379" t="s">
        <v>7171</v>
      </c>
    </row>
    <row r="2380" spans="1:11">
      <c r="A2380" t="s">
        <v>7172</v>
      </c>
      <c r="J2380" t="s">
        <v>7173</v>
      </c>
      <c r="K2380" t="s">
        <v>7174</v>
      </c>
    </row>
    <row r="2381" spans="1:11">
      <c r="A2381" t="s">
        <v>7175</v>
      </c>
      <c r="J2381" t="s">
        <v>7176</v>
      </c>
      <c r="K2381" t="s">
        <v>7177</v>
      </c>
    </row>
    <row r="2382" spans="1:11">
      <c r="A2382" t="s">
        <v>7178</v>
      </c>
      <c r="J2382" t="s">
        <v>7179</v>
      </c>
      <c r="K2382" t="s">
        <v>7180</v>
      </c>
    </row>
    <row r="2383" spans="1:11">
      <c r="A2383" t="s">
        <v>7181</v>
      </c>
      <c r="J2383" t="s">
        <v>7182</v>
      </c>
      <c r="K2383" t="s">
        <v>7183</v>
      </c>
    </row>
    <row r="2384" spans="1:11">
      <c r="A2384" t="s">
        <v>7184</v>
      </c>
      <c r="J2384" t="s">
        <v>7185</v>
      </c>
      <c r="K2384" t="s">
        <v>7186</v>
      </c>
    </row>
    <row r="2385" spans="1:11">
      <c r="A2385" t="s">
        <v>7187</v>
      </c>
      <c r="J2385" t="s">
        <v>7188</v>
      </c>
      <c r="K2385" t="s">
        <v>7189</v>
      </c>
    </row>
    <row r="2386" spans="1:11">
      <c r="A2386" t="s">
        <v>7190</v>
      </c>
      <c r="J2386" t="s">
        <v>7191</v>
      </c>
      <c r="K2386" t="s">
        <v>7192</v>
      </c>
    </row>
    <row r="2387" spans="1:11">
      <c r="A2387" t="s">
        <v>7193</v>
      </c>
      <c r="J2387" t="s">
        <v>7194</v>
      </c>
      <c r="K2387" t="s">
        <v>7195</v>
      </c>
    </row>
    <row r="2388" spans="1:11">
      <c r="A2388" t="s">
        <v>7196</v>
      </c>
      <c r="J2388" t="s">
        <v>7197</v>
      </c>
      <c r="K2388" t="s">
        <v>7198</v>
      </c>
    </row>
    <row r="2389" spans="1:11">
      <c r="A2389" t="s">
        <v>7199</v>
      </c>
      <c r="J2389" t="s">
        <v>7200</v>
      </c>
      <c r="K2389" t="s">
        <v>7201</v>
      </c>
    </row>
    <row r="2390" spans="1:11">
      <c r="A2390" t="s">
        <v>7202</v>
      </c>
      <c r="J2390" t="s">
        <v>7203</v>
      </c>
      <c r="K2390" t="s">
        <v>7204</v>
      </c>
    </row>
    <row r="2391" spans="1:11">
      <c r="A2391" t="s">
        <v>7205</v>
      </c>
      <c r="J2391" t="s">
        <v>7206</v>
      </c>
      <c r="K2391" t="s">
        <v>7207</v>
      </c>
    </row>
    <row r="2392" spans="1:11">
      <c r="A2392" t="s">
        <v>7208</v>
      </c>
      <c r="J2392" t="s">
        <v>7209</v>
      </c>
      <c r="K2392" t="s">
        <v>7210</v>
      </c>
    </row>
    <row r="2393" spans="1:11">
      <c r="A2393" t="s">
        <v>7211</v>
      </c>
      <c r="J2393" t="s">
        <v>7212</v>
      </c>
      <c r="K2393" t="s">
        <v>7213</v>
      </c>
    </row>
    <row r="2394" spans="1:11">
      <c r="A2394" t="s">
        <v>7214</v>
      </c>
      <c r="J2394" t="s">
        <v>7215</v>
      </c>
      <c r="K2394" t="s">
        <v>7216</v>
      </c>
    </row>
    <row r="2395" spans="1:11">
      <c r="A2395" t="s">
        <v>7217</v>
      </c>
      <c r="J2395" t="s">
        <v>7218</v>
      </c>
      <c r="K2395" t="s">
        <v>7219</v>
      </c>
    </row>
    <row r="2396" spans="1:11">
      <c r="A2396" t="s">
        <v>7220</v>
      </c>
      <c r="J2396" t="s">
        <v>7221</v>
      </c>
      <c r="K2396" t="s">
        <v>7222</v>
      </c>
    </row>
    <row r="2397" spans="1:11">
      <c r="A2397" t="s">
        <v>7223</v>
      </c>
      <c r="J2397" t="s">
        <v>7224</v>
      </c>
      <c r="K2397" t="s">
        <v>7225</v>
      </c>
    </row>
    <row r="2398" spans="1:11">
      <c r="A2398" t="s">
        <v>7226</v>
      </c>
      <c r="J2398" t="s">
        <v>7227</v>
      </c>
      <c r="K2398" t="s">
        <v>7228</v>
      </c>
    </row>
    <row r="2399" spans="1:11">
      <c r="A2399" t="s">
        <v>7229</v>
      </c>
      <c r="J2399" t="s">
        <v>7230</v>
      </c>
      <c r="K2399" t="s">
        <v>7231</v>
      </c>
    </row>
    <row r="2400" spans="1:11">
      <c r="A2400" t="s">
        <v>7232</v>
      </c>
      <c r="J2400" t="s">
        <v>7233</v>
      </c>
      <c r="K2400" t="s">
        <v>7234</v>
      </c>
    </row>
    <row r="2401" spans="1:11">
      <c r="A2401" t="s">
        <v>7235</v>
      </c>
      <c r="J2401" t="s">
        <v>7236</v>
      </c>
      <c r="K2401" t="s">
        <v>7237</v>
      </c>
    </row>
    <row r="2402" spans="1:11">
      <c r="A2402" t="s">
        <v>7238</v>
      </c>
      <c r="J2402" t="s">
        <v>7239</v>
      </c>
      <c r="K2402" t="s">
        <v>7240</v>
      </c>
    </row>
    <row r="2403" spans="1:11">
      <c r="A2403" t="s">
        <v>7241</v>
      </c>
      <c r="J2403" t="s">
        <v>7242</v>
      </c>
      <c r="K2403" t="s">
        <v>7243</v>
      </c>
    </row>
    <row r="2404" spans="1:11">
      <c r="A2404" t="s">
        <v>7244</v>
      </c>
      <c r="J2404" t="s">
        <v>7245</v>
      </c>
      <c r="K2404" t="s">
        <v>7246</v>
      </c>
    </row>
    <row r="2405" spans="1:11">
      <c r="A2405" t="s">
        <v>7247</v>
      </c>
      <c r="J2405" t="s">
        <v>7248</v>
      </c>
      <c r="K2405" t="s">
        <v>7249</v>
      </c>
    </row>
    <row r="2406" spans="1:11">
      <c r="A2406" t="s">
        <v>7250</v>
      </c>
      <c r="J2406" t="s">
        <v>7251</v>
      </c>
      <c r="K2406" t="s">
        <v>7252</v>
      </c>
    </row>
    <row r="2407" spans="1:11">
      <c r="A2407" t="s">
        <v>7253</v>
      </c>
      <c r="J2407" t="s">
        <v>7254</v>
      </c>
      <c r="K2407" t="s">
        <v>7255</v>
      </c>
    </row>
    <row r="2408" spans="1:11">
      <c r="A2408" t="s">
        <v>7256</v>
      </c>
      <c r="J2408" t="s">
        <v>7257</v>
      </c>
      <c r="K2408" t="s">
        <v>7258</v>
      </c>
    </row>
    <row r="2409" spans="1:11">
      <c r="A2409" t="s">
        <v>7259</v>
      </c>
      <c r="J2409" t="s">
        <v>7260</v>
      </c>
      <c r="K2409" t="s">
        <v>7261</v>
      </c>
    </row>
    <row r="2410" spans="1:11">
      <c r="A2410" t="s">
        <v>7262</v>
      </c>
      <c r="J2410" t="s">
        <v>7263</v>
      </c>
      <c r="K2410" t="s">
        <v>7264</v>
      </c>
    </row>
    <row r="2411" spans="1:11">
      <c r="A2411" t="s">
        <v>7265</v>
      </c>
      <c r="J2411" t="s">
        <v>7266</v>
      </c>
      <c r="K2411" t="s">
        <v>7267</v>
      </c>
    </row>
    <row r="2412" spans="1:11">
      <c r="A2412" t="s">
        <v>7268</v>
      </c>
      <c r="J2412" t="s">
        <v>7269</v>
      </c>
      <c r="K2412" t="s">
        <v>7270</v>
      </c>
    </row>
    <row r="2413" spans="1:11">
      <c r="A2413" t="s">
        <v>7271</v>
      </c>
      <c r="J2413" t="s">
        <v>7272</v>
      </c>
      <c r="K2413" t="s">
        <v>7273</v>
      </c>
    </row>
    <row r="2414" spans="1:11">
      <c r="A2414" t="s">
        <v>7274</v>
      </c>
      <c r="J2414" t="s">
        <v>7275</v>
      </c>
      <c r="K2414" t="s">
        <v>7276</v>
      </c>
    </row>
    <row r="2415" spans="1:11">
      <c r="A2415" t="s">
        <v>7277</v>
      </c>
      <c r="J2415" t="s">
        <v>7278</v>
      </c>
      <c r="K2415" t="s">
        <v>7279</v>
      </c>
    </row>
    <row r="2416" spans="1:11">
      <c r="A2416" t="s">
        <v>7280</v>
      </c>
      <c r="J2416" t="s">
        <v>7281</v>
      </c>
      <c r="K2416" t="s">
        <v>7282</v>
      </c>
    </row>
    <row r="2417" spans="1:11">
      <c r="A2417" t="s">
        <v>7283</v>
      </c>
      <c r="J2417" t="s">
        <v>7284</v>
      </c>
      <c r="K2417" t="s">
        <v>7285</v>
      </c>
    </row>
    <row r="2418" spans="1:11">
      <c r="A2418" t="s">
        <v>7286</v>
      </c>
      <c r="J2418" t="s">
        <v>7287</v>
      </c>
      <c r="K2418" t="s">
        <v>7288</v>
      </c>
    </row>
    <row r="2419" spans="1:11">
      <c r="A2419" t="s">
        <v>7289</v>
      </c>
      <c r="J2419" t="s">
        <v>7290</v>
      </c>
      <c r="K2419" t="s">
        <v>7291</v>
      </c>
    </row>
    <row r="2420" spans="1:11">
      <c r="A2420" t="s">
        <v>7292</v>
      </c>
      <c r="J2420" t="s">
        <v>7293</v>
      </c>
      <c r="K2420" t="s">
        <v>7294</v>
      </c>
    </row>
    <row r="2421" spans="1:11">
      <c r="A2421" t="s">
        <v>7295</v>
      </c>
      <c r="J2421" t="s">
        <v>7296</v>
      </c>
      <c r="K2421" t="s">
        <v>7297</v>
      </c>
    </row>
    <row r="2422" spans="1:11">
      <c r="A2422" t="s">
        <v>7298</v>
      </c>
      <c r="J2422" t="s">
        <v>7299</v>
      </c>
      <c r="K2422" t="s">
        <v>7300</v>
      </c>
    </row>
    <row r="2423" spans="1:11">
      <c r="A2423" t="s">
        <v>7301</v>
      </c>
      <c r="J2423" t="s">
        <v>7302</v>
      </c>
      <c r="K2423" t="s">
        <v>7303</v>
      </c>
    </row>
    <row r="2424" spans="1:11">
      <c r="A2424" t="s">
        <v>7304</v>
      </c>
      <c r="J2424" t="s">
        <v>7305</v>
      </c>
      <c r="K2424" t="s">
        <v>7306</v>
      </c>
    </row>
    <row r="2425" spans="1:11">
      <c r="A2425" t="s">
        <v>7307</v>
      </c>
      <c r="J2425" t="s">
        <v>7308</v>
      </c>
      <c r="K2425" t="s">
        <v>7309</v>
      </c>
    </row>
    <row r="2426" spans="1:11">
      <c r="A2426" t="s">
        <v>7310</v>
      </c>
      <c r="J2426" t="s">
        <v>7311</v>
      </c>
      <c r="K2426" t="s">
        <v>7312</v>
      </c>
    </row>
    <row r="2427" spans="1:11">
      <c r="A2427" t="s">
        <v>7313</v>
      </c>
      <c r="J2427" t="s">
        <v>7314</v>
      </c>
      <c r="K2427" t="s">
        <v>7315</v>
      </c>
    </row>
    <row r="2428" spans="1:11">
      <c r="A2428" t="s">
        <v>7316</v>
      </c>
      <c r="J2428" t="s">
        <v>7317</v>
      </c>
      <c r="K2428" t="s">
        <v>7318</v>
      </c>
    </row>
    <row r="2429" spans="1:11">
      <c r="A2429" t="s">
        <v>7319</v>
      </c>
      <c r="J2429" t="s">
        <v>7320</v>
      </c>
      <c r="K2429" t="s">
        <v>7321</v>
      </c>
    </row>
    <row r="2430" spans="1:11">
      <c r="A2430" t="s">
        <v>7322</v>
      </c>
      <c r="J2430" t="s">
        <v>7323</v>
      </c>
      <c r="K2430" t="s">
        <v>7324</v>
      </c>
    </row>
    <row r="2431" spans="1:11">
      <c r="A2431" t="s">
        <v>7325</v>
      </c>
      <c r="J2431" t="s">
        <v>7326</v>
      </c>
      <c r="K2431" t="s">
        <v>7327</v>
      </c>
    </row>
    <row r="2432" spans="1:11">
      <c r="A2432" t="s">
        <v>7328</v>
      </c>
      <c r="J2432" t="s">
        <v>7329</v>
      </c>
      <c r="K2432" t="s">
        <v>7330</v>
      </c>
    </row>
    <row r="2433" spans="1:11">
      <c r="A2433" t="s">
        <v>7331</v>
      </c>
      <c r="J2433" t="s">
        <v>7332</v>
      </c>
      <c r="K2433" t="s">
        <v>7333</v>
      </c>
    </row>
    <row r="2434" spans="1:11">
      <c r="A2434" t="s">
        <v>7334</v>
      </c>
      <c r="J2434" t="s">
        <v>7335</v>
      </c>
      <c r="K2434" t="s">
        <v>7336</v>
      </c>
    </row>
    <row r="2435" spans="1:11">
      <c r="A2435" t="s">
        <v>7337</v>
      </c>
      <c r="J2435" t="s">
        <v>7338</v>
      </c>
      <c r="K2435" t="s">
        <v>7339</v>
      </c>
    </row>
    <row r="2436" spans="1:11">
      <c r="A2436" t="s">
        <v>7340</v>
      </c>
      <c r="J2436" t="s">
        <v>7341</v>
      </c>
      <c r="K2436" t="s">
        <v>7342</v>
      </c>
    </row>
    <row r="2437" spans="1:11">
      <c r="A2437" t="s">
        <v>7343</v>
      </c>
      <c r="J2437" t="s">
        <v>7344</v>
      </c>
      <c r="K2437" t="s">
        <v>7345</v>
      </c>
    </row>
    <row r="2438" spans="1:11">
      <c r="A2438" t="s">
        <v>7346</v>
      </c>
      <c r="J2438" t="s">
        <v>7347</v>
      </c>
      <c r="K2438" t="s">
        <v>7348</v>
      </c>
    </row>
    <row r="2439" spans="1:11">
      <c r="A2439" t="s">
        <v>7349</v>
      </c>
      <c r="J2439" t="s">
        <v>7350</v>
      </c>
      <c r="K2439" t="s">
        <v>7351</v>
      </c>
    </row>
    <row r="2440" spans="1:11">
      <c r="A2440" t="s">
        <v>7352</v>
      </c>
      <c r="J2440" t="s">
        <v>7353</v>
      </c>
      <c r="K2440" t="s">
        <v>7354</v>
      </c>
    </row>
    <row r="2441" spans="1:11">
      <c r="A2441" t="s">
        <v>7355</v>
      </c>
      <c r="J2441" t="s">
        <v>7356</v>
      </c>
      <c r="K2441" t="s">
        <v>7357</v>
      </c>
    </row>
    <row r="2442" spans="1:11">
      <c r="A2442" t="s">
        <v>7358</v>
      </c>
      <c r="J2442" t="s">
        <v>7359</v>
      </c>
      <c r="K2442" t="s">
        <v>7360</v>
      </c>
    </row>
    <row r="2443" spans="1:11">
      <c r="A2443" t="s">
        <v>7361</v>
      </c>
      <c r="J2443" t="s">
        <v>7362</v>
      </c>
      <c r="K2443" t="s">
        <v>7363</v>
      </c>
    </row>
    <row r="2444" spans="1:11">
      <c r="A2444" t="s">
        <v>7364</v>
      </c>
      <c r="J2444" t="s">
        <v>7365</v>
      </c>
      <c r="K2444" t="s">
        <v>7366</v>
      </c>
    </row>
    <row r="2445" spans="1:11">
      <c r="A2445" t="s">
        <v>7367</v>
      </c>
      <c r="J2445" t="s">
        <v>7368</v>
      </c>
      <c r="K2445" t="s">
        <v>7369</v>
      </c>
    </row>
    <row r="2446" spans="1:11">
      <c r="A2446" t="s">
        <v>7370</v>
      </c>
      <c r="J2446" t="s">
        <v>7371</v>
      </c>
      <c r="K2446" t="s">
        <v>7372</v>
      </c>
    </row>
    <row r="2447" spans="1:11">
      <c r="A2447" t="s">
        <v>7373</v>
      </c>
      <c r="J2447" t="s">
        <v>7374</v>
      </c>
      <c r="K2447" t="s">
        <v>7375</v>
      </c>
    </row>
    <row r="2448" spans="1:11">
      <c r="A2448" t="s">
        <v>7376</v>
      </c>
      <c r="J2448" t="s">
        <v>7377</v>
      </c>
      <c r="K2448" t="s">
        <v>7378</v>
      </c>
    </row>
    <row r="2449" spans="1:11">
      <c r="A2449" t="s">
        <v>7379</v>
      </c>
      <c r="J2449" t="s">
        <v>7380</v>
      </c>
      <c r="K2449" t="s">
        <v>7381</v>
      </c>
    </row>
    <row r="2450" spans="1:11">
      <c r="A2450" t="s">
        <v>7382</v>
      </c>
      <c r="J2450" t="s">
        <v>7383</v>
      </c>
      <c r="K2450" t="s">
        <v>7384</v>
      </c>
    </row>
    <row r="2451" spans="1:11">
      <c r="A2451" t="s">
        <v>7385</v>
      </c>
      <c r="J2451" t="s">
        <v>7386</v>
      </c>
      <c r="K2451" t="s">
        <v>7387</v>
      </c>
    </row>
    <row r="2452" spans="1:11">
      <c r="A2452" t="s">
        <v>7388</v>
      </c>
      <c r="J2452" t="s">
        <v>7389</v>
      </c>
      <c r="K2452" t="s">
        <v>7390</v>
      </c>
    </row>
    <row r="2453" spans="1:11">
      <c r="A2453" t="s">
        <v>7391</v>
      </c>
      <c r="J2453" t="s">
        <v>7392</v>
      </c>
      <c r="K2453" t="s">
        <v>7393</v>
      </c>
    </row>
    <row r="2454" spans="1:11">
      <c r="A2454" t="s">
        <v>7394</v>
      </c>
      <c r="J2454" t="s">
        <v>7395</v>
      </c>
      <c r="K2454" t="s">
        <v>7396</v>
      </c>
    </row>
    <row r="2455" spans="1:11">
      <c r="A2455" t="s">
        <v>7397</v>
      </c>
      <c r="J2455" t="s">
        <v>7398</v>
      </c>
      <c r="K2455" t="s">
        <v>7399</v>
      </c>
    </row>
    <row r="2456" spans="1:11">
      <c r="A2456" t="s">
        <v>7400</v>
      </c>
      <c r="J2456" t="s">
        <v>7401</v>
      </c>
      <c r="K2456" t="s">
        <v>7402</v>
      </c>
    </row>
    <row r="2457" spans="1:11">
      <c r="A2457" t="s">
        <v>7403</v>
      </c>
      <c r="J2457" t="s">
        <v>7404</v>
      </c>
      <c r="K2457" t="s">
        <v>7405</v>
      </c>
    </row>
    <row r="2458" spans="1:11">
      <c r="A2458" t="s">
        <v>7406</v>
      </c>
      <c r="J2458" t="s">
        <v>7407</v>
      </c>
      <c r="K2458" t="s">
        <v>7408</v>
      </c>
    </row>
    <row r="2459" spans="1:11">
      <c r="A2459" t="s">
        <v>7409</v>
      </c>
      <c r="J2459" t="s">
        <v>7410</v>
      </c>
      <c r="K2459" t="s">
        <v>7411</v>
      </c>
    </row>
    <row r="2460" spans="1:11">
      <c r="A2460" t="s">
        <v>7412</v>
      </c>
      <c r="J2460" t="s">
        <v>7413</v>
      </c>
      <c r="K2460" t="s">
        <v>7414</v>
      </c>
    </row>
    <row r="2461" spans="1:11">
      <c r="A2461" t="s">
        <v>7415</v>
      </c>
      <c r="J2461" t="s">
        <v>7416</v>
      </c>
      <c r="K2461" t="s">
        <v>7417</v>
      </c>
    </row>
    <row r="2462" spans="1:11">
      <c r="A2462" t="s">
        <v>7418</v>
      </c>
      <c r="J2462" t="s">
        <v>7419</v>
      </c>
      <c r="K2462" t="s">
        <v>7420</v>
      </c>
    </row>
    <row r="2463" spans="1:11">
      <c r="A2463" t="s">
        <v>7421</v>
      </c>
      <c r="J2463" t="s">
        <v>7422</v>
      </c>
      <c r="K2463" t="s">
        <v>7423</v>
      </c>
    </row>
    <row r="2464" spans="1:11">
      <c r="A2464" t="s">
        <v>7424</v>
      </c>
      <c r="J2464" t="s">
        <v>7425</v>
      </c>
      <c r="K2464" t="s">
        <v>7426</v>
      </c>
    </row>
    <row r="2465" spans="1:11">
      <c r="A2465" t="s">
        <v>7427</v>
      </c>
      <c r="J2465" t="s">
        <v>7428</v>
      </c>
      <c r="K2465" t="s">
        <v>7429</v>
      </c>
    </row>
    <row r="2466" spans="1:11">
      <c r="A2466" t="s">
        <v>7430</v>
      </c>
      <c r="J2466" t="s">
        <v>7431</v>
      </c>
      <c r="K2466" t="s">
        <v>7432</v>
      </c>
    </row>
    <row r="2467" spans="1:11">
      <c r="A2467" t="s">
        <v>7433</v>
      </c>
      <c r="J2467" t="s">
        <v>7434</v>
      </c>
      <c r="K2467" t="s">
        <v>7435</v>
      </c>
    </row>
    <row r="2468" spans="1:11">
      <c r="A2468" t="s">
        <v>7436</v>
      </c>
      <c r="J2468" t="s">
        <v>7437</v>
      </c>
      <c r="K2468" t="s">
        <v>7438</v>
      </c>
    </row>
    <row r="2469" spans="1:11">
      <c r="A2469" t="s">
        <v>7439</v>
      </c>
      <c r="J2469" t="s">
        <v>7440</v>
      </c>
      <c r="K2469" t="s">
        <v>7441</v>
      </c>
    </row>
    <row r="2470" spans="1:11">
      <c r="A2470" t="s">
        <v>7442</v>
      </c>
      <c r="J2470" t="s">
        <v>7443</v>
      </c>
      <c r="K2470" t="s">
        <v>7444</v>
      </c>
    </row>
    <row r="2471" spans="1:11">
      <c r="A2471" t="s">
        <v>7445</v>
      </c>
      <c r="J2471" t="s">
        <v>7446</v>
      </c>
      <c r="K2471" t="s">
        <v>7447</v>
      </c>
    </row>
    <row r="2472" spans="1:11">
      <c r="A2472" t="s">
        <v>7448</v>
      </c>
      <c r="J2472" t="s">
        <v>7449</v>
      </c>
      <c r="K2472" t="s">
        <v>7450</v>
      </c>
    </row>
    <row r="2473" spans="1:11">
      <c r="A2473" t="s">
        <v>7451</v>
      </c>
      <c r="J2473" t="s">
        <v>7452</v>
      </c>
      <c r="K2473" t="s">
        <v>7453</v>
      </c>
    </row>
    <row r="2474" spans="1:11">
      <c r="A2474" t="s">
        <v>7454</v>
      </c>
      <c r="J2474" t="s">
        <v>7455</v>
      </c>
      <c r="K2474" t="s">
        <v>7456</v>
      </c>
    </row>
    <row r="2475" spans="1:11">
      <c r="A2475" t="s">
        <v>7457</v>
      </c>
      <c r="J2475" t="s">
        <v>7458</v>
      </c>
      <c r="K2475" t="s">
        <v>7459</v>
      </c>
    </row>
    <row r="2476" spans="1:11">
      <c r="A2476" t="s">
        <v>7460</v>
      </c>
      <c r="J2476" t="s">
        <v>7461</v>
      </c>
      <c r="K2476" t="s">
        <v>7462</v>
      </c>
    </row>
    <row r="2477" spans="1:11">
      <c r="A2477" t="s">
        <v>7463</v>
      </c>
      <c r="J2477" t="s">
        <v>7464</v>
      </c>
      <c r="K2477" t="s">
        <v>7465</v>
      </c>
    </row>
    <row r="2478" spans="1:11">
      <c r="A2478" t="s">
        <v>7466</v>
      </c>
      <c r="J2478" t="s">
        <v>7467</v>
      </c>
      <c r="K2478" t="s">
        <v>7468</v>
      </c>
    </row>
    <row r="2479" spans="1:11">
      <c r="A2479" t="s">
        <v>7469</v>
      </c>
      <c r="J2479" t="s">
        <v>7470</v>
      </c>
      <c r="K2479" t="s">
        <v>7471</v>
      </c>
    </row>
    <row r="2480" spans="1:11">
      <c r="A2480" t="s">
        <v>7472</v>
      </c>
      <c r="J2480" t="s">
        <v>7473</v>
      </c>
      <c r="K2480" t="s">
        <v>7474</v>
      </c>
    </row>
    <row r="2481" spans="1:11">
      <c r="A2481" t="s">
        <v>7475</v>
      </c>
      <c r="J2481" t="s">
        <v>7476</v>
      </c>
      <c r="K2481" t="s">
        <v>7477</v>
      </c>
    </row>
    <row r="2482" spans="1:11">
      <c r="A2482" t="s">
        <v>7478</v>
      </c>
      <c r="J2482" t="s">
        <v>7479</v>
      </c>
      <c r="K2482" t="s">
        <v>7480</v>
      </c>
    </row>
    <row r="2483" spans="1:11">
      <c r="A2483" t="s">
        <v>7481</v>
      </c>
      <c r="J2483" t="s">
        <v>7482</v>
      </c>
      <c r="K2483" t="s">
        <v>7483</v>
      </c>
    </row>
    <row r="2484" spans="1:11">
      <c r="A2484" t="s">
        <v>7484</v>
      </c>
      <c r="J2484" t="s">
        <v>7485</v>
      </c>
      <c r="K2484" t="s">
        <v>7486</v>
      </c>
    </row>
    <row r="2485" spans="1:11">
      <c r="A2485" t="s">
        <v>7487</v>
      </c>
      <c r="J2485" t="s">
        <v>7488</v>
      </c>
      <c r="K2485" t="s">
        <v>7489</v>
      </c>
    </row>
    <row r="2486" spans="1:11">
      <c r="A2486" t="s">
        <v>7490</v>
      </c>
      <c r="J2486" t="s">
        <v>7491</v>
      </c>
      <c r="K2486" t="s">
        <v>7492</v>
      </c>
    </row>
    <row r="2487" spans="1:11">
      <c r="A2487" t="s">
        <v>7493</v>
      </c>
      <c r="J2487" t="s">
        <v>7494</v>
      </c>
      <c r="K2487" t="s">
        <v>7495</v>
      </c>
    </row>
    <row r="2488" spans="1:11">
      <c r="A2488" t="s">
        <v>7496</v>
      </c>
      <c r="J2488" t="s">
        <v>7497</v>
      </c>
      <c r="K2488" t="s">
        <v>7498</v>
      </c>
    </row>
    <row r="2489" spans="1:11">
      <c r="A2489" t="s">
        <v>7499</v>
      </c>
      <c r="J2489" t="s">
        <v>7500</v>
      </c>
      <c r="K2489" t="s">
        <v>7501</v>
      </c>
    </row>
    <row r="2490" spans="1:11">
      <c r="A2490" t="s">
        <v>7502</v>
      </c>
      <c r="J2490" t="s">
        <v>7503</v>
      </c>
      <c r="K2490" t="s">
        <v>7504</v>
      </c>
    </row>
    <row r="2491" spans="1:11">
      <c r="A2491" t="s">
        <v>7505</v>
      </c>
      <c r="J2491" t="s">
        <v>7506</v>
      </c>
      <c r="K2491" t="s">
        <v>7507</v>
      </c>
    </row>
    <row r="2492" spans="1:11">
      <c r="A2492" t="s">
        <v>7508</v>
      </c>
      <c r="J2492" t="s">
        <v>7509</v>
      </c>
      <c r="K2492" t="s">
        <v>7510</v>
      </c>
    </row>
    <row r="2493" spans="1:11">
      <c r="A2493" t="s">
        <v>7511</v>
      </c>
      <c r="J2493" t="s">
        <v>7512</v>
      </c>
      <c r="K2493" t="s">
        <v>7513</v>
      </c>
    </row>
    <row r="2494" spans="1:11">
      <c r="A2494" t="s">
        <v>7514</v>
      </c>
      <c r="J2494" t="s">
        <v>7515</v>
      </c>
      <c r="K2494" t="s">
        <v>7516</v>
      </c>
    </row>
    <row r="2495" spans="1:11">
      <c r="A2495" t="s">
        <v>7517</v>
      </c>
      <c r="J2495" t="s">
        <v>7518</v>
      </c>
      <c r="K2495" t="s">
        <v>7519</v>
      </c>
    </row>
    <row r="2496" spans="1:11">
      <c r="A2496" t="s">
        <v>7520</v>
      </c>
      <c r="J2496" t="s">
        <v>7521</v>
      </c>
      <c r="K2496" t="s">
        <v>7522</v>
      </c>
    </row>
    <row r="2497" spans="1:11">
      <c r="A2497" t="s">
        <v>7523</v>
      </c>
      <c r="J2497" t="s">
        <v>7524</v>
      </c>
      <c r="K2497" t="s">
        <v>7525</v>
      </c>
    </row>
    <row r="2498" spans="1:11">
      <c r="A2498" t="s">
        <v>7526</v>
      </c>
      <c r="J2498" t="s">
        <v>7527</v>
      </c>
      <c r="K2498" t="s">
        <v>7528</v>
      </c>
    </row>
    <row r="2499" spans="1:11">
      <c r="A2499" t="s">
        <v>7529</v>
      </c>
      <c r="J2499" t="s">
        <v>7530</v>
      </c>
      <c r="K2499" t="s">
        <v>7531</v>
      </c>
    </row>
    <row r="2500" spans="1:11">
      <c r="A2500" t="s">
        <v>7532</v>
      </c>
      <c r="J2500" t="s">
        <v>7533</v>
      </c>
      <c r="K2500" t="s">
        <v>7534</v>
      </c>
    </row>
    <row r="2501" spans="1:11">
      <c r="A2501" t="s">
        <v>7535</v>
      </c>
      <c r="J2501" t="s">
        <v>7536</v>
      </c>
      <c r="K2501" t="s">
        <v>7537</v>
      </c>
    </row>
    <row r="2502" spans="1:11">
      <c r="A2502" t="s">
        <v>7538</v>
      </c>
      <c r="J2502" t="s">
        <v>7539</v>
      </c>
      <c r="K2502" t="s">
        <v>7540</v>
      </c>
    </row>
    <row r="2503" spans="1:11">
      <c r="A2503" t="s">
        <v>7541</v>
      </c>
      <c r="J2503" t="s">
        <v>7542</v>
      </c>
      <c r="K2503" t="s">
        <v>7543</v>
      </c>
    </row>
    <row r="2504" spans="1:11">
      <c r="A2504" t="s">
        <v>7544</v>
      </c>
      <c r="J2504" t="s">
        <v>7545</v>
      </c>
      <c r="K2504" t="s">
        <v>7546</v>
      </c>
    </row>
    <row r="2505" spans="1:11">
      <c r="A2505" t="s">
        <v>7547</v>
      </c>
      <c r="J2505" t="s">
        <v>7548</v>
      </c>
      <c r="K2505" t="s">
        <v>7549</v>
      </c>
    </row>
    <row r="2506" spans="1:11">
      <c r="A2506" t="s">
        <v>7550</v>
      </c>
      <c r="J2506" t="s">
        <v>7551</v>
      </c>
      <c r="K2506" t="s">
        <v>7552</v>
      </c>
    </row>
    <row r="2507" spans="1:11">
      <c r="A2507" t="s">
        <v>7553</v>
      </c>
      <c r="J2507" t="s">
        <v>7554</v>
      </c>
      <c r="K2507" t="s">
        <v>7555</v>
      </c>
    </row>
    <row r="2508" spans="1:11">
      <c r="A2508" t="s">
        <v>7556</v>
      </c>
      <c r="J2508" t="s">
        <v>7557</v>
      </c>
      <c r="K2508" t="s">
        <v>7558</v>
      </c>
    </row>
    <row r="2509" spans="1:11">
      <c r="A2509" t="s">
        <v>7559</v>
      </c>
      <c r="J2509" t="s">
        <v>7560</v>
      </c>
      <c r="K2509" t="s">
        <v>7561</v>
      </c>
    </row>
    <row r="2510" spans="1:11">
      <c r="A2510" t="s">
        <v>7562</v>
      </c>
      <c r="J2510" t="s">
        <v>7563</v>
      </c>
      <c r="K2510" t="s">
        <v>7564</v>
      </c>
    </row>
    <row r="2511" spans="1:11">
      <c r="A2511" t="s">
        <v>7565</v>
      </c>
      <c r="J2511" t="s">
        <v>7566</v>
      </c>
      <c r="K2511" t="s">
        <v>7567</v>
      </c>
    </row>
    <row r="2512" spans="1:11">
      <c r="A2512" t="s">
        <v>7568</v>
      </c>
      <c r="J2512" t="s">
        <v>7569</v>
      </c>
      <c r="K2512" t="s">
        <v>7570</v>
      </c>
    </row>
    <row r="2513" spans="1:11">
      <c r="A2513" t="s">
        <v>7571</v>
      </c>
      <c r="J2513" t="s">
        <v>7572</v>
      </c>
      <c r="K2513" t="s">
        <v>7573</v>
      </c>
    </row>
    <row r="2514" spans="1:11">
      <c r="A2514" t="s">
        <v>7574</v>
      </c>
      <c r="J2514" t="s">
        <v>7575</v>
      </c>
      <c r="K2514" t="s">
        <v>7576</v>
      </c>
    </row>
    <row r="2515" spans="1:11">
      <c r="A2515" t="s">
        <v>7577</v>
      </c>
      <c r="J2515" t="s">
        <v>7578</v>
      </c>
      <c r="K2515" t="s">
        <v>7579</v>
      </c>
    </row>
    <row r="2516" spans="1:11">
      <c r="A2516" t="s">
        <v>7580</v>
      </c>
      <c r="J2516" t="s">
        <v>7581</v>
      </c>
      <c r="K2516" t="s">
        <v>7582</v>
      </c>
    </row>
    <row r="2517" spans="1:11">
      <c r="A2517" t="s">
        <v>7583</v>
      </c>
      <c r="J2517" t="s">
        <v>7584</v>
      </c>
      <c r="K2517" t="s">
        <v>7585</v>
      </c>
    </row>
    <row r="2518" spans="1:11">
      <c r="A2518" t="s">
        <v>7586</v>
      </c>
      <c r="J2518" t="s">
        <v>7587</v>
      </c>
      <c r="K2518" t="s">
        <v>7588</v>
      </c>
    </row>
    <row r="2519" spans="1:11">
      <c r="A2519" t="s">
        <v>7589</v>
      </c>
      <c r="J2519" t="s">
        <v>7590</v>
      </c>
      <c r="K2519" t="s">
        <v>7591</v>
      </c>
    </row>
    <row r="2520" spans="1:11">
      <c r="A2520" t="s">
        <v>7592</v>
      </c>
      <c r="J2520" t="s">
        <v>7593</v>
      </c>
      <c r="K2520" t="s">
        <v>7594</v>
      </c>
    </row>
    <row r="2521" spans="1:11">
      <c r="A2521" t="s">
        <v>7595</v>
      </c>
      <c r="J2521" t="s">
        <v>7596</v>
      </c>
      <c r="K2521" t="s">
        <v>7597</v>
      </c>
    </row>
    <row r="2522" spans="1:11">
      <c r="A2522" t="s">
        <v>7598</v>
      </c>
      <c r="J2522" t="s">
        <v>7599</v>
      </c>
      <c r="K2522" t="s">
        <v>7600</v>
      </c>
    </row>
    <row r="2523" spans="1:11">
      <c r="A2523" t="s">
        <v>7601</v>
      </c>
      <c r="J2523" t="s">
        <v>7602</v>
      </c>
      <c r="K2523" t="s">
        <v>7603</v>
      </c>
    </row>
    <row r="2524" spans="1:11">
      <c r="A2524" t="s">
        <v>7604</v>
      </c>
      <c r="J2524" t="s">
        <v>7605</v>
      </c>
      <c r="K2524" t="s">
        <v>7606</v>
      </c>
    </row>
    <row r="2525" spans="1:11">
      <c r="A2525" t="s">
        <v>7607</v>
      </c>
      <c r="J2525" t="s">
        <v>7608</v>
      </c>
      <c r="K2525" t="s">
        <v>7609</v>
      </c>
    </row>
    <row r="2526" spans="1:11">
      <c r="A2526" t="s">
        <v>7610</v>
      </c>
      <c r="J2526" t="s">
        <v>7611</v>
      </c>
      <c r="K2526" t="s">
        <v>7612</v>
      </c>
    </row>
    <row r="2527" spans="1:11">
      <c r="A2527" t="s">
        <v>7613</v>
      </c>
      <c r="J2527" t="s">
        <v>7614</v>
      </c>
      <c r="K2527" t="s">
        <v>7615</v>
      </c>
    </row>
    <row r="2528" spans="1:11">
      <c r="A2528" t="s">
        <v>7616</v>
      </c>
      <c r="J2528" t="s">
        <v>7617</v>
      </c>
      <c r="K2528" t="s">
        <v>7618</v>
      </c>
    </row>
    <row r="2529" spans="1:11">
      <c r="A2529" t="s">
        <v>7619</v>
      </c>
      <c r="J2529" t="s">
        <v>7620</v>
      </c>
      <c r="K2529" t="s">
        <v>7621</v>
      </c>
    </row>
    <row r="2530" spans="1:11">
      <c r="A2530" t="s">
        <v>7622</v>
      </c>
      <c r="J2530" t="s">
        <v>7623</v>
      </c>
      <c r="K2530" t="s">
        <v>7624</v>
      </c>
    </row>
    <row r="2531" spans="1:11">
      <c r="A2531" t="s">
        <v>7625</v>
      </c>
      <c r="J2531" t="s">
        <v>7626</v>
      </c>
      <c r="K2531" t="s">
        <v>7627</v>
      </c>
    </row>
    <row r="2532" spans="1:11">
      <c r="A2532" t="s">
        <v>7628</v>
      </c>
      <c r="J2532" t="s">
        <v>7629</v>
      </c>
      <c r="K2532" t="s">
        <v>7630</v>
      </c>
    </row>
    <row r="2533" spans="1:11">
      <c r="A2533" t="s">
        <v>7631</v>
      </c>
      <c r="J2533" t="s">
        <v>7632</v>
      </c>
      <c r="K2533" t="s">
        <v>7633</v>
      </c>
    </row>
    <row r="2534" spans="1:11">
      <c r="A2534" t="s">
        <v>7634</v>
      </c>
      <c r="J2534" t="s">
        <v>7635</v>
      </c>
      <c r="K2534" t="s">
        <v>7636</v>
      </c>
    </row>
    <row r="2535" spans="1:11">
      <c r="A2535" t="s">
        <v>7637</v>
      </c>
      <c r="J2535" t="s">
        <v>7638</v>
      </c>
      <c r="K2535" t="s">
        <v>7639</v>
      </c>
    </row>
    <row r="2536" spans="1:11">
      <c r="A2536" t="s">
        <v>7640</v>
      </c>
      <c r="J2536" t="s">
        <v>7641</v>
      </c>
      <c r="K2536" t="s">
        <v>7642</v>
      </c>
    </row>
    <row r="2537" spans="1:11">
      <c r="A2537" t="s">
        <v>7643</v>
      </c>
      <c r="J2537" t="s">
        <v>7644</v>
      </c>
      <c r="K2537" t="s">
        <v>7645</v>
      </c>
    </row>
    <row r="2538" spans="1:11">
      <c r="A2538" t="s">
        <v>7646</v>
      </c>
      <c r="J2538" t="s">
        <v>7647</v>
      </c>
      <c r="K2538" t="s">
        <v>7648</v>
      </c>
    </row>
    <row r="2539" spans="1:11">
      <c r="A2539" t="s">
        <v>7649</v>
      </c>
      <c r="J2539" t="s">
        <v>7650</v>
      </c>
      <c r="K2539" t="s">
        <v>7651</v>
      </c>
    </row>
    <row r="2540" spans="1:11">
      <c r="A2540" t="s">
        <v>7652</v>
      </c>
      <c r="J2540" t="s">
        <v>7653</v>
      </c>
      <c r="K2540" t="s">
        <v>7654</v>
      </c>
    </row>
    <row r="2541" spans="1:11">
      <c r="A2541" t="s">
        <v>7655</v>
      </c>
      <c r="J2541" t="s">
        <v>7656</v>
      </c>
      <c r="K2541" t="s">
        <v>7657</v>
      </c>
    </row>
    <row r="2542" spans="1:11">
      <c r="A2542" t="s">
        <v>7658</v>
      </c>
      <c r="J2542" t="s">
        <v>7659</v>
      </c>
      <c r="K2542" t="s">
        <v>7660</v>
      </c>
    </row>
    <row r="2543" spans="1:11">
      <c r="A2543" t="s">
        <v>7661</v>
      </c>
      <c r="J2543" t="s">
        <v>7662</v>
      </c>
      <c r="K2543" t="s">
        <v>7663</v>
      </c>
    </row>
    <row r="2544" spans="1:11">
      <c r="A2544" t="s">
        <v>7664</v>
      </c>
      <c r="J2544" t="s">
        <v>7665</v>
      </c>
      <c r="K2544" t="s">
        <v>7666</v>
      </c>
    </row>
    <row r="2545" spans="1:11">
      <c r="A2545" t="s">
        <v>7667</v>
      </c>
      <c r="J2545" t="s">
        <v>7668</v>
      </c>
      <c r="K2545" t="s">
        <v>7669</v>
      </c>
    </row>
    <row r="2546" spans="1:11">
      <c r="A2546" t="s">
        <v>7670</v>
      </c>
      <c r="J2546" t="s">
        <v>7671</v>
      </c>
      <c r="K2546" t="s">
        <v>7672</v>
      </c>
    </row>
    <row r="2547" spans="1:11">
      <c r="A2547" t="s">
        <v>7673</v>
      </c>
      <c r="J2547" t="s">
        <v>7674</v>
      </c>
      <c r="K2547" t="s">
        <v>7675</v>
      </c>
    </row>
    <row r="2548" spans="1:11">
      <c r="A2548" t="s">
        <v>7676</v>
      </c>
      <c r="J2548" t="s">
        <v>7677</v>
      </c>
      <c r="K2548" t="s">
        <v>7678</v>
      </c>
    </row>
    <row r="2549" spans="1:11">
      <c r="A2549" t="s">
        <v>7679</v>
      </c>
      <c r="J2549" t="s">
        <v>7680</v>
      </c>
      <c r="K2549" t="s">
        <v>7681</v>
      </c>
    </row>
    <row r="2550" spans="1:11">
      <c r="A2550" t="s">
        <v>7682</v>
      </c>
      <c r="J2550" t="s">
        <v>7683</v>
      </c>
      <c r="K2550" t="s">
        <v>7684</v>
      </c>
    </row>
    <row r="2551" spans="1:11">
      <c r="A2551" t="s">
        <v>7685</v>
      </c>
      <c r="J2551" t="s">
        <v>7686</v>
      </c>
      <c r="K2551" t="s">
        <v>7687</v>
      </c>
    </row>
    <row r="2552" spans="1:11">
      <c r="A2552" t="s">
        <v>7688</v>
      </c>
      <c r="J2552" t="s">
        <v>7689</v>
      </c>
      <c r="K2552" t="s">
        <v>7690</v>
      </c>
    </row>
    <row r="2553" spans="1:11">
      <c r="A2553" t="s">
        <v>7691</v>
      </c>
      <c r="J2553" t="s">
        <v>7692</v>
      </c>
      <c r="K2553" t="s">
        <v>7693</v>
      </c>
    </row>
    <row r="2554" spans="1:11">
      <c r="A2554" t="s">
        <v>7694</v>
      </c>
      <c r="J2554" t="s">
        <v>7695</v>
      </c>
      <c r="K2554" t="s">
        <v>7696</v>
      </c>
    </row>
    <row r="2555" spans="1:11">
      <c r="A2555" t="s">
        <v>7697</v>
      </c>
      <c r="J2555" t="s">
        <v>7698</v>
      </c>
      <c r="K2555" t="s">
        <v>7699</v>
      </c>
    </row>
    <row r="2556" spans="1:11">
      <c r="A2556" t="s">
        <v>7700</v>
      </c>
      <c r="J2556" t="s">
        <v>7701</v>
      </c>
      <c r="K2556" t="s">
        <v>7702</v>
      </c>
    </row>
    <row r="2557" spans="1:11">
      <c r="A2557" t="s">
        <v>7703</v>
      </c>
      <c r="J2557" t="s">
        <v>7704</v>
      </c>
      <c r="K2557" t="s">
        <v>7705</v>
      </c>
    </row>
    <row r="2558" spans="1:11">
      <c r="A2558" t="s">
        <v>7706</v>
      </c>
      <c r="J2558" t="s">
        <v>7707</v>
      </c>
      <c r="K2558" t="s">
        <v>7708</v>
      </c>
    </row>
    <row r="2559" spans="1:11">
      <c r="A2559" t="s">
        <v>7709</v>
      </c>
      <c r="J2559" t="s">
        <v>7710</v>
      </c>
      <c r="K2559" t="s">
        <v>7711</v>
      </c>
    </row>
    <row r="2560" spans="1:11">
      <c r="A2560" t="s">
        <v>7712</v>
      </c>
      <c r="J2560" t="s">
        <v>7713</v>
      </c>
      <c r="K2560" t="s">
        <v>7714</v>
      </c>
    </row>
    <row r="2561" spans="1:11">
      <c r="A2561" t="s">
        <v>7715</v>
      </c>
      <c r="J2561" t="s">
        <v>7716</v>
      </c>
      <c r="K2561" t="s">
        <v>7717</v>
      </c>
    </row>
    <row r="2562" spans="1:11">
      <c r="A2562" t="s">
        <v>7718</v>
      </c>
      <c r="J2562" t="s">
        <v>7719</v>
      </c>
      <c r="K2562" t="s">
        <v>7720</v>
      </c>
    </row>
    <row r="2563" spans="1:11">
      <c r="A2563" t="s">
        <v>7721</v>
      </c>
      <c r="J2563" t="s">
        <v>7722</v>
      </c>
      <c r="K2563" t="s">
        <v>7723</v>
      </c>
    </row>
    <row r="2564" spans="1:11">
      <c r="A2564" t="s">
        <v>7724</v>
      </c>
      <c r="J2564" t="s">
        <v>7725</v>
      </c>
      <c r="K2564" t="s">
        <v>7726</v>
      </c>
    </row>
    <row r="2565" spans="1:11">
      <c r="A2565" t="s">
        <v>7727</v>
      </c>
      <c r="J2565" t="s">
        <v>7728</v>
      </c>
      <c r="K2565" t="s">
        <v>7729</v>
      </c>
    </row>
    <row r="2566" spans="1:11">
      <c r="A2566" t="s">
        <v>7730</v>
      </c>
      <c r="J2566" t="s">
        <v>7731</v>
      </c>
      <c r="K2566" t="s">
        <v>7732</v>
      </c>
    </row>
    <row r="2567" spans="1:11">
      <c r="A2567" t="s">
        <v>7733</v>
      </c>
      <c r="J2567" t="s">
        <v>7734</v>
      </c>
      <c r="K2567" t="s">
        <v>7735</v>
      </c>
    </row>
    <row r="2568" spans="1:11">
      <c r="A2568" t="s">
        <v>7736</v>
      </c>
      <c r="J2568" t="s">
        <v>7737</v>
      </c>
      <c r="K2568" t="s">
        <v>7738</v>
      </c>
    </row>
    <row r="2569" spans="1:11">
      <c r="A2569" t="s">
        <v>7739</v>
      </c>
      <c r="J2569" t="s">
        <v>7740</v>
      </c>
      <c r="K2569" t="s">
        <v>7741</v>
      </c>
    </row>
    <row r="2570" spans="1:11">
      <c r="A2570" t="s">
        <v>7742</v>
      </c>
      <c r="J2570" t="s">
        <v>7743</v>
      </c>
      <c r="K2570" t="s">
        <v>7744</v>
      </c>
    </row>
    <row r="2571" spans="1:11">
      <c r="A2571" t="s">
        <v>7745</v>
      </c>
      <c r="J2571" t="s">
        <v>7746</v>
      </c>
      <c r="K2571" t="s">
        <v>7747</v>
      </c>
    </row>
    <row r="2572" spans="1:11">
      <c r="A2572" t="s">
        <v>7748</v>
      </c>
      <c r="J2572" t="s">
        <v>7749</v>
      </c>
      <c r="K2572" t="s">
        <v>7750</v>
      </c>
    </row>
    <row r="2573" spans="1:11">
      <c r="A2573" t="s">
        <v>7751</v>
      </c>
      <c r="J2573" t="s">
        <v>7752</v>
      </c>
      <c r="K2573" t="s">
        <v>7753</v>
      </c>
    </row>
    <row r="2574" spans="1:11">
      <c r="A2574" t="s">
        <v>7754</v>
      </c>
      <c r="J2574" t="s">
        <v>7755</v>
      </c>
      <c r="K2574" t="s">
        <v>7756</v>
      </c>
    </row>
    <row r="2575" spans="1:11">
      <c r="A2575" t="s">
        <v>7757</v>
      </c>
      <c r="J2575" t="s">
        <v>7758</v>
      </c>
      <c r="K2575" t="s">
        <v>7759</v>
      </c>
    </row>
    <row r="2576" spans="1:11">
      <c r="A2576" t="s">
        <v>7760</v>
      </c>
      <c r="J2576" t="s">
        <v>7761</v>
      </c>
      <c r="K2576" t="s">
        <v>7762</v>
      </c>
    </row>
    <row r="2577" spans="1:11">
      <c r="A2577" t="s">
        <v>7763</v>
      </c>
      <c r="J2577" t="s">
        <v>7764</v>
      </c>
      <c r="K2577" t="s">
        <v>7765</v>
      </c>
    </row>
    <row r="2578" spans="1:11">
      <c r="A2578" t="s">
        <v>7766</v>
      </c>
      <c r="J2578" t="s">
        <v>7767</v>
      </c>
      <c r="K2578" t="s">
        <v>7768</v>
      </c>
    </row>
    <row r="2579" spans="1:11">
      <c r="A2579" t="s">
        <v>7769</v>
      </c>
      <c r="J2579" t="s">
        <v>7770</v>
      </c>
      <c r="K2579" t="s">
        <v>7771</v>
      </c>
    </row>
    <row r="2580" spans="1:11">
      <c r="A2580" t="s">
        <v>7772</v>
      </c>
      <c r="J2580" t="s">
        <v>7773</v>
      </c>
      <c r="K2580" t="s">
        <v>7774</v>
      </c>
    </row>
    <row r="2581" spans="1:11">
      <c r="A2581" t="s">
        <v>7775</v>
      </c>
      <c r="J2581" t="s">
        <v>7776</v>
      </c>
      <c r="K2581" t="s">
        <v>7777</v>
      </c>
    </row>
    <row r="2582" spans="1:11">
      <c r="A2582" t="s">
        <v>7778</v>
      </c>
      <c r="J2582" t="s">
        <v>7779</v>
      </c>
      <c r="K2582" t="s">
        <v>7780</v>
      </c>
    </row>
    <row r="2583" spans="1:11">
      <c r="A2583" t="s">
        <v>7781</v>
      </c>
      <c r="J2583" t="s">
        <v>7782</v>
      </c>
      <c r="K2583" t="s">
        <v>7783</v>
      </c>
    </row>
    <row r="2584" spans="1:11">
      <c r="A2584" t="s">
        <v>7784</v>
      </c>
      <c r="J2584" t="s">
        <v>7785</v>
      </c>
      <c r="K2584" t="s">
        <v>7786</v>
      </c>
    </row>
    <row r="2585" spans="1:11">
      <c r="A2585" t="s">
        <v>7787</v>
      </c>
      <c r="J2585" t="s">
        <v>7788</v>
      </c>
      <c r="K2585" t="s">
        <v>7789</v>
      </c>
    </row>
    <row r="2586" spans="1:11">
      <c r="A2586" t="s">
        <v>7790</v>
      </c>
      <c r="J2586" t="s">
        <v>7791</v>
      </c>
      <c r="K2586" t="s">
        <v>7792</v>
      </c>
    </row>
    <row r="2587" spans="1:11">
      <c r="A2587" t="s">
        <v>7793</v>
      </c>
      <c r="J2587" t="s">
        <v>7794</v>
      </c>
      <c r="K2587" t="s">
        <v>7795</v>
      </c>
    </row>
    <row r="2588" spans="1:11">
      <c r="A2588" t="s">
        <v>7796</v>
      </c>
      <c r="J2588" t="s">
        <v>7797</v>
      </c>
      <c r="K2588" t="s">
        <v>7798</v>
      </c>
    </row>
    <row r="2589" spans="1:11">
      <c r="A2589" t="s">
        <v>7799</v>
      </c>
      <c r="J2589" t="s">
        <v>7800</v>
      </c>
      <c r="K2589" t="s">
        <v>7801</v>
      </c>
    </row>
    <row r="2590" spans="1:11">
      <c r="A2590" t="s">
        <v>7802</v>
      </c>
      <c r="J2590" t="s">
        <v>7803</v>
      </c>
      <c r="K2590" t="s">
        <v>7804</v>
      </c>
    </row>
    <row r="2591" spans="1:11">
      <c r="A2591" t="s">
        <v>7805</v>
      </c>
      <c r="J2591" t="s">
        <v>7806</v>
      </c>
      <c r="K2591" t="s">
        <v>7807</v>
      </c>
    </row>
    <row r="2592" spans="1:11">
      <c r="A2592" t="s">
        <v>7808</v>
      </c>
      <c r="J2592" t="s">
        <v>7809</v>
      </c>
      <c r="K2592" t="s">
        <v>7810</v>
      </c>
    </row>
    <row r="2593" spans="1:11">
      <c r="A2593" t="s">
        <v>7811</v>
      </c>
      <c r="J2593" t="s">
        <v>7812</v>
      </c>
      <c r="K2593" t="s">
        <v>7813</v>
      </c>
    </row>
    <row r="2594" spans="1:11">
      <c r="A2594" t="s">
        <v>7814</v>
      </c>
      <c r="J2594" t="s">
        <v>7815</v>
      </c>
      <c r="K2594" t="s">
        <v>7816</v>
      </c>
    </row>
    <row r="2595" spans="1:11">
      <c r="A2595" t="s">
        <v>7817</v>
      </c>
      <c r="J2595" t="s">
        <v>7818</v>
      </c>
      <c r="K2595" t="s">
        <v>7819</v>
      </c>
    </row>
    <row r="2596" spans="1:11">
      <c r="A2596" t="s">
        <v>7820</v>
      </c>
      <c r="J2596" t="s">
        <v>7821</v>
      </c>
      <c r="K2596" t="s">
        <v>7822</v>
      </c>
    </row>
    <row r="2597" spans="1:11">
      <c r="A2597" t="s">
        <v>7823</v>
      </c>
      <c r="J2597" t="s">
        <v>7824</v>
      </c>
      <c r="K2597" t="s">
        <v>7825</v>
      </c>
    </row>
    <row r="2598" spans="1:11">
      <c r="A2598" t="s">
        <v>7826</v>
      </c>
      <c r="J2598" t="s">
        <v>7827</v>
      </c>
      <c r="K2598" t="s">
        <v>7828</v>
      </c>
    </row>
    <row r="2599" spans="1:11">
      <c r="A2599" t="s">
        <v>7829</v>
      </c>
      <c r="J2599" t="s">
        <v>7830</v>
      </c>
      <c r="K2599" t="s">
        <v>7831</v>
      </c>
    </row>
    <row r="2600" spans="1:11">
      <c r="A2600" t="s">
        <v>7832</v>
      </c>
      <c r="J2600" t="s">
        <v>7833</v>
      </c>
      <c r="K2600" t="s">
        <v>7834</v>
      </c>
    </row>
    <row r="2601" spans="1:11">
      <c r="A2601" t="s">
        <v>7835</v>
      </c>
      <c r="J2601" t="s">
        <v>7836</v>
      </c>
      <c r="K2601" t="s">
        <v>7837</v>
      </c>
    </row>
    <row r="2602" spans="1:11">
      <c r="A2602" t="s">
        <v>7838</v>
      </c>
      <c r="J2602" t="s">
        <v>7839</v>
      </c>
      <c r="K2602" t="s">
        <v>7840</v>
      </c>
    </row>
    <row r="2603" spans="1:11">
      <c r="A2603" t="s">
        <v>7841</v>
      </c>
      <c r="J2603" t="s">
        <v>7842</v>
      </c>
      <c r="K2603" t="s">
        <v>7843</v>
      </c>
    </row>
    <row r="2604" spans="1:11">
      <c r="A2604" t="s">
        <v>7844</v>
      </c>
      <c r="J2604" t="s">
        <v>7845</v>
      </c>
      <c r="K2604" t="s">
        <v>7846</v>
      </c>
    </row>
    <row r="2605" spans="1:11">
      <c r="A2605" t="s">
        <v>7847</v>
      </c>
      <c r="J2605" t="s">
        <v>7848</v>
      </c>
      <c r="K2605" t="s">
        <v>7849</v>
      </c>
    </row>
    <row r="2606" spans="1:11">
      <c r="A2606" t="s">
        <v>7850</v>
      </c>
      <c r="J2606" t="s">
        <v>7851</v>
      </c>
      <c r="K2606" t="s">
        <v>7852</v>
      </c>
    </row>
    <row r="2607" spans="1:11">
      <c r="A2607" t="s">
        <v>7853</v>
      </c>
      <c r="J2607" t="s">
        <v>7854</v>
      </c>
      <c r="K2607" t="s">
        <v>7855</v>
      </c>
    </row>
    <row r="2608" spans="1:11">
      <c r="A2608" t="s">
        <v>7856</v>
      </c>
      <c r="J2608" t="s">
        <v>7857</v>
      </c>
      <c r="K2608" t="s">
        <v>7858</v>
      </c>
    </row>
    <row r="2609" spans="1:11">
      <c r="A2609" t="s">
        <v>7859</v>
      </c>
      <c r="J2609" t="s">
        <v>7860</v>
      </c>
      <c r="K2609" t="s">
        <v>7861</v>
      </c>
    </row>
    <row r="2610" spans="1:11">
      <c r="A2610" t="s">
        <v>7862</v>
      </c>
      <c r="J2610" t="s">
        <v>7863</v>
      </c>
      <c r="K2610" t="s">
        <v>7864</v>
      </c>
    </row>
    <row r="2611" spans="1:11">
      <c r="A2611" t="s">
        <v>7865</v>
      </c>
      <c r="J2611" t="s">
        <v>7866</v>
      </c>
      <c r="K2611" t="s">
        <v>7867</v>
      </c>
    </row>
    <row r="2612" spans="1:11">
      <c r="A2612" t="s">
        <v>7868</v>
      </c>
      <c r="J2612" t="s">
        <v>7869</v>
      </c>
      <c r="K2612" t="s">
        <v>7870</v>
      </c>
    </row>
    <row r="2613" spans="1:11">
      <c r="A2613" t="s">
        <v>7871</v>
      </c>
      <c r="J2613" t="s">
        <v>7872</v>
      </c>
      <c r="K2613" t="s">
        <v>7873</v>
      </c>
    </row>
    <row r="2614" spans="1:11">
      <c r="A2614" t="s">
        <v>7874</v>
      </c>
      <c r="J2614" t="s">
        <v>7875</v>
      </c>
      <c r="K2614" t="s">
        <v>7876</v>
      </c>
    </row>
    <row r="2615" spans="1:11">
      <c r="A2615" t="s">
        <v>7877</v>
      </c>
      <c r="J2615" t="s">
        <v>7878</v>
      </c>
      <c r="K2615" t="s">
        <v>7879</v>
      </c>
    </row>
    <row r="2616" spans="1:11">
      <c r="A2616" t="s">
        <v>7880</v>
      </c>
      <c r="J2616" t="s">
        <v>7881</v>
      </c>
      <c r="K2616" t="s">
        <v>7882</v>
      </c>
    </row>
    <row r="2617" spans="1:11">
      <c r="A2617" t="s">
        <v>7883</v>
      </c>
      <c r="J2617" t="s">
        <v>7884</v>
      </c>
      <c r="K2617" t="s">
        <v>7885</v>
      </c>
    </row>
    <row r="2618" spans="1:11">
      <c r="A2618" t="s">
        <v>7886</v>
      </c>
      <c r="J2618" t="s">
        <v>7887</v>
      </c>
      <c r="K2618" t="s">
        <v>7888</v>
      </c>
    </row>
    <row r="2619" spans="1:11">
      <c r="A2619" t="s">
        <v>7889</v>
      </c>
      <c r="J2619" t="s">
        <v>7890</v>
      </c>
      <c r="K2619" t="s">
        <v>7891</v>
      </c>
    </row>
    <row r="2620" spans="1:11">
      <c r="A2620" t="s">
        <v>7892</v>
      </c>
      <c r="J2620" t="s">
        <v>7893</v>
      </c>
      <c r="K2620" t="s">
        <v>7894</v>
      </c>
    </row>
    <row r="2621" spans="1:11">
      <c r="A2621" t="s">
        <v>7895</v>
      </c>
      <c r="J2621" t="s">
        <v>7896</v>
      </c>
      <c r="K2621" t="s">
        <v>7897</v>
      </c>
    </row>
    <row r="2622" spans="1:11">
      <c r="A2622" t="s">
        <v>7898</v>
      </c>
      <c r="J2622" t="s">
        <v>7899</v>
      </c>
      <c r="K2622" t="s">
        <v>7900</v>
      </c>
    </row>
    <row r="2623" spans="1:11">
      <c r="A2623" t="s">
        <v>7901</v>
      </c>
      <c r="J2623" t="s">
        <v>7902</v>
      </c>
      <c r="K2623" t="s">
        <v>7903</v>
      </c>
    </row>
    <row r="2624" spans="1:11">
      <c r="A2624" t="s">
        <v>7904</v>
      </c>
      <c r="J2624" t="s">
        <v>7905</v>
      </c>
      <c r="K2624" t="s">
        <v>7906</v>
      </c>
    </row>
    <row r="2625" spans="1:11">
      <c r="A2625" t="s">
        <v>7907</v>
      </c>
      <c r="J2625" t="s">
        <v>7908</v>
      </c>
      <c r="K2625" t="s">
        <v>7909</v>
      </c>
    </row>
    <row r="2626" spans="1:11">
      <c r="A2626" t="s">
        <v>7910</v>
      </c>
      <c r="J2626" t="s">
        <v>7911</v>
      </c>
      <c r="K2626" t="s">
        <v>7912</v>
      </c>
    </row>
    <row r="2627" spans="1:11">
      <c r="A2627" t="s">
        <v>7913</v>
      </c>
      <c r="J2627" t="s">
        <v>7914</v>
      </c>
      <c r="K2627" t="s">
        <v>7915</v>
      </c>
    </row>
    <row r="2628" spans="1:11">
      <c r="A2628" t="s">
        <v>7916</v>
      </c>
      <c r="J2628" t="s">
        <v>7917</v>
      </c>
      <c r="K2628" t="s">
        <v>7918</v>
      </c>
    </row>
    <row r="2629" spans="1:11">
      <c r="A2629" t="s">
        <v>7919</v>
      </c>
      <c r="J2629" t="s">
        <v>7920</v>
      </c>
      <c r="K2629" t="s">
        <v>7921</v>
      </c>
    </row>
    <row r="2630" spans="1:11">
      <c r="A2630" t="s">
        <v>7922</v>
      </c>
      <c r="J2630" t="s">
        <v>7923</v>
      </c>
      <c r="K2630" t="s">
        <v>7924</v>
      </c>
    </row>
    <row r="2631" spans="1:11">
      <c r="A2631" t="s">
        <v>7925</v>
      </c>
      <c r="J2631" t="s">
        <v>7926</v>
      </c>
      <c r="K2631" t="s">
        <v>7927</v>
      </c>
    </row>
    <row r="2632" spans="1:11">
      <c r="A2632" t="s">
        <v>7928</v>
      </c>
      <c r="J2632" t="s">
        <v>7929</v>
      </c>
      <c r="K2632" t="s">
        <v>7930</v>
      </c>
    </row>
    <row r="2633" spans="1:11">
      <c r="A2633" t="s">
        <v>7931</v>
      </c>
      <c r="J2633" t="s">
        <v>7932</v>
      </c>
      <c r="K2633" t="s">
        <v>7933</v>
      </c>
    </row>
    <row r="2634" spans="1:11">
      <c r="A2634" t="s">
        <v>7934</v>
      </c>
      <c r="J2634" t="s">
        <v>7935</v>
      </c>
      <c r="K2634" t="s">
        <v>7936</v>
      </c>
    </row>
    <row r="2635" spans="1:11">
      <c r="A2635" t="s">
        <v>7937</v>
      </c>
      <c r="J2635" t="s">
        <v>7938</v>
      </c>
      <c r="K2635" t="s">
        <v>7939</v>
      </c>
    </row>
    <row r="2636" spans="1:11">
      <c r="A2636" t="s">
        <v>7940</v>
      </c>
      <c r="J2636" t="s">
        <v>7941</v>
      </c>
      <c r="K2636" t="s">
        <v>7942</v>
      </c>
    </row>
    <row r="2637" spans="1:11">
      <c r="A2637" t="s">
        <v>7943</v>
      </c>
      <c r="J2637" t="s">
        <v>7944</v>
      </c>
      <c r="K2637" t="s">
        <v>7945</v>
      </c>
    </row>
    <row r="2638" spans="1:11">
      <c r="A2638" t="s">
        <v>7946</v>
      </c>
      <c r="J2638" t="s">
        <v>7947</v>
      </c>
      <c r="K2638" t="s">
        <v>7948</v>
      </c>
    </row>
    <row r="2639" spans="1:11">
      <c r="A2639" t="s">
        <v>7949</v>
      </c>
      <c r="J2639" t="s">
        <v>7950</v>
      </c>
      <c r="K2639" t="s">
        <v>7951</v>
      </c>
    </row>
    <row r="2640" spans="1:11">
      <c r="A2640" t="s">
        <v>7952</v>
      </c>
      <c r="J2640" t="s">
        <v>7953</v>
      </c>
      <c r="K2640" t="s">
        <v>7954</v>
      </c>
    </row>
    <row r="2641" spans="1:11">
      <c r="A2641" t="s">
        <v>7955</v>
      </c>
      <c r="J2641" t="s">
        <v>7956</v>
      </c>
      <c r="K2641" t="s">
        <v>7957</v>
      </c>
    </row>
    <row r="2642" spans="1:11">
      <c r="A2642" t="s">
        <v>7958</v>
      </c>
      <c r="J2642" t="s">
        <v>7959</v>
      </c>
      <c r="K2642" t="s">
        <v>7960</v>
      </c>
    </row>
    <row r="2643" spans="1:11">
      <c r="A2643" t="s">
        <v>7961</v>
      </c>
      <c r="J2643" t="s">
        <v>7962</v>
      </c>
      <c r="K2643" t="s">
        <v>7963</v>
      </c>
    </row>
    <row r="2644" spans="1:11">
      <c r="A2644" t="s">
        <v>7964</v>
      </c>
      <c r="J2644" t="s">
        <v>7965</v>
      </c>
      <c r="K2644" t="s">
        <v>7966</v>
      </c>
    </row>
    <row r="2645" spans="1:11">
      <c r="A2645" t="s">
        <v>7967</v>
      </c>
      <c r="J2645" t="s">
        <v>7968</v>
      </c>
      <c r="K2645" t="s">
        <v>7969</v>
      </c>
    </row>
    <row r="2646" spans="1:11">
      <c r="A2646" t="s">
        <v>7970</v>
      </c>
      <c r="J2646" t="s">
        <v>7971</v>
      </c>
      <c r="K2646" t="s">
        <v>7972</v>
      </c>
    </row>
    <row r="2647" spans="1:11">
      <c r="A2647" t="s">
        <v>7973</v>
      </c>
      <c r="J2647" t="s">
        <v>7974</v>
      </c>
      <c r="K2647" t="s">
        <v>7975</v>
      </c>
    </row>
    <row r="2648" spans="1:11">
      <c r="A2648" t="s">
        <v>7976</v>
      </c>
      <c r="J2648" t="s">
        <v>7977</v>
      </c>
      <c r="K2648" t="s">
        <v>7978</v>
      </c>
    </row>
    <row r="2649" spans="1:11">
      <c r="A2649" t="s">
        <v>7979</v>
      </c>
      <c r="J2649" t="s">
        <v>7980</v>
      </c>
      <c r="K2649" t="s">
        <v>7981</v>
      </c>
    </row>
    <row r="2650" spans="1:11">
      <c r="A2650" t="s">
        <v>7982</v>
      </c>
      <c r="J2650" t="s">
        <v>7983</v>
      </c>
      <c r="K2650" t="s">
        <v>7984</v>
      </c>
    </row>
    <row r="2651" spans="1:11">
      <c r="A2651" t="s">
        <v>7985</v>
      </c>
      <c r="J2651" t="s">
        <v>7986</v>
      </c>
      <c r="K2651" t="s">
        <v>7987</v>
      </c>
    </row>
    <row r="2652" spans="1:11">
      <c r="A2652" t="s">
        <v>7988</v>
      </c>
      <c r="J2652" t="s">
        <v>7989</v>
      </c>
      <c r="K2652" t="s">
        <v>7990</v>
      </c>
    </row>
    <row r="2653" spans="1:11">
      <c r="A2653" t="s">
        <v>7991</v>
      </c>
      <c r="J2653" t="s">
        <v>7992</v>
      </c>
      <c r="K2653" t="s">
        <v>7993</v>
      </c>
    </row>
    <row r="2654" spans="1:11">
      <c r="A2654" t="s">
        <v>7994</v>
      </c>
      <c r="J2654" t="s">
        <v>7995</v>
      </c>
      <c r="K2654" t="s">
        <v>7996</v>
      </c>
    </row>
    <row r="2655" spans="1:11">
      <c r="A2655" t="s">
        <v>7997</v>
      </c>
      <c r="J2655" t="s">
        <v>7998</v>
      </c>
      <c r="K2655" t="s">
        <v>7999</v>
      </c>
    </row>
    <row r="2656" spans="1:11">
      <c r="A2656" t="s">
        <v>8000</v>
      </c>
      <c r="J2656" t="s">
        <v>8001</v>
      </c>
      <c r="K2656" t="s">
        <v>8002</v>
      </c>
    </row>
    <row r="2657" spans="1:11">
      <c r="A2657" t="s">
        <v>8003</v>
      </c>
      <c r="J2657" t="s">
        <v>8004</v>
      </c>
      <c r="K2657" t="s">
        <v>8005</v>
      </c>
    </row>
    <row r="2658" spans="1:11">
      <c r="A2658" t="s">
        <v>8006</v>
      </c>
      <c r="J2658" t="s">
        <v>8007</v>
      </c>
      <c r="K2658" t="s">
        <v>8008</v>
      </c>
    </row>
    <row r="2659" spans="1:11">
      <c r="A2659" t="s">
        <v>8009</v>
      </c>
      <c r="J2659" t="s">
        <v>8010</v>
      </c>
      <c r="K2659" t="s">
        <v>8011</v>
      </c>
    </row>
    <row r="2660" spans="1:11">
      <c r="A2660" t="s">
        <v>8012</v>
      </c>
      <c r="J2660" t="s">
        <v>8013</v>
      </c>
      <c r="K2660" t="s">
        <v>8014</v>
      </c>
    </row>
    <row r="2661" spans="1:11">
      <c r="A2661" t="s">
        <v>8015</v>
      </c>
      <c r="J2661" t="s">
        <v>8016</v>
      </c>
      <c r="K2661" t="s">
        <v>8017</v>
      </c>
    </row>
    <row r="2662" spans="1:11">
      <c r="A2662" t="s">
        <v>8018</v>
      </c>
      <c r="J2662" t="s">
        <v>8019</v>
      </c>
      <c r="K2662" t="s">
        <v>8020</v>
      </c>
    </row>
    <row r="2663" spans="1:11">
      <c r="A2663" t="s">
        <v>8021</v>
      </c>
      <c r="J2663" t="s">
        <v>8022</v>
      </c>
      <c r="K2663" t="s">
        <v>8023</v>
      </c>
    </row>
    <row r="2664" spans="1:11">
      <c r="A2664" t="s">
        <v>8024</v>
      </c>
      <c r="J2664" t="s">
        <v>8025</v>
      </c>
      <c r="K2664" t="s">
        <v>8026</v>
      </c>
    </row>
    <row r="2665" spans="1:11">
      <c r="A2665" t="s">
        <v>8027</v>
      </c>
      <c r="J2665" t="s">
        <v>8028</v>
      </c>
      <c r="K2665" t="s">
        <v>8029</v>
      </c>
    </row>
    <row r="2666" spans="1:11">
      <c r="A2666" t="s">
        <v>8030</v>
      </c>
      <c r="J2666" t="s">
        <v>8031</v>
      </c>
      <c r="K2666" t="s">
        <v>8032</v>
      </c>
    </row>
    <row r="2667" spans="1:11">
      <c r="A2667" t="s">
        <v>8033</v>
      </c>
      <c r="J2667" t="s">
        <v>8034</v>
      </c>
      <c r="K2667" t="s">
        <v>8035</v>
      </c>
    </row>
    <row r="2668" spans="1:11">
      <c r="A2668" t="s">
        <v>8036</v>
      </c>
      <c r="J2668" t="s">
        <v>8037</v>
      </c>
      <c r="K2668" t="s">
        <v>8038</v>
      </c>
    </row>
    <row r="2669" spans="1:11">
      <c r="A2669" t="s">
        <v>8039</v>
      </c>
      <c r="J2669" t="s">
        <v>8040</v>
      </c>
      <c r="K2669" t="s">
        <v>8041</v>
      </c>
    </row>
    <row r="2670" spans="1:11">
      <c r="A2670" t="s">
        <v>8042</v>
      </c>
      <c r="J2670" t="s">
        <v>8043</v>
      </c>
      <c r="K2670" t="s">
        <v>8044</v>
      </c>
    </row>
    <row r="2671" spans="1:11">
      <c r="A2671" t="s">
        <v>8045</v>
      </c>
      <c r="J2671" t="s">
        <v>8046</v>
      </c>
      <c r="K2671" t="s">
        <v>8047</v>
      </c>
    </row>
    <row r="2672" spans="1:11">
      <c r="A2672" t="s">
        <v>8048</v>
      </c>
      <c r="J2672" t="s">
        <v>8049</v>
      </c>
      <c r="K2672" t="s">
        <v>8050</v>
      </c>
    </row>
    <row r="2673" spans="1:11">
      <c r="A2673" t="s">
        <v>8051</v>
      </c>
      <c r="J2673" t="s">
        <v>8052</v>
      </c>
      <c r="K2673" t="s">
        <v>8053</v>
      </c>
    </row>
    <row r="2674" spans="1:11">
      <c r="A2674" t="s">
        <v>8054</v>
      </c>
      <c r="J2674" t="s">
        <v>8055</v>
      </c>
      <c r="K2674" t="s">
        <v>8056</v>
      </c>
    </row>
    <row r="2675" spans="1:11">
      <c r="A2675" t="s">
        <v>8057</v>
      </c>
      <c r="J2675" t="s">
        <v>8058</v>
      </c>
      <c r="K2675" t="s">
        <v>8059</v>
      </c>
    </row>
    <row r="2676" spans="1:11">
      <c r="A2676" t="s">
        <v>8060</v>
      </c>
      <c r="J2676" t="s">
        <v>8061</v>
      </c>
      <c r="K2676" t="s">
        <v>8062</v>
      </c>
    </row>
    <row r="2677" spans="1:11">
      <c r="A2677" t="s">
        <v>8063</v>
      </c>
      <c r="J2677" t="s">
        <v>8064</v>
      </c>
      <c r="K2677" t="s">
        <v>8065</v>
      </c>
    </row>
    <row r="2678" spans="1:11">
      <c r="A2678" t="s">
        <v>8066</v>
      </c>
      <c r="J2678" t="s">
        <v>8067</v>
      </c>
      <c r="K2678" t="s">
        <v>8068</v>
      </c>
    </row>
    <row r="2679" spans="1:11">
      <c r="A2679" t="s">
        <v>8069</v>
      </c>
      <c r="J2679" t="s">
        <v>8070</v>
      </c>
      <c r="K2679" t="s">
        <v>8071</v>
      </c>
    </row>
    <row r="2680" spans="1:11">
      <c r="A2680" t="s">
        <v>8072</v>
      </c>
      <c r="J2680" t="s">
        <v>8073</v>
      </c>
      <c r="K2680" t="s">
        <v>8074</v>
      </c>
    </row>
    <row r="2681" spans="1:11">
      <c r="A2681" t="s">
        <v>8075</v>
      </c>
      <c r="J2681" t="s">
        <v>8076</v>
      </c>
      <c r="K2681" t="s">
        <v>8077</v>
      </c>
    </row>
    <row r="2682" spans="1:11">
      <c r="A2682" t="s">
        <v>8078</v>
      </c>
      <c r="J2682" t="s">
        <v>8079</v>
      </c>
      <c r="K2682" t="s">
        <v>8080</v>
      </c>
    </row>
    <row r="2683" spans="1:11">
      <c r="A2683" t="s">
        <v>8081</v>
      </c>
      <c r="J2683" t="s">
        <v>8082</v>
      </c>
      <c r="K2683" t="s">
        <v>8083</v>
      </c>
    </row>
    <row r="2684" spans="1:11">
      <c r="A2684" t="s">
        <v>8084</v>
      </c>
      <c r="J2684" t="s">
        <v>8085</v>
      </c>
      <c r="K2684" t="s">
        <v>8086</v>
      </c>
    </row>
    <row r="2685" spans="1:11">
      <c r="A2685" t="s">
        <v>8087</v>
      </c>
      <c r="J2685" t="s">
        <v>8088</v>
      </c>
      <c r="K2685" t="s">
        <v>8089</v>
      </c>
    </row>
    <row r="2686" spans="1:11">
      <c r="A2686" t="s">
        <v>8090</v>
      </c>
      <c r="J2686" t="s">
        <v>8091</v>
      </c>
      <c r="K2686" t="s">
        <v>8092</v>
      </c>
    </row>
    <row r="2687" spans="1:11">
      <c r="A2687" t="s">
        <v>8093</v>
      </c>
      <c r="J2687" t="s">
        <v>8094</v>
      </c>
      <c r="K2687" t="s">
        <v>8095</v>
      </c>
    </row>
    <row r="2688" spans="1:11">
      <c r="A2688" t="s">
        <v>8096</v>
      </c>
      <c r="J2688" t="s">
        <v>8097</v>
      </c>
      <c r="K2688" t="s">
        <v>8098</v>
      </c>
    </row>
    <row r="2689" spans="1:11">
      <c r="A2689" t="s">
        <v>8099</v>
      </c>
      <c r="J2689" t="s">
        <v>8100</v>
      </c>
      <c r="K2689" t="s">
        <v>8101</v>
      </c>
    </row>
    <row r="2690" spans="1:11">
      <c r="A2690" t="s">
        <v>8102</v>
      </c>
      <c r="J2690" t="s">
        <v>8103</v>
      </c>
      <c r="K2690" t="s">
        <v>8104</v>
      </c>
    </row>
    <row r="2691" spans="1:11">
      <c r="A2691" t="s">
        <v>8105</v>
      </c>
      <c r="J2691" t="s">
        <v>8106</v>
      </c>
      <c r="K2691" t="s">
        <v>8107</v>
      </c>
    </row>
    <row r="2692" spans="1:11">
      <c r="A2692" t="s">
        <v>8108</v>
      </c>
      <c r="J2692" t="s">
        <v>8109</v>
      </c>
      <c r="K2692" t="s">
        <v>8110</v>
      </c>
    </row>
    <row r="2693" spans="1:11">
      <c r="A2693" t="s">
        <v>8111</v>
      </c>
      <c r="J2693" t="s">
        <v>8112</v>
      </c>
      <c r="K2693" t="s">
        <v>8113</v>
      </c>
    </row>
    <row r="2694" spans="1:11">
      <c r="A2694" t="s">
        <v>8114</v>
      </c>
      <c r="J2694" t="s">
        <v>8115</v>
      </c>
      <c r="K2694" t="s">
        <v>8116</v>
      </c>
    </row>
    <row r="2695" spans="1:11">
      <c r="A2695" t="s">
        <v>8117</v>
      </c>
      <c r="J2695" t="s">
        <v>8118</v>
      </c>
      <c r="K2695" t="s">
        <v>8119</v>
      </c>
    </row>
    <row r="2696" spans="1:11">
      <c r="A2696" t="s">
        <v>8120</v>
      </c>
      <c r="J2696" t="s">
        <v>8121</v>
      </c>
      <c r="K2696" t="s">
        <v>8122</v>
      </c>
    </row>
    <row r="2697" spans="1:11">
      <c r="A2697" t="s">
        <v>8123</v>
      </c>
      <c r="J2697" t="s">
        <v>8124</v>
      </c>
      <c r="K2697" t="s">
        <v>8125</v>
      </c>
    </row>
    <row r="2698" spans="1:11">
      <c r="A2698" t="s">
        <v>8126</v>
      </c>
      <c r="J2698" t="s">
        <v>8127</v>
      </c>
      <c r="K2698" t="s">
        <v>8128</v>
      </c>
    </row>
    <row r="2699" spans="1:11">
      <c r="A2699" t="s">
        <v>8129</v>
      </c>
      <c r="J2699" t="s">
        <v>8130</v>
      </c>
      <c r="K2699" t="s">
        <v>8131</v>
      </c>
    </row>
    <row r="2700" spans="1:11">
      <c r="A2700" t="s">
        <v>8132</v>
      </c>
      <c r="J2700" t="s">
        <v>8133</v>
      </c>
      <c r="K2700" t="s">
        <v>8134</v>
      </c>
    </row>
    <row r="2701" spans="1:11">
      <c r="A2701" t="s">
        <v>8135</v>
      </c>
      <c r="J2701" t="s">
        <v>8136</v>
      </c>
      <c r="K2701" t="s">
        <v>8137</v>
      </c>
    </row>
    <row r="2702" spans="1:11">
      <c r="A2702" t="s">
        <v>8138</v>
      </c>
      <c r="J2702" t="s">
        <v>8139</v>
      </c>
      <c r="K2702" t="s">
        <v>8140</v>
      </c>
    </row>
    <row r="2703" spans="1:11">
      <c r="A2703" t="s">
        <v>8141</v>
      </c>
      <c r="J2703" t="s">
        <v>8142</v>
      </c>
      <c r="K2703" t="s">
        <v>8143</v>
      </c>
    </row>
    <row r="2704" spans="1:11">
      <c r="A2704" t="s">
        <v>8144</v>
      </c>
      <c r="J2704" t="s">
        <v>8145</v>
      </c>
      <c r="K2704" t="s">
        <v>8146</v>
      </c>
    </row>
    <row r="2705" spans="1:11">
      <c r="A2705" t="s">
        <v>8147</v>
      </c>
      <c r="J2705" t="s">
        <v>8148</v>
      </c>
      <c r="K2705" t="s">
        <v>8149</v>
      </c>
    </row>
    <row r="2706" spans="1:11">
      <c r="A2706" t="s">
        <v>8150</v>
      </c>
      <c r="J2706" t="s">
        <v>8151</v>
      </c>
      <c r="K2706" t="s">
        <v>8152</v>
      </c>
    </row>
    <row r="2707" spans="1:11">
      <c r="A2707" t="s">
        <v>8153</v>
      </c>
      <c r="J2707" t="s">
        <v>8154</v>
      </c>
      <c r="K2707" t="s">
        <v>8155</v>
      </c>
    </row>
    <row r="2708" spans="1:11">
      <c r="A2708" t="s">
        <v>8156</v>
      </c>
      <c r="J2708" t="s">
        <v>8157</v>
      </c>
      <c r="K2708" t="s">
        <v>8158</v>
      </c>
    </row>
    <row r="2709" spans="1:11">
      <c r="A2709" t="s">
        <v>8159</v>
      </c>
      <c r="J2709" t="s">
        <v>8160</v>
      </c>
      <c r="K2709" t="s">
        <v>8161</v>
      </c>
    </row>
    <row r="2710" spans="1:11">
      <c r="A2710" t="s">
        <v>8162</v>
      </c>
      <c r="J2710" t="s">
        <v>8163</v>
      </c>
      <c r="K2710" t="s">
        <v>8164</v>
      </c>
    </row>
    <row r="2711" spans="1:11">
      <c r="A2711" t="s">
        <v>8165</v>
      </c>
      <c r="J2711" t="s">
        <v>8166</v>
      </c>
      <c r="K2711" t="s">
        <v>8167</v>
      </c>
    </row>
    <row r="2712" spans="1:11">
      <c r="A2712" t="s">
        <v>8168</v>
      </c>
      <c r="J2712" t="s">
        <v>8169</v>
      </c>
      <c r="K2712" t="s">
        <v>8170</v>
      </c>
    </row>
    <row r="2713" spans="1:11">
      <c r="A2713" t="s">
        <v>8171</v>
      </c>
      <c r="J2713" t="s">
        <v>8172</v>
      </c>
      <c r="K2713" t="s">
        <v>8173</v>
      </c>
    </row>
    <row r="2714" spans="1:11">
      <c r="A2714" t="s">
        <v>8174</v>
      </c>
      <c r="J2714" t="s">
        <v>8175</v>
      </c>
      <c r="K2714" t="s">
        <v>8176</v>
      </c>
    </row>
    <row r="2715" spans="1:11">
      <c r="A2715" t="s">
        <v>8177</v>
      </c>
      <c r="J2715" t="s">
        <v>8178</v>
      </c>
      <c r="K2715" t="s">
        <v>8179</v>
      </c>
    </row>
    <row r="2716" spans="1:11">
      <c r="A2716" t="s">
        <v>8180</v>
      </c>
      <c r="J2716" t="s">
        <v>8181</v>
      </c>
      <c r="K2716" t="s">
        <v>8182</v>
      </c>
    </row>
    <row r="2717" spans="1:11">
      <c r="A2717" t="s">
        <v>8183</v>
      </c>
      <c r="J2717" t="s">
        <v>8184</v>
      </c>
      <c r="K2717" t="s">
        <v>8185</v>
      </c>
    </row>
    <row r="2718" spans="1:11">
      <c r="A2718" t="s">
        <v>8186</v>
      </c>
      <c r="J2718" t="s">
        <v>8187</v>
      </c>
      <c r="K2718" t="s">
        <v>8188</v>
      </c>
    </row>
    <row r="2719" spans="1:11">
      <c r="A2719" t="s">
        <v>8189</v>
      </c>
      <c r="J2719" t="s">
        <v>8190</v>
      </c>
      <c r="K2719" t="s">
        <v>8191</v>
      </c>
    </row>
    <row r="2720" spans="1:11">
      <c r="A2720" t="s">
        <v>8192</v>
      </c>
      <c r="J2720" t="s">
        <v>8193</v>
      </c>
      <c r="K2720" t="s">
        <v>8194</v>
      </c>
    </row>
    <row r="2721" spans="1:11">
      <c r="A2721" t="s">
        <v>8195</v>
      </c>
      <c r="J2721" t="s">
        <v>8196</v>
      </c>
      <c r="K2721" t="s">
        <v>8197</v>
      </c>
    </row>
    <row r="2722" spans="1:11">
      <c r="A2722" t="s">
        <v>8198</v>
      </c>
      <c r="J2722" t="s">
        <v>8199</v>
      </c>
      <c r="K2722" t="s">
        <v>8200</v>
      </c>
    </row>
    <row r="2723" spans="1:11">
      <c r="A2723" t="s">
        <v>8201</v>
      </c>
      <c r="J2723" t="s">
        <v>8202</v>
      </c>
      <c r="K2723" t="s">
        <v>8203</v>
      </c>
    </row>
    <row r="2724" spans="1:11">
      <c r="A2724" t="s">
        <v>8204</v>
      </c>
      <c r="J2724" t="s">
        <v>8205</v>
      </c>
      <c r="K2724" t="s">
        <v>8206</v>
      </c>
    </row>
    <row r="2725" spans="1:11">
      <c r="A2725" t="s">
        <v>8207</v>
      </c>
      <c r="J2725" t="s">
        <v>8208</v>
      </c>
      <c r="K2725" t="s">
        <v>8209</v>
      </c>
    </row>
    <row r="2726" spans="1:11">
      <c r="A2726" t="s">
        <v>8210</v>
      </c>
      <c r="J2726" t="s">
        <v>8211</v>
      </c>
      <c r="K2726" t="s">
        <v>8212</v>
      </c>
    </row>
    <row r="2727" spans="1:11">
      <c r="A2727" t="s">
        <v>8213</v>
      </c>
      <c r="J2727" t="s">
        <v>8214</v>
      </c>
      <c r="K2727" t="s">
        <v>8215</v>
      </c>
    </row>
    <row r="2728" spans="1:11">
      <c r="A2728" t="s">
        <v>8216</v>
      </c>
      <c r="J2728" t="s">
        <v>8217</v>
      </c>
      <c r="K2728" t="s">
        <v>8218</v>
      </c>
    </row>
    <row r="2729" spans="1:11">
      <c r="A2729" t="s">
        <v>8219</v>
      </c>
      <c r="J2729" t="s">
        <v>8220</v>
      </c>
      <c r="K2729" t="s">
        <v>8221</v>
      </c>
    </row>
    <row r="2730" spans="1:11">
      <c r="A2730" t="s">
        <v>8222</v>
      </c>
      <c r="J2730" t="s">
        <v>8223</v>
      </c>
      <c r="K2730" t="s">
        <v>8224</v>
      </c>
    </row>
    <row r="2731" spans="1:11">
      <c r="A2731" t="s">
        <v>8225</v>
      </c>
      <c r="J2731" t="s">
        <v>8226</v>
      </c>
      <c r="K2731" t="s">
        <v>8227</v>
      </c>
    </row>
    <row r="2732" spans="1:11">
      <c r="A2732" t="s">
        <v>8228</v>
      </c>
      <c r="J2732" t="s">
        <v>8229</v>
      </c>
      <c r="K2732" t="s">
        <v>8230</v>
      </c>
    </row>
    <row r="2733" spans="1:11">
      <c r="A2733" t="s">
        <v>8231</v>
      </c>
      <c r="J2733" t="s">
        <v>8232</v>
      </c>
      <c r="K2733" t="s">
        <v>8233</v>
      </c>
    </row>
    <row r="2734" spans="1:11">
      <c r="A2734" t="s">
        <v>8234</v>
      </c>
      <c r="J2734" t="s">
        <v>8235</v>
      </c>
      <c r="K2734" t="s">
        <v>8236</v>
      </c>
    </row>
    <row r="2735" spans="1:11">
      <c r="A2735" t="s">
        <v>8237</v>
      </c>
      <c r="J2735" t="s">
        <v>8238</v>
      </c>
      <c r="K2735" t="s">
        <v>8239</v>
      </c>
    </row>
    <row r="2736" spans="1:11">
      <c r="A2736" t="s">
        <v>8240</v>
      </c>
      <c r="J2736" t="s">
        <v>8241</v>
      </c>
      <c r="K2736" t="s">
        <v>8242</v>
      </c>
    </row>
    <row r="2737" spans="1:11">
      <c r="A2737" t="s">
        <v>8243</v>
      </c>
      <c r="J2737" t="s">
        <v>8244</v>
      </c>
      <c r="K2737" t="s">
        <v>8245</v>
      </c>
    </row>
    <row r="2738" spans="1:11">
      <c r="A2738" t="s">
        <v>8246</v>
      </c>
      <c r="J2738" t="s">
        <v>8247</v>
      </c>
      <c r="K2738" t="s">
        <v>8248</v>
      </c>
    </row>
    <row r="2739" spans="1:11">
      <c r="A2739" t="s">
        <v>8249</v>
      </c>
      <c r="J2739" t="s">
        <v>8250</v>
      </c>
      <c r="K2739" t="s">
        <v>8251</v>
      </c>
    </row>
    <row r="2740" spans="1:11">
      <c r="A2740" t="s">
        <v>8252</v>
      </c>
      <c r="J2740" t="s">
        <v>8253</v>
      </c>
      <c r="K2740" t="s">
        <v>8254</v>
      </c>
    </row>
    <row r="2741" spans="1:11">
      <c r="A2741" t="s">
        <v>8255</v>
      </c>
      <c r="J2741" t="s">
        <v>8256</v>
      </c>
      <c r="K2741" t="s">
        <v>8257</v>
      </c>
    </row>
    <row r="2742" spans="1:11">
      <c r="A2742" t="s">
        <v>8258</v>
      </c>
      <c r="J2742" t="s">
        <v>8259</v>
      </c>
      <c r="K2742" t="s">
        <v>8260</v>
      </c>
    </row>
    <row r="2743" spans="1:11">
      <c r="A2743" t="s">
        <v>8261</v>
      </c>
      <c r="J2743" t="s">
        <v>8262</v>
      </c>
      <c r="K2743" t="s">
        <v>8263</v>
      </c>
    </row>
    <row r="2744" spans="1:11">
      <c r="A2744" t="s">
        <v>8264</v>
      </c>
      <c r="J2744" t="s">
        <v>8265</v>
      </c>
      <c r="K2744" t="s">
        <v>8266</v>
      </c>
    </row>
    <row r="2745" spans="1:11">
      <c r="A2745" t="s">
        <v>8267</v>
      </c>
      <c r="J2745" t="s">
        <v>8268</v>
      </c>
      <c r="K2745" t="s">
        <v>8269</v>
      </c>
    </row>
    <row r="2746" spans="1:11">
      <c r="A2746" t="s">
        <v>8270</v>
      </c>
      <c r="J2746" t="s">
        <v>8271</v>
      </c>
      <c r="K2746" t="s">
        <v>8272</v>
      </c>
    </row>
    <row r="2747" spans="1:11">
      <c r="A2747" t="s">
        <v>8273</v>
      </c>
      <c r="J2747" t="s">
        <v>8274</v>
      </c>
      <c r="K2747" t="s">
        <v>8275</v>
      </c>
    </row>
    <row r="2748" spans="1:11">
      <c r="A2748" t="s">
        <v>8276</v>
      </c>
      <c r="J2748" t="s">
        <v>8277</v>
      </c>
      <c r="K2748" t="s">
        <v>8278</v>
      </c>
    </row>
    <row r="2749" spans="1:11">
      <c r="A2749" t="s">
        <v>8279</v>
      </c>
      <c r="J2749" t="s">
        <v>8280</v>
      </c>
      <c r="K2749" t="s">
        <v>8281</v>
      </c>
    </row>
    <row r="2750" spans="1:11">
      <c r="A2750" t="s">
        <v>8282</v>
      </c>
      <c r="J2750" t="s">
        <v>8283</v>
      </c>
      <c r="K2750" t="s">
        <v>8284</v>
      </c>
    </row>
    <row r="2751" spans="1:11">
      <c r="A2751" t="s">
        <v>8285</v>
      </c>
      <c r="J2751" t="s">
        <v>8286</v>
      </c>
      <c r="K2751" t="s">
        <v>8287</v>
      </c>
    </row>
    <row r="2752" spans="1:11">
      <c r="A2752" t="s">
        <v>8288</v>
      </c>
      <c r="J2752" t="s">
        <v>8289</v>
      </c>
      <c r="K2752" t="s">
        <v>8290</v>
      </c>
    </row>
    <row r="2753" spans="1:11">
      <c r="A2753" t="s">
        <v>8291</v>
      </c>
      <c r="J2753" t="s">
        <v>8292</v>
      </c>
      <c r="K2753" t="s">
        <v>8293</v>
      </c>
    </row>
    <row r="2754" spans="1:11">
      <c r="A2754" t="s">
        <v>8294</v>
      </c>
      <c r="J2754" t="s">
        <v>8295</v>
      </c>
      <c r="K2754" t="s">
        <v>8296</v>
      </c>
    </row>
    <row r="2755" spans="1:11">
      <c r="A2755" t="s">
        <v>8297</v>
      </c>
      <c r="J2755" t="s">
        <v>8298</v>
      </c>
      <c r="K2755" t="s">
        <v>8299</v>
      </c>
    </row>
    <row r="2756" spans="1:11">
      <c r="A2756" t="s">
        <v>8300</v>
      </c>
      <c r="J2756" t="s">
        <v>8301</v>
      </c>
      <c r="K2756" t="s">
        <v>8302</v>
      </c>
    </row>
    <row r="2757" spans="1:11">
      <c r="A2757" t="s">
        <v>8303</v>
      </c>
      <c r="J2757" t="s">
        <v>8304</v>
      </c>
      <c r="K2757" t="s">
        <v>8305</v>
      </c>
    </row>
    <row r="2758" spans="1:11">
      <c r="A2758" t="s">
        <v>8306</v>
      </c>
      <c r="J2758" t="s">
        <v>8307</v>
      </c>
      <c r="K2758" t="s">
        <v>8308</v>
      </c>
    </row>
    <row r="2759" spans="1:11">
      <c r="A2759" t="s">
        <v>8309</v>
      </c>
      <c r="J2759" t="s">
        <v>8310</v>
      </c>
      <c r="K2759" t="s">
        <v>8311</v>
      </c>
    </row>
    <row r="2760" spans="1:11">
      <c r="A2760" t="s">
        <v>8312</v>
      </c>
      <c r="J2760" t="s">
        <v>8313</v>
      </c>
      <c r="K2760" t="s">
        <v>8314</v>
      </c>
    </row>
    <row r="2761" spans="1:11">
      <c r="A2761" t="s">
        <v>8315</v>
      </c>
      <c r="J2761" t="s">
        <v>8316</v>
      </c>
      <c r="K2761" t="s">
        <v>8317</v>
      </c>
    </row>
    <row r="2762" spans="1:11">
      <c r="A2762" t="s">
        <v>8318</v>
      </c>
      <c r="J2762" t="s">
        <v>8319</v>
      </c>
      <c r="K2762" t="s">
        <v>8320</v>
      </c>
    </row>
    <row r="2763" spans="1:11">
      <c r="A2763" t="s">
        <v>8321</v>
      </c>
      <c r="J2763" t="s">
        <v>8322</v>
      </c>
      <c r="K2763" t="s">
        <v>8323</v>
      </c>
    </row>
    <row r="2764" spans="1:11">
      <c r="A2764" t="s">
        <v>8324</v>
      </c>
      <c r="J2764" t="s">
        <v>8325</v>
      </c>
      <c r="K2764" t="s">
        <v>8326</v>
      </c>
    </row>
    <row r="2765" spans="1:11">
      <c r="A2765" t="s">
        <v>8327</v>
      </c>
      <c r="J2765" t="s">
        <v>8328</v>
      </c>
      <c r="K2765" t="s">
        <v>8329</v>
      </c>
    </row>
    <row r="2766" spans="1:11">
      <c r="A2766" t="s">
        <v>8330</v>
      </c>
      <c r="J2766" t="s">
        <v>8331</v>
      </c>
      <c r="K2766" t="s">
        <v>8332</v>
      </c>
    </row>
    <row r="2767" spans="1:11">
      <c r="A2767" t="s">
        <v>8333</v>
      </c>
      <c r="J2767" t="s">
        <v>8334</v>
      </c>
      <c r="K2767" t="s">
        <v>8335</v>
      </c>
    </row>
    <row r="2768" spans="1:11">
      <c r="A2768" t="s">
        <v>8336</v>
      </c>
      <c r="J2768" t="s">
        <v>8337</v>
      </c>
      <c r="K2768" t="s">
        <v>8338</v>
      </c>
    </row>
    <row r="2769" spans="1:11">
      <c r="A2769" t="s">
        <v>8339</v>
      </c>
      <c r="J2769" t="s">
        <v>8340</v>
      </c>
      <c r="K2769" t="s">
        <v>8341</v>
      </c>
    </row>
    <row r="2770" spans="1:11">
      <c r="A2770" t="s">
        <v>8342</v>
      </c>
      <c r="J2770" t="s">
        <v>8343</v>
      </c>
      <c r="K2770" t="s">
        <v>8344</v>
      </c>
    </row>
    <row r="2771" spans="1:11">
      <c r="A2771" t="s">
        <v>8345</v>
      </c>
      <c r="J2771" t="s">
        <v>8346</v>
      </c>
      <c r="K2771" t="s">
        <v>8347</v>
      </c>
    </row>
    <row r="2772" spans="1:11">
      <c r="A2772" t="s">
        <v>8348</v>
      </c>
      <c r="J2772" t="s">
        <v>8349</v>
      </c>
      <c r="K2772" t="s">
        <v>8350</v>
      </c>
    </row>
    <row r="2773" spans="1:11">
      <c r="A2773" t="s">
        <v>8351</v>
      </c>
      <c r="J2773" t="s">
        <v>8352</v>
      </c>
      <c r="K2773" t="s">
        <v>8353</v>
      </c>
    </row>
    <row r="2774" spans="1:11">
      <c r="A2774" t="s">
        <v>8354</v>
      </c>
      <c r="J2774" t="s">
        <v>8355</v>
      </c>
      <c r="K2774" t="s">
        <v>8356</v>
      </c>
    </row>
    <row r="2775" spans="1:11">
      <c r="A2775" t="s">
        <v>8357</v>
      </c>
      <c r="J2775" t="s">
        <v>8358</v>
      </c>
      <c r="K2775" t="s">
        <v>8359</v>
      </c>
    </row>
    <row r="2776" spans="1:11">
      <c r="A2776" t="s">
        <v>8360</v>
      </c>
      <c r="J2776" t="s">
        <v>8361</v>
      </c>
      <c r="K2776" t="s">
        <v>8362</v>
      </c>
    </row>
    <row r="2777" spans="1:11">
      <c r="A2777" t="s">
        <v>8363</v>
      </c>
      <c r="J2777" t="s">
        <v>8364</v>
      </c>
      <c r="K2777" t="s">
        <v>8365</v>
      </c>
    </row>
    <row r="2778" spans="1:11">
      <c r="A2778" t="s">
        <v>8366</v>
      </c>
      <c r="J2778" t="s">
        <v>8367</v>
      </c>
      <c r="K2778" t="s">
        <v>8368</v>
      </c>
    </row>
    <row r="2779" spans="1:11">
      <c r="A2779" t="s">
        <v>8369</v>
      </c>
      <c r="J2779" t="s">
        <v>8370</v>
      </c>
      <c r="K2779" t="s">
        <v>8371</v>
      </c>
    </row>
    <row r="2780" spans="1:11">
      <c r="A2780" t="s">
        <v>8372</v>
      </c>
      <c r="J2780" t="s">
        <v>8373</v>
      </c>
      <c r="K2780" t="s">
        <v>8374</v>
      </c>
    </row>
    <row r="2781" spans="1:11">
      <c r="A2781" t="s">
        <v>8375</v>
      </c>
      <c r="J2781" t="s">
        <v>8376</v>
      </c>
      <c r="K2781" t="s">
        <v>8377</v>
      </c>
    </row>
    <row r="2782" spans="1:11">
      <c r="A2782" t="s">
        <v>8378</v>
      </c>
      <c r="J2782" t="s">
        <v>8379</v>
      </c>
      <c r="K2782" t="s">
        <v>8380</v>
      </c>
    </row>
    <row r="2783" spans="1:11">
      <c r="A2783" t="s">
        <v>8381</v>
      </c>
      <c r="J2783" t="s">
        <v>8382</v>
      </c>
      <c r="K2783" t="s">
        <v>8383</v>
      </c>
    </row>
    <row r="2784" spans="1:11">
      <c r="A2784" t="s">
        <v>8384</v>
      </c>
      <c r="J2784" t="s">
        <v>8385</v>
      </c>
      <c r="K2784" t="s">
        <v>8386</v>
      </c>
    </row>
    <row r="2785" spans="1:11">
      <c r="A2785" t="s">
        <v>8387</v>
      </c>
      <c r="J2785" t="s">
        <v>8388</v>
      </c>
      <c r="K2785" t="s">
        <v>8389</v>
      </c>
    </row>
    <row r="2786" spans="1:11">
      <c r="A2786" t="s">
        <v>8390</v>
      </c>
      <c r="J2786" t="s">
        <v>8391</v>
      </c>
      <c r="K2786" t="s">
        <v>8392</v>
      </c>
    </row>
    <row r="2787" spans="1:11">
      <c r="A2787" t="s">
        <v>8393</v>
      </c>
      <c r="J2787" t="s">
        <v>8394</v>
      </c>
      <c r="K2787" t="s">
        <v>8395</v>
      </c>
    </row>
    <row r="2788" spans="1:11">
      <c r="A2788" t="s">
        <v>8396</v>
      </c>
      <c r="J2788" t="s">
        <v>8397</v>
      </c>
      <c r="K2788" t="s">
        <v>8398</v>
      </c>
    </row>
    <row r="2789" spans="1:11">
      <c r="A2789" t="s">
        <v>8399</v>
      </c>
      <c r="J2789" t="s">
        <v>8400</v>
      </c>
      <c r="K2789" t="s">
        <v>8401</v>
      </c>
    </row>
    <row r="2790" spans="1:11">
      <c r="A2790" t="s">
        <v>8402</v>
      </c>
      <c r="J2790" t="s">
        <v>8403</v>
      </c>
      <c r="K2790" t="s">
        <v>8404</v>
      </c>
    </row>
    <row r="2791" spans="1:11">
      <c r="A2791" t="s">
        <v>8405</v>
      </c>
      <c r="J2791" t="s">
        <v>8406</v>
      </c>
      <c r="K2791" t="s">
        <v>8407</v>
      </c>
    </row>
    <row r="2792" spans="1:11">
      <c r="A2792" t="s">
        <v>8408</v>
      </c>
      <c r="J2792" t="s">
        <v>8409</v>
      </c>
      <c r="K2792" t="s">
        <v>8410</v>
      </c>
    </row>
    <row r="2793" spans="1:11">
      <c r="A2793" t="s">
        <v>8411</v>
      </c>
      <c r="J2793" t="s">
        <v>8412</v>
      </c>
      <c r="K2793" t="s">
        <v>8413</v>
      </c>
    </row>
    <row r="2794" spans="1:11">
      <c r="A2794" t="s">
        <v>8414</v>
      </c>
      <c r="J2794" t="s">
        <v>8415</v>
      </c>
      <c r="K2794" t="s">
        <v>8416</v>
      </c>
    </row>
    <row r="2795" spans="1:11">
      <c r="A2795" t="s">
        <v>8417</v>
      </c>
      <c r="J2795" t="s">
        <v>8418</v>
      </c>
      <c r="K2795" t="s">
        <v>8419</v>
      </c>
    </row>
    <row r="2796" spans="1:11">
      <c r="A2796" t="s">
        <v>8420</v>
      </c>
      <c r="J2796" t="s">
        <v>8421</v>
      </c>
      <c r="K2796" t="s">
        <v>8422</v>
      </c>
    </row>
    <row r="2797" spans="1:11">
      <c r="A2797" t="s">
        <v>8423</v>
      </c>
      <c r="J2797" t="s">
        <v>8424</v>
      </c>
      <c r="K2797" t="s">
        <v>8425</v>
      </c>
    </row>
    <row r="2798" spans="1:11">
      <c r="A2798" t="s">
        <v>8426</v>
      </c>
      <c r="J2798" t="s">
        <v>8427</v>
      </c>
      <c r="K2798" t="s">
        <v>8428</v>
      </c>
    </row>
    <row r="2799" spans="1:11">
      <c r="A2799" t="s">
        <v>8429</v>
      </c>
      <c r="J2799" t="s">
        <v>8430</v>
      </c>
      <c r="K2799" t="s">
        <v>8431</v>
      </c>
    </row>
    <row r="2800" spans="1:11">
      <c r="A2800" t="s">
        <v>8432</v>
      </c>
      <c r="J2800" t="s">
        <v>8433</v>
      </c>
      <c r="K2800" t="s">
        <v>8434</v>
      </c>
    </row>
    <row r="2801" spans="1:11">
      <c r="A2801" t="s">
        <v>8435</v>
      </c>
      <c r="J2801" t="s">
        <v>8436</v>
      </c>
      <c r="K2801" t="s">
        <v>8437</v>
      </c>
    </row>
    <row r="2802" spans="1:11">
      <c r="A2802" t="s">
        <v>8438</v>
      </c>
      <c r="J2802" t="s">
        <v>8439</v>
      </c>
      <c r="K2802" t="s">
        <v>8440</v>
      </c>
    </row>
    <row r="2803" spans="1:11">
      <c r="A2803" t="s">
        <v>8441</v>
      </c>
      <c r="J2803" t="s">
        <v>8442</v>
      </c>
      <c r="K2803" t="s">
        <v>8443</v>
      </c>
    </row>
    <row r="2804" spans="1:11">
      <c r="A2804" t="s">
        <v>8444</v>
      </c>
      <c r="J2804" t="s">
        <v>8445</v>
      </c>
      <c r="K2804" t="s">
        <v>8446</v>
      </c>
    </row>
    <row r="2805" spans="1:11">
      <c r="A2805" t="s">
        <v>8447</v>
      </c>
      <c r="J2805" t="s">
        <v>8448</v>
      </c>
      <c r="K2805" t="s">
        <v>8449</v>
      </c>
    </row>
    <row r="2806" spans="1:11">
      <c r="A2806" t="s">
        <v>8450</v>
      </c>
      <c r="J2806" t="s">
        <v>8451</v>
      </c>
      <c r="K2806" t="s">
        <v>8452</v>
      </c>
    </row>
    <row r="2807" spans="1:11">
      <c r="A2807" t="s">
        <v>8453</v>
      </c>
      <c r="J2807" t="s">
        <v>8454</v>
      </c>
      <c r="K2807" t="s">
        <v>8455</v>
      </c>
    </row>
    <row r="2808" spans="1:11">
      <c r="A2808" t="s">
        <v>8456</v>
      </c>
      <c r="J2808" t="s">
        <v>8457</v>
      </c>
      <c r="K2808" t="s">
        <v>8458</v>
      </c>
    </row>
    <row r="2809" spans="1:11">
      <c r="A2809" t="s">
        <v>8459</v>
      </c>
      <c r="J2809" t="s">
        <v>8460</v>
      </c>
      <c r="K2809" t="s">
        <v>8461</v>
      </c>
    </row>
    <row r="2810" spans="1:11">
      <c r="A2810" t="s">
        <v>8462</v>
      </c>
      <c r="J2810" t="s">
        <v>8463</v>
      </c>
      <c r="K2810" t="s">
        <v>8464</v>
      </c>
    </row>
    <row r="2811" spans="1:11">
      <c r="A2811" t="s">
        <v>8465</v>
      </c>
      <c r="J2811" t="s">
        <v>8466</v>
      </c>
      <c r="K2811" t="s">
        <v>8467</v>
      </c>
    </row>
    <row r="2812" spans="1:11">
      <c r="A2812" t="s">
        <v>8468</v>
      </c>
      <c r="J2812" t="s">
        <v>8469</v>
      </c>
      <c r="K2812" t="s">
        <v>8470</v>
      </c>
    </row>
    <row r="2813" spans="1:11">
      <c r="A2813" t="s">
        <v>8471</v>
      </c>
      <c r="J2813" t="s">
        <v>8472</v>
      </c>
      <c r="K2813" t="s">
        <v>8473</v>
      </c>
    </row>
    <row r="2814" spans="1:11">
      <c r="A2814" t="s">
        <v>8474</v>
      </c>
      <c r="J2814" t="s">
        <v>8475</v>
      </c>
      <c r="K2814" t="s">
        <v>8476</v>
      </c>
    </row>
    <row r="2815" spans="1:11">
      <c r="A2815" t="s">
        <v>8477</v>
      </c>
      <c r="J2815" t="s">
        <v>8478</v>
      </c>
      <c r="K2815" t="s">
        <v>8479</v>
      </c>
    </row>
    <row r="2816" spans="1:11">
      <c r="A2816" t="s">
        <v>8480</v>
      </c>
      <c r="J2816" t="s">
        <v>8481</v>
      </c>
      <c r="K2816" t="s">
        <v>8482</v>
      </c>
    </row>
    <row r="2817" spans="1:11">
      <c r="A2817" t="s">
        <v>8483</v>
      </c>
      <c r="J2817" t="s">
        <v>8484</v>
      </c>
      <c r="K2817" t="s">
        <v>8485</v>
      </c>
    </row>
    <row r="2818" spans="1:11">
      <c r="A2818" t="s">
        <v>8486</v>
      </c>
      <c r="J2818" t="s">
        <v>8487</v>
      </c>
      <c r="K2818" t="s">
        <v>8488</v>
      </c>
    </row>
    <row r="2819" spans="1:11">
      <c r="A2819" t="s">
        <v>8489</v>
      </c>
      <c r="J2819" t="s">
        <v>8490</v>
      </c>
      <c r="K2819" t="s">
        <v>8491</v>
      </c>
    </row>
    <row r="2820" spans="1:11">
      <c r="A2820" t="s">
        <v>8492</v>
      </c>
      <c r="J2820" t="s">
        <v>8493</v>
      </c>
      <c r="K2820" t="s">
        <v>8494</v>
      </c>
    </row>
    <row r="2821" spans="1:11">
      <c r="A2821" t="s">
        <v>8495</v>
      </c>
      <c r="J2821" t="s">
        <v>8496</v>
      </c>
      <c r="K2821" t="s">
        <v>8497</v>
      </c>
    </row>
    <row r="2822" spans="1:11">
      <c r="A2822" t="s">
        <v>8498</v>
      </c>
      <c r="J2822" t="s">
        <v>8499</v>
      </c>
      <c r="K2822" t="s">
        <v>8500</v>
      </c>
    </row>
    <row r="2823" spans="1:11">
      <c r="A2823" t="s">
        <v>8501</v>
      </c>
      <c r="J2823" t="s">
        <v>8502</v>
      </c>
      <c r="K2823" t="s">
        <v>8503</v>
      </c>
    </row>
    <row r="2824" spans="1:11">
      <c r="A2824" t="s">
        <v>8504</v>
      </c>
      <c r="J2824" t="s">
        <v>8505</v>
      </c>
      <c r="K2824" t="s">
        <v>8506</v>
      </c>
    </row>
    <row r="2825" spans="1:11">
      <c r="A2825" t="s">
        <v>8507</v>
      </c>
      <c r="J2825" t="s">
        <v>8508</v>
      </c>
      <c r="K2825" t="s">
        <v>8509</v>
      </c>
    </row>
    <row r="2826" spans="1:11">
      <c r="A2826" t="s">
        <v>8510</v>
      </c>
      <c r="J2826" t="s">
        <v>8511</v>
      </c>
      <c r="K2826" t="s">
        <v>8512</v>
      </c>
    </row>
    <row r="2827" spans="1:11">
      <c r="A2827" t="s">
        <v>8513</v>
      </c>
      <c r="J2827" t="s">
        <v>8514</v>
      </c>
      <c r="K2827" t="s">
        <v>8515</v>
      </c>
    </row>
    <row r="2828" spans="1:11">
      <c r="A2828" t="s">
        <v>8516</v>
      </c>
      <c r="J2828" t="s">
        <v>8517</v>
      </c>
      <c r="K2828" t="s">
        <v>8518</v>
      </c>
    </row>
    <row r="2829" spans="1:11">
      <c r="A2829" t="s">
        <v>8519</v>
      </c>
      <c r="J2829" t="s">
        <v>8520</v>
      </c>
      <c r="K2829" t="s">
        <v>8521</v>
      </c>
    </row>
    <row r="2830" spans="1:11">
      <c r="A2830" t="s">
        <v>8522</v>
      </c>
      <c r="J2830" t="s">
        <v>8523</v>
      </c>
      <c r="K2830" t="s">
        <v>8524</v>
      </c>
    </row>
    <row r="2831" spans="1:11">
      <c r="A2831" t="s">
        <v>8525</v>
      </c>
      <c r="J2831" t="s">
        <v>8526</v>
      </c>
      <c r="K2831" t="s">
        <v>8527</v>
      </c>
    </row>
    <row r="2832" spans="1:11">
      <c r="A2832" t="s">
        <v>8528</v>
      </c>
      <c r="J2832" t="s">
        <v>8529</v>
      </c>
      <c r="K2832" t="s">
        <v>8530</v>
      </c>
    </row>
    <row r="2833" spans="1:11">
      <c r="A2833" t="s">
        <v>8531</v>
      </c>
      <c r="J2833" t="s">
        <v>8532</v>
      </c>
      <c r="K2833" t="s">
        <v>8533</v>
      </c>
    </row>
    <row r="2834" spans="1:11">
      <c r="A2834" t="s">
        <v>8534</v>
      </c>
      <c r="J2834" t="s">
        <v>8535</v>
      </c>
      <c r="K2834" t="s">
        <v>8536</v>
      </c>
    </row>
    <row r="2835" spans="1:11">
      <c r="A2835" t="s">
        <v>8537</v>
      </c>
      <c r="J2835" t="s">
        <v>8538</v>
      </c>
      <c r="K2835" t="s">
        <v>8539</v>
      </c>
    </row>
    <row r="2836" spans="1:11">
      <c r="A2836" t="s">
        <v>8540</v>
      </c>
      <c r="J2836" t="s">
        <v>8541</v>
      </c>
      <c r="K2836" t="s">
        <v>8542</v>
      </c>
    </row>
    <row r="2837" spans="1:11">
      <c r="A2837" t="s">
        <v>8543</v>
      </c>
      <c r="J2837" t="s">
        <v>8544</v>
      </c>
      <c r="K2837" t="s">
        <v>8545</v>
      </c>
    </row>
    <row r="2838" spans="1:11">
      <c r="A2838" t="s">
        <v>8546</v>
      </c>
      <c r="J2838" t="s">
        <v>8547</v>
      </c>
      <c r="K2838" t="s">
        <v>8548</v>
      </c>
    </row>
    <row r="2839" spans="1:11">
      <c r="A2839" t="s">
        <v>8549</v>
      </c>
      <c r="J2839" t="s">
        <v>8550</v>
      </c>
      <c r="K2839" t="s">
        <v>8551</v>
      </c>
    </row>
    <row r="2840" spans="1:11">
      <c r="A2840" t="s">
        <v>8552</v>
      </c>
      <c r="J2840" t="s">
        <v>8553</v>
      </c>
      <c r="K2840" t="s">
        <v>8554</v>
      </c>
    </row>
    <row r="2841" spans="1:11">
      <c r="A2841" t="s">
        <v>8555</v>
      </c>
      <c r="J2841" t="s">
        <v>8556</v>
      </c>
      <c r="K2841" t="s">
        <v>8557</v>
      </c>
    </row>
    <row r="2842" spans="1:11">
      <c r="A2842" t="s">
        <v>8558</v>
      </c>
      <c r="J2842" t="s">
        <v>8559</v>
      </c>
      <c r="K2842" t="s">
        <v>8560</v>
      </c>
    </row>
    <row r="2843" spans="1:11">
      <c r="A2843" t="s">
        <v>8561</v>
      </c>
      <c r="J2843" t="s">
        <v>8562</v>
      </c>
      <c r="K2843" t="s">
        <v>8563</v>
      </c>
    </row>
    <row r="2844" spans="1:11">
      <c r="A2844" t="s">
        <v>8564</v>
      </c>
      <c r="J2844" t="s">
        <v>8565</v>
      </c>
      <c r="K2844" t="s">
        <v>8566</v>
      </c>
    </row>
    <row r="2845" spans="1:11">
      <c r="A2845" t="s">
        <v>8567</v>
      </c>
      <c r="J2845" t="s">
        <v>8568</v>
      </c>
      <c r="K2845" t="s">
        <v>8569</v>
      </c>
    </row>
    <row r="2846" spans="1:11">
      <c r="A2846" t="s">
        <v>8570</v>
      </c>
      <c r="J2846" t="s">
        <v>8571</v>
      </c>
      <c r="K2846" t="s">
        <v>8572</v>
      </c>
    </row>
    <row r="2847" spans="1:11">
      <c r="A2847" t="s">
        <v>8573</v>
      </c>
      <c r="J2847" t="s">
        <v>8574</v>
      </c>
      <c r="K2847" t="s">
        <v>8575</v>
      </c>
    </row>
    <row r="2848" spans="1:11">
      <c r="A2848" t="s">
        <v>8576</v>
      </c>
      <c r="J2848" t="s">
        <v>8577</v>
      </c>
      <c r="K2848" t="s">
        <v>8578</v>
      </c>
    </row>
    <row r="2849" spans="1:11">
      <c r="A2849" t="s">
        <v>8579</v>
      </c>
      <c r="J2849" t="s">
        <v>8580</v>
      </c>
      <c r="K2849" t="s">
        <v>8581</v>
      </c>
    </row>
    <row r="2850" spans="1:11">
      <c r="A2850" t="s">
        <v>8582</v>
      </c>
      <c r="J2850" t="s">
        <v>8583</v>
      </c>
      <c r="K2850" t="s">
        <v>8584</v>
      </c>
    </row>
    <row r="2851" spans="1:11">
      <c r="A2851" t="s">
        <v>8585</v>
      </c>
      <c r="J2851" t="s">
        <v>8586</v>
      </c>
      <c r="K2851" t="s">
        <v>8587</v>
      </c>
    </row>
    <row r="2852" spans="1:11">
      <c r="A2852" t="s">
        <v>8588</v>
      </c>
      <c r="J2852" t="s">
        <v>8589</v>
      </c>
      <c r="K2852" t="s">
        <v>8590</v>
      </c>
    </row>
    <row r="2853" spans="1:11">
      <c r="A2853" t="s">
        <v>8591</v>
      </c>
      <c r="J2853" t="s">
        <v>8592</v>
      </c>
      <c r="K2853" t="s">
        <v>8593</v>
      </c>
    </row>
    <row r="2854" spans="1:11">
      <c r="A2854" t="s">
        <v>8594</v>
      </c>
      <c r="J2854" t="s">
        <v>8595</v>
      </c>
      <c r="K2854" t="s">
        <v>8596</v>
      </c>
    </row>
    <row r="2855" spans="1:11">
      <c r="A2855" t="s">
        <v>8597</v>
      </c>
      <c r="J2855" t="s">
        <v>8598</v>
      </c>
      <c r="K2855" t="s">
        <v>8599</v>
      </c>
    </row>
    <row r="2856" spans="1:11">
      <c r="A2856" t="s">
        <v>8600</v>
      </c>
      <c r="J2856" t="s">
        <v>8601</v>
      </c>
      <c r="K2856" t="s">
        <v>8602</v>
      </c>
    </row>
    <row r="2857" spans="1:11">
      <c r="A2857" t="s">
        <v>8603</v>
      </c>
      <c r="J2857" t="s">
        <v>8604</v>
      </c>
      <c r="K2857" t="s">
        <v>8605</v>
      </c>
    </row>
    <row r="2858" spans="1:11">
      <c r="A2858" t="s">
        <v>8606</v>
      </c>
      <c r="J2858" t="s">
        <v>8607</v>
      </c>
      <c r="K2858" t="s">
        <v>8608</v>
      </c>
    </row>
    <row r="2859" spans="1:11">
      <c r="A2859" t="s">
        <v>8609</v>
      </c>
      <c r="J2859" t="s">
        <v>8610</v>
      </c>
      <c r="K2859" t="s">
        <v>8611</v>
      </c>
    </row>
    <row r="2860" spans="1:11">
      <c r="A2860" t="s">
        <v>8612</v>
      </c>
      <c r="J2860" t="s">
        <v>8613</v>
      </c>
      <c r="K2860" t="s">
        <v>8614</v>
      </c>
    </row>
    <row r="2861" spans="1:11">
      <c r="A2861" t="s">
        <v>8615</v>
      </c>
      <c r="J2861" t="s">
        <v>8616</v>
      </c>
      <c r="K2861" t="s">
        <v>8617</v>
      </c>
    </row>
    <row r="2862" spans="1:11">
      <c r="A2862" t="s">
        <v>8618</v>
      </c>
      <c r="J2862" t="s">
        <v>8619</v>
      </c>
      <c r="K2862" t="s">
        <v>8620</v>
      </c>
    </row>
    <row r="2863" spans="1:11">
      <c r="A2863" t="s">
        <v>8621</v>
      </c>
      <c r="J2863" t="s">
        <v>8622</v>
      </c>
      <c r="K2863" t="s">
        <v>8623</v>
      </c>
    </row>
    <row r="2864" spans="1:11">
      <c r="A2864" t="s">
        <v>8624</v>
      </c>
      <c r="J2864" t="s">
        <v>8625</v>
      </c>
      <c r="K2864" t="s">
        <v>8626</v>
      </c>
    </row>
    <row r="2865" spans="1:11">
      <c r="A2865" t="s">
        <v>8627</v>
      </c>
      <c r="J2865" t="s">
        <v>8628</v>
      </c>
      <c r="K2865" t="s">
        <v>8629</v>
      </c>
    </row>
    <row r="2866" spans="1:11">
      <c r="A2866" t="s">
        <v>8630</v>
      </c>
      <c r="J2866" t="s">
        <v>8631</v>
      </c>
      <c r="K2866" t="s">
        <v>8632</v>
      </c>
    </row>
    <row r="2867" spans="1:11">
      <c r="A2867" t="s">
        <v>8633</v>
      </c>
      <c r="J2867" t="s">
        <v>8634</v>
      </c>
      <c r="K2867" t="s">
        <v>8635</v>
      </c>
    </row>
    <row r="2868" spans="1:11">
      <c r="A2868" t="s">
        <v>8636</v>
      </c>
      <c r="J2868" t="s">
        <v>8637</v>
      </c>
      <c r="K2868" t="s">
        <v>8638</v>
      </c>
    </row>
    <row r="2869" spans="1:11">
      <c r="A2869" t="s">
        <v>8639</v>
      </c>
      <c r="J2869" t="s">
        <v>8640</v>
      </c>
      <c r="K2869" t="s">
        <v>8641</v>
      </c>
    </row>
    <row r="2870" spans="1:11">
      <c r="A2870" t="s">
        <v>8642</v>
      </c>
      <c r="J2870" t="s">
        <v>8643</v>
      </c>
      <c r="K2870" t="s">
        <v>8644</v>
      </c>
    </row>
    <row r="2871" spans="1:11">
      <c r="A2871" t="s">
        <v>8645</v>
      </c>
      <c r="J2871" t="s">
        <v>8646</v>
      </c>
      <c r="K2871" t="s">
        <v>8647</v>
      </c>
    </row>
    <row r="2872" spans="1:11">
      <c r="A2872" t="s">
        <v>8648</v>
      </c>
      <c r="J2872" t="s">
        <v>8649</v>
      </c>
      <c r="K2872" t="s">
        <v>8650</v>
      </c>
    </row>
    <row r="2873" spans="1:11">
      <c r="A2873" t="s">
        <v>8651</v>
      </c>
      <c r="J2873" t="s">
        <v>8652</v>
      </c>
      <c r="K2873" t="s">
        <v>8653</v>
      </c>
    </row>
    <row r="2874" spans="1:11">
      <c r="A2874" t="s">
        <v>8654</v>
      </c>
      <c r="J2874" t="s">
        <v>8655</v>
      </c>
      <c r="K2874" t="s">
        <v>8656</v>
      </c>
    </row>
    <row r="2875" spans="1:11">
      <c r="A2875" t="s">
        <v>8657</v>
      </c>
      <c r="J2875" t="s">
        <v>8658</v>
      </c>
      <c r="K2875" t="s">
        <v>8659</v>
      </c>
    </row>
    <row r="2876" spans="1:11">
      <c r="A2876" t="s">
        <v>8660</v>
      </c>
      <c r="J2876" t="s">
        <v>8661</v>
      </c>
      <c r="K2876" t="s">
        <v>8662</v>
      </c>
    </row>
    <row r="2877" spans="1:11">
      <c r="A2877" t="s">
        <v>8663</v>
      </c>
      <c r="J2877" t="s">
        <v>8664</v>
      </c>
      <c r="K2877" t="s">
        <v>8665</v>
      </c>
    </row>
    <row r="2878" spans="1:11">
      <c r="A2878" t="s">
        <v>8666</v>
      </c>
      <c r="J2878" t="s">
        <v>8667</v>
      </c>
      <c r="K2878" t="s">
        <v>8668</v>
      </c>
    </row>
    <row r="2879" spans="1:11">
      <c r="A2879" t="s">
        <v>8669</v>
      </c>
      <c r="J2879" t="s">
        <v>8670</v>
      </c>
      <c r="K2879" t="s">
        <v>8671</v>
      </c>
    </row>
    <row r="2880" spans="1:11">
      <c r="A2880" t="s">
        <v>8672</v>
      </c>
      <c r="J2880" t="s">
        <v>8673</v>
      </c>
      <c r="K2880" t="s">
        <v>8674</v>
      </c>
    </row>
    <row r="2881" spans="1:11">
      <c r="A2881" t="s">
        <v>8675</v>
      </c>
      <c r="J2881" t="s">
        <v>8676</v>
      </c>
      <c r="K2881" t="s">
        <v>8677</v>
      </c>
    </row>
    <row r="2882" spans="1:11">
      <c r="A2882" t="s">
        <v>8678</v>
      </c>
      <c r="J2882" t="s">
        <v>8679</v>
      </c>
      <c r="K2882" t="s">
        <v>8680</v>
      </c>
    </row>
    <row r="2883" spans="1:11">
      <c r="A2883" t="s">
        <v>8681</v>
      </c>
      <c r="J2883" t="s">
        <v>8682</v>
      </c>
      <c r="K2883" t="s">
        <v>8683</v>
      </c>
    </row>
    <row r="2884" spans="1:11">
      <c r="A2884" t="s">
        <v>8684</v>
      </c>
      <c r="J2884" t="s">
        <v>8685</v>
      </c>
      <c r="K2884" t="s">
        <v>8686</v>
      </c>
    </row>
    <row r="2885" spans="1:11">
      <c r="A2885" t="s">
        <v>8687</v>
      </c>
      <c r="J2885" t="s">
        <v>8688</v>
      </c>
      <c r="K2885" t="s">
        <v>8689</v>
      </c>
    </row>
    <row r="2886" spans="1:11">
      <c r="A2886" t="s">
        <v>8690</v>
      </c>
      <c r="J2886" t="s">
        <v>8691</v>
      </c>
      <c r="K2886" t="s">
        <v>8692</v>
      </c>
    </row>
    <row r="2887" spans="1:11">
      <c r="A2887" t="s">
        <v>8693</v>
      </c>
      <c r="J2887" t="s">
        <v>8694</v>
      </c>
      <c r="K2887" t="s">
        <v>8695</v>
      </c>
    </row>
    <row r="2888" spans="1:11">
      <c r="A2888" t="s">
        <v>8696</v>
      </c>
      <c r="J2888" t="s">
        <v>8697</v>
      </c>
      <c r="K2888" t="s">
        <v>8698</v>
      </c>
    </row>
    <row r="2889" spans="1:11">
      <c r="A2889" t="s">
        <v>8699</v>
      </c>
      <c r="J2889" t="s">
        <v>8700</v>
      </c>
      <c r="K2889" t="s">
        <v>8701</v>
      </c>
    </row>
    <row r="2890" spans="1:11">
      <c r="A2890" t="s">
        <v>8702</v>
      </c>
      <c r="J2890" t="s">
        <v>8703</v>
      </c>
      <c r="K2890" t="s">
        <v>8704</v>
      </c>
    </row>
    <row r="2891" spans="1:11">
      <c r="A2891" t="s">
        <v>8705</v>
      </c>
      <c r="J2891" t="s">
        <v>8706</v>
      </c>
      <c r="K2891" t="s">
        <v>8707</v>
      </c>
    </row>
    <row r="2892" spans="1:11">
      <c r="A2892" t="s">
        <v>8708</v>
      </c>
      <c r="J2892" t="s">
        <v>8709</v>
      </c>
      <c r="K2892" t="s">
        <v>8710</v>
      </c>
    </row>
    <row r="2893" spans="1:11">
      <c r="A2893" t="s">
        <v>8711</v>
      </c>
      <c r="J2893" t="s">
        <v>8712</v>
      </c>
      <c r="K2893" t="s">
        <v>8713</v>
      </c>
    </row>
    <row r="2894" spans="1:11">
      <c r="A2894" t="s">
        <v>8714</v>
      </c>
      <c r="J2894" t="s">
        <v>8715</v>
      </c>
      <c r="K2894" t="s">
        <v>8716</v>
      </c>
    </row>
    <row r="2895" spans="1:11">
      <c r="A2895" t="s">
        <v>8717</v>
      </c>
      <c r="J2895" t="s">
        <v>8718</v>
      </c>
      <c r="K2895" t="s">
        <v>8719</v>
      </c>
    </row>
    <row r="2896" spans="1:11">
      <c r="A2896" t="s">
        <v>8720</v>
      </c>
      <c r="J2896" t="s">
        <v>8721</v>
      </c>
      <c r="K2896" t="s">
        <v>8722</v>
      </c>
    </row>
    <row r="2897" spans="1:11">
      <c r="A2897" t="s">
        <v>8723</v>
      </c>
      <c r="J2897" t="s">
        <v>8724</v>
      </c>
      <c r="K2897" t="s">
        <v>8725</v>
      </c>
    </row>
    <row r="2898" spans="1:11">
      <c r="A2898" t="s">
        <v>8726</v>
      </c>
      <c r="J2898" t="s">
        <v>8727</v>
      </c>
      <c r="K2898" t="s">
        <v>8728</v>
      </c>
    </row>
    <row r="2899" spans="1:11">
      <c r="A2899" t="s">
        <v>8729</v>
      </c>
      <c r="J2899" t="s">
        <v>8730</v>
      </c>
      <c r="K2899" t="s">
        <v>8731</v>
      </c>
    </row>
    <row r="2900" spans="1:11">
      <c r="A2900" t="s">
        <v>8732</v>
      </c>
      <c r="J2900" t="s">
        <v>8733</v>
      </c>
      <c r="K2900" t="s">
        <v>8734</v>
      </c>
    </row>
    <row r="2901" spans="1:11">
      <c r="A2901" t="s">
        <v>8735</v>
      </c>
      <c r="J2901" t="s">
        <v>8736</v>
      </c>
      <c r="K2901" t="s">
        <v>8737</v>
      </c>
    </row>
    <row r="2902" spans="1:11">
      <c r="A2902" t="s">
        <v>8738</v>
      </c>
      <c r="J2902" t="s">
        <v>8739</v>
      </c>
      <c r="K2902" t="s">
        <v>8740</v>
      </c>
    </row>
    <row r="2903" spans="1:11">
      <c r="A2903" t="s">
        <v>8741</v>
      </c>
      <c r="J2903" t="s">
        <v>8742</v>
      </c>
      <c r="K2903" t="s">
        <v>8743</v>
      </c>
    </row>
    <row r="2904" spans="1:11">
      <c r="A2904" t="s">
        <v>8744</v>
      </c>
      <c r="J2904" t="s">
        <v>8745</v>
      </c>
      <c r="K2904" t="s">
        <v>8746</v>
      </c>
    </row>
    <row r="2905" spans="1:11">
      <c r="A2905" t="s">
        <v>8747</v>
      </c>
      <c r="J2905" t="s">
        <v>8748</v>
      </c>
      <c r="K2905" t="s">
        <v>8749</v>
      </c>
    </row>
    <row r="2906" spans="1:11">
      <c r="A2906" t="s">
        <v>8750</v>
      </c>
      <c r="J2906" t="s">
        <v>8751</v>
      </c>
      <c r="K2906" t="s">
        <v>8752</v>
      </c>
    </row>
    <row r="2907" spans="1:11">
      <c r="A2907" t="s">
        <v>8753</v>
      </c>
      <c r="J2907" t="s">
        <v>8754</v>
      </c>
      <c r="K2907" t="s">
        <v>8755</v>
      </c>
    </row>
    <row r="2908" spans="1:11">
      <c r="A2908" t="s">
        <v>8756</v>
      </c>
      <c r="J2908" t="s">
        <v>8757</v>
      </c>
      <c r="K2908" t="s">
        <v>8758</v>
      </c>
    </row>
    <row r="2909" spans="1:11">
      <c r="A2909" t="s">
        <v>8759</v>
      </c>
      <c r="J2909" t="s">
        <v>8760</v>
      </c>
      <c r="K2909" t="s">
        <v>8761</v>
      </c>
    </row>
    <row r="2910" spans="1:11">
      <c r="A2910" t="s">
        <v>8762</v>
      </c>
      <c r="J2910" t="s">
        <v>8763</v>
      </c>
      <c r="K2910" t="s">
        <v>8764</v>
      </c>
    </row>
    <row r="2911" spans="1:11">
      <c r="A2911" t="s">
        <v>8765</v>
      </c>
      <c r="J2911" t="s">
        <v>8766</v>
      </c>
      <c r="K2911" t="s">
        <v>8767</v>
      </c>
    </row>
    <row r="2912" spans="1:11">
      <c r="A2912" t="s">
        <v>8768</v>
      </c>
      <c r="J2912" t="s">
        <v>8769</v>
      </c>
      <c r="K2912" t="s">
        <v>8770</v>
      </c>
    </row>
    <row r="2913" spans="1:11">
      <c r="A2913" t="s">
        <v>8771</v>
      </c>
      <c r="J2913" t="s">
        <v>8772</v>
      </c>
      <c r="K2913" t="s">
        <v>8773</v>
      </c>
    </row>
    <row r="2914" spans="1:11">
      <c r="A2914" t="s">
        <v>8774</v>
      </c>
      <c r="J2914" t="s">
        <v>8775</v>
      </c>
      <c r="K2914" t="s">
        <v>8776</v>
      </c>
    </row>
    <row r="2915" spans="1:11">
      <c r="A2915" t="s">
        <v>8777</v>
      </c>
      <c r="J2915" t="s">
        <v>8778</v>
      </c>
      <c r="K2915" t="s">
        <v>8779</v>
      </c>
    </row>
    <row r="2916" spans="1:11">
      <c r="A2916" t="s">
        <v>8780</v>
      </c>
      <c r="J2916" t="s">
        <v>8781</v>
      </c>
      <c r="K2916" t="s">
        <v>8782</v>
      </c>
    </row>
    <row r="2917" spans="1:11">
      <c r="A2917" t="s">
        <v>8783</v>
      </c>
      <c r="J2917" t="s">
        <v>8784</v>
      </c>
      <c r="K2917" t="s">
        <v>8785</v>
      </c>
    </row>
    <row r="2918" spans="1:11">
      <c r="A2918" t="s">
        <v>8786</v>
      </c>
      <c r="J2918" t="s">
        <v>8787</v>
      </c>
      <c r="K2918" t="s">
        <v>8788</v>
      </c>
    </row>
    <row r="2919" spans="1:11">
      <c r="A2919" t="s">
        <v>8789</v>
      </c>
      <c r="J2919" t="s">
        <v>8790</v>
      </c>
      <c r="K2919" t="s">
        <v>8791</v>
      </c>
    </row>
    <row r="2920" spans="1:11">
      <c r="A2920" t="s">
        <v>8792</v>
      </c>
      <c r="J2920" t="s">
        <v>8793</v>
      </c>
      <c r="K2920" t="s">
        <v>8794</v>
      </c>
    </row>
    <row r="2921" spans="1:11">
      <c r="A2921" t="s">
        <v>8795</v>
      </c>
      <c r="J2921" t="s">
        <v>8796</v>
      </c>
      <c r="K2921" t="s">
        <v>8797</v>
      </c>
    </row>
    <row r="2922" spans="1:11">
      <c r="A2922" t="s">
        <v>8798</v>
      </c>
      <c r="J2922" t="s">
        <v>8799</v>
      </c>
      <c r="K2922" t="s">
        <v>8800</v>
      </c>
    </row>
    <row r="2923" spans="1:11">
      <c r="A2923" t="s">
        <v>8801</v>
      </c>
      <c r="J2923" t="s">
        <v>8802</v>
      </c>
      <c r="K2923" t="s">
        <v>8803</v>
      </c>
    </row>
    <row r="2924" spans="1:11">
      <c r="A2924" t="s">
        <v>8804</v>
      </c>
      <c r="J2924" t="s">
        <v>8805</v>
      </c>
      <c r="K2924" t="s">
        <v>8806</v>
      </c>
    </row>
    <row r="2925" spans="1:11">
      <c r="A2925" t="s">
        <v>8807</v>
      </c>
      <c r="J2925" t="s">
        <v>8808</v>
      </c>
      <c r="K2925" t="s">
        <v>8809</v>
      </c>
    </row>
    <row r="2926" spans="1:11">
      <c r="A2926" t="s">
        <v>8810</v>
      </c>
      <c r="J2926" t="s">
        <v>8811</v>
      </c>
      <c r="K2926" t="s">
        <v>8812</v>
      </c>
    </row>
    <row r="2927" spans="1:11">
      <c r="A2927" t="s">
        <v>8813</v>
      </c>
      <c r="J2927" t="s">
        <v>8814</v>
      </c>
      <c r="K2927" t="s">
        <v>8815</v>
      </c>
    </row>
    <row r="2928" spans="1:11">
      <c r="A2928" t="s">
        <v>8816</v>
      </c>
      <c r="J2928" t="s">
        <v>8817</v>
      </c>
      <c r="K2928" t="s">
        <v>8818</v>
      </c>
    </row>
    <row r="2929" spans="1:11">
      <c r="A2929" t="s">
        <v>8819</v>
      </c>
      <c r="J2929" t="s">
        <v>8820</v>
      </c>
      <c r="K2929" t="s">
        <v>8821</v>
      </c>
    </row>
    <row r="2930" spans="1:11">
      <c r="A2930" t="s">
        <v>8822</v>
      </c>
      <c r="J2930" t="s">
        <v>8823</v>
      </c>
      <c r="K2930" t="s">
        <v>8824</v>
      </c>
    </row>
    <row r="2931" spans="1:11">
      <c r="A2931" t="s">
        <v>8825</v>
      </c>
      <c r="J2931" t="s">
        <v>8826</v>
      </c>
      <c r="K2931" t="s">
        <v>8827</v>
      </c>
    </row>
    <row r="2932" spans="1:11">
      <c r="A2932" t="s">
        <v>8828</v>
      </c>
      <c r="J2932" t="s">
        <v>8829</v>
      </c>
      <c r="K2932" t="s">
        <v>8830</v>
      </c>
    </row>
    <row r="2933" spans="1:11">
      <c r="A2933" t="s">
        <v>8831</v>
      </c>
      <c r="J2933" t="s">
        <v>8832</v>
      </c>
      <c r="K2933" t="s">
        <v>8833</v>
      </c>
    </row>
    <row r="2934" spans="1:11">
      <c r="A2934" t="s">
        <v>8834</v>
      </c>
      <c r="J2934" t="s">
        <v>8835</v>
      </c>
      <c r="K2934" t="s">
        <v>8836</v>
      </c>
    </row>
    <row r="2935" spans="1:11">
      <c r="A2935" t="s">
        <v>8837</v>
      </c>
      <c r="J2935" t="s">
        <v>8838</v>
      </c>
      <c r="K2935" t="s">
        <v>8839</v>
      </c>
    </row>
    <row r="2936" spans="1:11">
      <c r="A2936" t="s">
        <v>8840</v>
      </c>
      <c r="J2936" t="s">
        <v>8841</v>
      </c>
      <c r="K2936" t="s">
        <v>8842</v>
      </c>
    </row>
    <row r="2937" spans="1:11">
      <c r="A2937" t="s">
        <v>8843</v>
      </c>
      <c r="J2937" t="s">
        <v>8844</v>
      </c>
      <c r="K2937" t="s">
        <v>8845</v>
      </c>
    </row>
    <row r="2938" spans="1:11">
      <c r="A2938" t="s">
        <v>8846</v>
      </c>
      <c r="J2938" t="s">
        <v>8847</v>
      </c>
      <c r="K2938" t="s">
        <v>8848</v>
      </c>
    </row>
    <row r="2939" spans="1:11">
      <c r="A2939" t="s">
        <v>8849</v>
      </c>
      <c r="J2939" t="s">
        <v>8850</v>
      </c>
      <c r="K2939" t="s">
        <v>8851</v>
      </c>
    </row>
    <row r="2940" spans="1:11">
      <c r="A2940" t="s">
        <v>8852</v>
      </c>
      <c r="J2940" t="s">
        <v>8853</v>
      </c>
      <c r="K2940" t="s">
        <v>8854</v>
      </c>
    </row>
    <row r="2941" spans="1:11">
      <c r="A2941" t="s">
        <v>8855</v>
      </c>
      <c r="J2941" t="s">
        <v>8856</v>
      </c>
      <c r="K2941" t="s">
        <v>8857</v>
      </c>
    </row>
    <row r="2942" spans="1:11">
      <c r="A2942" t="s">
        <v>8858</v>
      </c>
      <c r="J2942" t="s">
        <v>8859</v>
      </c>
      <c r="K2942" t="s">
        <v>8860</v>
      </c>
    </row>
    <row r="2943" spans="1:11">
      <c r="A2943" t="s">
        <v>8861</v>
      </c>
      <c r="J2943" t="s">
        <v>8862</v>
      </c>
      <c r="K2943" t="s">
        <v>8863</v>
      </c>
    </row>
    <row r="2944" spans="1:11">
      <c r="A2944" t="s">
        <v>8864</v>
      </c>
      <c r="J2944" t="s">
        <v>8865</v>
      </c>
      <c r="K2944" t="s">
        <v>8866</v>
      </c>
    </row>
    <row r="2945" spans="1:11">
      <c r="A2945" t="s">
        <v>8867</v>
      </c>
      <c r="J2945" t="s">
        <v>8868</v>
      </c>
      <c r="K2945" t="s">
        <v>8869</v>
      </c>
    </row>
    <row r="2946" spans="1:11">
      <c r="A2946" t="s">
        <v>8870</v>
      </c>
      <c r="J2946" t="s">
        <v>8871</v>
      </c>
      <c r="K2946" t="s">
        <v>8872</v>
      </c>
    </row>
    <row r="2947" spans="1:11">
      <c r="A2947" t="s">
        <v>8873</v>
      </c>
      <c r="J2947" t="s">
        <v>8874</v>
      </c>
      <c r="K2947" t="s">
        <v>8875</v>
      </c>
    </row>
    <row r="2948" spans="1:11">
      <c r="A2948" t="s">
        <v>8876</v>
      </c>
      <c r="J2948" t="s">
        <v>8877</v>
      </c>
      <c r="K2948" t="s">
        <v>8878</v>
      </c>
    </row>
    <row r="2949" spans="1:11">
      <c r="A2949" t="s">
        <v>8879</v>
      </c>
      <c r="J2949" t="s">
        <v>8880</v>
      </c>
      <c r="K2949" t="s">
        <v>8881</v>
      </c>
    </row>
    <row r="2950" spans="1:11">
      <c r="A2950" t="s">
        <v>8882</v>
      </c>
      <c r="J2950" t="s">
        <v>8883</v>
      </c>
      <c r="K2950" t="s">
        <v>8884</v>
      </c>
    </row>
    <row r="2951" spans="1:11">
      <c r="A2951" t="s">
        <v>8885</v>
      </c>
      <c r="J2951" t="s">
        <v>8886</v>
      </c>
      <c r="K2951" t="s">
        <v>8887</v>
      </c>
    </row>
    <row r="2952" spans="1:11">
      <c r="A2952" t="s">
        <v>8888</v>
      </c>
      <c r="J2952" t="s">
        <v>8889</v>
      </c>
      <c r="K2952" t="s">
        <v>8890</v>
      </c>
    </row>
    <row r="2953" spans="1:11">
      <c r="A2953" t="s">
        <v>8891</v>
      </c>
      <c r="J2953" t="s">
        <v>8892</v>
      </c>
      <c r="K2953" t="s">
        <v>8893</v>
      </c>
    </row>
    <row r="2954" spans="1:11">
      <c r="A2954" t="s">
        <v>8894</v>
      </c>
      <c r="J2954" t="s">
        <v>8895</v>
      </c>
      <c r="K2954" t="s">
        <v>8896</v>
      </c>
    </row>
    <row r="2955" spans="1:11">
      <c r="A2955" t="s">
        <v>8897</v>
      </c>
      <c r="J2955" t="s">
        <v>8898</v>
      </c>
      <c r="K2955" t="s">
        <v>8899</v>
      </c>
    </row>
    <row r="2956" spans="1:11">
      <c r="A2956" t="s">
        <v>8900</v>
      </c>
      <c r="J2956" t="s">
        <v>8901</v>
      </c>
      <c r="K2956" t="s">
        <v>8902</v>
      </c>
    </row>
    <row r="2957" spans="1:11">
      <c r="A2957" t="s">
        <v>8903</v>
      </c>
      <c r="J2957" t="s">
        <v>8904</v>
      </c>
      <c r="K2957" t="s">
        <v>8905</v>
      </c>
    </row>
    <row r="2958" spans="1:11">
      <c r="A2958" t="s">
        <v>8906</v>
      </c>
      <c r="J2958" t="s">
        <v>8907</v>
      </c>
      <c r="K2958" t="s">
        <v>8908</v>
      </c>
    </row>
    <row r="2959" spans="1:11">
      <c r="A2959" t="s">
        <v>8909</v>
      </c>
      <c r="J2959" t="s">
        <v>8910</v>
      </c>
      <c r="K2959" t="s">
        <v>8911</v>
      </c>
    </row>
    <row r="2960" spans="1:11">
      <c r="A2960" t="s">
        <v>8912</v>
      </c>
      <c r="J2960" t="s">
        <v>8913</v>
      </c>
      <c r="K2960" t="s">
        <v>8914</v>
      </c>
    </row>
    <row r="2961" spans="1:11">
      <c r="A2961" t="s">
        <v>8915</v>
      </c>
      <c r="J2961" t="s">
        <v>8916</v>
      </c>
      <c r="K2961" t="s">
        <v>8917</v>
      </c>
    </row>
    <row r="2962" spans="1:11">
      <c r="A2962" t="s">
        <v>8918</v>
      </c>
      <c r="J2962" t="s">
        <v>8919</v>
      </c>
      <c r="K2962" t="s">
        <v>8920</v>
      </c>
    </row>
    <row r="2963" spans="1:11">
      <c r="A2963" t="s">
        <v>8921</v>
      </c>
      <c r="J2963" t="s">
        <v>8922</v>
      </c>
      <c r="K2963" t="s">
        <v>8923</v>
      </c>
    </row>
    <row r="2964" spans="1:11">
      <c r="A2964" t="s">
        <v>8924</v>
      </c>
      <c r="J2964" t="s">
        <v>8925</v>
      </c>
      <c r="K2964" t="s">
        <v>8926</v>
      </c>
    </row>
    <row r="2965" spans="1:11">
      <c r="A2965" t="s">
        <v>8927</v>
      </c>
      <c r="J2965" t="s">
        <v>8928</v>
      </c>
      <c r="K2965" t="s">
        <v>8929</v>
      </c>
    </row>
    <row r="2966" spans="1:11">
      <c r="A2966" t="s">
        <v>8930</v>
      </c>
      <c r="J2966" t="s">
        <v>8931</v>
      </c>
      <c r="K2966" t="s">
        <v>8932</v>
      </c>
    </row>
    <row r="2967" spans="1:11">
      <c r="A2967" t="s">
        <v>8933</v>
      </c>
      <c r="J2967" t="s">
        <v>8934</v>
      </c>
      <c r="K2967" t="s">
        <v>8935</v>
      </c>
    </row>
    <row r="2968" spans="1:11">
      <c r="A2968" t="s">
        <v>8936</v>
      </c>
      <c r="J2968" t="s">
        <v>8937</v>
      </c>
      <c r="K2968" t="s">
        <v>8938</v>
      </c>
    </row>
    <row r="2969" spans="1:11">
      <c r="A2969" t="s">
        <v>8939</v>
      </c>
      <c r="J2969" t="s">
        <v>8940</v>
      </c>
      <c r="K2969" t="s">
        <v>8941</v>
      </c>
    </row>
    <row r="2970" spans="1:11">
      <c r="A2970" t="s">
        <v>8942</v>
      </c>
      <c r="J2970" t="s">
        <v>8943</v>
      </c>
      <c r="K2970" t="s">
        <v>8944</v>
      </c>
    </row>
    <row r="2971" spans="1:11">
      <c r="A2971" t="s">
        <v>8945</v>
      </c>
      <c r="J2971" t="s">
        <v>8946</v>
      </c>
      <c r="K2971" t="s">
        <v>8947</v>
      </c>
    </row>
    <row r="2972" spans="1:11">
      <c r="A2972" t="s">
        <v>8948</v>
      </c>
      <c r="J2972" t="s">
        <v>8949</v>
      </c>
      <c r="K2972" t="s">
        <v>8950</v>
      </c>
    </row>
    <row r="2973" spans="1:11">
      <c r="A2973" t="s">
        <v>8951</v>
      </c>
      <c r="J2973" t="s">
        <v>8952</v>
      </c>
      <c r="K2973" t="s">
        <v>8953</v>
      </c>
    </row>
    <row r="2974" spans="1:11">
      <c r="A2974" t="s">
        <v>8954</v>
      </c>
      <c r="J2974" t="s">
        <v>8955</v>
      </c>
      <c r="K2974" t="s">
        <v>8956</v>
      </c>
    </row>
    <row r="2975" spans="1:11">
      <c r="A2975" t="s">
        <v>8957</v>
      </c>
      <c r="J2975" t="s">
        <v>8958</v>
      </c>
      <c r="K2975" t="s">
        <v>8959</v>
      </c>
    </row>
    <row r="2976" spans="1:11">
      <c r="A2976" t="s">
        <v>8960</v>
      </c>
      <c r="J2976" t="s">
        <v>8961</v>
      </c>
      <c r="K2976" t="s">
        <v>8962</v>
      </c>
    </row>
    <row r="2977" spans="1:11">
      <c r="A2977" t="s">
        <v>8963</v>
      </c>
      <c r="J2977" t="s">
        <v>8964</v>
      </c>
      <c r="K2977" t="s">
        <v>8965</v>
      </c>
    </row>
    <row r="2978" spans="1:11">
      <c r="A2978" t="s">
        <v>8966</v>
      </c>
      <c r="J2978" t="s">
        <v>8967</v>
      </c>
      <c r="K2978" t="s">
        <v>8968</v>
      </c>
    </row>
    <row r="2979" spans="1:11">
      <c r="A2979" t="s">
        <v>8969</v>
      </c>
      <c r="J2979" t="s">
        <v>8970</v>
      </c>
      <c r="K2979" t="s">
        <v>8971</v>
      </c>
    </row>
    <row r="2980" spans="1:11">
      <c r="A2980" t="s">
        <v>8972</v>
      </c>
      <c r="J2980" t="s">
        <v>8973</v>
      </c>
      <c r="K2980" t="s">
        <v>8974</v>
      </c>
    </row>
    <row r="2981" spans="1:11">
      <c r="A2981" t="s">
        <v>8975</v>
      </c>
      <c r="J2981" t="s">
        <v>8976</v>
      </c>
      <c r="K2981" t="s">
        <v>8977</v>
      </c>
    </row>
    <row r="2982" spans="1:11">
      <c r="A2982" t="s">
        <v>8978</v>
      </c>
      <c r="J2982" t="s">
        <v>8979</v>
      </c>
      <c r="K2982" t="s">
        <v>8980</v>
      </c>
    </row>
    <row r="2983" spans="1:11">
      <c r="A2983" t="s">
        <v>8981</v>
      </c>
      <c r="J2983" t="s">
        <v>8982</v>
      </c>
      <c r="K2983" t="s">
        <v>8983</v>
      </c>
    </row>
    <row r="2984" spans="1:11">
      <c r="A2984" t="s">
        <v>8984</v>
      </c>
      <c r="J2984" t="s">
        <v>8985</v>
      </c>
      <c r="K2984" t="s">
        <v>8986</v>
      </c>
    </row>
    <row r="2985" spans="1:11">
      <c r="A2985" t="s">
        <v>8987</v>
      </c>
      <c r="J2985" t="s">
        <v>8988</v>
      </c>
      <c r="K2985" t="s">
        <v>8989</v>
      </c>
    </row>
    <row r="2986" spans="1:11">
      <c r="A2986" t="s">
        <v>8990</v>
      </c>
      <c r="J2986" t="s">
        <v>8991</v>
      </c>
      <c r="K2986" t="s">
        <v>8992</v>
      </c>
    </row>
    <row r="2987" spans="1:11">
      <c r="A2987" t="s">
        <v>8993</v>
      </c>
      <c r="J2987" t="s">
        <v>8994</v>
      </c>
      <c r="K2987" t="s">
        <v>8995</v>
      </c>
    </row>
    <row r="2988" spans="1:11">
      <c r="A2988" t="s">
        <v>8996</v>
      </c>
      <c r="J2988" t="s">
        <v>8997</v>
      </c>
      <c r="K2988" t="s">
        <v>8998</v>
      </c>
    </row>
    <row r="2989" spans="1:11">
      <c r="A2989" t="s">
        <v>8999</v>
      </c>
      <c r="J2989" t="s">
        <v>9000</v>
      </c>
      <c r="K2989" t="s">
        <v>9001</v>
      </c>
    </row>
    <row r="2990" spans="1:11">
      <c r="A2990" t="s">
        <v>9002</v>
      </c>
      <c r="J2990" t="s">
        <v>9003</v>
      </c>
      <c r="K2990" t="s">
        <v>9004</v>
      </c>
    </row>
    <row r="2991" spans="1:11">
      <c r="A2991" t="s">
        <v>9005</v>
      </c>
      <c r="J2991" t="s">
        <v>9006</v>
      </c>
      <c r="K2991" t="s">
        <v>9007</v>
      </c>
    </row>
    <row r="2992" spans="1:11">
      <c r="A2992" t="s">
        <v>9008</v>
      </c>
      <c r="J2992" t="s">
        <v>9009</v>
      </c>
      <c r="K2992" t="s">
        <v>9010</v>
      </c>
    </row>
    <row r="2993" spans="1:11">
      <c r="A2993" t="s">
        <v>9011</v>
      </c>
      <c r="J2993" t="s">
        <v>9012</v>
      </c>
      <c r="K2993" t="s">
        <v>9013</v>
      </c>
    </row>
    <row r="2994" spans="1:11">
      <c r="A2994" t="s">
        <v>9014</v>
      </c>
      <c r="J2994" t="s">
        <v>9015</v>
      </c>
      <c r="K2994" t="s">
        <v>9016</v>
      </c>
    </row>
    <row r="2995" spans="1:11">
      <c r="A2995" t="s">
        <v>9017</v>
      </c>
      <c r="J2995" t="s">
        <v>9018</v>
      </c>
      <c r="K2995" t="s">
        <v>9019</v>
      </c>
    </row>
    <row r="2996" spans="1:11">
      <c r="A2996" t="s">
        <v>9020</v>
      </c>
      <c r="J2996" t="s">
        <v>9021</v>
      </c>
      <c r="K2996" t="s">
        <v>9022</v>
      </c>
    </row>
    <row r="2997" spans="1:11">
      <c r="A2997" t="s">
        <v>9023</v>
      </c>
      <c r="J2997" t="s">
        <v>9024</v>
      </c>
      <c r="K2997" t="s">
        <v>9025</v>
      </c>
    </row>
    <row r="2998" spans="1:11">
      <c r="A2998" t="s">
        <v>9026</v>
      </c>
      <c r="J2998" t="s">
        <v>9027</v>
      </c>
      <c r="K2998" t="s">
        <v>9028</v>
      </c>
    </row>
    <row r="2999" spans="1:11">
      <c r="A2999" t="s">
        <v>9029</v>
      </c>
      <c r="J2999" t="s">
        <v>9030</v>
      </c>
      <c r="K2999" t="s">
        <v>9031</v>
      </c>
    </row>
    <row r="3000" spans="1:11">
      <c r="A3000" t="s">
        <v>9032</v>
      </c>
      <c r="J3000" t="s">
        <v>9033</v>
      </c>
      <c r="K3000" t="s">
        <v>9034</v>
      </c>
    </row>
    <row r="3001" spans="1:11">
      <c r="A3001" t="s">
        <v>9035</v>
      </c>
      <c r="J3001" t="s">
        <v>9036</v>
      </c>
      <c r="K3001" t="s">
        <v>9037</v>
      </c>
    </row>
    <row r="3002" spans="1:11">
      <c r="A3002" t="s">
        <v>9038</v>
      </c>
      <c r="J3002" t="s">
        <v>9039</v>
      </c>
      <c r="K3002" t="s">
        <v>9040</v>
      </c>
    </row>
    <row r="3003" spans="1:11">
      <c r="A3003" t="s">
        <v>9041</v>
      </c>
      <c r="J3003" t="s">
        <v>9042</v>
      </c>
      <c r="K3003" t="s">
        <v>9043</v>
      </c>
    </row>
    <row r="3004" spans="1:11">
      <c r="A3004" t="s">
        <v>9044</v>
      </c>
      <c r="J3004" t="s">
        <v>9045</v>
      </c>
      <c r="K3004" t="s">
        <v>9046</v>
      </c>
    </row>
    <row r="3005" spans="1:11">
      <c r="A3005" t="s">
        <v>9047</v>
      </c>
      <c r="J3005" t="s">
        <v>9048</v>
      </c>
      <c r="K3005" t="s">
        <v>9049</v>
      </c>
    </row>
    <row r="3006" spans="1:11">
      <c r="A3006" t="s">
        <v>9050</v>
      </c>
      <c r="J3006" t="s">
        <v>9051</v>
      </c>
      <c r="K3006" t="s">
        <v>9052</v>
      </c>
    </row>
    <row r="3007" spans="1:11">
      <c r="A3007" t="s">
        <v>9053</v>
      </c>
      <c r="J3007" t="s">
        <v>9054</v>
      </c>
      <c r="K3007" t="s">
        <v>9055</v>
      </c>
    </row>
    <row r="3008" spans="1:11">
      <c r="A3008" t="s">
        <v>9056</v>
      </c>
      <c r="J3008" t="s">
        <v>9057</v>
      </c>
      <c r="K3008" t="s">
        <v>9058</v>
      </c>
    </row>
    <row r="3009" spans="1:11">
      <c r="A3009" t="s">
        <v>9059</v>
      </c>
      <c r="J3009" t="s">
        <v>9060</v>
      </c>
      <c r="K3009" t="s">
        <v>9061</v>
      </c>
    </row>
    <row r="3010" spans="1:11">
      <c r="A3010" t="s">
        <v>9062</v>
      </c>
      <c r="J3010" t="s">
        <v>9063</v>
      </c>
      <c r="K3010" t="s">
        <v>9064</v>
      </c>
    </row>
    <row r="3011" spans="1:11">
      <c r="A3011" t="s">
        <v>9065</v>
      </c>
      <c r="J3011" t="s">
        <v>9066</v>
      </c>
      <c r="K3011" t="s">
        <v>9067</v>
      </c>
    </row>
    <row r="3012" spans="1:11">
      <c r="A3012" t="s">
        <v>9068</v>
      </c>
      <c r="J3012" t="s">
        <v>9069</v>
      </c>
      <c r="K3012" t="s">
        <v>9070</v>
      </c>
    </row>
    <row r="3013" spans="1:11">
      <c r="A3013" t="s">
        <v>9071</v>
      </c>
      <c r="J3013" t="s">
        <v>9072</v>
      </c>
      <c r="K3013" t="s">
        <v>9073</v>
      </c>
    </row>
    <row r="3014" spans="1:11">
      <c r="A3014" t="s">
        <v>9074</v>
      </c>
      <c r="J3014" t="s">
        <v>9075</v>
      </c>
      <c r="K3014" t="s">
        <v>9076</v>
      </c>
    </row>
    <row r="3015" spans="1:11">
      <c r="A3015" t="s">
        <v>9077</v>
      </c>
      <c r="J3015" t="s">
        <v>9078</v>
      </c>
      <c r="K3015" t="s">
        <v>9079</v>
      </c>
    </row>
    <row r="3016" spans="1:11">
      <c r="A3016" t="s">
        <v>9080</v>
      </c>
      <c r="J3016" t="s">
        <v>9081</v>
      </c>
      <c r="K3016" t="s">
        <v>9082</v>
      </c>
    </row>
    <row r="3017" spans="1:11">
      <c r="A3017" t="s">
        <v>9083</v>
      </c>
      <c r="J3017" t="s">
        <v>9084</v>
      </c>
      <c r="K3017" t="s">
        <v>9085</v>
      </c>
    </row>
    <row r="3018" spans="1:11">
      <c r="A3018" t="s">
        <v>9086</v>
      </c>
      <c r="J3018" t="s">
        <v>9087</v>
      </c>
      <c r="K3018" t="s">
        <v>9088</v>
      </c>
    </row>
    <row r="3019" spans="1:11">
      <c r="A3019" t="s">
        <v>9089</v>
      </c>
      <c r="J3019" t="s">
        <v>9090</v>
      </c>
      <c r="K3019" t="s">
        <v>9091</v>
      </c>
    </row>
    <row r="3020" spans="1:11">
      <c r="A3020" t="s">
        <v>9092</v>
      </c>
      <c r="J3020" t="s">
        <v>9093</v>
      </c>
      <c r="K3020" t="s">
        <v>9094</v>
      </c>
    </row>
    <row r="3021" spans="1:11">
      <c r="A3021" t="s">
        <v>9095</v>
      </c>
      <c r="J3021" t="s">
        <v>9096</v>
      </c>
      <c r="K3021" t="s">
        <v>9097</v>
      </c>
    </row>
    <row r="3022" spans="1:11">
      <c r="A3022" t="s">
        <v>9098</v>
      </c>
      <c r="J3022" t="s">
        <v>9099</v>
      </c>
      <c r="K3022" t="s">
        <v>9100</v>
      </c>
    </row>
    <row r="3023" spans="1:11">
      <c r="A3023" t="s">
        <v>9101</v>
      </c>
      <c r="J3023" t="s">
        <v>9102</v>
      </c>
      <c r="K3023" t="s">
        <v>9103</v>
      </c>
    </row>
    <row r="3024" spans="1:11">
      <c r="A3024" t="s">
        <v>9104</v>
      </c>
      <c r="J3024" t="s">
        <v>9105</v>
      </c>
      <c r="K3024" t="s">
        <v>9106</v>
      </c>
    </row>
    <row r="3025" spans="1:11">
      <c r="A3025" t="s">
        <v>9107</v>
      </c>
      <c r="J3025" t="s">
        <v>9108</v>
      </c>
      <c r="K3025" t="s">
        <v>9109</v>
      </c>
    </row>
    <row r="3026" spans="1:11">
      <c r="A3026" t="s">
        <v>9110</v>
      </c>
      <c r="J3026" t="s">
        <v>9111</v>
      </c>
      <c r="K3026" t="s">
        <v>9112</v>
      </c>
    </row>
    <row r="3027" spans="1:11">
      <c r="A3027" t="s">
        <v>9113</v>
      </c>
      <c r="J3027" t="s">
        <v>9114</v>
      </c>
      <c r="K3027" t="s">
        <v>9115</v>
      </c>
    </row>
    <row r="3028" spans="1:11">
      <c r="A3028" t="s">
        <v>9116</v>
      </c>
      <c r="J3028" t="s">
        <v>9117</v>
      </c>
      <c r="K3028" t="s">
        <v>9118</v>
      </c>
    </row>
    <row r="3029" spans="1:11">
      <c r="A3029" t="s">
        <v>9119</v>
      </c>
      <c r="J3029" t="s">
        <v>9120</v>
      </c>
      <c r="K3029" t="s">
        <v>9121</v>
      </c>
    </row>
    <row r="3030" spans="1:11">
      <c r="A3030" t="s">
        <v>9122</v>
      </c>
      <c r="J3030" t="s">
        <v>9123</v>
      </c>
      <c r="K3030" t="s">
        <v>9124</v>
      </c>
    </row>
    <row r="3031" spans="1:11">
      <c r="A3031" t="s">
        <v>9125</v>
      </c>
      <c r="J3031" t="s">
        <v>9126</v>
      </c>
      <c r="K3031" t="s">
        <v>9127</v>
      </c>
    </row>
    <row r="3032" spans="1:11">
      <c r="A3032" t="s">
        <v>9128</v>
      </c>
      <c r="J3032" t="s">
        <v>9129</v>
      </c>
      <c r="K3032" t="s">
        <v>9130</v>
      </c>
    </row>
    <row r="3033" spans="1:11">
      <c r="A3033" t="s">
        <v>9131</v>
      </c>
      <c r="J3033" t="s">
        <v>9132</v>
      </c>
      <c r="K3033" t="s">
        <v>9133</v>
      </c>
    </row>
    <row r="3034" spans="1:11">
      <c r="A3034" t="s">
        <v>9134</v>
      </c>
      <c r="J3034" t="s">
        <v>9135</v>
      </c>
      <c r="K3034" t="s">
        <v>9136</v>
      </c>
    </row>
    <row r="3035" spans="1:11">
      <c r="A3035" t="s">
        <v>9137</v>
      </c>
      <c r="J3035" t="s">
        <v>9138</v>
      </c>
      <c r="K3035" t="s">
        <v>9139</v>
      </c>
    </row>
    <row r="3036" spans="1:11">
      <c r="A3036" t="s">
        <v>9140</v>
      </c>
      <c r="J3036" t="s">
        <v>9141</v>
      </c>
      <c r="K3036" t="s">
        <v>9142</v>
      </c>
    </row>
    <row r="3037" spans="1:11">
      <c r="A3037" t="s">
        <v>9143</v>
      </c>
      <c r="J3037" t="s">
        <v>9144</v>
      </c>
      <c r="K3037" t="s">
        <v>9145</v>
      </c>
    </row>
    <row r="3038" spans="1:11">
      <c r="A3038" t="s">
        <v>9146</v>
      </c>
      <c r="J3038" t="s">
        <v>9147</v>
      </c>
      <c r="K3038" t="s">
        <v>9148</v>
      </c>
    </row>
    <row r="3039" spans="1:11">
      <c r="A3039" t="s">
        <v>9149</v>
      </c>
      <c r="J3039" t="s">
        <v>9150</v>
      </c>
      <c r="K3039" t="s">
        <v>9151</v>
      </c>
    </row>
    <row r="3040" spans="1:11">
      <c r="A3040" t="s">
        <v>9152</v>
      </c>
      <c r="J3040" t="s">
        <v>9153</v>
      </c>
      <c r="K3040" t="s">
        <v>9154</v>
      </c>
    </row>
    <row r="3041" spans="1:11">
      <c r="A3041" t="s">
        <v>9155</v>
      </c>
      <c r="J3041" t="s">
        <v>9156</v>
      </c>
      <c r="K3041" t="s">
        <v>9157</v>
      </c>
    </row>
    <row r="3042" spans="1:11">
      <c r="A3042" t="s">
        <v>9158</v>
      </c>
      <c r="J3042" t="s">
        <v>9159</v>
      </c>
      <c r="K3042" t="s">
        <v>9160</v>
      </c>
    </row>
    <row r="3043" spans="1:11">
      <c r="A3043" t="s">
        <v>9161</v>
      </c>
      <c r="J3043" t="s">
        <v>9162</v>
      </c>
      <c r="K3043" t="s">
        <v>9163</v>
      </c>
    </row>
    <row r="3044" spans="1:11">
      <c r="A3044" t="s">
        <v>9164</v>
      </c>
      <c r="J3044" t="s">
        <v>9165</v>
      </c>
      <c r="K3044" t="s">
        <v>9166</v>
      </c>
    </row>
    <row r="3045" spans="1:11">
      <c r="A3045" t="s">
        <v>9167</v>
      </c>
      <c r="J3045" t="s">
        <v>9168</v>
      </c>
      <c r="K3045" t="s">
        <v>9169</v>
      </c>
    </row>
    <row r="3046" spans="1:11">
      <c r="A3046" t="s">
        <v>9170</v>
      </c>
      <c r="J3046" t="s">
        <v>9171</v>
      </c>
      <c r="K3046" t="s">
        <v>9172</v>
      </c>
    </row>
    <row r="3047" spans="1:11">
      <c r="A3047" t="s">
        <v>9173</v>
      </c>
      <c r="J3047" t="s">
        <v>9174</v>
      </c>
      <c r="K3047" t="s">
        <v>9175</v>
      </c>
    </row>
    <row r="3048" spans="1:11">
      <c r="A3048" t="s">
        <v>9176</v>
      </c>
      <c r="J3048" t="s">
        <v>9177</v>
      </c>
      <c r="K3048" t="s">
        <v>9178</v>
      </c>
    </row>
    <row r="3049" spans="1:11">
      <c r="A3049" t="s">
        <v>9179</v>
      </c>
      <c r="J3049" t="s">
        <v>9180</v>
      </c>
      <c r="K3049" t="s">
        <v>9181</v>
      </c>
    </row>
    <row r="3050" spans="1:11">
      <c r="A3050" t="s">
        <v>9182</v>
      </c>
      <c r="J3050" t="s">
        <v>9183</v>
      </c>
      <c r="K3050" t="s">
        <v>9184</v>
      </c>
    </row>
    <row r="3051" spans="1:11">
      <c r="A3051" t="s">
        <v>9185</v>
      </c>
      <c r="J3051" t="s">
        <v>9186</v>
      </c>
      <c r="K3051" t="s">
        <v>9187</v>
      </c>
    </row>
    <row r="3052" spans="1:11">
      <c r="A3052" t="s">
        <v>9188</v>
      </c>
      <c r="J3052" t="s">
        <v>9189</v>
      </c>
      <c r="K3052" t="s">
        <v>9190</v>
      </c>
    </row>
    <row r="3053" spans="1:11">
      <c r="A3053" t="s">
        <v>9191</v>
      </c>
      <c r="J3053" t="s">
        <v>9192</v>
      </c>
      <c r="K3053" t="s">
        <v>9193</v>
      </c>
    </row>
    <row r="3054" spans="1:11">
      <c r="A3054" t="s">
        <v>9194</v>
      </c>
      <c r="J3054" t="s">
        <v>9195</v>
      </c>
      <c r="K3054" t="s">
        <v>9196</v>
      </c>
    </row>
    <row r="3055" spans="1:11">
      <c r="A3055" t="s">
        <v>9197</v>
      </c>
      <c r="J3055" t="s">
        <v>9198</v>
      </c>
      <c r="K3055" t="s">
        <v>9199</v>
      </c>
    </row>
    <row r="3056" spans="1:11">
      <c r="A3056" t="s">
        <v>9200</v>
      </c>
      <c r="J3056" t="s">
        <v>9201</v>
      </c>
      <c r="K3056" t="s">
        <v>9202</v>
      </c>
    </row>
    <row r="3057" spans="1:11">
      <c r="A3057" t="s">
        <v>9203</v>
      </c>
      <c r="J3057" t="s">
        <v>9204</v>
      </c>
      <c r="K3057" t="s">
        <v>9205</v>
      </c>
    </row>
    <row r="3058" spans="1:11">
      <c r="A3058" t="s">
        <v>9206</v>
      </c>
      <c r="J3058" t="s">
        <v>9207</v>
      </c>
      <c r="K3058" t="s">
        <v>9208</v>
      </c>
    </row>
    <row r="3059" spans="1:11">
      <c r="A3059" t="s">
        <v>9209</v>
      </c>
      <c r="J3059" t="s">
        <v>9210</v>
      </c>
      <c r="K3059" t="s">
        <v>9211</v>
      </c>
    </row>
    <row r="3060" spans="1:11">
      <c r="A3060" t="s">
        <v>9212</v>
      </c>
      <c r="J3060" t="s">
        <v>9213</v>
      </c>
      <c r="K3060" t="s">
        <v>9214</v>
      </c>
    </row>
    <row r="3061" spans="1:11">
      <c r="A3061" t="s">
        <v>9215</v>
      </c>
      <c r="J3061" t="s">
        <v>9216</v>
      </c>
      <c r="K3061" t="s">
        <v>9217</v>
      </c>
    </row>
    <row r="3062" spans="1:11">
      <c r="A3062" t="s">
        <v>9218</v>
      </c>
      <c r="J3062" t="s">
        <v>9219</v>
      </c>
      <c r="K3062" t="s">
        <v>9220</v>
      </c>
    </row>
    <row r="3063" spans="1:11">
      <c r="A3063" t="s">
        <v>9221</v>
      </c>
      <c r="J3063" t="s">
        <v>9222</v>
      </c>
      <c r="K3063" t="s">
        <v>9223</v>
      </c>
    </row>
    <row r="3064" spans="1:11">
      <c r="A3064" t="s">
        <v>9224</v>
      </c>
      <c r="J3064" t="s">
        <v>9225</v>
      </c>
      <c r="K3064" t="s">
        <v>9226</v>
      </c>
    </row>
    <row r="3065" spans="1:11">
      <c r="A3065" t="s">
        <v>9227</v>
      </c>
      <c r="J3065" t="s">
        <v>9228</v>
      </c>
      <c r="K3065" t="s">
        <v>9229</v>
      </c>
    </row>
    <row r="3066" spans="1:11">
      <c r="A3066" t="s">
        <v>9230</v>
      </c>
      <c r="J3066" t="s">
        <v>9231</v>
      </c>
      <c r="K3066" t="s">
        <v>9232</v>
      </c>
    </row>
    <row r="3067" spans="1:11">
      <c r="A3067" t="s">
        <v>9233</v>
      </c>
      <c r="J3067" t="s">
        <v>9234</v>
      </c>
      <c r="K3067" t="s">
        <v>9235</v>
      </c>
    </row>
    <row r="3068" spans="1:11">
      <c r="A3068" t="s">
        <v>9236</v>
      </c>
      <c r="J3068" t="s">
        <v>9237</v>
      </c>
      <c r="K3068" t="s">
        <v>9238</v>
      </c>
    </row>
    <row r="3069" spans="1:11">
      <c r="A3069" t="s">
        <v>9239</v>
      </c>
      <c r="J3069" t="s">
        <v>9240</v>
      </c>
      <c r="K3069" t="s">
        <v>9241</v>
      </c>
    </row>
    <row r="3070" spans="1:11">
      <c r="A3070" t="s">
        <v>9242</v>
      </c>
      <c r="J3070" t="s">
        <v>9243</v>
      </c>
      <c r="K3070" t="s">
        <v>9244</v>
      </c>
    </row>
    <row r="3071" spans="1:11">
      <c r="A3071" t="s">
        <v>9245</v>
      </c>
      <c r="J3071" t="s">
        <v>9246</v>
      </c>
      <c r="K3071" t="s">
        <v>9247</v>
      </c>
    </row>
    <row r="3072" spans="1:11">
      <c r="A3072" t="s">
        <v>9248</v>
      </c>
      <c r="J3072" t="s">
        <v>9249</v>
      </c>
      <c r="K3072" t="s">
        <v>9250</v>
      </c>
    </row>
    <row r="3073" spans="1:11">
      <c r="A3073" t="s">
        <v>9251</v>
      </c>
      <c r="J3073" t="s">
        <v>9252</v>
      </c>
      <c r="K3073" t="s">
        <v>9253</v>
      </c>
    </row>
    <row r="3074" spans="1:11">
      <c r="A3074" t="s">
        <v>9254</v>
      </c>
      <c r="J3074" t="s">
        <v>9255</v>
      </c>
      <c r="K3074" t="s">
        <v>9256</v>
      </c>
    </row>
    <row r="3075" spans="1:11">
      <c r="A3075" t="s">
        <v>9257</v>
      </c>
      <c r="J3075" t="s">
        <v>9258</v>
      </c>
      <c r="K3075" t="s">
        <v>9259</v>
      </c>
    </row>
    <row r="3076" spans="1:11">
      <c r="A3076" t="s">
        <v>9260</v>
      </c>
      <c r="J3076" t="s">
        <v>9261</v>
      </c>
      <c r="K3076" t="s">
        <v>9262</v>
      </c>
    </row>
    <row r="3077" spans="1:11">
      <c r="A3077" t="s">
        <v>9263</v>
      </c>
      <c r="J3077" t="s">
        <v>9264</v>
      </c>
      <c r="K3077" t="s">
        <v>9265</v>
      </c>
    </row>
    <row r="3078" spans="1:11">
      <c r="A3078" t="s">
        <v>9266</v>
      </c>
      <c r="J3078" t="s">
        <v>9267</v>
      </c>
      <c r="K3078" t="s">
        <v>9268</v>
      </c>
    </row>
    <row r="3079" spans="1:11">
      <c r="A3079" t="s">
        <v>9269</v>
      </c>
      <c r="J3079" t="s">
        <v>9270</v>
      </c>
      <c r="K3079" t="s">
        <v>9271</v>
      </c>
    </row>
    <row r="3080" spans="1:11">
      <c r="A3080" t="s">
        <v>9272</v>
      </c>
      <c r="J3080" t="s">
        <v>9273</v>
      </c>
      <c r="K3080" t="s">
        <v>9274</v>
      </c>
    </row>
    <row r="3081" spans="1:11">
      <c r="A3081" t="s">
        <v>9275</v>
      </c>
      <c r="J3081" t="s">
        <v>9276</v>
      </c>
      <c r="K3081" t="s">
        <v>9277</v>
      </c>
    </row>
    <row r="3082" spans="1:11">
      <c r="A3082" t="s">
        <v>9278</v>
      </c>
      <c r="J3082" t="s">
        <v>9279</v>
      </c>
      <c r="K3082" t="s">
        <v>9280</v>
      </c>
    </row>
    <row r="3083" spans="1:11">
      <c r="A3083" t="s">
        <v>9281</v>
      </c>
      <c r="J3083" t="s">
        <v>9282</v>
      </c>
      <c r="K3083" t="s">
        <v>9283</v>
      </c>
    </row>
    <row r="3084" spans="1:11">
      <c r="A3084" t="s">
        <v>9284</v>
      </c>
      <c r="J3084" t="s">
        <v>9285</v>
      </c>
      <c r="K3084" t="s">
        <v>9286</v>
      </c>
    </row>
    <row r="3085" spans="1:11">
      <c r="A3085" t="s">
        <v>9287</v>
      </c>
      <c r="J3085" t="s">
        <v>9288</v>
      </c>
      <c r="K3085" t="s">
        <v>9289</v>
      </c>
    </row>
    <row r="3086" spans="1:11">
      <c r="A3086" t="s">
        <v>9290</v>
      </c>
      <c r="J3086" t="s">
        <v>9291</v>
      </c>
      <c r="K3086" t="s">
        <v>9292</v>
      </c>
    </row>
    <row r="3087" spans="1:11">
      <c r="A3087" t="s">
        <v>9293</v>
      </c>
      <c r="J3087" t="s">
        <v>9294</v>
      </c>
      <c r="K3087" t="s">
        <v>9295</v>
      </c>
    </row>
    <row r="3088" spans="1:11">
      <c r="A3088" t="s">
        <v>9296</v>
      </c>
      <c r="J3088" t="s">
        <v>9297</v>
      </c>
      <c r="K3088" t="s">
        <v>9298</v>
      </c>
    </row>
    <row r="3089" spans="1:11">
      <c r="A3089" t="s">
        <v>9299</v>
      </c>
      <c r="J3089" t="s">
        <v>9300</v>
      </c>
      <c r="K3089" t="s">
        <v>9301</v>
      </c>
    </row>
    <row r="3090" spans="1:11">
      <c r="A3090" t="s">
        <v>9302</v>
      </c>
      <c r="J3090" t="s">
        <v>9303</v>
      </c>
      <c r="K3090" t="s">
        <v>9304</v>
      </c>
    </row>
    <row r="3091" spans="1:11">
      <c r="A3091" t="s">
        <v>9305</v>
      </c>
      <c r="J3091" t="s">
        <v>9306</v>
      </c>
      <c r="K3091" t="s">
        <v>9307</v>
      </c>
    </row>
    <row r="3092" spans="1:11">
      <c r="A3092" t="s">
        <v>9308</v>
      </c>
      <c r="J3092" t="s">
        <v>9309</v>
      </c>
      <c r="K3092" t="s">
        <v>9310</v>
      </c>
    </row>
    <row r="3093" spans="1:11">
      <c r="A3093" t="s">
        <v>9311</v>
      </c>
      <c r="J3093" t="s">
        <v>9312</v>
      </c>
      <c r="K3093" t="s">
        <v>9313</v>
      </c>
    </row>
    <row r="3094" spans="1:11">
      <c r="A3094" t="s">
        <v>9314</v>
      </c>
      <c r="J3094" t="s">
        <v>9315</v>
      </c>
      <c r="K3094" t="s">
        <v>9316</v>
      </c>
    </row>
    <row r="3095" spans="1:11">
      <c r="A3095" t="s">
        <v>9317</v>
      </c>
      <c r="J3095" t="s">
        <v>9318</v>
      </c>
      <c r="K3095" t="s">
        <v>9319</v>
      </c>
    </row>
    <row r="3096" spans="1:11">
      <c r="A3096" t="s">
        <v>9320</v>
      </c>
      <c r="J3096" t="s">
        <v>9321</v>
      </c>
      <c r="K3096" t="s">
        <v>9322</v>
      </c>
    </row>
    <row r="3097" spans="1:11">
      <c r="A3097" t="s">
        <v>9323</v>
      </c>
      <c r="J3097" t="s">
        <v>9324</v>
      </c>
      <c r="K3097" t="s">
        <v>9325</v>
      </c>
    </row>
    <row r="3098" spans="1:11">
      <c r="A3098" t="s">
        <v>9326</v>
      </c>
      <c r="J3098" t="s">
        <v>9327</v>
      </c>
      <c r="K3098" t="s">
        <v>9328</v>
      </c>
    </row>
    <row r="3099" spans="1:11">
      <c r="A3099" t="s">
        <v>9329</v>
      </c>
      <c r="J3099" t="s">
        <v>9330</v>
      </c>
      <c r="K3099" t="s">
        <v>9331</v>
      </c>
    </row>
    <row r="3100" spans="1:11">
      <c r="A3100" t="s">
        <v>9332</v>
      </c>
      <c r="J3100" t="s">
        <v>9333</v>
      </c>
      <c r="K3100" t="s">
        <v>9334</v>
      </c>
    </row>
    <row r="3101" spans="1:11">
      <c r="A3101" t="s">
        <v>9335</v>
      </c>
      <c r="J3101" t="s">
        <v>9336</v>
      </c>
      <c r="K3101" t="s">
        <v>9337</v>
      </c>
    </row>
    <row r="3102" spans="1:11">
      <c r="A3102" t="s">
        <v>9338</v>
      </c>
      <c r="J3102" t="s">
        <v>9339</v>
      </c>
      <c r="K3102" t="s">
        <v>9340</v>
      </c>
    </row>
    <row r="3103" spans="1:11">
      <c r="A3103" t="s">
        <v>9341</v>
      </c>
      <c r="J3103" t="s">
        <v>9342</v>
      </c>
      <c r="K3103" t="s">
        <v>9343</v>
      </c>
    </row>
    <row r="3104" spans="1:11">
      <c r="A3104" t="s">
        <v>9344</v>
      </c>
      <c r="J3104" t="s">
        <v>9345</v>
      </c>
      <c r="K3104" t="s">
        <v>9346</v>
      </c>
    </row>
    <row r="3105" spans="1:11">
      <c r="A3105" t="s">
        <v>9347</v>
      </c>
      <c r="J3105" t="s">
        <v>9348</v>
      </c>
      <c r="K3105" t="s">
        <v>9349</v>
      </c>
    </row>
    <row r="3106" spans="1:11">
      <c r="A3106" t="s">
        <v>9350</v>
      </c>
      <c r="J3106" t="s">
        <v>9351</v>
      </c>
      <c r="K3106" t="s">
        <v>9352</v>
      </c>
    </row>
    <row r="3107" spans="1:11">
      <c r="A3107" t="s">
        <v>9353</v>
      </c>
      <c r="J3107" t="s">
        <v>9354</v>
      </c>
      <c r="K3107" t="s">
        <v>9355</v>
      </c>
    </row>
    <row r="3108" spans="1:11">
      <c r="A3108" t="s">
        <v>9356</v>
      </c>
      <c r="J3108" t="s">
        <v>9357</v>
      </c>
      <c r="K3108" t="s">
        <v>9358</v>
      </c>
    </row>
    <row r="3109" spans="1:11">
      <c r="A3109" t="s">
        <v>9359</v>
      </c>
      <c r="J3109" t="s">
        <v>9360</v>
      </c>
      <c r="K3109" t="s">
        <v>9361</v>
      </c>
    </row>
    <row r="3110" spans="1:11">
      <c r="A3110" t="s">
        <v>9362</v>
      </c>
      <c r="J3110" t="s">
        <v>9363</v>
      </c>
      <c r="K3110" t="s">
        <v>9364</v>
      </c>
    </row>
    <row r="3111" spans="1:11">
      <c r="A3111" t="s">
        <v>9365</v>
      </c>
      <c r="J3111" t="s">
        <v>9366</v>
      </c>
      <c r="K3111" t="s">
        <v>9367</v>
      </c>
    </row>
    <row r="3112" spans="1:11">
      <c r="A3112" t="s">
        <v>9368</v>
      </c>
      <c r="J3112" t="s">
        <v>9369</v>
      </c>
      <c r="K3112" t="s">
        <v>9370</v>
      </c>
    </row>
    <row r="3113" spans="1:11">
      <c r="A3113" t="s">
        <v>9371</v>
      </c>
      <c r="J3113" t="s">
        <v>9372</v>
      </c>
      <c r="K3113" t="s">
        <v>9373</v>
      </c>
    </row>
    <row r="3114" spans="1:11">
      <c r="A3114" t="s">
        <v>9374</v>
      </c>
      <c r="J3114" t="s">
        <v>9375</v>
      </c>
      <c r="K3114" t="s">
        <v>9376</v>
      </c>
    </row>
    <row r="3115" spans="1:11">
      <c r="A3115" t="s">
        <v>9377</v>
      </c>
      <c r="J3115" t="s">
        <v>9378</v>
      </c>
      <c r="K3115" t="s">
        <v>9379</v>
      </c>
    </row>
    <row r="3116" spans="1:11">
      <c r="A3116" t="s">
        <v>9380</v>
      </c>
      <c r="J3116" t="s">
        <v>9381</v>
      </c>
      <c r="K3116" t="s">
        <v>9382</v>
      </c>
    </row>
    <row r="3117" spans="1:11">
      <c r="A3117" t="s">
        <v>9383</v>
      </c>
      <c r="J3117" t="s">
        <v>9384</v>
      </c>
      <c r="K3117" t="s">
        <v>9385</v>
      </c>
    </row>
    <row r="3118" spans="1:11">
      <c r="A3118" t="s">
        <v>9386</v>
      </c>
      <c r="J3118" t="s">
        <v>9387</v>
      </c>
      <c r="K3118" t="s">
        <v>9388</v>
      </c>
    </row>
    <row r="3119" spans="1:11">
      <c r="A3119" t="s">
        <v>9389</v>
      </c>
      <c r="J3119" t="s">
        <v>9390</v>
      </c>
      <c r="K3119" t="s">
        <v>9391</v>
      </c>
    </row>
    <row r="3120" spans="1:11">
      <c r="A3120" t="s">
        <v>9392</v>
      </c>
      <c r="J3120" t="s">
        <v>9393</v>
      </c>
      <c r="K3120" t="s">
        <v>9394</v>
      </c>
    </row>
    <row r="3121" spans="1:11">
      <c r="A3121" t="s">
        <v>9395</v>
      </c>
      <c r="J3121" t="s">
        <v>9396</v>
      </c>
      <c r="K3121" t="s">
        <v>9397</v>
      </c>
    </row>
    <row r="3122" spans="1:11">
      <c r="A3122" t="s">
        <v>9398</v>
      </c>
      <c r="J3122" t="s">
        <v>9399</v>
      </c>
      <c r="K3122" t="s">
        <v>9400</v>
      </c>
    </row>
    <row r="3123" spans="1:11">
      <c r="A3123" t="s">
        <v>9401</v>
      </c>
      <c r="J3123" t="s">
        <v>9402</v>
      </c>
      <c r="K3123" t="s">
        <v>9403</v>
      </c>
    </row>
    <row r="3124" spans="1:11">
      <c r="A3124" t="s">
        <v>9404</v>
      </c>
      <c r="J3124" t="s">
        <v>9405</v>
      </c>
      <c r="K3124" t="s">
        <v>9406</v>
      </c>
    </row>
    <row r="3125" spans="1:11">
      <c r="A3125" t="s">
        <v>9407</v>
      </c>
      <c r="J3125" t="s">
        <v>9408</v>
      </c>
      <c r="K3125" t="s">
        <v>9409</v>
      </c>
    </row>
    <row r="3126" spans="1:11">
      <c r="A3126" t="s">
        <v>9410</v>
      </c>
      <c r="J3126" t="s">
        <v>9411</v>
      </c>
      <c r="K3126" t="s">
        <v>9412</v>
      </c>
    </row>
    <row r="3127" spans="1:11">
      <c r="A3127" t="s">
        <v>9413</v>
      </c>
      <c r="J3127" t="s">
        <v>9414</v>
      </c>
      <c r="K3127" t="s">
        <v>9415</v>
      </c>
    </row>
    <row r="3128" spans="1:11">
      <c r="A3128" t="s">
        <v>9416</v>
      </c>
      <c r="J3128" t="s">
        <v>9417</v>
      </c>
      <c r="K3128" t="s">
        <v>9418</v>
      </c>
    </row>
    <row r="3129" spans="1:11">
      <c r="A3129" t="s">
        <v>9419</v>
      </c>
      <c r="J3129" t="s">
        <v>9420</v>
      </c>
      <c r="K3129" t="s">
        <v>9421</v>
      </c>
    </row>
    <row r="3130" spans="1:11">
      <c r="A3130" t="s">
        <v>9422</v>
      </c>
      <c r="J3130" t="s">
        <v>9423</v>
      </c>
      <c r="K3130" t="s">
        <v>9424</v>
      </c>
    </row>
    <row r="3131" spans="1:11">
      <c r="A3131" t="s">
        <v>9425</v>
      </c>
      <c r="J3131" t="s">
        <v>9426</v>
      </c>
      <c r="K3131" t="s">
        <v>9427</v>
      </c>
    </row>
    <row r="3132" spans="1:11">
      <c r="A3132" t="s">
        <v>9428</v>
      </c>
      <c r="J3132" t="s">
        <v>9429</v>
      </c>
      <c r="K3132" t="s">
        <v>9430</v>
      </c>
    </row>
    <row r="3133" spans="1:11">
      <c r="A3133" t="s">
        <v>9431</v>
      </c>
      <c r="J3133" t="s">
        <v>9432</v>
      </c>
      <c r="K3133" t="s">
        <v>9433</v>
      </c>
    </row>
    <row r="3134" spans="1:11">
      <c r="A3134" t="s">
        <v>9434</v>
      </c>
      <c r="J3134" t="s">
        <v>9435</v>
      </c>
      <c r="K3134" t="s">
        <v>9436</v>
      </c>
    </row>
    <row r="3135" spans="1:11">
      <c r="A3135" t="s">
        <v>9437</v>
      </c>
      <c r="J3135" t="s">
        <v>9438</v>
      </c>
      <c r="K3135" t="s">
        <v>9439</v>
      </c>
    </row>
    <row r="3136" spans="1:11">
      <c r="A3136" t="s">
        <v>9440</v>
      </c>
      <c r="J3136" t="s">
        <v>9441</v>
      </c>
      <c r="K3136" t="s">
        <v>9442</v>
      </c>
    </row>
    <row r="3137" spans="1:11">
      <c r="A3137" t="s">
        <v>9443</v>
      </c>
      <c r="J3137" t="s">
        <v>9444</v>
      </c>
      <c r="K3137" t="s">
        <v>9445</v>
      </c>
    </row>
    <row r="3138" spans="1:11">
      <c r="A3138" t="s">
        <v>9446</v>
      </c>
      <c r="J3138" t="s">
        <v>9447</v>
      </c>
      <c r="K3138" t="s">
        <v>9448</v>
      </c>
    </row>
    <row r="3139" spans="1:11">
      <c r="A3139" t="s">
        <v>9449</v>
      </c>
      <c r="J3139" t="s">
        <v>9450</v>
      </c>
      <c r="K3139" t="s">
        <v>9451</v>
      </c>
    </row>
    <row r="3140" spans="1:11">
      <c r="A3140" t="s">
        <v>9452</v>
      </c>
      <c r="J3140" t="s">
        <v>9453</v>
      </c>
      <c r="K3140" t="s">
        <v>9454</v>
      </c>
    </row>
    <row r="3141" spans="1:11">
      <c r="A3141" t="s">
        <v>9455</v>
      </c>
      <c r="J3141" t="s">
        <v>9456</v>
      </c>
      <c r="K3141" t="s">
        <v>9457</v>
      </c>
    </row>
    <row r="3142" spans="1:11">
      <c r="A3142" t="s">
        <v>9458</v>
      </c>
      <c r="J3142" t="s">
        <v>9459</v>
      </c>
      <c r="K3142" t="s">
        <v>9460</v>
      </c>
    </row>
    <row r="3143" spans="1:11">
      <c r="A3143" t="s">
        <v>9461</v>
      </c>
      <c r="J3143" t="s">
        <v>9462</v>
      </c>
      <c r="K3143" t="s">
        <v>9463</v>
      </c>
    </row>
    <row r="3144" spans="1:11">
      <c r="A3144" t="s">
        <v>9464</v>
      </c>
      <c r="J3144" t="s">
        <v>9465</v>
      </c>
      <c r="K3144" t="s">
        <v>9466</v>
      </c>
    </row>
    <row r="3145" spans="1:11">
      <c r="A3145" t="s">
        <v>9467</v>
      </c>
      <c r="J3145" t="s">
        <v>9468</v>
      </c>
      <c r="K3145" t="s">
        <v>9469</v>
      </c>
    </row>
    <row r="3146" spans="1:11">
      <c r="A3146" t="s">
        <v>9470</v>
      </c>
      <c r="J3146" t="s">
        <v>9471</v>
      </c>
      <c r="K3146" t="s">
        <v>9472</v>
      </c>
    </row>
    <row r="3147" spans="1:11">
      <c r="A3147" t="s">
        <v>9473</v>
      </c>
      <c r="J3147" t="s">
        <v>9474</v>
      </c>
      <c r="K3147" t="s">
        <v>9475</v>
      </c>
    </row>
    <row r="3148" spans="1:11">
      <c r="A3148" t="s">
        <v>9476</v>
      </c>
      <c r="J3148" t="s">
        <v>9477</v>
      </c>
      <c r="K3148" t="s">
        <v>9478</v>
      </c>
    </row>
    <row r="3149" spans="1:11">
      <c r="A3149" t="s">
        <v>9479</v>
      </c>
      <c r="J3149" t="s">
        <v>9480</v>
      </c>
      <c r="K3149" t="s">
        <v>9481</v>
      </c>
    </row>
    <row r="3150" spans="1:11">
      <c r="A3150" t="s">
        <v>9482</v>
      </c>
      <c r="J3150" t="s">
        <v>9483</v>
      </c>
      <c r="K3150" t="s">
        <v>9484</v>
      </c>
    </row>
    <row r="3151" spans="1:11">
      <c r="A3151" t="s">
        <v>9485</v>
      </c>
      <c r="J3151" t="s">
        <v>9486</v>
      </c>
      <c r="K3151" t="s">
        <v>9487</v>
      </c>
    </row>
    <row r="3152" spans="1:11">
      <c r="A3152" t="s">
        <v>9488</v>
      </c>
      <c r="J3152" t="s">
        <v>9489</v>
      </c>
      <c r="K3152" t="s">
        <v>9490</v>
      </c>
    </row>
    <row r="3153" spans="1:11">
      <c r="A3153" t="s">
        <v>9491</v>
      </c>
      <c r="J3153" t="s">
        <v>9492</v>
      </c>
      <c r="K3153" t="s">
        <v>9493</v>
      </c>
    </row>
    <row r="3154" spans="1:11">
      <c r="A3154" t="s">
        <v>9494</v>
      </c>
      <c r="J3154" t="s">
        <v>9495</v>
      </c>
      <c r="K3154" t="s">
        <v>9496</v>
      </c>
    </row>
    <row r="3155" spans="1:11">
      <c r="A3155" t="s">
        <v>9497</v>
      </c>
      <c r="J3155" t="s">
        <v>9498</v>
      </c>
      <c r="K3155" t="s">
        <v>9499</v>
      </c>
    </row>
    <row r="3156" spans="1:11">
      <c r="A3156" t="s">
        <v>9500</v>
      </c>
      <c r="J3156" t="s">
        <v>9501</v>
      </c>
      <c r="K3156" t="s">
        <v>9502</v>
      </c>
    </row>
    <row r="3157" spans="1:11">
      <c r="A3157" t="s">
        <v>9503</v>
      </c>
      <c r="J3157" t="s">
        <v>9504</v>
      </c>
      <c r="K3157" t="s">
        <v>9505</v>
      </c>
    </row>
    <row r="3158" spans="1:11">
      <c r="A3158" t="s">
        <v>9506</v>
      </c>
      <c r="J3158" t="s">
        <v>9507</v>
      </c>
      <c r="K3158" t="s">
        <v>9508</v>
      </c>
    </row>
    <row r="3159" spans="1:11">
      <c r="A3159" t="s">
        <v>9509</v>
      </c>
      <c r="J3159" t="s">
        <v>9510</v>
      </c>
      <c r="K3159" t="s">
        <v>9511</v>
      </c>
    </row>
    <row r="3160" spans="1:11">
      <c r="A3160" t="s">
        <v>9512</v>
      </c>
      <c r="J3160" t="s">
        <v>9513</v>
      </c>
      <c r="K3160" t="s">
        <v>9514</v>
      </c>
    </row>
    <row r="3161" spans="1:11">
      <c r="A3161" t="s">
        <v>9515</v>
      </c>
      <c r="J3161" t="s">
        <v>9516</v>
      </c>
      <c r="K3161" t="s">
        <v>9517</v>
      </c>
    </row>
    <row r="3162" spans="1:11">
      <c r="A3162" t="s">
        <v>9518</v>
      </c>
      <c r="J3162" t="s">
        <v>9519</v>
      </c>
      <c r="K3162" t="s">
        <v>9520</v>
      </c>
    </row>
    <row r="3163" spans="1:11">
      <c r="A3163" t="s">
        <v>9521</v>
      </c>
      <c r="J3163" t="s">
        <v>9522</v>
      </c>
      <c r="K3163" t="s">
        <v>9523</v>
      </c>
    </row>
    <row r="3164" spans="1:11">
      <c r="A3164" t="s">
        <v>9524</v>
      </c>
      <c r="J3164" t="s">
        <v>9525</v>
      </c>
      <c r="K3164" t="s">
        <v>9526</v>
      </c>
    </row>
    <row r="3165" spans="1:11">
      <c r="A3165" t="s">
        <v>9527</v>
      </c>
      <c r="J3165" t="s">
        <v>9528</v>
      </c>
      <c r="K3165" t="s">
        <v>9529</v>
      </c>
    </row>
    <row r="3166" spans="1:11">
      <c r="A3166" t="s">
        <v>9530</v>
      </c>
      <c r="J3166" t="s">
        <v>9531</v>
      </c>
      <c r="K3166" t="s">
        <v>9532</v>
      </c>
    </row>
    <row r="3167" spans="1:11">
      <c r="A3167" t="s">
        <v>9533</v>
      </c>
      <c r="J3167" t="s">
        <v>9534</v>
      </c>
      <c r="K3167" t="s">
        <v>9535</v>
      </c>
    </row>
    <row r="3168" spans="1:11">
      <c r="A3168" t="s">
        <v>9536</v>
      </c>
      <c r="J3168" t="s">
        <v>9537</v>
      </c>
      <c r="K3168" t="s">
        <v>9538</v>
      </c>
    </row>
    <row r="3169" spans="1:11">
      <c r="A3169" t="s">
        <v>9539</v>
      </c>
      <c r="J3169" t="s">
        <v>9540</v>
      </c>
      <c r="K3169" t="s">
        <v>9541</v>
      </c>
    </row>
    <row r="3170" spans="1:11">
      <c r="A3170" t="s">
        <v>9542</v>
      </c>
      <c r="J3170" t="s">
        <v>9543</v>
      </c>
      <c r="K3170" t="s">
        <v>9544</v>
      </c>
    </row>
    <row r="3171" spans="1:11">
      <c r="A3171" t="s">
        <v>9545</v>
      </c>
      <c r="J3171" t="s">
        <v>9546</v>
      </c>
      <c r="K3171" t="s">
        <v>9547</v>
      </c>
    </row>
    <row r="3172" spans="1:11">
      <c r="A3172" t="s">
        <v>9548</v>
      </c>
      <c r="J3172" t="s">
        <v>9549</v>
      </c>
      <c r="K3172" t="s">
        <v>9550</v>
      </c>
    </row>
    <row r="3173" spans="1:11">
      <c r="A3173" t="s">
        <v>9551</v>
      </c>
      <c r="J3173" t="s">
        <v>9552</v>
      </c>
      <c r="K3173" t="s">
        <v>9553</v>
      </c>
    </row>
    <row r="3174" spans="1:11">
      <c r="A3174" t="s">
        <v>9554</v>
      </c>
      <c r="J3174" t="s">
        <v>9555</v>
      </c>
      <c r="K3174" t="s">
        <v>9556</v>
      </c>
    </row>
    <row r="3175" spans="1:11">
      <c r="A3175" t="s">
        <v>9557</v>
      </c>
      <c r="J3175" t="s">
        <v>9558</v>
      </c>
      <c r="K3175" t="s">
        <v>9559</v>
      </c>
    </row>
    <row r="3176" spans="1:11">
      <c r="A3176" t="s">
        <v>9560</v>
      </c>
      <c r="J3176" t="s">
        <v>9561</v>
      </c>
      <c r="K3176" t="s">
        <v>9562</v>
      </c>
    </row>
    <row r="3177" spans="1:11">
      <c r="A3177" t="s">
        <v>9563</v>
      </c>
      <c r="J3177" t="s">
        <v>9564</v>
      </c>
      <c r="K3177" t="s">
        <v>9565</v>
      </c>
    </row>
    <row r="3178" spans="1:11">
      <c r="A3178" t="s">
        <v>9566</v>
      </c>
      <c r="J3178" t="s">
        <v>9567</v>
      </c>
      <c r="K3178" t="s">
        <v>9568</v>
      </c>
    </row>
    <row r="3179" spans="1:11">
      <c r="A3179" t="s">
        <v>9569</v>
      </c>
      <c r="J3179" t="s">
        <v>9570</v>
      </c>
      <c r="K3179" t="s">
        <v>9571</v>
      </c>
    </row>
    <row r="3180" spans="1:11">
      <c r="A3180" t="s">
        <v>9572</v>
      </c>
      <c r="J3180" t="s">
        <v>9573</v>
      </c>
      <c r="K3180" t="s">
        <v>9574</v>
      </c>
    </row>
    <row r="3181" spans="1:11">
      <c r="A3181" t="s">
        <v>9575</v>
      </c>
      <c r="J3181" t="s">
        <v>9576</v>
      </c>
      <c r="K3181" t="s">
        <v>9577</v>
      </c>
    </row>
    <row r="3182" spans="1:11">
      <c r="A3182" t="s">
        <v>9578</v>
      </c>
      <c r="J3182" t="s">
        <v>9579</v>
      </c>
      <c r="K3182" t="s">
        <v>9580</v>
      </c>
    </row>
    <row r="3183" spans="1:11">
      <c r="A3183" t="s">
        <v>9581</v>
      </c>
      <c r="J3183" t="s">
        <v>9582</v>
      </c>
      <c r="K3183" t="s">
        <v>9583</v>
      </c>
    </row>
    <row r="3184" spans="1:11">
      <c r="A3184" t="s">
        <v>9584</v>
      </c>
      <c r="J3184" t="s">
        <v>9585</v>
      </c>
      <c r="K3184" t="s">
        <v>9586</v>
      </c>
    </row>
    <row r="3185" spans="1:11">
      <c r="A3185" t="s">
        <v>9587</v>
      </c>
      <c r="J3185" t="s">
        <v>9588</v>
      </c>
      <c r="K3185" t="s">
        <v>9589</v>
      </c>
    </row>
    <row r="3186" spans="1:11">
      <c r="A3186" t="s">
        <v>9590</v>
      </c>
      <c r="J3186" t="s">
        <v>9591</v>
      </c>
      <c r="K3186" t="s">
        <v>9592</v>
      </c>
    </row>
    <row r="3187" spans="1:11">
      <c r="A3187" t="s">
        <v>9593</v>
      </c>
      <c r="J3187" t="s">
        <v>9594</v>
      </c>
      <c r="K3187" t="s">
        <v>9595</v>
      </c>
    </row>
    <row r="3188" spans="1:11">
      <c r="A3188" t="s">
        <v>9596</v>
      </c>
      <c r="J3188" t="s">
        <v>9597</v>
      </c>
      <c r="K3188" t="s">
        <v>9598</v>
      </c>
    </row>
    <row r="3189" spans="1:11">
      <c r="A3189" t="s">
        <v>9599</v>
      </c>
      <c r="J3189" t="s">
        <v>9600</v>
      </c>
      <c r="K3189" t="s">
        <v>9601</v>
      </c>
    </row>
    <row r="3190" spans="1:11">
      <c r="A3190" t="s">
        <v>9602</v>
      </c>
      <c r="J3190" t="s">
        <v>9603</v>
      </c>
      <c r="K3190" t="s">
        <v>9604</v>
      </c>
    </row>
    <row r="3191" spans="1:11">
      <c r="A3191" t="s">
        <v>9605</v>
      </c>
      <c r="J3191" t="s">
        <v>9606</v>
      </c>
      <c r="K3191" t="s">
        <v>9607</v>
      </c>
    </row>
    <row r="3192" spans="1:11">
      <c r="A3192" t="s">
        <v>9608</v>
      </c>
      <c r="J3192" t="s">
        <v>9609</v>
      </c>
      <c r="K3192" t="s">
        <v>9610</v>
      </c>
    </row>
    <row r="3193" spans="1:11">
      <c r="A3193" t="s">
        <v>9611</v>
      </c>
      <c r="J3193" t="s">
        <v>9612</v>
      </c>
      <c r="K3193" t="s">
        <v>9613</v>
      </c>
    </row>
    <row r="3194" spans="1:11">
      <c r="A3194" t="s">
        <v>9614</v>
      </c>
      <c r="J3194" t="s">
        <v>9615</v>
      </c>
      <c r="K3194" t="s">
        <v>9616</v>
      </c>
    </row>
    <row r="3195" spans="1:11">
      <c r="A3195" t="s">
        <v>9617</v>
      </c>
      <c r="J3195" t="s">
        <v>9618</v>
      </c>
      <c r="K3195" t="s">
        <v>9619</v>
      </c>
    </row>
    <row r="3196" spans="1:11">
      <c r="A3196" t="s">
        <v>9620</v>
      </c>
      <c r="J3196" t="s">
        <v>9621</v>
      </c>
      <c r="K3196" t="s">
        <v>9622</v>
      </c>
    </row>
    <row r="3197" spans="1:11">
      <c r="A3197" t="s">
        <v>9623</v>
      </c>
      <c r="J3197" t="s">
        <v>9624</v>
      </c>
      <c r="K3197" t="s">
        <v>9625</v>
      </c>
    </row>
    <row r="3198" spans="1:11">
      <c r="A3198" t="s">
        <v>9626</v>
      </c>
      <c r="J3198" t="s">
        <v>9627</v>
      </c>
      <c r="K3198" t="s">
        <v>9628</v>
      </c>
    </row>
    <row r="3199" spans="1:11">
      <c r="A3199" t="s">
        <v>9629</v>
      </c>
      <c r="J3199" t="s">
        <v>9630</v>
      </c>
      <c r="K3199" t="s">
        <v>9631</v>
      </c>
    </row>
    <row r="3200" spans="1:11">
      <c r="A3200" t="s">
        <v>9632</v>
      </c>
      <c r="J3200" t="s">
        <v>9633</v>
      </c>
      <c r="K3200" t="s">
        <v>9634</v>
      </c>
    </row>
    <row r="3201" spans="1:11">
      <c r="A3201" t="s">
        <v>9635</v>
      </c>
      <c r="J3201" t="s">
        <v>9636</v>
      </c>
      <c r="K3201" t="s">
        <v>9637</v>
      </c>
    </row>
    <row r="3202" spans="1:11">
      <c r="A3202" t="s">
        <v>9638</v>
      </c>
      <c r="J3202" t="s">
        <v>9639</v>
      </c>
      <c r="K3202" t="s">
        <v>9640</v>
      </c>
    </row>
    <row r="3203" spans="1:11">
      <c r="A3203" t="s">
        <v>9641</v>
      </c>
      <c r="J3203" t="s">
        <v>9642</v>
      </c>
      <c r="K3203" t="s">
        <v>9643</v>
      </c>
    </row>
    <row r="3204" spans="1:11">
      <c r="A3204" t="s">
        <v>9644</v>
      </c>
      <c r="J3204" t="s">
        <v>9645</v>
      </c>
      <c r="K3204" t="s">
        <v>9646</v>
      </c>
    </row>
    <row r="3205" spans="1:11">
      <c r="A3205" t="s">
        <v>9647</v>
      </c>
      <c r="J3205" t="s">
        <v>9648</v>
      </c>
      <c r="K3205" t="s">
        <v>9649</v>
      </c>
    </row>
    <row r="3206" spans="1:11">
      <c r="A3206" t="s">
        <v>9650</v>
      </c>
      <c r="J3206" t="s">
        <v>9651</v>
      </c>
      <c r="K3206" t="s">
        <v>9652</v>
      </c>
    </row>
    <row r="3207" spans="1:11">
      <c r="A3207" t="s">
        <v>9653</v>
      </c>
      <c r="J3207" t="s">
        <v>9654</v>
      </c>
      <c r="K3207" t="s">
        <v>9655</v>
      </c>
    </row>
    <row r="3208" spans="1:11">
      <c r="A3208" t="s">
        <v>9656</v>
      </c>
      <c r="J3208" t="s">
        <v>9657</v>
      </c>
      <c r="K3208" t="s">
        <v>9658</v>
      </c>
    </row>
    <row r="3209" spans="1:11">
      <c r="A3209" t="s">
        <v>9659</v>
      </c>
      <c r="J3209" t="s">
        <v>9660</v>
      </c>
      <c r="K3209" t="s">
        <v>9661</v>
      </c>
    </row>
    <row r="3210" spans="1:11">
      <c r="A3210" t="s">
        <v>9662</v>
      </c>
      <c r="J3210" t="s">
        <v>9663</v>
      </c>
      <c r="K3210" t="s">
        <v>9664</v>
      </c>
    </row>
    <row r="3211" spans="1:11">
      <c r="A3211" t="s">
        <v>9665</v>
      </c>
      <c r="J3211" t="s">
        <v>9666</v>
      </c>
      <c r="K3211" t="s">
        <v>9667</v>
      </c>
    </row>
    <row r="3212" spans="1:11">
      <c r="A3212" t="s">
        <v>9668</v>
      </c>
      <c r="J3212" t="s">
        <v>9669</v>
      </c>
      <c r="K3212" t="s">
        <v>9670</v>
      </c>
    </row>
    <row r="3213" spans="1:11">
      <c r="A3213" t="s">
        <v>9671</v>
      </c>
      <c r="J3213" t="s">
        <v>9672</v>
      </c>
      <c r="K3213" t="s">
        <v>9673</v>
      </c>
    </row>
    <row r="3214" spans="1:11">
      <c r="A3214" t="s">
        <v>9674</v>
      </c>
      <c r="J3214" t="s">
        <v>9675</v>
      </c>
      <c r="K3214" t="s">
        <v>9676</v>
      </c>
    </row>
    <row r="3215" spans="1:11">
      <c r="A3215" t="s">
        <v>9677</v>
      </c>
      <c r="J3215" t="s">
        <v>9678</v>
      </c>
      <c r="K3215" t="s">
        <v>9679</v>
      </c>
    </row>
    <row r="3216" spans="1:11">
      <c r="A3216" t="s">
        <v>9680</v>
      </c>
      <c r="J3216" t="s">
        <v>9681</v>
      </c>
      <c r="K3216" t="s">
        <v>9682</v>
      </c>
    </row>
    <row r="3217" spans="1:11">
      <c r="A3217" t="s">
        <v>9683</v>
      </c>
      <c r="J3217" t="s">
        <v>9684</v>
      </c>
      <c r="K3217" t="s">
        <v>9685</v>
      </c>
    </row>
    <row r="3218" spans="1:11">
      <c r="A3218" t="s">
        <v>9686</v>
      </c>
      <c r="J3218" t="s">
        <v>9687</v>
      </c>
      <c r="K3218" t="s">
        <v>9688</v>
      </c>
    </row>
    <row r="3219" spans="1:11">
      <c r="A3219" t="s">
        <v>9689</v>
      </c>
      <c r="J3219" t="s">
        <v>9690</v>
      </c>
      <c r="K3219" t="s">
        <v>9691</v>
      </c>
    </row>
    <row r="3220" spans="1:11">
      <c r="A3220" t="s">
        <v>9692</v>
      </c>
      <c r="J3220" t="s">
        <v>9693</v>
      </c>
      <c r="K3220" t="s">
        <v>9694</v>
      </c>
    </row>
    <row r="3221" spans="1:11">
      <c r="A3221" t="s">
        <v>9695</v>
      </c>
      <c r="J3221" t="s">
        <v>9696</v>
      </c>
      <c r="K3221" t="s">
        <v>9697</v>
      </c>
    </row>
    <row r="3222" spans="1:11">
      <c r="A3222" t="s">
        <v>9698</v>
      </c>
      <c r="J3222" t="s">
        <v>9699</v>
      </c>
      <c r="K3222" t="s">
        <v>9700</v>
      </c>
    </row>
    <row r="3223" spans="1:11">
      <c r="A3223" t="s">
        <v>9701</v>
      </c>
      <c r="J3223" t="s">
        <v>9702</v>
      </c>
      <c r="K3223" t="s">
        <v>9703</v>
      </c>
    </row>
    <row r="3224" spans="1:11">
      <c r="A3224" t="s">
        <v>9704</v>
      </c>
      <c r="J3224" t="s">
        <v>9705</v>
      </c>
      <c r="K3224" t="s">
        <v>9706</v>
      </c>
    </row>
    <row r="3225" spans="1:11">
      <c r="A3225" t="s">
        <v>9707</v>
      </c>
      <c r="J3225" t="s">
        <v>9708</v>
      </c>
      <c r="K3225" t="s">
        <v>9709</v>
      </c>
    </row>
    <row r="3226" spans="1:11">
      <c r="A3226" t="s">
        <v>9710</v>
      </c>
      <c r="J3226" t="s">
        <v>9711</v>
      </c>
      <c r="K3226" t="s">
        <v>9712</v>
      </c>
    </row>
    <row r="3227" spans="1:11">
      <c r="A3227" t="s">
        <v>9713</v>
      </c>
      <c r="J3227" t="s">
        <v>9714</v>
      </c>
      <c r="K3227" t="s">
        <v>9715</v>
      </c>
    </row>
    <row r="3228" spans="1:11">
      <c r="A3228" t="s">
        <v>9716</v>
      </c>
      <c r="J3228" t="s">
        <v>9717</v>
      </c>
      <c r="K3228" t="s">
        <v>9718</v>
      </c>
    </row>
    <row r="3229" spans="1:11">
      <c r="A3229" t="s">
        <v>9719</v>
      </c>
      <c r="J3229" t="s">
        <v>9720</v>
      </c>
      <c r="K3229" t="s">
        <v>9721</v>
      </c>
    </row>
    <row r="3230" spans="1:11">
      <c r="A3230" t="s">
        <v>9722</v>
      </c>
      <c r="J3230" t="s">
        <v>9723</v>
      </c>
      <c r="K3230" t="s">
        <v>9724</v>
      </c>
    </row>
    <row r="3231" spans="1:11">
      <c r="A3231" t="s">
        <v>9725</v>
      </c>
      <c r="J3231" t="s">
        <v>9726</v>
      </c>
      <c r="K3231" t="s">
        <v>9727</v>
      </c>
    </row>
    <row r="3232" spans="1:11">
      <c r="A3232" t="s">
        <v>9728</v>
      </c>
      <c r="J3232" t="s">
        <v>9729</v>
      </c>
      <c r="K3232" t="s">
        <v>9730</v>
      </c>
    </row>
    <row r="3233" spans="1:11">
      <c r="A3233" t="s">
        <v>9731</v>
      </c>
      <c r="J3233" t="s">
        <v>9732</v>
      </c>
      <c r="K3233" t="s">
        <v>9733</v>
      </c>
    </row>
    <row r="3234" spans="1:11">
      <c r="A3234" t="s">
        <v>9734</v>
      </c>
      <c r="J3234" t="s">
        <v>9735</v>
      </c>
      <c r="K3234" t="s">
        <v>9736</v>
      </c>
    </row>
    <row r="3235" spans="1:11">
      <c r="A3235" t="s">
        <v>9737</v>
      </c>
      <c r="J3235" t="s">
        <v>9738</v>
      </c>
      <c r="K3235" t="s">
        <v>9739</v>
      </c>
    </row>
    <row r="3236" spans="1:11">
      <c r="A3236" t="s">
        <v>9740</v>
      </c>
      <c r="J3236" t="s">
        <v>9741</v>
      </c>
      <c r="K3236" t="s">
        <v>9742</v>
      </c>
    </row>
    <row r="3237" spans="1:11">
      <c r="A3237" t="s">
        <v>9743</v>
      </c>
      <c r="J3237" t="s">
        <v>9744</v>
      </c>
      <c r="K3237" t="s">
        <v>9745</v>
      </c>
    </row>
    <row r="3238" spans="1:11">
      <c r="A3238" t="s">
        <v>9746</v>
      </c>
      <c r="J3238" t="s">
        <v>9747</v>
      </c>
      <c r="K3238" t="s">
        <v>9748</v>
      </c>
    </row>
    <row r="3239" spans="1:11">
      <c r="A3239" t="s">
        <v>9749</v>
      </c>
      <c r="J3239" t="s">
        <v>9750</v>
      </c>
      <c r="K3239" t="s">
        <v>9751</v>
      </c>
    </row>
    <row r="3240" spans="1:11">
      <c r="A3240" t="s">
        <v>9752</v>
      </c>
      <c r="J3240" t="s">
        <v>9753</v>
      </c>
      <c r="K3240" t="s">
        <v>9754</v>
      </c>
    </row>
    <row r="3241" spans="1:11">
      <c r="A3241" t="s">
        <v>9755</v>
      </c>
      <c r="J3241" t="s">
        <v>9756</v>
      </c>
      <c r="K3241" t="s">
        <v>9757</v>
      </c>
    </row>
    <row r="3242" spans="1:11">
      <c r="A3242" t="s">
        <v>9758</v>
      </c>
      <c r="J3242" t="s">
        <v>9759</v>
      </c>
      <c r="K3242" t="s">
        <v>9760</v>
      </c>
    </row>
    <row r="3243" spans="1:11">
      <c r="A3243" t="s">
        <v>9761</v>
      </c>
      <c r="J3243" t="s">
        <v>9762</v>
      </c>
      <c r="K3243" t="s">
        <v>9763</v>
      </c>
    </row>
    <row r="3244" spans="1:11">
      <c r="A3244" t="s">
        <v>9764</v>
      </c>
      <c r="J3244" t="s">
        <v>9765</v>
      </c>
      <c r="K3244" t="s">
        <v>9766</v>
      </c>
    </row>
    <row r="3245" spans="1:11">
      <c r="A3245" t="s">
        <v>9767</v>
      </c>
      <c r="J3245" t="s">
        <v>9768</v>
      </c>
      <c r="K3245" t="s">
        <v>9769</v>
      </c>
    </row>
    <row r="3246" spans="1:11">
      <c r="A3246" t="s">
        <v>9770</v>
      </c>
      <c r="J3246" t="s">
        <v>9771</v>
      </c>
      <c r="K3246" t="s">
        <v>9772</v>
      </c>
    </row>
    <row r="3247" spans="1:11">
      <c r="A3247" t="s">
        <v>9773</v>
      </c>
      <c r="J3247" t="s">
        <v>9774</v>
      </c>
      <c r="K3247" t="s">
        <v>9775</v>
      </c>
    </row>
    <row r="3248" spans="1:11">
      <c r="A3248" t="s">
        <v>9776</v>
      </c>
      <c r="J3248" t="s">
        <v>9777</v>
      </c>
      <c r="K3248" t="s">
        <v>9778</v>
      </c>
    </row>
    <row r="3249" spans="1:11">
      <c r="A3249" t="s">
        <v>9779</v>
      </c>
      <c r="J3249" t="s">
        <v>9780</v>
      </c>
      <c r="K3249" t="s">
        <v>9781</v>
      </c>
    </row>
    <row r="3250" spans="1:11">
      <c r="A3250" t="s">
        <v>9782</v>
      </c>
      <c r="J3250" t="s">
        <v>9783</v>
      </c>
      <c r="K3250" t="s">
        <v>9784</v>
      </c>
    </row>
    <row r="3251" spans="1:11">
      <c r="A3251" t="s">
        <v>9785</v>
      </c>
      <c r="J3251" t="s">
        <v>9786</v>
      </c>
      <c r="K3251" t="s">
        <v>9787</v>
      </c>
    </row>
    <row r="3252" spans="1:11">
      <c r="A3252" t="s">
        <v>9788</v>
      </c>
      <c r="J3252" t="s">
        <v>9789</v>
      </c>
      <c r="K3252" t="s">
        <v>9790</v>
      </c>
    </row>
    <row r="3253" spans="1:11">
      <c r="A3253" t="s">
        <v>9791</v>
      </c>
      <c r="J3253" t="s">
        <v>9792</v>
      </c>
      <c r="K3253" t="s">
        <v>9793</v>
      </c>
    </row>
    <row r="3254" spans="1:11">
      <c r="A3254" t="s">
        <v>9794</v>
      </c>
      <c r="J3254" t="s">
        <v>9795</v>
      </c>
      <c r="K3254" t="s">
        <v>9796</v>
      </c>
    </row>
    <row r="3255" spans="1:11">
      <c r="A3255" t="s">
        <v>9797</v>
      </c>
      <c r="J3255" t="s">
        <v>9798</v>
      </c>
      <c r="K3255" t="s">
        <v>9799</v>
      </c>
    </row>
    <row r="3256" spans="1:11">
      <c r="A3256" t="s">
        <v>9800</v>
      </c>
      <c r="J3256" t="s">
        <v>9801</v>
      </c>
      <c r="K3256" t="s">
        <v>9802</v>
      </c>
    </row>
    <row r="3257" spans="1:11">
      <c r="A3257" t="s">
        <v>9803</v>
      </c>
      <c r="J3257" t="s">
        <v>9804</v>
      </c>
      <c r="K3257" t="s">
        <v>9805</v>
      </c>
    </row>
    <row r="3258" spans="1:11">
      <c r="A3258" t="s">
        <v>9806</v>
      </c>
      <c r="J3258" t="s">
        <v>9807</v>
      </c>
      <c r="K3258" t="s">
        <v>9808</v>
      </c>
    </row>
    <row r="3259" spans="1:11">
      <c r="A3259" t="s">
        <v>9809</v>
      </c>
      <c r="J3259" t="s">
        <v>9810</v>
      </c>
      <c r="K3259" t="s">
        <v>9811</v>
      </c>
    </row>
    <row r="3260" spans="1:11">
      <c r="A3260" t="s">
        <v>9812</v>
      </c>
      <c r="J3260" t="s">
        <v>9813</v>
      </c>
      <c r="K3260" t="s">
        <v>9814</v>
      </c>
    </row>
    <row r="3261" spans="1:11">
      <c r="A3261" t="s">
        <v>9815</v>
      </c>
      <c r="J3261" t="s">
        <v>9816</v>
      </c>
      <c r="K3261" t="s">
        <v>9817</v>
      </c>
    </row>
    <row r="3262" spans="1:11">
      <c r="A3262" t="s">
        <v>9818</v>
      </c>
      <c r="J3262" t="s">
        <v>9819</v>
      </c>
      <c r="K3262" t="s">
        <v>9820</v>
      </c>
    </row>
    <row r="3263" spans="1:11">
      <c r="A3263" t="s">
        <v>9821</v>
      </c>
      <c r="J3263" t="s">
        <v>9822</v>
      </c>
      <c r="K3263" t="s">
        <v>9823</v>
      </c>
    </row>
    <row r="3264" spans="1:11">
      <c r="A3264" t="s">
        <v>9824</v>
      </c>
      <c r="J3264" t="s">
        <v>9825</v>
      </c>
      <c r="K3264" t="s">
        <v>9826</v>
      </c>
    </row>
    <row r="3265" spans="1:11">
      <c r="A3265" t="s">
        <v>9827</v>
      </c>
      <c r="J3265" t="s">
        <v>9828</v>
      </c>
      <c r="K3265" t="s">
        <v>9829</v>
      </c>
    </row>
    <row r="3266" spans="1:11">
      <c r="A3266" t="s">
        <v>9830</v>
      </c>
      <c r="J3266" t="s">
        <v>9831</v>
      </c>
      <c r="K3266" t="s">
        <v>9832</v>
      </c>
    </row>
    <row r="3267" spans="1:11">
      <c r="A3267" t="s">
        <v>9833</v>
      </c>
      <c r="J3267" t="s">
        <v>9834</v>
      </c>
      <c r="K3267" t="s">
        <v>9835</v>
      </c>
    </row>
    <row r="3268" spans="1:11">
      <c r="A3268" t="s">
        <v>9836</v>
      </c>
      <c r="J3268" t="s">
        <v>9837</v>
      </c>
      <c r="K3268" t="s">
        <v>9838</v>
      </c>
    </row>
    <row r="3269" spans="1:11">
      <c r="A3269" t="s">
        <v>9839</v>
      </c>
      <c r="J3269" t="s">
        <v>9840</v>
      </c>
      <c r="K3269" t="s">
        <v>9841</v>
      </c>
    </row>
    <row r="3270" spans="1:11">
      <c r="A3270" t="s">
        <v>9842</v>
      </c>
      <c r="J3270" t="s">
        <v>9843</v>
      </c>
      <c r="K3270" t="s">
        <v>9844</v>
      </c>
    </row>
    <row r="3271" spans="1:11">
      <c r="A3271" t="s">
        <v>9845</v>
      </c>
      <c r="J3271" t="s">
        <v>9846</v>
      </c>
      <c r="K3271" t="s">
        <v>9847</v>
      </c>
    </row>
    <row r="3272" spans="1:11">
      <c r="A3272" t="s">
        <v>9848</v>
      </c>
      <c r="J3272" t="s">
        <v>9849</v>
      </c>
      <c r="K3272" t="s">
        <v>9850</v>
      </c>
    </row>
    <row r="3273" spans="1:11">
      <c r="A3273" t="s">
        <v>9851</v>
      </c>
      <c r="J3273" t="s">
        <v>9852</v>
      </c>
      <c r="K3273" t="s">
        <v>9853</v>
      </c>
    </row>
    <row r="3274" spans="1:11">
      <c r="A3274" t="s">
        <v>9854</v>
      </c>
      <c r="J3274" t="s">
        <v>9855</v>
      </c>
      <c r="K3274" t="s">
        <v>9856</v>
      </c>
    </row>
    <row r="3275" spans="1:11">
      <c r="A3275" t="s">
        <v>9857</v>
      </c>
      <c r="J3275" t="s">
        <v>9858</v>
      </c>
      <c r="K3275" t="s">
        <v>9859</v>
      </c>
    </row>
    <row r="3276" spans="1:11">
      <c r="A3276" t="s">
        <v>9860</v>
      </c>
      <c r="J3276" t="s">
        <v>9861</v>
      </c>
      <c r="K3276" t="s">
        <v>9862</v>
      </c>
    </row>
    <row r="3277" spans="1:11">
      <c r="A3277" t="s">
        <v>9863</v>
      </c>
      <c r="J3277" t="s">
        <v>9864</v>
      </c>
      <c r="K3277" t="s">
        <v>9865</v>
      </c>
    </row>
    <row r="3278" spans="1:11">
      <c r="A3278" t="s">
        <v>9866</v>
      </c>
      <c r="J3278" t="s">
        <v>9867</v>
      </c>
      <c r="K3278" t="s">
        <v>9868</v>
      </c>
    </row>
    <row r="3279" spans="1:11">
      <c r="A3279" t="s">
        <v>9869</v>
      </c>
      <c r="J3279" t="s">
        <v>9870</v>
      </c>
      <c r="K3279" t="s">
        <v>9871</v>
      </c>
    </row>
    <row r="3280" spans="1:11">
      <c r="A3280" t="s">
        <v>9872</v>
      </c>
      <c r="J3280" t="s">
        <v>9873</v>
      </c>
      <c r="K3280" t="s">
        <v>9874</v>
      </c>
    </row>
    <row r="3281" spans="1:11">
      <c r="A3281" t="s">
        <v>9875</v>
      </c>
      <c r="J3281" t="s">
        <v>9876</v>
      </c>
      <c r="K3281" t="s">
        <v>9877</v>
      </c>
    </row>
    <row r="3282" spans="1:11">
      <c r="A3282" t="s">
        <v>9878</v>
      </c>
      <c r="J3282" t="s">
        <v>9879</v>
      </c>
      <c r="K3282" t="s">
        <v>9880</v>
      </c>
    </row>
    <row r="3283" spans="1:11">
      <c r="A3283" t="s">
        <v>9881</v>
      </c>
      <c r="J3283" t="s">
        <v>9882</v>
      </c>
      <c r="K3283" t="s">
        <v>9883</v>
      </c>
    </row>
    <row r="3284" spans="1:11">
      <c r="A3284" t="s">
        <v>9884</v>
      </c>
      <c r="J3284" t="s">
        <v>9885</v>
      </c>
      <c r="K3284" t="s">
        <v>9886</v>
      </c>
    </row>
    <row r="3285" spans="1:11">
      <c r="A3285" t="s">
        <v>9887</v>
      </c>
      <c r="J3285" t="s">
        <v>9888</v>
      </c>
      <c r="K3285" t="s">
        <v>9889</v>
      </c>
    </row>
    <row r="3286" spans="1:11">
      <c r="A3286" t="s">
        <v>9890</v>
      </c>
      <c r="J3286" t="s">
        <v>9891</v>
      </c>
      <c r="K3286" t="s">
        <v>9892</v>
      </c>
    </row>
    <row r="3287" spans="1:11">
      <c r="A3287" t="s">
        <v>9893</v>
      </c>
      <c r="J3287" t="s">
        <v>9894</v>
      </c>
      <c r="K3287" t="s">
        <v>9895</v>
      </c>
    </row>
    <row r="3288" spans="1:11">
      <c r="A3288" t="s">
        <v>9896</v>
      </c>
      <c r="J3288" t="s">
        <v>9897</v>
      </c>
      <c r="K3288" t="s">
        <v>9898</v>
      </c>
    </row>
    <row r="3289" spans="1:11">
      <c r="A3289" t="s">
        <v>9899</v>
      </c>
      <c r="J3289" t="s">
        <v>9900</v>
      </c>
      <c r="K3289" t="s">
        <v>9901</v>
      </c>
    </row>
    <row r="3290" spans="1:11">
      <c r="A3290" t="s">
        <v>9902</v>
      </c>
      <c r="J3290" t="s">
        <v>9903</v>
      </c>
      <c r="K3290" t="s">
        <v>9904</v>
      </c>
    </row>
    <row r="3291" spans="1:11">
      <c r="A3291" t="s">
        <v>9905</v>
      </c>
      <c r="J3291" t="s">
        <v>9906</v>
      </c>
      <c r="K3291" t="s">
        <v>9907</v>
      </c>
    </row>
    <row r="3292" spans="1:11">
      <c r="A3292" t="s">
        <v>9908</v>
      </c>
      <c r="J3292" t="s">
        <v>9909</v>
      </c>
      <c r="K3292" t="s">
        <v>9910</v>
      </c>
    </row>
    <row r="3293" spans="1:11">
      <c r="A3293" t="s">
        <v>9911</v>
      </c>
      <c r="J3293" t="s">
        <v>9912</v>
      </c>
      <c r="K3293" t="s">
        <v>9913</v>
      </c>
    </row>
    <row r="3294" spans="1:11">
      <c r="A3294" t="s">
        <v>9914</v>
      </c>
      <c r="J3294" t="s">
        <v>9915</v>
      </c>
      <c r="K3294" t="s">
        <v>9916</v>
      </c>
    </row>
    <row r="3295" spans="1:11">
      <c r="A3295" t="s">
        <v>9917</v>
      </c>
      <c r="J3295" t="s">
        <v>9918</v>
      </c>
      <c r="K3295" t="s">
        <v>9919</v>
      </c>
    </row>
    <row r="3296" spans="1:11">
      <c r="A3296" t="s">
        <v>9920</v>
      </c>
      <c r="J3296" t="s">
        <v>9921</v>
      </c>
      <c r="K3296" t="s">
        <v>9922</v>
      </c>
    </row>
    <row r="3297" spans="1:11">
      <c r="A3297" t="s">
        <v>9923</v>
      </c>
      <c r="J3297" t="s">
        <v>9924</v>
      </c>
      <c r="K3297" t="s">
        <v>9925</v>
      </c>
    </row>
    <row r="3298" spans="1:11">
      <c r="A3298" t="s">
        <v>9926</v>
      </c>
      <c r="J3298" t="s">
        <v>9927</v>
      </c>
      <c r="K3298" t="s">
        <v>9928</v>
      </c>
    </row>
    <row r="3299" spans="1:11">
      <c r="A3299" t="s">
        <v>9929</v>
      </c>
      <c r="J3299" t="s">
        <v>9930</v>
      </c>
      <c r="K3299" t="s">
        <v>9931</v>
      </c>
    </row>
    <row r="3300" spans="1:11">
      <c r="A3300" t="s">
        <v>9932</v>
      </c>
      <c r="J3300" t="s">
        <v>9933</v>
      </c>
      <c r="K3300" t="s">
        <v>9934</v>
      </c>
    </row>
    <row r="3301" spans="1:11">
      <c r="A3301" t="s">
        <v>9935</v>
      </c>
      <c r="J3301" t="s">
        <v>9936</v>
      </c>
      <c r="K3301" t="s">
        <v>9937</v>
      </c>
    </row>
    <row r="3302" spans="1:11">
      <c r="A3302" t="s">
        <v>9938</v>
      </c>
      <c r="J3302" t="s">
        <v>9939</v>
      </c>
      <c r="K3302" t="s">
        <v>9940</v>
      </c>
    </row>
    <row r="3303" spans="1:11">
      <c r="A3303" t="s">
        <v>9941</v>
      </c>
      <c r="J3303" t="s">
        <v>9942</v>
      </c>
      <c r="K3303" t="s">
        <v>9943</v>
      </c>
    </row>
    <row r="3304" spans="1:11">
      <c r="A3304" t="s">
        <v>9944</v>
      </c>
      <c r="J3304" t="s">
        <v>9945</v>
      </c>
      <c r="K3304" t="s">
        <v>9946</v>
      </c>
    </row>
    <row r="3305" spans="1:11">
      <c r="A3305" t="s">
        <v>9947</v>
      </c>
      <c r="J3305" t="s">
        <v>9948</v>
      </c>
      <c r="K3305" t="s">
        <v>9949</v>
      </c>
    </row>
    <row r="3306" spans="1:11">
      <c r="A3306" t="s">
        <v>9950</v>
      </c>
      <c r="J3306" t="s">
        <v>9951</v>
      </c>
      <c r="K3306" t="s">
        <v>9952</v>
      </c>
    </row>
    <row r="3307" spans="1:11">
      <c r="A3307" t="s">
        <v>9953</v>
      </c>
      <c r="J3307" t="s">
        <v>9954</v>
      </c>
      <c r="K3307" t="s">
        <v>9955</v>
      </c>
    </row>
    <row r="3308" spans="1:11">
      <c r="A3308" t="s">
        <v>9956</v>
      </c>
      <c r="J3308" t="s">
        <v>9957</v>
      </c>
      <c r="K3308" t="s">
        <v>9958</v>
      </c>
    </row>
    <row r="3309" spans="1:11">
      <c r="A3309" t="s">
        <v>9959</v>
      </c>
      <c r="J3309" t="s">
        <v>9960</v>
      </c>
      <c r="K3309" t="s">
        <v>9961</v>
      </c>
    </row>
    <row r="3310" spans="1:11">
      <c r="A3310" t="s">
        <v>9962</v>
      </c>
      <c r="J3310" t="s">
        <v>9963</v>
      </c>
      <c r="K3310" t="s">
        <v>9964</v>
      </c>
    </row>
    <row r="3311" spans="1:11">
      <c r="A3311" t="s">
        <v>9965</v>
      </c>
      <c r="J3311" t="s">
        <v>9966</v>
      </c>
      <c r="K3311" t="s">
        <v>9967</v>
      </c>
    </row>
    <row r="3312" spans="1:11">
      <c r="A3312" t="s">
        <v>9968</v>
      </c>
      <c r="J3312" t="s">
        <v>9969</v>
      </c>
      <c r="K3312" t="s">
        <v>9970</v>
      </c>
    </row>
    <row r="3313" spans="1:11">
      <c r="A3313" t="s">
        <v>9971</v>
      </c>
      <c r="J3313" t="s">
        <v>9972</v>
      </c>
      <c r="K3313" t="s">
        <v>9973</v>
      </c>
    </row>
    <row r="3314" spans="1:11">
      <c r="A3314" t="s">
        <v>9974</v>
      </c>
      <c r="J3314" t="s">
        <v>9975</v>
      </c>
      <c r="K3314" t="s">
        <v>9976</v>
      </c>
    </row>
    <row r="3315" spans="1:11">
      <c r="A3315" t="s">
        <v>9977</v>
      </c>
      <c r="J3315" t="s">
        <v>9978</v>
      </c>
      <c r="K3315" t="s">
        <v>9979</v>
      </c>
    </row>
    <row r="3316" spans="1:11">
      <c r="A3316" t="s">
        <v>9980</v>
      </c>
      <c r="J3316" t="s">
        <v>9981</v>
      </c>
      <c r="K3316" t="s">
        <v>9982</v>
      </c>
    </row>
    <row r="3317" spans="1:11">
      <c r="A3317" t="s">
        <v>9983</v>
      </c>
      <c r="J3317" t="s">
        <v>9984</v>
      </c>
      <c r="K3317" t="s">
        <v>9985</v>
      </c>
    </row>
    <row r="3318" spans="1:11">
      <c r="A3318" t="s">
        <v>9986</v>
      </c>
      <c r="J3318" t="s">
        <v>9987</v>
      </c>
      <c r="K3318" t="s">
        <v>9988</v>
      </c>
    </row>
    <row r="3319" spans="1:11">
      <c r="A3319" t="s">
        <v>9989</v>
      </c>
      <c r="J3319" t="s">
        <v>9990</v>
      </c>
      <c r="K3319" t="s">
        <v>9991</v>
      </c>
    </row>
    <row r="3320" spans="1:11">
      <c r="A3320" t="s">
        <v>9992</v>
      </c>
      <c r="J3320" t="s">
        <v>9993</v>
      </c>
      <c r="K3320" t="s">
        <v>9994</v>
      </c>
    </row>
    <row r="3321" spans="1:11">
      <c r="A3321" t="s">
        <v>9995</v>
      </c>
      <c r="J3321" t="s">
        <v>9996</v>
      </c>
      <c r="K3321" t="s">
        <v>9997</v>
      </c>
    </row>
    <row r="3322" spans="1:11">
      <c r="A3322" t="s">
        <v>9998</v>
      </c>
      <c r="J3322" t="s">
        <v>9999</v>
      </c>
      <c r="K3322" t="s">
        <v>10000</v>
      </c>
    </row>
    <row r="3323" spans="1:11">
      <c r="A3323" t="s">
        <v>10001</v>
      </c>
      <c r="J3323" t="s">
        <v>10002</v>
      </c>
      <c r="K3323" t="s">
        <v>10003</v>
      </c>
    </row>
    <row r="3324" spans="1:11">
      <c r="A3324" t="s">
        <v>10004</v>
      </c>
      <c r="J3324" t="s">
        <v>10005</v>
      </c>
      <c r="K3324" t="s">
        <v>10006</v>
      </c>
    </row>
    <row r="3325" spans="1:11">
      <c r="A3325" t="s">
        <v>10007</v>
      </c>
      <c r="J3325" t="s">
        <v>10008</v>
      </c>
      <c r="K3325" t="s">
        <v>10009</v>
      </c>
    </row>
    <row r="3326" spans="1:11">
      <c r="A3326" t="s">
        <v>10010</v>
      </c>
      <c r="J3326" t="s">
        <v>10011</v>
      </c>
      <c r="K3326" t="s">
        <v>10012</v>
      </c>
    </row>
    <row r="3327" spans="1:11">
      <c r="A3327" t="s">
        <v>10013</v>
      </c>
      <c r="J3327" t="s">
        <v>10014</v>
      </c>
      <c r="K3327" t="s">
        <v>10015</v>
      </c>
    </row>
    <row r="3328" spans="1:11">
      <c r="A3328" t="s">
        <v>10016</v>
      </c>
      <c r="J3328" t="s">
        <v>10017</v>
      </c>
      <c r="K3328" t="s">
        <v>10018</v>
      </c>
    </row>
    <row r="3329" spans="1:11">
      <c r="A3329" t="s">
        <v>10019</v>
      </c>
      <c r="J3329" t="s">
        <v>10020</v>
      </c>
      <c r="K3329" t="s">
        <v>10021</v>
      </c>
    </row>
    <row r="3330" spans="1:11">
      <c r="A3330" t="s">
        <v>10022</v>
      </c>
      <c r="J3330" t="s">
        <v>10023</v>
      </c>
      <c r="K3330" t="s">
        <v>10024</v>
      </c>
    </row>
    <row r="3331" spans="1:11">
      <c r="A3331" t="s">
        <v>10025</v>
      </c>
      <c r="J3331" t="s">
        <v>10026</v>
      </c>
      <c r="K3331" t="s">
        <v>10027</v>
      </c>
    </row>
    <row r="3332" spans="1:11">
      <c r="A3332" t="s">
        <v>10028</v>
      </c>
      <c r="J3332" t="s">
        <v>10029</v>
      </c>
      <c r="K3332" t="s">
        <v>10030</v>
      </c>
    </row>
    <row r="3333" spans="1:11">
      <c r="A3333" t="s">
        <v>10031</v>
      </c>
      <c r="J3333" t="s">
        <v>10032</v>
      </c>
      <c r="K3333" t="s">
        <v>10033</v>
      </c>
    </row>
    <row r="3334" spans="1:11">
      <c r="A3334" t="s">
        <v>10034</v>
      </c>
      <c r="J3334" t="s">
        <v>10035</v>
      </c>
      <c r="K3334" t="s">
        <v>10036</v>
      </c>
    </row>
    <row r="3335" spans="1:11">
      <c r="A3335" t="s">
        <v>10037</v>
      </c>
      <c r="J3335" t="s">
        <v>10038</v>
      </c>
      <c r="K3335" t="s">
        <v>10039</v>
      </c>
    </row>
    <row r="3336" spans="1:11">
      <c r="A3336" t="s">
        <v>10040</v>
      </c>
      <c r="J3336" t="s">
        <v>10041</v>
      </c>
      <c r="K3336" t="s">
        <v>10042</v>
      </c>
    </row>
    <row r="3337" spans="1:11">
      <c r="A3337" t="s">
        <v>10043</v>
      </c>
      <c r="J3337" t="s">
        <v>10044</v>
      </c>
      <c r="K3337" t="s">
        <v>10045</v>
      </c>
    </row>
    <row r="3338" spans="1:11">
      <c r="A3338" t="s">
        <v>10046</v>
      </c>
      <c r="J3338" t="s">
        <v>10047</v>
      </c>
      <c r="K3338" t="s">
        <v>10048</v>
      </c>
    </row>
    <row r="3339" spans="1:11">
      <c r="A3339" t="s">
        <v>10049</v>
      </c>
      <c r="J3339" t="s">
        <v>10050</v>
      </c>
      <c r="K3339" t="s">
        <v>10051</v>
      </c>
    </row>
    <row r="3340" spans="1:11">
      <c r="A3340" t="s">
        <v>10052</v>
      </c>
      <c r="J3340" t="s">
        <v>10053</v>
      </c>
      <c r="K3340" t="s">
        <v>10054</v>
      </c>
    </row>
    <row r="3341" spans="1:11">
      <c r="A3341" t="s">
        <v>10055</v>
      </c>
      <c r="J3341" t="s">
        <v>10056</v>
      </c>
      <c r="K3341" t="s">
        <v>10057</v>
      </c>
    </row>
    <row r="3342" spans="1:11">
      <c r="A3342" t="s">
        <v>10058</v>
      </c>
      <c r="J3342" t="s">
        <v>10059</v>
      </c>
      <c r="K3342" t="s">
        <v>10060</v>
      </c>
    </row>
    <row r="3343" spans="1:11">
      <c r="A3343" t="s">
        <v>10061</v>
      </c>
      <c r="J3343" t="s">
        <v>10062</v>
      </c>
      <c r="K3343" t="s">
        <v>10063</v>
      </c>
    </row>
    <row r="3344" spans="1:11">
      <c r="A3344" t="s">
        <v>10064</v>
      </c>
      <c r="J3344" t="s">
        <v>10065</v>
      </c>
      <c r="K3344" t="s">
        <v>10066</v>
      </c>
    </row>
    <row r="3345" spans="1:11">
      <c r="A3345" t="s">
        <v>10067</v>
      </c>
      <c r="J3345" t="s">
        <v>10068</v>
      </c>
      <c r="K3345" t="s">
        <v>10069</v>
      </c>
    </row>
    <row r="3346" spans="1:11">
      <c r="A3346" t="s">
        <v>10070</v>
      </c>
      <c r="J3346" t="s">
        <v>10071</v>
      </c>
      <c r="K3346" t="s">
        <v>10072</v>
      </c>
    </row>
    <row r="3347" spans="1:11">
      <c r="A3347" t="s">
        <v>10073</v>
      </c>
      <c r="J3347" t="s">
        <v>10074</v>
      </c>
      <c r="K3347" t="s">
        <v>10075</v>
      </c>
    </row>
    <row r="3348" spans="1:11">
      <c r="A3348" t="s">
        <v>10076</v>
      </c>
      <c r="J3348" t="s">
        <v>10077</v>
      </c>
      <c r="K3348" t="s">
        <v>10078</v>
      </c>
    </row>
    <row r="3349" spans="1:11">
      <c r="A3349" t="s">
        <v>10079</v>
      </c>
      <c r="J3349" t="s">
        <v>10080</v>
      </c>
      <c r="K3349" t="s">
        <v>10081</v>
      </c>
    </row>
    <row r="3350" spans="1:11">
      <c r="A3350" t="s">
        <v>10082</v>
      </c>
      <c r="J3350" t="s">
        <v>10083</v>
      </c>
      <c r="K3350" t="s">
        <v>10084</v>
      </c>
    </row>
    <row r="3351" spans="1:11">
      <c r="A3351" t="s">
        <v>10085</v>
      </c>
      <c r="J3351" t="s">
        <v>10086</v>
      </c>
      <c r="K3351" t="s">
        <v>10087</v>
      </c>
    </row>
    <row r="3352" spans="1:11">
      <c r="A3352" t="s">
        <v>10088</v>
      </c>
      <c r="J3352" t="s">
        <v>10089</v>
      </c>
      <c r="K3352" t="s">
        <v>10090</v>
      </c>
    </row>
    <row r="3353" spans="1:11">
      <c r="A3353" t="s">
        <v>10091</v>
      </c>
      <c r="J3353" t="s">
        <v>10092</v>
      </c>
      <c r="K3353" t="s">
        <v>10093</v>
      </c>
    </row>
    <row r="3354" spans="1:11">
      <c r="A3354" t="s">
        <v>10094</v>
      </c>
      <c r="J3354" t="s">
        <v>10095</v>
      </c>
      <c r="K3354" t="s">
        <v>10096</v>
      </c>
    </row>
    <row r="3355" spans="1:11">
      <c r="A3355" t="s">
        <v>10097</v>
      </c>
      <c r="J3355" t="s">
        <v>10098</v>
      </c>
      <c r="K3355" t="s">
        <v>10099</v>
      </c>
    </row>
    <row r="3356" spans="1:11">
      <c r="A3356" t="s">
        <v>10100</v>
      </c>
      <c r="J3356" t="s">
        <v>10101</v>
      </c>
      <c r="K3356" t="s">
        <v>10102</v>
      </c>
    </row>
    <row r="3357" spans="1:11">
      <c r="A3357" t="s">
        <v>10103</v>
      </c>
      <c r="J3357" t="s">
        <v>10104</v>
      </c>
      <c r="K3357" t="s">
        <v>10105</v>
      </c>
    </row>
    <row r="3358" spans="1:11">
      <c r="A3358" t="s">
        <v>10106</v>
      </c>
      <c r="J3358" t="s">
        <v>10107</v>
      </c>
      <c r="K3358" t="s">
        <v>10108</v>
      </c>
    </row>
    <row r="3359" spans="1:11">
      <c r="A3359" t="s">
        <v>10109</v>
      </c>
      <c r="J3359" t="s">
        <v>10110</v>
      </c>
      <c r="K3359" t="s">
        <v>10111</v>
      </c>
    </row>
    <row r="3360" spans="1:11">
      <c r="A3360" t="s">
        <v>10112</v>
      </c>
      <c r="J3360" t="s">
        <v>10113</v>
      </c>
      <c r="K3360" t="s">
        <v>10114</v>
      </c>
    </row>
    <row r="3361" spans="1:11">
      <c r="A3361" t="s">
        <v>10115</v>
      </c>
      <c r="J3361" t="s">
        <v>10116</v>
      </c>
      <c r="K3361" t="s">
        <v>10117</v>
      </c>
    </row>
    <row r="3362" spans="1:11">
      <c r="A3362" t="s">
        <v>10118</v>
      </c>
      <c r="J3362" t="s">
        <v>10119</v>
      </c>
      <c r="K3362" t="s">
        <v>10120</v>
      </c>
    </row>
    <row r="3363" spans="1:11">
      <c r="A3363" t="s">
        <v>10121</v>
      </c>
      <c r="J3363" t="s">
        <v>10122</v>
      </c>
      <c r="K3363" t="s">
        <v>10123</v>
      </c>
    </row>
    <row r="3364" spans="1:11">
      <c r="A3364" t="s">
        <v>10124</v>
      </c>
      <c r="J3364" t="s">
        <v>10125</v>
      </c>
      <c r="K3364" t="s">
        <v>10126</v>
      </c>
    </row>
    <row r="3365" spans="1:11">
      <c r="A3365" t="s">
        <v>10127</v>
      </c>
      <c r="J3365" t="s">
        <v>10128</v>
      </c>
      <c r="K3365" t="s">
        <v>10129</v>
      </c>
    </row>
    <row r="3366" spans="1:11">
      <c r="A3366" t="s">
        <v>10130</v>
      </c>
      <c r="J3366" t="s">
        <v>10131</v>
      </c>
      <c r="K3366" t="s">
        <v>10132</v>
      </c>
    </row>
    <row r="3367" spans="1:11">
      <c r="A3367" t="s">
        <v>10133</v>
      </c>
      <c r="J3367" t="s">
        <v>10134</v>
      </c>
      <c r="K3367" t="s">
        <v>10135</v>
      </c>
    </row>
    <row r="3368" spans="1:11">
      <c r="A3368" t="s">
        <v>10136</v>
      </c>
      <c r="J3368" t="s">
        <v>10137</v>
      </c>
      <c r="K3368" t="s">
        <v>10138</v>
      </c>
    </row>
    <row r="3369" spans="1:11">
      <c r="A3369" t="s">
        <v>10139</v>
      </c>
      <c r="J3369" t="s">
        <v>10140</v>
      </c>
      <c r="K3369" t="s">
        <v>10141</v>
      </c>
    </row>
    <row r="3370" spans="1:11">
      <c r="A3370" t="s">
        <v>10142</v>
      </c>
      <c r="J3370" t="s">
        <v>10143</v>
      </c>
      <c r="K3370" t="s">
        <v>10144</v>
      </c>
    </row>
    <row r="3371" spans="1:11">
      <c r="A3371" t="s">
        <v>10145</v>
      </c>
      <c r="J3371" t="s">
        <v>10146</v>
      </c>
      <c r="K3371" t="s">
        <v>10147</v>
      </c>
    </row>
    <row r="3372" spans="1:11">
      <c r="A3372" t="s">
        <v>10148</v>
      </c>
      <c r="J3372" t="s">
        <v>10149</v>
      </c>
      <c r="K3372" t="s">
        <v>10150</v>
      </c>
    </row>
    <row r="3373" spans="1:11">
      <c r="A3373" t="s">
        <v>10151</v>
      </c>
      <c r="J3373" t="s">
        <v>10152</v>
      </c>
      <c r="K3373" t="s">
        <v>10153</v>
      </c>
    </row>
    <row r="3374" spans="1:11">
      <c r="A3374" t="s">
        <v>10154</v>
      </c>
      <c r="J3374" t="s">
        <v>10155</v>
      </c>
      <c r="K3374" t="s">
        <v>10156</v>
      </c>
    </row>
    <row r="3375" spans="1:11">
      <c r="A3375" t="s">
        <v>10157</v>
      </c>
      <c r="J3375" t="s">
        <v>10158</v>
      </c>
      <c r="K3375" t="s">
        <v>10159</v>
      </c>
    </row>
    <row r="3376" spans="1:11">
      <c r="A3376" t="s">
        <v>10160</v>
      </c>
      <c r="J3376" t="s">
        <v>10161</v>
      </c>
      <c r="K3376" t="s">
        <v>10162</v>
      </c>
    </row>
    <row r="3377" spans="1:11">
      <c r="A3377" t="s">
        <v>10163</v>
      </c>
      <c r="J3377" t="s">
        <v>10164</v>
      </c>
      <c r="K3377" t="s">
        <v>10165</v>
      </c>
    </row>
    <row r="3378" spans="1:11">
      <c r="A3378" t="s">
        <v>10166</v>
      </c>
      <c r="J3378" t="s">
        <v>10167</v>
      </c>
      <c r="K3378" t="s">
        <v>10168</v>
      </c>
    </row>
    <row r="3379" spans="1:11">
      <c r="A3379" t="s">
        <v>10169</v>
      </c>
      <c r="J3379" t="s">
        <v>10170</v>
      </c>
      <c r="K3379" t="s">
        <v>10171</v>
      </c>
    </row>
    <row r="3380" spans="1:11">
      <c r="A3380" t="s">
        <v>10172</v>
      </c>
      <c r="J3380" t="s">
        <v>10173</v>
      </c>
      <c r="K3380" t="s">
        <v>10174</v>
      </c>
    </row>
    <row r="3381" spans="1:11">
      <c r="A3381" t="s">
        <v>10175</v>
      </c>
      <c r="J3381" t="s">
        <v>10176</v>
      </c>
      <c r="K3381" t="s">
        <v>10177</v>
      </c>
    </row>
    <row r="3382" spans="1:11">
      <c r="A3382" t="s">
        <v>10178</v>
      </c>
      <c r="J3382" t="s">
        <v>10179</v>
      </c>
      <c r="K3382" t="s">
        <v>10180</v>
      </c>
    </row>
    <row r="3383" spans="1:11">
      <c r="A3383" t="s">
        <v>10181</v>
      </c>
      <c r="J3383" t="s">
        <v>10182</v>
      </c>
      <c r="K3383" t="s">
        <v>10183</v>
      </c>
    </row>
    <row r="3384" spans="1:11">
      <c r="A3384" t="s">
        <v>10184</v>
      </c>
      <c r="J3384" t="s">
        <v>10185</v>
      </c>
      <c r="K3384" t="s">
        <v>10186</v>
      </c>
    </row>
    <row r="3385" spans="1:11">
      <c r="A3385" t="s">
        <v>10187</v>
      </c>
      <c r="J3385" t="s">
        <v>10188</v>
      </c>
      <c r="K3385" t="s">
        <v>10189</v>
      </c>
    </row>
    <row r="3386" spans="1:11">
      <c r="A3386" t="s">
        <v>10190</v>
      </c>
      <c r="J3386" t="s">
        <v>10191</v>
      </c>
      <c r="K3386" t="s">
        <v>10192</v>
      </c>
    </row>
    <row r="3387" spans="1:11">
      <c r="A3387" t="s">
        <v>10193</v>
      </c>
      <c r="J3387" t="s">
        <v>10194</v>
      </c>
      <c r="K3387" t="s">
        <v>10195</v>
      </c>
    </row>
    <row r="3388" spans="1:11">
      <c r="A3388" t="s">
        <v>10196</v>
      </c>
      <c r="J3388" t="s">
        <v>10197</v>
      </c>
      <c r="K3388" t="s">
        <v>10198</v>
      </c>
    </row>
    <row r="3389" spans="1:11">
      <c r="A3389" t="s">
        <v>10199</v>
      </c>
      <c r="J3389" t="s">
        <v>10200</v>
      </c>
      <c r="K3389" t="s">
        <v>10201</v>
      </c>
    </row>
    <row r="3390" spans="1:11">
      <c r="A3390" t="s">
        <v>10202</v>
      </c>
      <c r="J3390" t="s">
        <v>10203</v>
      </c>
      <c r="K3390" t="s">
        <v>10204</v>
      </c>
    </row>
    <row r="3391" spans="1:11">
      <c r="A3391" t="s">
        <v>10205</v>
      </c>
      <c r="J3391" t="s">
        <v>10206</v>
      </c>
      <c r="K3391" t="s">
        <v>10207</v>
      </c>
    </row>
    <row r="3392" spans="1:11">
      <c r="A3392" t="s">
        <v>10208</v>
      </c>
      <c r="J3392" t="s">
        <v>10209</v>
      </c>
      <c r="K3392" t="s">
        <v>10210</v>
      </c>
    </row>
    <row r="3393" spans="1:11">
      <c r="A3393" t="s">
        <v>10211</v>
      </c>
      <c r="J3393" t="s">
        <v>10212</v>
      </c>
      <c r="K3393" t="s">
        <v>10213</v>
      </c>
    </row>
    <row r="3394" spans="1:11">
      <c r="A3394" t="s">
        <v>10214</v>
      </c>
      <c r="J3394" t="s">
        <v>10215</v>
      </c>
      <c r="K3394" t="s">
        <v>10216</v>
      </c>
    </row>
    <row r="3395" spans="1:11">
      <c r="A3395" t="s">
        <v>10217</v>
      </c>
      <c r="J3395" t="s">
        <v>10218</v>
      </c>
      <c r="K3395" t="s">
        <v>10219</v>
      </c>
    </row>
    <row r="3396" spans="1:11">
      <c r="A3396" t="s">
        <v>10220</v>
      </c>
      <c r="J3396" t="s">
        <v>10221</v>
      </c>
      <c r="K3396" t="s">
        <v>10222</v>
      </c>
    </row>
    <row r="3397" spans="1:11">
      <c r="A3397" t="s">
        <v>10223</v>
      </c>
      <c r="J3397" t="s">
        <v>10224</v>
      </c>
      <c r="K3397" t="s">
        <v>10225</v>
      </c>
    </row>
    <row r="3398" spans="1:11">
      <c r="A3398" t="s">
        <v>10226</v>
      </c>
      <c r="J3398" t="s">
        <v>10227</v>
      </c>
      <c r="K3398" t="s">
        <v>10228</v>
      </c>
    </row>
    <row r="3399" spans="1:11">
      <c r="A3399" t="s">
        <v>10229</v>
      </c>
      <c r="J3399" t="s">
        <v>10230</v>
      </c>
      <c r="K3399" t="s">
        <v>10231</v>
      </c>
    </row>
    <row r="3400" spans="1:11">
      <c r="A3400" t="s">
        <v>10232</v>
      </c>
      <c r="J3400" t="s">
        <v>10233</v>
      </c>
      <c r="K3400" t="s">
        <v>10234</v>
      </c>
    </row>
    <row r="3401" spans="1:11">
      <c r="A3401" t="s">
        <v>10235</v>
      </c>
      <c r="J3401" t="s">
        <v>10236</v>
      </c>
      <c r="K3401" t="s">
        <v>10237</v>
      </c>
    </row>
    <row r="3402" spans="1:11">
      <c r="A3402" t="s">
        <v>10238</v>
      </c>
      <c r="J3402" t="s">
        <v>10239</v>
      </c>
      <c r="K3402" t="s">
        <v>10240</v>
      </c>
    </row>
    <row r="3403" spans="1:11">
      <c r="A3403" t="s">
        <v>10241</v>
      </c>
      <c r="J3403" t="s">
        <v>10242</v>
      </c>
      <c r="K3403" t="s">
        <v>10243</v>
      </c>
    </row>
    <row r="3404" spans="1:11">
      <c r="A3404" t="s">
        <v>10244</v>
      </c>
      <c r="J3404" t="s">
        <v>10245</v>
      </c>
      <c r="K3404" t="s">
        <v>10246</v>
      </c>
    </row>
    <row r="3405" spans="1:11">
      <c r="A3405" t="s">
        <v>10247</v>
      </c>
      <c r="J3405" t="s">
        <v>10248</v>
      </c>
      <c r="K3405" t="s">
        <v>10249</v>
      </c>
    </row>
    <row r="3406" spans="1:11">
      <c r="A3406" t="s">
        <v>10250</v>
      </c>
      <c r="J3406" t="s">
        <v>10251</v>
      </c>
      <c r="K3406" t="s">
        <v>10252</v>
      </c>
    </row>
    <row r="3407" spans="1:11">
      <c r="A3407" t="s">
        <v>10253</v>
      </c>
      <c r="J3407" t="s">
        <v>10254</v>
      </c>
      <c r="K3407" t="s">
        <v>10255</v>
      </c>
    </row>
    <row r="3408" spans="1:11">
      <c r="A3408" t="s">
        <v>10256</v>
      </c>
      <c r="J3408" t="s">
        <v>10257</v>
      </c>
      <c r="K3408" t="s">
        <v>10258</v>
      </c>
    </row>
    <row r="3409" spans="1:11">
      <c r="A3409" t="s">
        <v>10259</v>
      </c>
      <c r="J3409" t="s">
        <v>10260</v>
      </c>
      <c r="K3409" t="s">
        <v>10261</v>
      </c>
    </row>
    <row r="3410" spans="1:11">
      <c r="A3410" t="s">
        <v>10262</v>
      </c>
      <c r="J3410" t="s">
        <v>10263</v>
      </c>
      <c r="K3410" t="s">
        <v>10264</v>
      </c>
    </row>
    <row r="3411" spans="1:11">
      <c r="A3411" t="s">
        <v>10265</v>
      </c>
      <c r="J3411" t="s">
        <v>10266</v>
      </c>
      <c r="K3411" t="s">
        <v>10267</v>
      </c>
    </row>
    <row r="3412" spans="1:11">
      <c r="A3412" t="s">
        <v>10268</v>
      </c>
      <c r="J3412" t="s">
        <v>10269</v>
      </c>
      <c r="K3412" t="s">
        <v>10270</v>
      </c>
    </row>
    <row r="3413" spans="1:11">
      <c r="A3413" t="s">
        <v>10271</v>
      </c>
      <c r="J3413" t="s">
        <v>10272</v>
      </c>
      <c r="K3413" t="s">
        <v>10273</v>
      </c>
    </row>
    <row r="3414" spans="1:11">
      <c r="A3414" t="s">
        <v>10274</v>
      </c>
      <c r="J3414" t="s">
        <v>10275</v>
      </c>
      <c r="K3414" t="s">
        <v>10276</v>
      </c>
    </row>
    <row r="3415" spans="1:11">
      <c r="A3415" t="s">
        <v>10277</v>
      </c>
      <c r="J3415" t="s">
        <v>10278</v>
      </c>
      <c r="K3415" t="s">
        <v>10279</v>
      </c>
    </row>
    <row r="3416" spans="1:11">
      <c r="A3416" t="s">
        <v>10280</v>
      </c>
      <c r="J3416" t="s">
        <v>10281</v>
      </c>
      <c r="K3416" t="s">
        <v>10282</v>
      </c>
    </row>
    <row r="3417" spans="1:11">
      <c r="A3417" t="s">
        <v>10283</v>
      </c>
      <c r="J3417" t="s">
        <v>10284</v>
      </c>
      <c r="K3417" t="s">
        <v>10285</v>
      </c>
    </row>
    <row r="3418" spans="1:11">
      <c r="A3418" t="s">
        <v>10286</v>
      </c>
      <c r="J3418" t="s">
        <v>10287</v>
      </c>
      <c r="K3418" t="s">
        <v>10288</v>
      </c>
    </row>
    <row r="3419" spans="1:11">
      <c r="A3419" t="s">
        <v>10289</v>
      </c>
      <c r="J3419" t="s">
        <v>10290</v>
      </c>
      <c r="K3419" t="s">
        <v>10291</v>
      </c>
    </row>
    <row r="3420" spans="1:11">
      <c r="A3420" t="s">
        <v>10292</v>
      </c>
      <c r="J3420" t="s">
        <v>10293</v>
      </c>
      <c r="K3420" t="s">
        <v>10294</v>
      </c>
    </row>
    <row r="3421" spans="1:11">
      <c r="A3421" t="s">
        <v>10295</v>
      </c>
      <c r="J3421" t="s">
        <v>10296</v>
      </c>
      <c r="K3421" t="s">
        <v>10297</v>
      </c>
    </row>
    <row r="3422" spans="1:11">
      <c r="A3422" t="s">
        <v>10298</v>
      </c>
      <c r="J3422" t="s">
        <v>10299</v>
      </c>
      <c r="K3422" t="s">
        <v>10300</v>
      </c>
    </row>
    <row r="3423" spans="1:11">
      <c r="A3423" t="s">
        <v>10301</v>
      </c>
      <c r="J3423" t="s">
        <v>10302</v>
      </c>
      <c r="K3423" t="s">
        <v>10303</v>
      </c>
    </row>
    <row r="3424" spans="1:11">
      <c r="A3424" t="s">
        <v>10304</v>
      </c>
      <c r="J3424" t="s">
        <v>10305</v>
      </c>
      <c r="K3424" t="s">
        <v>10306</v>
      </c>
    </row>
    <row r="3425" spans="1:11">
      <c r="A3425" t="s">
        <v>10307</v>
      </c>
      <c r="J3425" t="s">
        <v>10308</v>
      </c>
      <c r="K3425" t="s">
        <v>10309</v>
      </c>
    </row>
    <row r="3426" spans="1:11">
      <c r="A3426" t="s">
        <v>10310</v>
      </c>
      <c r="J3426" t="s">
        <v>10311</v>
      </c>
      <c r="K3426" t="s">
        <v>10312</v>
      </c>
    </row>
    <row r="3427" spans="1:11">
      <c r="A3427" t="s">
        <v>10313</v>
      </c>
      <c r="J3427" t="s">
        <v>10314</v>
      </c>
      <c r="K3427" t="s">
        <v>10315</v>
      </c>
    </row>
    <row r="3428" spans="1:11">
      <c r="A3428" t="s">
        <v>10316</v>
      </c>
      <c r="J3428" t="s">
        <v>10317</v>
      </c>
      <c r="K3428" t="s">
        <v>10318</v>
      </c>
    </row>
    <row r="3429" spans="1:11">
      <c r="A3429" t="s">
        <v>10319</v>
      </c>
      <c r="J3429" t="s">
        <v>10320</v>
      </c>
      <c r="K3429" t="s">
        <v>10321</v>
      </c>
    </row>
    <row r="3430" spans="1:11">
      <c r="A3430" t="s">
        <v>10322</v>
      </c>
      <c r="J3430" t="s">
        <v>10323</v>
      </c>
      <c r="K3430" t="s">
        <v>10324</v>
      </c>
    </row>
    <row r="3431" spans="1:11">
      <c r="A3431" t="s">
        <v>10325</v>
      </c>
      <c r="J3431" t="s">
        <v>10326</v>
      </c>
      <c r="K3431" t="s">
        <v>10327</v>
      </c>
    </row>
    <row r="3432" spans="1:11">
      <c r="A3432" t="s">
        <v>10328</v>
      </c>
      <c r="J3432" t="s">
        <v>10329</v>
      </c>
      <c r="K3432" t="s">
        <v>10330</v>
      </c>
    </row>
    <row r="3433" spans="1:11">
      <c r="A3433" t="s">
        <v>10331</v>
      </c>
      <c r="J3433" t="s">
        <v>10332</v>
      </c>
      <c r="K3433" t="s">
        <v>10333</v>
      </c>
    </row>
    <row r="3434" spans="1:11">
      <c r="A3434" t="s">
        <v>10334</v>
      </c>
      <c r="J3434" t="s">
        <v>10335</v>
      </c>
      <c r="K3434" t="s">
        <v>10336</v>
      </c>
    </row>
    <row r="3435" spans="1:11">
      <c r="A3435" t="s">
        <v>10337</v>
      </c>
      <c r="J3435" t="s">
        <v>10338</v>
      </c>
      <c r="K3435" t="s">
        <v>10339</v>
      </c>
    </row>
    <row r="3436" spans="1:11">
      <c r="A3436" t="s">
        <v>10340</v>
      </c>
      <c r="J3436" t="s">
        <v>10341</v>
      </c>
      <c r="K3436" t="s">
        <v>10342</v>
      </c>
    </row>
    <row r="3437" spans="1:11">
      <c r="A3437" t="s">
        <v>10343</v>
      </c>
      <c r="J3437" t="s">
        <v>10344</v>
      </c>
      <c r="K3437" t="s">
        <v>10345</v>
      </c>
    </row>
    <row r="3438" spans="1:11">
      <c r="A3438" t="s">
        <v>10346</v>
      </c>
      <c r="J3438" t="s">
        <v>10347</v>
      </c>
      <c r="K3438" t="s">
        <v>10348</v>
      </c>
    </row>
    <row r="3439" spans="1:11">
      <c r="A3439" t="s">
        <v>10349</v>
      </c>
      <c r="J3439" t="s">
        <v>10350</v>
      </c>
      <c r="K3439" t="s">
        <v>10351</v>
      </c>
    </row>
    <row r="3440" spans="1:11">
      <c r="A3440" t="s">
        <v>10352</v>
      </c>
      <c r="J3440" t="s">
        <v>10353</v>
      </c>
      <c r="K3440" t="s">
        <v>10354</v>
      </c>
    </row>
    <row r="3441" spans="1:11">
      <c r="A3441" t="s">
        <v>10355</v>
      </c>
      <c r="J3441" t="s">
        <v>10356</v>
      </c>
      <c r="K3441" t="s">
        <v>10357</v>
      </c>
    </row>
    <row r="3442" spans="1:11">
      <c r="A3442" t="s">
        <v>10358</v>
      </c>
      <c r="J3442" t="s">
        <v>10359</v>
      </c>
      <c r="K3442" t="s">
        <v>10360</v>
      </c>
    </row>
    <row r="3443" spans="1:11">
      <c r="A3443" t="s">
        <v>10361</v>
      </c>
      <c r="J3443" t="s">
        <v>10362</v>
      </c>
      <c r="K3443" t="s">
        <v>10363</v>
      </c>
    </row>
    <row r="3444" spans="1:11">
      <c r="A3444" t="s">
        <v>10364</v>
      </c>
      <c r="J3444" t="s">
        <v>10365</v>
      </c>
      <c r="K3444" t="s">
        <v>10366</v>
      </c>
    </row>
    <row r="3445" spans="1:11">
      <c r="A3445" t="s">
        <v>10367</v>
      </c>
      <c r="J3445" t="s">
        <v>10368</v>
      </c>
      <c r="K3445" t="s">
        <v>10369</v>
      </c>
    </row>
    <row r="3446" spans="1:11">
      <c r="A3446" t="s">
        <v>10370</v>
      </c>
      <c r="J3446" t="s">
        <v>10371</v>
      </c>
      <c r="K3446" t="s">
        <v>10372</v>
      </c>
    </row>
    <row r="3447" spans="1:11">
      <c r="A3447" t="s">
        <v>10373</v>
      </c>
      <c r="J3447" t="s">
        <v>10374</v>
      </c>
      <c r="K3447" t="s">
        <v>10375</v>
      </c>
    </row>
    <row r="3448" spans="1:11">
      <c r="A3448" t="s">
        <v>10376</v>
      </c>
      <c r="J3448" t="s">
        <v>10377</v>
      </c>
      <c r="K3448" t="s">
        <v>10378</v>
      </c>
    </row>
    <row r="3449" spans="1:11">
      <c r="A3449" t="s">
        <v>10379</v>
      </c>
      <c r="J3449" t="s">
        <v>10380</v>
      </c>
      <c r="K3449" t="s">
        <v>10381</v>
      </c>
    </row>
    <row r="3450" spans="1:11">
      <c r="A3450" t="s">
        <v>10382</v>
      </c>
      <c r="J3450" t="s">
        <v>10383</v>
      </c>
      <c r="K3450" t="s">
        <v>10384</v>
      </c>
    </row>
    <row r="3451" spans="1:11">
      <c r="A3451" t="s">
        <v>10385</v>
      </c>
      <c r="J3451" t="s">
        <v>10386</v>
      </c>
      <c r="K3451" t="s">
        <v>10387</v>
      </c>
    </row>
    <row r="3452" spans="1:11">
      <c r="A3452" t="s">
        <v>10388</v>
      </c>
      <c r="J3452" t="s">
        <v>10389</v>
      </c>
      <c r="K3452" t="s">
        <v>10390</v>
      </c>
    </row>
    <row r="3453" spans="1:11">
      <c r="A3453" t="s">
        <v>10391</v>
      </c>
      <c r="J3453" t="s">
        <v>10392</v>
      </c>
      <c r="K3453" t="s">
        <v>10393</v>
      </c>
    </row>
    <row r="3454" spans="1:11">
      <c r="A3454" t="s">
        <v>10394</v>
      </c>
      <c r="J3454" t="s">
        <v>10395</v>
      </c>
      <c r="K3454" t="s">
        <v>10396</v>
      </c>
    </row>
    <row r="3455" spans="1:11">
      <c r="A3455" t="s">
        <v>10397</v>
      </c>
      <c r="J3455" t="s">
        <v>10398</v>
      </c>
      <c r="K3455" t="s">
        <v>10399</v>
      </c>
    </row>
    <row r="3456" spans="1:11">
      <c r="A3456" t="s">
        <v>10400</v>
      </c>
      <c r="J3456" t="s">
        <v>10401</v>
      </c>
      <c r="K3456" t="s">
        <v>10402</v>
      </c>
    </row>
    <row r="3457" spans="1:11">
      <c r="A3457" t="s">
        <v>10403</v>
      </c>
      <c r="J3457" t="s">
        <v>10404</v>
      </c>
      <c r="K3457" t="s">
        <v>10405</v>
      </c>
    </row>
    <row r="3458" spans="1:11">
      <c r="A3458" t="s">
        <v>10406</v>
      </c>
      <c r="J3458" t="s">
        <v>10407</v>
      </c>
      <c r="K3458" t="s">
        <v>10408</v>
      </c>
    </row>
    <row r="3459" spans="1:11">
      <c r="A3459" t="s">
        <v>10409</v>
      </c>
      <c r="J3459" t="s">
        <v>10410</v>
      </c>
      <c r="K3459" t="s">
        <v>10411</v>
      </c>
    </row>
    <row r="3460" spans="1:11">
      <c r="A3460" t="s">
        <v>10412</v>
      </c>
      <c r="J3460" t="s">
        <v>10413</v>
      </c>
      <c r="K3460" t="s">
        <v>10414</v>
      </c>
    </row>
    <row r="3461" spans="1:11">
      <c r="A3461" t="s">
        <v>10415</v>
      </c>
      <c r="J3461" t="s">
        <v>10416</v>
      </c>
      <c r="K3461" t="s">
        <v>10417</v>
      </c>
    </row>
    <row r="3462" spans="1:11">
      <c r="A3462" t="s">
        <v>10418</v>
      </c>
      <c r="J3462" t="s">
        <v>10419</v>
      </c>
      <c r="K3462" t="s">
        <v>10420</v>
      </c>
    </row>
    <row r="3463" spans="1:11">
      <c r="A3463" t="s">
        <v>10421</v>
      </c>
      <c r="J3463" t="s">
        <v>10422</v>
      </c>
      <c r="K3463" t="s">
        <v>10423</v>
      </c>
    </row>
    <row r="3464" spans="1:11">
      <c r="A3464" t="s">
        <v>10424</v>
      </c>
      <c r="J3464" t="s">
        <v>10425</v>
      </c>
      <c r="K3464" t="s">
        <v>10426</v>
      </c>
    </row>
    <row r="3465" spans="1:11">
      <c r="A3465" t="s">
        <v>10427</v>
      </c>
      <c r="J3465" t="s">
        <v>10428</v>
      </c>
      <c r="K3465" t="s">
        <v>10429</v>
      </c>
    </row>
    <row r="3466" spans="1:11">
      <c r="A3466" t="s">
        <v>10430</v>
      </c>
      <c r="J3466" t="s">
        <v>10431</v>
      </c>
      <c r="K3466" t="s">
        <v>10432</v>
      </c>
    </row>
    <row r="3467" spans="1:11">
      <c r="A3467" t="s">
        <v>10433</v>
      </c>
      <c r="J3467" t="s">
        <v>10434</v>
      </c>
      <c r="K3467" t="s">
        <v>10435</v>
      </c>
    </row>
    <row r="3468" spans="1:11">
      <c r="A3468" t="s">
        <v>10436</v>
      </c>
      <c r="J3468" t="s">
        <v>10437</v>
      </c>
      <c r="K3468" t="s">
        <v>10438</v>
      </c>
    </row>
    <row r="3469" spans="1:11">
      <c r="A3469" t="s">
        <v>10439</v>
      </c>
      <c r="J3469" t="s">
        <v>10440</v>
      </c>
      <c r="K3469" t="s">
        <v>10441</v>
      </c>
    </row>
    <row r="3470" spans="1:11">
      <c r="A3470" t="s">
        <v>10442</v>
      </c>
      <c r="J3470" t="s">
        <v>10443</v>
      </c>
      <c r="K3470" t="s">
        <v>10444</v>
      </c>
    </row>
    <row r="3471" spans="1:11">
      <c r="A3471" t="s">
        <v>10445</v>
      </c>
      <c r="J3471" t="s">
        <v>10446</v>
      </c>
      <c r="K3471" t="s">
        <v>10447</v>
      </c>
    </row>
    <row r="3472" spans="1:11">
      <c r="A3472" t="s">
        <v>10448</v>
      </c>
      <c r="J3472" t="s">
        <v>10449</v>
      </c>
      <c r="K3472" t="s">
        <v>10450</v>
      </c>
    </row>
    <row r="3473" spans="1:11">
      <c r="A3473" t="s">
        <v>10451</v>
      </c>
      <c r="J3473" t="s">
        <v>10452</v>
      </c>
      <c r="K3473" t="s">
        <v>10453</v>
      </c>
    </row>
    <row r="3474" spans="1:11">
      <c r="A3474" t="s">
        <v>10454</v>
      </c>
      <c r="J3474" t="s">
        <v>10455</v>
      </c>
      <c r="K3474" t="s">
        <v>10456</v>
      </c>
    </row>
    <row r="3475" spans="1:11">
      <c r="A3475" t="s">
        <v>10457</v>
      </c>
      <c r="J3475" t="s">
        <v>10458</v>
      </c>
      <c r="K3475" t="s">
        <v>10459</v>
      </c>
    </row>
    <row r="3476" spans="1:11">
      <c r="A3476" t="s">
        <v>10460</v>
      </c>
      <c r="J3476" t="s">
        <v>10461</v>
      </c>
      <c r="K3476" t="s">
        <v>10462</v>
      </c>
    </row>
    <row r="3477" spans="1:11">
      <c r="A3477" t="s">
        <v>10463</v>
      </c>
      <c r="J3477" t="s">
        <v>10464</v>
      </c>
      <c r="K3477" t="s">
        <v>10465</v>
      </c>
    </row>
    <row r="3478" spans="1:11">
      <c r="A3478" t="s">
        <v>10466</v>
      </c>
      <c r="J3478" t="s">
        <v>10467</v>
      </c>
      <c r="K3478" t="s">
        <v>10468</v>
      </c>
    </row>
    <row r="3479" spans="1:11">
      <c r="A3479" t="s">
        <v>10469</v>
      </c>
      <c r="J3479" t="s">
        <v>10470</v>
      </c>
      <c r="K3479" t="s">
        <v>10471</v>
      </c>
    </row>
    <row r="3480" spans="1:11">
      <c r="A3480" t="s">
        <v>10472</v>
      </c>
      <c r="J3480" t="s">
        <v>10473</v>
      </c>
      <c r="K3480" t="s">
        <v>10474</v>
      </c>
    </row>
    <row r="3481" spans="1:11">
      <c r="A3481" t="s">
        <v>10475</v>
      </c>
      <c r="J3481" t="s">
        <v>10476</v>
      </c>
      <c r="K3481" t="s">
        <v>10477</v>
      </c>
    </row>
    <row r="3482" spans="1:11">
      <c r="A3482" t="s">
        <v>10478</v>
      </c>
      <c r="J3482" t="s">
        <v>10479</v>
      </c>
      <c r="K3482" t="s">
        <v>10480</v>
      </c>
    </row>
    <row r="3483" spans="1:11">
      <c r="A3483" t="s">
        <v>10481</v>
      </c>
      <c r="J3483" t="s">
        <v>10482</v>
      </c>
      <c r="K3483" t="s">
        <v>10483</v>
      </c>
    </row>
    <row r="3484" spans="1:11">
      <c r="A3484" t="s">
        <v>10484</v>
      </c>
      <c r="J3484" t="s">
        <v>10485</v>
      </c>
      <c r="K3484" t="s">
        <v>10486</v>
      </c>
    </row>
    <row r="3485" spans="1:11">
      <c r="A3485" t="s">
        <v>10487</v>
      </c>
      <c r="J3485" t="s">
        <v>10488</v>
      </c>
      <c r="K3485" t="s">
        <v>10489</v>
      </c>
    </row>
    <row r="3486" spans="1:11">
      <c r="A3486" t="s">
        <v>10490</v>
      </c>
      <c r="J3486" t="s">
        <v>10491</v>
      </c>
      <c r="K3486" t="s">
        <v>10492</v>
      </c>
    </row>
    <row r="3487" spans="1:11">
      <c r="A3487" t="s">
        <v>10493</v>
      </c>
      <c r="J3487" t="s">
        <v>10494</v>
      </c>
      <c r="K3487" t="s">
        <v>10495</v>
      </c>
    </row>
    <row r="3488" spans="1:11">
      <c r="A3488" t="s">
        <v>10496</v>
      </c>
      <c r="J3488" t="s">
        <v>10497</v>
      </c>
      <c r="K3488" t="s">
        <v>10498</v>
      </c>
    </row>
    <row r="3489" spans="1:11">
      <c r="A3489" t="s">
        <v>10499</v>
      </c>
      <c r="J3489" t="s">
        <v>10500</v>
      </c>
      <c r="K3489" t="s">
        <v>10501</v>
      </c>
    </row>
    <row r="3490" spans="1:11">
      <c r="A3490" t="s">
        <v>10502</v>
      </c>
      <c r="J3490" t="s">
        <v>10503</v>
      </c>
      <c r="K3490" t="s">
        <v>10504</v>
      </c>
    </row>
    <row r="3491" spans="1:11">
      <c r="A3491" t="s">
        <v>10505</v>
      </c>
      <c r="J3491" t="s">
        <v>10506</v>
      </c>
      <c r="K3491" t="s">
        <v>10507</v>
      </c>
    </row>
    <row r="3492" spans="1:11">
      <c r="A3492" t="s">
        <v>10508</v>
      </c>
      <c r="J3492" t="s">
        <v>10509</v>
      </c>
      <c r="K3492" t="s">
        <v>10510</v>
      </c>
    </row>
    <row r="3493" spans="1:11">
      <c r="A3493" t="s">
        <v>10511</v>
      </c>
      <c r="J3493" t="s">
        <v>10512</v>
      </c>
      <c r="K3493" t="s">
        <v>10513</v>
      </c>
    </row>
    <row r="3494" spans="1:11">
      <c r="A3494" t="s">
        <v>10514</v>
      </c>
      <c r="J3494" t="s">
        <v>10515</v>
      </c>
      <c r="K3494" t="s">
        <v>10516</v>
      </c>
    </row>
    <row r="3495" spans="1:11">
      <c r="A3495" t="s">
        <v>10517</v>
      </c>
      <c r="J3495" t="s">
        <v>10518</v>
      </c>
      <c r="K3495" t="s">
        <v>10519</v>
      </c>
    </row>
    <row r="3496" spans="1:11">
      <c r="A3496" t="s">
        <v>10520</v>
      </c>
      <c r="J3496" t="s">
        <v>10521</v>
      </c>
      <c r="K3496" t="s">
        <v>10522</v>
      </c>
    </row>
    <row r="3497" spans="1:11">
      <c r="A3497" t="s">
        <v>10523</v>
      </c>
      <c r="J3497" t="s">
        <v>10524</v>
      </c>
      <c r="K3497" t="s">
        <v>10525</v>
      </c>
    </row>
    <row r="3498" spans="1:11">
      <c r="A3498" t="s">
        <v>10526</v>
      </c>
      <c r="J3498" t="s">
        <v>10527</v>
      </c>
      <c r="K3498" t="s">
        <v>10528</v>
      </c>
    </row>
    <row r="3499" spans="1:11">
      <c r="A3499" t="s">
        <v>10529</v>
      </c>
      <c r="J3499" t="s">
        <v>10530</v>
      </c>
      <c r="K3499" t="s">
        <v>10531</v>
      </c>
    </row>
    <row r="3500" spans="1:11">
      <c r="A3500" t="s">
        <v>10532</v>
      </c>
      <c r="J3500" t="s">
        <v>10533</v>
      </c>
      <c r="K3500" t="s">
        <v>10534</v>
      </c>
    </row>
    <row r="3501" spans="1:11">
      <c r="A3501" t="s">
        <v>10535</v>
      </c>
      <c r="J3501" t="s">
        <v>10536</v>
      </c>
      <c r="K3501" t="s">
        <v>10537</v>
      </c>
    </row>
    <row r="3502" spans="1:11">
      <c r="A3502" t="s">
        <v>10538</v>
      </c>
      <c r="J3502" t="s">
        <v>10539</v>
      </c>
      <c r="K3502" t="s">
        <v>10540</v>
      </c>
    </row>
    <row r="3503" spans="1:11">
      <c r="A3503" t="s">
        <v>10541</v>
      </c>
      <c r="J3503" t="s">
        <v>10542</v>
      </c>
      <c r="K3503" t="s">
        <v>10543</v>
      </c>
    </row>
    <row r="3504" spans="1:11">
      <c r="A3504" t="s">
        <v>10544</v>
      </c>
      <c r="J3504" t="s">
        <v>10545</v>
      </c>
      <c r="K3504" t="s">
        <v>10546</v>
      </c>
    </row>
    <row r="3505" spans="1:11">
      <c r="A3505" t="s">
        <v>10547</v>
      </c>
      <c r="J3505" t="s">
        <v>10548</v>
      </c>
      <c r="K3505" t="s">
        <v>10549</v>
      </c>
    </row>
    <row r="3506" spans="1:11">
      <c r="A3506" t="s">
        <v>10550</v>
      </c>
      <c r="J3506" t="s">
        <v>10551</v>
      </c>
      <c r="K3506" t="s">
        <v>10552</v>
      </c>
    </row>
    <row r="3507" spans="1:11">
      <c r="A3507" t="s">
        <v>10553</v>
      </c>
      <c r="J3507" t="s">
        <v>10554</v>
      </c>
      <c r="K3507" t="s">
        <v>10555</v>
      </c>
    </row>
    <row r="3508" spans="1:11">
      <c r="A3508" t="s">
        <v>10556</v>
      </c>
      <c r="J3508" t="s">
        <v>10557</v>
      </c>
      <c r="K3508" t="s">
        <v>10558</v>
      </c>
    </row>
    <row r="3509" spans="1:11">
      <c r="A3509" t="s">
        <v>10559</v>
      </c>
      <c r="J3509" t="s">
        <v>10560</v>
      </c>
      <c r="K3509" t="s">
        <v>10561</v>
      </c>
    </row>
    <row r="3510" spans="1:11">
      <c r="A3510" t="s">
        <v>10562</v>
      </c>
      <c r="J3510" t="s">
        <v>10563</v>
      </c>
      <c r="K3510" t="s">
        <v>10564</v>
      </c>
    </row>
    <row r="3511" spans="1:11">
      <c r="A3511" t="s">
        <v>10565</v>
      </c>
      <c r="J3511" t="s">
        <v>10566</v>
      </c>
      <c r="K3511" t="s">
        <v>10567</v>
      </c>
    </row>
    <row r="3512" spans="1:11">
      <c r="A3512" t="s">
        <v>10568</v>
      </c>
      <c r="J3512" t="s">
        <v>10569</v>
      </c>
      <c r="K3512" t="s">
        <v>10570</v>
      </c>
    </row>
    <row r="3513" spans="1:11">
      <c r="A3513" t="s">
        <v>10571</v>
      </c>
      <c r="J3513" t="s">
        <v>10572</v>
      </c>
      <c r="K3513" t="s">
        <v>10573</v>
      </c>
    </row>
    <row r="3514" spans="1:11">
      <c r="A3514" t="s">
        <v>10574</v>
      </c>
      <c r="J3514" t="s">
        <v>10575</v>
      </c>
      <c r="K3514" t="s">
        <v>10576</v>
      </c>
    </row>
    <row r="3515" spans="1:11">
      <c r="A3515" t="s">
        <v>10577</v>
      </c>
      <c r="J3515" t="s">
        <v>10578</v>
      </c>
      <c r="K3515" t="s">
        <v>10579</v>
      </c>
    </row>
    <row r="3516" spans="1:11">
      <c r="A3516" t="s">
        <v>10580</v>
      </c>
      <c r="J3516" t="s">
        <v>10581</v>
      </c>
      <c r="K3516" t="s">
        <v>10582</v>
      </c>
    </row>
    <row r="3517" spans="1:11">
      <c r="A3517" t="s">
        <v>10583</v>
      </c>
      <c r="J3517" t="s">
        <v>10584</v>
      </c>
      <c r="K3517" t="s">
        <v>10585</v>
      </c>
    </row>
    <row r="3518" spans="1:11">
      <c r="A3518" t="s">
        <v>10586</v>
      </c>
      <c r="J3518" t="s">
        <v>10587</v>
      </c>
      <c r="K3518" t="s">
        <v>10588</v>
      </c>
    </row>
    <row r="3519" spans="1:11">
      <c r="A3519" t="s">
        <v>10589</v>
      </c>
      <c r="J3519" t="s">
        <v>10590</v>
      </c>
      <c r="K3519" t="s">
        <v>10591</v>
      </c>
    </row>
    <row r="3520" spans="1:11">
      <c r="A3520" t="s">
        <v>10592</v>
      </c>
      <c r="J3520" t="s">
        <v>10593</v>
      </c>
      <c r="K3520" t="s">
        <v>10594</v>
      </c>
    </row>
    <row r="3521" spans="1:11">
      <c r="A3521" t="s">
        <v>10595</v>
      </c>
      <c r="J3521" t="s">
        <v>10596</v>
      </c>
      <c r="K3521" t="s">
        <v>10597</v>
      </c>
    </row>
    <row r="3522" spans="1:11">
      <c r="A3522" t="s">
        <v>10598</v>
      </c>
      <c r="J3522" t="s">
        <v>10599</v>
      </c>
      <c r="K3522" t="s">
        <v>10600</v>
      </c>
    </row>
    <row r="3523" spans="1:11">
      <c r="A3523" t="s">
        <v>10601</v>
      </c>
      <c r="J3523" t="s">
        <v>10602</v>
      </c>
      <c r="K3523" t="s">
        <v>10603</v>
      </c>
    </row>
    <row r="3524" spans="1:11">
      <c r="A3524" t="s">
        <v>10604</v>
      </c>
      <c r="J3524" t="s">
        <v>10605</v>
      </c>
      <c r="K3524" t="s">
        <v>10606</v>
      </c>
    </row>
    <row r="3525" spans="1:11">
      <c r="A3525" t="s">
        <v>10607</v>
      </c>
      <c r="J3525" t="s">
        <v>10608</v>
      </c>
      <c r="K3525" t="s">
        <v>10609</v>
      </c>
    </row>
    <row r="3526" spans="1:11">
      <c r="A3526" t="s">
        <v>10610</v>
      </c>
      <c r="J3526" t="s">
        <v>10611</v>
      </c>
      <c r="K3526" t="s">
        <v>10612</v>
      </c>
    </row>
    <row r="3527" spans="1:11">
      <c r="A3527" t="s">
        <v>10613</v>
      </c>
      <c r="J3527" t="s">
        <v>10614</v>
      </c>
      <c r="K3527" t="s">
        <v>10615</v>
      </c>
    </row>
    <row r="3528" spans="1:11">
      <c r="A3528" t="s">
        <v>10616</v>
      </c>
      <c r="J3528" t="s">
        <v>10617</v>
      </c>
      <c r="K3528" t="s">
        <v>10618</v>
      </c>
    </row>
    <row r="3529" spans="1:11">
      <c r="A3529" t="s">
        <v>10619</v>
      </c>
      <c r="J3529" t="s">
        <v>10620</v>
      </c>
      <c r="K3529" t="s">
        <v>10621</v>
      </c>
    </row>
    <row r="3530" spans="1:11">
      <c r="A3530" t="s">
        <v>10622</v>
      </c>
      <c r="J3530" t="s">
        <v>10623</v>
      </c>
      <c r="K3530" t="s">
        <v>10624</v>
      </c>
    </row>
    <row r="3531" spans="1:11">
      <c r="A3531" t="s">
        <v>10625</v>
      </c>
      <c r="J3531" t="s">
        <v>10626</v>
      </c>
      <c r="K3531" t="s">
        <v>10627</v>
      </c>
    </row>
    <row r="3532" spans="1:11">
      <c r="A3532" t="s">
        <v>10628</v>
      </c>
      <c r="J3532" t="s">
        <v>10629</v>
      </c>
      <c r="K3532" t="s">
        <v>10630</v>
      </c>
    </row>
    <row r="3533" spans="1:11">
      <c r="A3533" t="s">
        <v>10631</v>
      </c>
      <c r="J3533" t="s">
        <v>10632</v>
      </c>
      <c r="K3533" t="s">
        <v>10633</v>
      </c>
    </row>
    <row r="3534" spans="1:11">
      <c r="A3534" t="s">
        <v>10634</v>
      </c>
      <c r="J3534" t="s">
        <v>10635</v>
      </c>
      <c r="K3534" t="s">
        <v>10636</v>
      </c>
    </row>
    <row r="3535" spans="1:11">
      <c r="A3535" t="s">
        <v>10637</v>
      </c>
      <c r="J3535" t="s">
        <v>10638</v>
      </c>
      <c r="K3535" t="s">
        <v>10639</v>
      </c>
    </row>
    <row r="3536" spans="1:11">
      <c r="A3536" t="s">
        <v>10640</v>
      </c>
      <c r="J3536" t="s">
        <v>10641</v>
      </c>
      <c r="K3536" t="s">
        <v>10642</v>
      </c>
    </row>
    <row r="3537" spans="1:11">
      <c r="A3537" t="s">
        <v>10643</v>
      </c>
      <c r="J3537" t="s">
        <v>10644</v>
      </c>
      <c r="K3537" t="s">
        <v>10645</v>
      </c>
    </row>
    <row r="3538" spans="1:11">
      <c r="A3538" t="s">
        <v>10646</v>
      </c>
      <c r="J3538" t="s">
        <v>10647</v>
      </c>
      <c r="K3538" t="s">
        <v>10648</v>
      </c>
    </row>
    <row r="3539" spans="1:11">
      <c r="A3539" t="s">
        <v>10649</v>
      </c>
      <c r="J3539" t="s">
        <v>10650</v>
      </c>
      <c r="K3539" t="s">
        <v>10651</v>
      </c>
    </row>
    <row r="3540" spans="1:11">
      <c r="A3540" t="s">
        <v>10652</v>
      </c>
      <c r="J3540" t="s">
        <v>10653</v>
      </c>
      <c r="K3540" t="s">
        <v>10654</v>
      </c>
    </row>
    <row r="3541" spans="1:11">
      <c r="A3541" t="s">
        <v>10655</v>
      </c>
      <c r="J3541" t="s">
        <v>10656</v>
      </c>
      <c r="K3541" t="s">
        <v>10657</v>
      </c>
    </row>
    <row r="3542" spans="1:11">
      <c r="A3542" t="s">
        <v>10658</v>
      </c>
      <c r="J3542" t="s">
        <v>10659</v>
      </c>
      <c r="K3542" t="s">
        <v>10660</v>
      </c>
    </row>
    <row r="3543" spans="1:11">
      <c r="A3543" t="s">
        <v>10661</v>
      </c>
      <c r="J3543" t="s">
        <v>10662</v>
      </c>
      <c r="K3543" t="s">
        <v>10663</v>
      </c>
    </row>
    <row r="3544" spans="1:11">
      <c r="A3544" t="s">
        <v>10664</v>
      </c>
      <c r="J3544" t="s">
        <v>10665</v>
      </c>
      <c r="K3544" t="s">
        <v>10666</v>
      </c>
    </row>
    <row r="3545" spans="1:11">
      <c r="A3545" t="s">
        <v>10667</v>
      </c>
      <c r="J3545" t="s">
        <v>10668</v>
      </c>
      <c r="K3545" t="s">
        <v>10669</v>
      </c>
    </row>
    <row r="3546" spans="1:11">
      <c r="A3546" t="s">
        <v>10670</v>
      </c>
      <c r="J3546" t="s">
        <v>10671</v>
      </c>
      <c r="K3546" t="s">
        <v>10672</v>
      </c>
    </row>
    <row r="3547" spans="1:11">
      <c r="A3547" t="s">
        <v>10673</v>
      </c>
      <c r="J3547" t="s">
        <v>10674</v>
      </c>
      <c r="K3547" t="s">
        <v>10675</v>
      </c>
    </row>
    <row r="3548" spans="1:11">
      <c r="A3548" t="s">
        <v>10676</v>
      </c>
      <c r="J3548" t="s">
        <v>10677</v>
      </c>
      <c r="K3548" t="s">
        <v>10678</v>
      </c>
    </row>
    <row r="3549" spans="1:11">
      <c r="A3549" t="s">
        <v>10679</v>
      </c>
      <c r="J3549" t="s">
        <v>10680</v>
      </c>
      <c r="K3549" t="s">
        <v>10681</v>
      </c>
    </row>
    <row r="3550" spans="1:11">
      <c r="A3550" t="s">
        <v>10682</v>
      </c>
      <c r="J3550" t="s">
        <v>10683</v>
      </c>
      <c r="K3550" t="s">
        <v>10684</v>
      </c>
    </row>
    <row r="3551" spans="1:11">
      <c r="A3551" t="s">
        <v>10685</v>
      </c>
      <c r="J3551" t="s">
        <v>10686</v>
      </c>
      <c r="K3551" t="s">
        <v>10687</v>
      </c>
    </row>
    <row r="3552" spans="1:11">
      <c r="A3552" t="s">
        <v>10688</v>
      </c>
      <c r="J3552" t="s">
        <v>10689</v>
      </c>
      <c r="K3552" t="s">
        <v>10690</v>
      </c>
    </row>
    <row r="3553" spans="1:11">
      <c r="A3553" t="s">
        <v>10691</v>
      </c>
      <c r="J3553" t="s">
        <v>10692</v>
      </c>
      <c r="K3553" t="s">
        <v>10693</v>
      </c>
    </row>
    <row r="3554" spans="1:11">
      <c r="A3554" t="s">
        <v>10694</v>
      </c>
      <c r="J3554" t="s">
        <v>10695</v>
      </c>
      <c r="K3554" t="s">
        <v>10696</v>
      </c>
    </row>
    <row r="3555" spans="1:11">
      <c r="A3555" t="s">
        <v>10697</v>
      </c>
      <c r="J3555" t="s">
        <v>10698</v>
      </c>
      <c r="K3555" t="s">
        <v>10699</v>
      </c>
    </row>
    <row r="3556" spans="1:11">
      <c r="A3556" t="s">
        <v>10700</v>
      </c>
      <c r="J3556" t="s">
        <v>10701</v>
      </c>
      <c r="K3556" t="s">
        <v>10702</v>
      </c>
    </row>
    <row r="3557" spans="1:11">
      <c r="A3557" t="s">
        <v>10703</v>
      </c>
      <c r="J3557" t="s">
        <v>10704</v>
      </c>
      <c r="K3557" t="s">
        <v>10705</v>
      </c>
    </row>
    <row r="3558" spans="1:11">
      <c r="A3558" t="s">
        <v>10706</v>
      </c>
      <c r="J3558" t="s">
        <v>10707</v>
      </c>
      <c r="K3558" t="s">
        <v>10708</v>
      </c>
    </row>
    <row r="3559" spans="1:11">
      <c r="A3559" t="s">
        <v>10709</v>
      </c>
      <c r="J3559" t="s">
        <v>10710</v>
      </c>
      <c r="K3559" t="s">
        <v>10711</v>
      </c>
    </row>
    <row r="3560" spans="1:11">
      <c r="A3560" t="s">
        <v>10712</v>
      </c>
      <c r="J3560" t="s">
        <v>10713</v>
      </c>
      <c r="K3560" t="s">
        <v>10714</v>
      </c>
    </row>
    <row r="3561" spans="1:11">
      <c r="A3561" t="s">
        <v>10715</v>
      </c>
      <c r="J3561" t="s">
        <v>10716</v>
      </c>
      <c r="K3561" t="s">
        <v>10717</v>
      </c>
    </row>
    <row r="3562" spans="1:11">
      <c r="A3562" t="s">
        <v>10718</v>
      </c>
      <c r="J3562" t="s">
        <v>10719</v>
      </c>
      <c r="K3562" t="s">
        <v>10720</v>
      </c>
    </row>
    <row r="3563" spans="1:11">
      <c r="A3563" t="s">
        <v>10721</v>
      </c>
      <c r="J3563" t="s">
        <v>10722</v>
      </c>
      <c r="K3563" t="s">
        <v>10723</v>
      </c>
    </row>
    <row r="3564" spans="1:11">
      <c r="A3564" t="s">
        <v>10724</v>
      </c>
      <c r="J3564" t="s">
        <v>10725</v>
      </c>
      <c r="K3564" t="s">
        <v>10726</v>
      </c>
    </row>
    <row r="3565" spans="1:11">
      <c r="A3565" t="s">
        <v>10727</v>
      </c>
      <c r="J3565" t="s">
        <v>10728</v>
      </c>
      <c r="K3565" t="s">
        <v>10729</v>
      </c>
    </row>
    <row r="3566" spans="1:11">
      <c r="A3566" t="s">
        <v>10730</v>
      </c>
      <c r="J3566" t="s">
        <v>10731</v>
      </c>
      <c r="K3566" t="s">
        <v>10732</v>
      </c>
    </row>
    <row r="3567" spans="1:11">
      <c r="A3567" t="s">
        <v>10733</v>
      </c>
      <c r="J3567" t="s">
        <v>10734</v>
      </c>
      <c r="K3567" t="s">
        <v>10735</v>
      </c>
    </row>
    <row r="3568" spans="1:11">
      <c r="A3568" t="s">
        <v>10736</v>
      </c>
      <c r="J3568" t="s">
        <v>10737</v>
      </c>
      <c r="K3568" t="s">
        <v>10738</v>
      </c>
    </row>
    <row r="3569" spans="1:11">
      <c r="A3569" t="s">
        <v>10739</v>
      </c>
      <c r="J3569" t="s">
        <v>10740</v>
      </c>
      <c r="K3569" t="s">
        <v>10741</v>
      </c>
    </row>
    <row r="3570" spans="1:11">
      <c r="A3570" t="s">
        <v>10742</v>
      </c>
      <c r="J3570" t="s">
        <v>10743</v>
      </c>
      <c r="K3570" t="s">
        <v>10744</v>
      </c>
    </row>
    <row r="3571" spans="1:11">
      <c r="A3571" t="s">
        <v>10745</v>
      </c>
      <c r="J3571" t="s">
        <v>10746</v>
      </c>
      <c r="K3571" t="s">
        <v>10747</v>
      </c>
    </row>
    <row r="3572" spans="1:11">
      <c r="A3572" t="s">
        <v>10748</v>
      </c>
      <c r="J3572" t="s">
        <v>10749</v>
      </c>
      <c r="K3572" t="s">
        <v>10750</v>
      </c>
    </row>
    <row r="3573" spans="1:11">
      <c r="A3573" t="s">
        <v>10751</v>
      </c>
      <c r="J3573" t="s">
        <v>10752</v>
      </c>
      <c r="K3573" t="s">
        <v>10753</v>
      </c>
    </row>
    <row r="3574" spans="1:11">
      <c r="A3574" t="s">
        <v>10754</v>
      </c>
      <c r="J3574" t="s">
        <v>10755</v>
      </c>
      <c r="K3574" t="s">
        <v>10756</v>
      </c>
    </row>
    <row r="3575" spans="1:11">
      <c r="A3575" t="s">
        <v>10757</v>
      </c>
      <c r="J3575" t="s">
        <v>10758</v>
      </c>
      <c r="K3575" t="s">
        <v>10759</v>
      </c>
    </row>
    <row r="3576" spans="1:11">
      <c r="A3576" t="s">
        <v>10760</v>
      </c>
      <c r="J3576" t="s">
        <v>10761</v>
      </c>
      <c r="K3576" t="s">
        <v>10762</v>
      </c>
    </row>
    <row r="3577" spans="1:11">
      <c r="A3577" t="s">
        <v>10763</v>
      </c>
      <c r="J3577" t="s">
        <v>10764</v>
      </c>
      <c r="K3577" t="s">
        <v>10765</v>
      </c>
    </row>
    <row r="3578" spans="1:11">
      <c r="A3578" t="s">
        <v>10766</v>
      </c>
      <c r="J3578" t="s">
        <v>10767</v>
      </c>
      <c r="K3578" t="s">
        <v>10768</v>
      </c>
    </row>
    <row r="3579" spans="1:11">
      <c r="A3579" t="s">
        <v>10769</v>
      </c>
      <c r="J3579" t="s">
        <v>10770</v>
      </c>
      <c r="K3579" t="s">
        <v>10771</v>
      </c>
    </row>
    <row r="3580" spans="1:11">
      <c r="A3580" t="s">
        <v>10772</v>
      </c>
      <c r="J3580" t="s">
        <v>10773</v>
      </c>
      <c r="K3580" t="s">
        <v>10774</v>
      </c>
    </row>
    <row r="3581" spans="1:11">
      <c r="A3581" t="s">
        <v>10775</v>
      </c>
      <c r="J3581" t="s">
        <v>10776</v>
      </c>
      <c r="K3581" t="s">
        <v>10777</v>
      </c>
    </row>
    <row r="3582" spans="1:11">
      <c r="A3582" t="s">
        <v>10778</v>
      </c>
      <c r="J3582" t="s">
        <v>10779</v>
      </c>
      <c r="K3582" t="s">
        <v>10780</v>
      </c>
    </row>
    <row r="3583" spans="1:11">
      <c r="A3583" t="s">
        <v>10781</v>
      </c>
      <c r="J3583" t="s">
        <v>10782</v>
      </c>
      <c r="K3583" t="s">
        <v>10783</v>
      </c>
    </row>
    <row r="3584" spans="1:11">
      <c r="A3584" t="s">
        <v>10784</v>
      </c>
      <c r="J3584" t="s">
        <v>10785</v>
      </c>
      <c r="K3584" t="s">
        <v>10786</v>
      </c>
    </row>
    <row r="3585" spans="1:11">
      <c r="A3585" t="s">
        <v>10787</v>
      </c>
      <c r="J3585" t="s">
        <v>10788</v>
      </c>
      <c r="K3585" t="s">
        <v>10789</v>
      </c>
    </row>
    <row r="3586" spans="1:11">
      <c r="A3586" t="s">
        <v>10790</v>
      </c>
      <c r="J3586" t="s">
        <v>10791</v>
      </c>
      <c r="K3586" t="s">
        <v>10792</v>
      </c>
    </row>
    <row r="3587" spans="1:11">
      <c r="A3587" t="s">
        <v>10793</v>
      </c>
      <c r="J3587" t="s">
        <v>10794</v>
      </c>
      <c r="K3587" t="s">
        <v>10795</v>
      </c>
    </row>
    <row r="3588" spans="1:11">
      <c r="A3588" t="s">
        <v>10796</v>
      </c>
      <c r="J3588" t="s">
        <v>10797</v>
      </c>
      <c r="K3588" t="s">
        <v>10798</v>
      </c>
    </row>
    <row r="3589" spans="1:11">
      <c r="A3589" t="s">
        <v>10799</v>
      </c>
      <c r="J3589" t="s">
        <v>10800</v>
      </c>
      <c r="K3589" t="s">
        <v>10801</v>
      </c>
    </row>
    <row r="3590" spans="1:11">
      <c r="A3590" t="s">
        <v>10802</v>
      </c>
      <c r="J3590" t="s">
        <v>10803</v>
      </c>
      <c r="K3590" t="s">
        <v>10804</v>
      </c>
    </row>
    <row r="3591" spans="1:11">
      <c r="A3591" t="s">
        <v>10805</v>
      </c>
      <c r="J3591" t="s">
        <v>10806</v>
      </c>
      <c r="K3591" t="s">
        <v>10807</v>
      </c>
    </row>
    <row r="3592" spans="1:11">
      <c r="A3592" t="s">
        <v>10808</v>
      </c>
      <c r="J3592" t="s">
        <v>10809</v>
      </c>
      <c r="K3592" t="s">
        <v>10810</v>
      </c>
    </row>
    <row r="3593" spans="1:11">
      <c r="A3593" t="s">
        <v>10811</v>
      </c>
      <c r="J3593" t="s">
        <v>10812</v>
      </c>
      <c r="K3593" t="s">
        <v>10813</v>
      </c>
    </row>
    <row r="3594" spans="1:11">
      <c r="A3594" t="s">
        <v>10814</v>
      </c>
      <c r="J3594" t="s">
        <v>10815</v>
      </c>
      <c r="K3594" t="s">
        <v>10816</v>
      </c>
    </row>
    <row r="3595" spans="1:11">
      <c r="A3595" t="s">
        <v>10817</v>
      </c>
      <c r="J3595" t="s">
        <v>10818</v>
      </c>
      <c r="K3595" t="s">
        <v>10819</v>
      </c>
    </row>
    <row r="3596" spans="1:11">
      <c r="A3596" t="s">
        <v>10820</v>
      </c>
      <c r="J3596" t="s">
        <v>10821</v>
      </c>
      <c r="K3596" t="s">
        <v>10822</v>
      </c>
    </row>
    <row r="3597" spans="1:11">
      <c r="A3597" t="s">
        <v>10823</v>
      </c>
      <c r="J3597" t="s">
        <v>10824</v>
      </c>
      <c r="K3597" t="s">
        <v>10825</v>
      </c>
    </row>
    <row r="3598" spans="1:11">
      <c r="A3598" t="s">
        <v>10826</v>
      </c>
      <c r="J3598" t="s">
        <v>10827</v>
      </c>
      <c r="K3598" t="s">
        <v>10828</v>
      </c>
    </row>
    <row r="3599" spans="1:11">
      <c r="A3599" t="s">
        <v>10829</v>
      </c>
      <c r="J3599" t="s">
        <v>10830</v>
      </c>
      <c r="K3599" t="s">
        <v>10831</v>
      </c>
    </row>
    <row r="3600" spans="1:11">
      <c r="A3600" t="s">
        <v>10832</v>
      </c>
      <c r="J3600" t="s">
        <v>10833</v>
      </c>
      <c r="K3600" t="s">
        <v>10834</v>
      </c>
    </row>
    <row r="3601" spans="1:11">
      <c r="A3601" t="s">
        <v>10835</v>
      </c>
      <c r="J3601" t="s">
        <v>10836</v>
      </c>
      <c r="K3601" t="s">
        <v>10837</v>
      </c>
    </row>
    <row r="3602" spans="1:11">
      <c r="A3602" t="s">
        <v>10838</v>
      </c>
      <c r="J3602" t="s">
        <v>10839</v>
      </c>
      <c r="K3602" t="s">
        <v>10840</v>
      </c>
    </row>
    <row r="3603" spans="1:11">
      <c r="A3603" t="s">
        <v>10841</v>
      </c>
      <c r="J3603" t="s">
        <v>10842</v>
      </c>
      <c r="K3603" t="s">
        <v>10843</v>
      </c>
    </row>
    <row r="3604" spans="1:11">
      <c r="A3604" t="s">
        <v>10844</v>
      </c>
      <c r="J3604" t="s">
        <v>10845</v>
      </c>
      <c r="K3604" t="s">
        <v>10846</v>
      </c>
    </row>
    <row r="3605" spans="1:11">
      <c r="A3605" t="s">
        <v>10847</v>
      </c>
      <c r="J3605" t="s">
        <v>10848</v>
      </c>
      <c r="K3605" t="s">
        <v>10849</v>
      </c>
    </row>
    <row r="3606" spans="1:11">
      <c r="A3606" t="s">
        <v>10850</v>
      </c>
      <c r="J3606" t="s">
        <v>10851</v>
      </c>
      <c r="K3606" t="s">
        <v>10852</v>
      </c>
    </row>
    <row r="3607" spans="1:11">
      <c r="A3607" t="s">
        <v>10853</v>
      </c>
      <c r="J3607" t="s">
        <v>10854</v>
      </c>
      <c r="K3607" t="s">
        <v>10855</v>
      </c>
    </row>
    <row r="3608" spans="1:11">
      <c r="A3608" t="s">
        <v>10856</v>
      </c>
      <c r="J3608" t="s">
        <v>10857</v>
      </c>
      <c r="K3608" t="s">
        <v>10858</v>
      </c>
    </row>
    <row r="3609" spans="1:11">
      <c r="A3609" t="s">
        <v>10859</v>
      </c>
      <c r="J3609" t="s">
        <v>10860</v>
      </c>
      <c r="K3609" t="s">
        <v>10861</v>
      </c>
    </row>
    <row r="3610" spans="1:11">
      <c r="A3610" t="s">
        <v>10862</v>
      </c>
      <c r="J3610" t="s">
        <v>10863</v>
      </c>
      <c r="K3610" t="s">
        <v>10864</v>
      </c>
    </row>
    <row r="3611" spans="1:11">
      <c r="A3611" t="s">
        <v>10865</v>
      </c>
      <c r="J3611" t="s">
        <v>10866</v>
      </c>
      <c r="K3611" t="s">
        <v>10867</v>
      </c>
    </row>
    <row r="3612" spans="1:11">
      <c r="A3612" t="s">
        <v>10868</v>
      </c>
      <c r="J3612" t="s">
        <v>10869</v>
      </c>
      <c r="K3612" t="s">
        <v>10870</v>
      </c>
    </row>
    <row r="3613" spans="1:11">
      <c r="A3613" t="s">
        <v>10871</v>
      </c>
      <c r="J3613" t="s">
        <v>10872</v>
      </c>
      <c r="K3613" t="s">
        <v>10873</v>
      </c>
    </row>
    <row r="3614" spans="1:11">
      <c r="A3614" t="s">
        <v>10874</v>
      </c>
      <c r="J3614" t="s">
        <v>10875</v>
      </c>
      <c r="K3614" t="s">
        <v>10876</v>
      </c>
    </row>
    <row r="3615" spans="1:11">
      <c r="A3615" t="s">
        <v>10877</v>
      </c>
      <c r="J3615" t="s">
        <v>10878</v>
      </c>
      <c r="K3615" t="s">
        <v>10879</v>
      </c>
    </row>
    <row r="3616" spans="1:11">
      <c r="A3616" t="s">
        <v>10880</v>
      </c>
      <c r="J3616" t="s">
        <v>10881</v>
      </c>
      <c r="K3616" t="s">
        <v>10882</v>
      </c>
    </row>
    <row r="3617" spans="1:11">
      <c r="A3617" t="s">
        <v>10883</v>
      </c>
      <c r="J3617" t="s">
        <v>10884</v>
      </c>
      <c r="K3617" t="s">
        <v>10885</v>
      </c>
    </row>
    <row r="3618" spans="1:11">
      <c r="A3618" t="s">
        <v>10886</v>
      </c>
      <c r="J3618" t="s">
        <v>10887</v>
      </c>
      <c r="K3618" t="s">
        <v>10888</v>
      </c>
    </row>
    <row r="3619" spans="1:11">
      <c r="A3619" t="s">
        <v>10889</v>
      </c>
      <c r="J3619" t="s">
        <v>10890</v>
      </c>
      <c r="K3619" t="s">
        <v>10891</v>
      </c>
    </row>
    <row r="3620" spans="1:11">
      <c r="A3620" t="s">
        <v>10892</v>
      </c>
      <c r="J3620" t="s">
        <v>10893</v>
      </c>
      <c r="K3620" t="s">
        <v>10894</v>
      </c>
    </row>
    <row r="3621" spans="1:11">
      <c r="A3621" t="s">
        <v>10895</v>
      </c>
      <c r="J3621" t="s">
        <v>10896</v>
      </c>
      <c r="K3621" t="s">
        <v>10897</v>
      </c>
    </row>
    <row r="3622" spans="1:11">
      <c r="A3622" t="s">
        <v>10898</v>
      </c>
      <c r="J3622" t="s">
        <v>10899</v>
      </c>
      <c r="K3622" t="s">
        <v>10900</v>
      </c>
    </row>
    <row r="3623" spans="1:11">
      <c r="A3623" t="s">
        <v>10901</v>
      </c>
      <c r="J3623" t="s">
        <v>10902</v>
      </c>
      <c r="K3623" t="s">
        <v>10903</v>
      </c>
    </row>
    <row r="3624" spans="1:11">
      <c r="A3624" t="s">
        <v>10904</v>
      </c>
      <c r="J3624" t="s">
        <v>10905</v>
      </c>
      <c r="K3624" t="s">
        <v>10906</v>
      </c>
    </row>
    <row r="3625" spans="1:11">
      <c r="A3625" t="s">
        <v>10907</v>
      </c>
      <c r="J3625" t="s">
        <v>10908</v>
      </c>
      <c r="K3625" t="s">
        <v>10909</v>
      </c>
    </row>
    <row r="3626" spans="1:11">
      <c r="A3626" t="s">
        <v>10910</v>
      </c>
      <c r="J3626" t="s">
        <v>10911</v>
      </c>
      <c r="K3626" t="s">
        <v>10912</v>
      </c>
    </row>
    <row r="3627" spans="1:11">
      <c r="A3627" t="s">
        <v>10913</v>
      </c>
      <c r="J3627" t="s">
        <v>10914</v>
      </c>
      <c r="K3627" t="s">
        <v>10915</v>
      </c>
    </row>
    <row r="3628" spans="1:11">
      <c r="A3628" t="s">
        <v>10916</v>
      </c>
      <c r="J3628" t="s">
        <v>10917</v>
      </c>
      <c r="K3628" t="s">
        <v>10918</v>
      </c>
    </row>
    <row r="3629" spans="1:11">
      <c r="A3629" t="s">
        <v>10919</v>
      </c>
      <c r="J3629" t="s">
        <v>10920</v>
      </c>
      <c r="K3629" t="s">
        <v>10921</v>
      </c>
    </row>
    <row r="3630" spans="1:11">
      <c r="A3630" t="s">
        <v>10922</v>
      </c>
      <c r="J3630" t="s">
        <v>10923</v>
      </c>
      <c r="K3630" t="s">
        <v>10924</v>
      </c>
    </row>
    <row r="3631" spans="1:11">
      <c r="A3631" t="s">
        <v>10925</v>
      </c>
      <c r="J3631" t="s">
        <v>10926</v>
      </c>
      <c r="K3631" t="s">
        <v>10927</v>
      </c>
    </row>
    <row r="3632" spans="1:11">
      <c r="A3632" t="s">
        <v>10928</v>
      </c>
      <c r="J3632" t="s">
        <v>10929</v>
      </c>
      <c r="K3632" t="s">
        <v>10930</v>
      </c>
    </row>
    <row r="3633" spans="1:11">
      <c r="A3633" t="s">
        <v>10931</v>
      </c>
      <c r="J3633" t="s">
        <v>10932</v>
      </c>
      <c r="K3633" t="s">
        <v>10933</v>
      </c>
    </row>
    <row r="3634" spans="1:11">
      <c r="A3634" t="s">
        <v>10934</v>
      </c>
      <c r="J3634" t="s">
        <v>10935</v>
      </c>
      <c r="K3634" t="s">
        <v>10936</v>
      </c>
    </row>
    <row r="3635" spans="1:11">
      <c r="A3635" t="s">
        <v>10937</v>
      </c>
      <c r="J3635" t="s">
        <v>10938</v>
      </c>
      <c r="K3635" t="s">
        <v>10939</v>
      </c>
    </row>
    <row r="3636" spans="1:11">
      <c r="A3636" t="s">
        <v>10940</v>
      </c>
      <c r="J3636" t="s">
        <v>10941</v>
      </c>
      <c r="K3636" t="s">
        <v>10942</v>
      </c>
    </row>
    <row r="3637" spans="1:11">
      <c r="A3637" t="s">
        <v>10943</v>
      </c>
      <c r="J3637" t="s">
        <v>10944</v>
      </c>
      <c r="K3637" t="s">
        <v>10945</v>
      </c>
    </row>
    <row r="3638" spans="1:11">
      <c r="A3638" t="s">
        <v>10946</v>
      </c>
      <c r="J3638" t="s">
        <v>10947</v>
      </c>
      <c r="K3638" t="s">
        <v>10948</v>
      </c>
    </row>
    <row r="3639" spans="1:11">
      <c r="A3639" t="s">
        <v>10949</v>
      </c>
      <c r="J3639" t="s">
        <v>10950</v>
      </c>
      <c r="K3639" t="s">
        <v>10951</v>
      </c>
    </row>
    <row r="3640" spans="1:11">
      <c r="A3640" t="s">
        <v>10952</v>
      </c>
      <c r="J3640" t="s">
        <v>10953</v>
      </c>
      <c r="K3640" t="s">
        <v>10954</v>
      </c>
    </row>
    <row r="3641" spans="1:11">
      <c r="A3641" t="s">
        <v>10955</v>
      </c>
      <c r="J3641" t="s">
        <v>10956</v>
      </c>
      <c r="K3641" t="s">
        <v>10957</v>
      </c>
    </row>
    <row r="3642" spans="1:11">
      <c r="A3642" t="s">
        <v>10958</v>
      </c>
      <c r="J3642" t="s">
        <v>10959</v>
      </c>
      <c r="K3642" t="s">
        <v>10960</v>
      </c>
    </row>
    <row r="3643" spans="1:11">
      <c r="A3643" t="s">
        <v>10961</v>
      </c>
      <c r="J3643" t="s">
        <v>10962</v>
      </c>
      <c r="K3643" t="s">
        <v>10963</v>
      </c>
    </row>
    <row r="3644" spans="1:11">
      <c r="A3644" t="s">
        <v>10964</v>
      </c>
      <c r="J3644" t="s">
        <v>10965</v>
      </c>
      <c r="K3644" t="s">
        <v>10966</v>
      </c>
    </row>
    <row r="3645" spans="1:11">
      <c r="A3645" t="s">
        <v>10967</v>
      </c>
      <c r="J3645" t="s">
        <v>10968</v>
      </c>
      <c r="K3645" t="s">
        <v>10969</v>
      </c>
    </row>
    <row r="3646" spans="1:11">
      <c r="A3646" t="s">
        <v>10970</v>
      </c>
      <c r="J3646" t="s">
        <v>10971</v>
      </c>
      <c r="K3646" t="s">
        <v>10972</v>
      </c>
    </row>
    <row r="3647" spans="1:11">
      <c r="A3647" t="s">
        <v>10973</v>
      </c>
      <c r="J3647" t="s">
        <v>10974</v>
      </c>
      <c r="K3647" t="s">
        <v>10975</v>
      </c>
    </row>
    <row r="3648" spans="1:11">
      <c r="A3648" t="s">
        <v>10976</v>
      </c>
      <c r="J3648" t="s">
        <v>10977</v>
      </c>
      <c r="K3648" t="s">
        <v>10978</v>
      </c>
    </row>
    <row r="3649" spans="1:11">
      <c r="A3649" t="s">
        <v>10979</v>
      </c>
      <c r="J3649" t="s">
        <v>10980</v>
      </c>
      <c r="K3649" t="s">
        <v>10981</v>
      </c>
    </row>
    <row r="3650" spans="1:11">
      <c r="A3650" t="s">
        <v>10982</v>
      </c>
      <c r="J3650" t="s">
        <v>10983</v>
      </c>
      <c r="K3650" t="s">
        <v>10984</v>
      </c>
    </row>
    <row r="3651" spans="1:11">
      <c r="A3651" t="s">
        <v>10985</v>
      </c>
      <c r="J3651" t="s">
        <v>10986</v>
      </c>
      <c r="K3651" t="s">
        <v>10987</v>
      </c>
    </row>
    <row r="3652" spans="1:11">
      <c r="A3652" t="s">
        <v>10988</v>
      </c>
      <c r="J3652" t="s">
        <v>10989</v>
      </c>
      <c r="K3652" t="s">
        <v>10990</v>
      </c>
    </row>
    <row r="3653" spans="1:11">
      <c r="A3653" t="s">
        <v>10991</v>
      </c>
      <c r="J3653" t="s">
        <v>10992</v>
      </c>
      <c r="K3653" t="s">
        <v>10993</v>
      </c>
    </row>
    <row r="3654" spans="1:11">
      <c r="A3654" t="s">
        <v>10994</v>
      </c>
      <c r="J3654" t="s">
        <v>10995</v>
      </c>
      <c r="K3654" t="s">
        <v>10996</v>
      </c>
    </row>
    <row r="3655" spans="1:11">
      <c r="A3655" t="s">
        <v>10997</v>
      </c>
      <c r="J3655" t="s">
        <v>10998</v>
      </c>
      <c r="K3655" t="s">
        <v>10999</v>
      </c>
    </row>
    <row r="3656" spans="1:11">
      <c r="A3656" t="s">
        <v>11000</v>
      </c>
      <c r="J3656" t="s">
        <v>11001</v>
      </c>
      <c r="K3656" t="s">
        <v>11002</v>
      </c>
    </row>
    <row r="3657" spans="1:11">
      <c r="A3657" t="s">
        <v>11003</v>
      </c>
      <c r="J3657" t="s">
        <v>11004</v>
      </c>
      <c r="K3657" t="s">
        <v>11005</v>
      </c>
    </row>
    <row r="3658" spans="1:11">
      <c r="A3658" t="s">
        <v>11006</v>
      </c>
      <c r="J3658" t="s">
        <v>11007</v>
      </c>
      <c r="K3658" t="s">
        <v>11008</v>
      </c>
    </row>
    <row r="3659" spans="1:11">
      <c r="A3659" t="s">
        <v>11009</v>
      </c>
      <c r="J3659" t="s">
        <v>11010</v>
      </c>
      <c r="K3659" t="s">
        <v>11011</v>
      </c>
    </row>
    <row r="3660" spans="1:11">
      <c r="A3660" t="s">
        <v>11012</v>
      </c>
      <c r="J3660" t="s">
        <v>11013</v>
      </c>
      <c r="K3660" t="s">
        <v>11014</v>
      </c>
    </row>
    <row r="3661" spans="1:11">
      <c r="A3661" t="s">
        <v>11015</v>
      </c>
      <c r="J3661" t="s">
        <v>11016</v>
      </c>
      <c r="K3661" t="s">
        <v>11017</v>
      </c>
    </row>
    <row r="3662" spans="1:11">
      <c r="A3662" t="s">
        <v>11018</v>
      </c>
      <c r="J3662" t="s">
        <v>11019</v>
      </c>
      <c r="K3662" t="s">
        <v>11020</v>
      </c>
    </row>
    <row r="3663" spans="1:11">
      <c r="A3663" t="s">
        <v>11021</v>
      </c>
      <c r="J3663" t="s">
        <v>11022</v>
      </c>
      <c r="K3663" t="s">
        <v>11023</v>
      </c>
    </row>
    <row r="3664" spans="1:11">
      <c r="A3664" t="s">
        <v>11024</v>
      </c>
      <c r="J3664" t="s">
        <v>11025</v>
      </c>
      <c r="K3664" t="s">
        <v>11026</v>
      </c>
    </row>
    <row r="3665" spans="1:11">
      <c r="A3665" t="s">
        <v>11027</v>
      </c>
      <c r="J3665" t="s">
        <v>11028</v>
      </c>
      <c r="K3665" t="s">
        <v>11029</v>
      </c>
    </row>
    <row r="3666" spans="1:11">
      <c r="A3666" t="s">
        <v>11030</v>
      </c>
      <c r="J3666" t="s">
        <v>11031</v>
      </c>
      <c r="K3666" t="s">
        <v>11032</v>
      </c>
    </row>
    <row r="3667" spans="1:11">
      <c r="A3667" t="s">
        <v>11033</v>
      </c>
      <c r="J3667" t="s">
        <v>11034</v>
      </c>
      <c r="K3667" t="s">
        <v>11035</v>
      </c>
    </row>
    <row r="3668" spans="1:11">
      <c r="A3668" t="s">
        <v>11036</v>
      </c>
      <c r="J3668" t="s">
        <v>11037</v>
      </c>
      <c r="K3668" t="s">
        <v>11038</v>
      </c>
    </row>
    <row r="3669" spans="1:11">
      <c r="A3669" t="s">
        <v>11039</v>
      </c>
      <c r="J3669" t="s">
        <v>11040</v>
      </c>
      <c r="K3669" t="s">
        <v>11041</v>
      </c>
    </row>
    <row r="3670" spans="1:11">
      <c r="A3670" t="s">
        <v>11042</v>
      </c>
      <c r="J3670" t="s">
        <v>11043</v>
      </c>
      <c r="K3670" t="s">
        <v>11044</v>
      </c>
    </row>
    <row r="3671" spans="1:11">
      <c r="A3671" t="s">
        <v>11045</v>
      </c>
      <c r="J3671" t="s">
        <v>11046</v>
      </c>
      <c r="K3671" t="s">
        <v>11047</v>
      </c>
    </row>
    <row r="3672" spans="1:11">
      <c r="A3672" t="s">
        <v>11048</v>
      </c>
      <c r="J3672" t="s">
        <v>11049</v>
      </c>
      <c r="K3672" t="s">
        <v>11050</v>
      </c>
    </row>
    <row r="3673" spans="1:11">
      <c r="A3673" t="s">
        <v>11051</v>
      </c>
      <c r="J3673" t="s">
        <v>11052</v>
      </c>
      <c r="K3673" t="s">
        <v>11053</v>
      </c>
    </row>
    <row r="3674" spans="1:11">
      <c r="A3674" t="s">
        <v>11054</v>
      </c>
      <c r="J3674" t="s">
        <v>11055</v>
      </c>
      <c r="K3674" t="s">
        <v>11056</v>
      </c>
    </row>
    <row r="3675" spans="1:11">
      <c r="A3675" t="s">
        <v>11057</v>
      </c>
      <c r="J3675" t="s">
        <v>11058</v>
      </c>
      <c r="K3675" t="s">
        <v>11059</v>
      </c>
    </row>
    <row r="3676" spans="1:11">
      <c r="A3676" t="s">
        <v>11060</v>
      </c>
      <c r="J3676" t="s">
        <v>11061</v>
      </c>
      <c r="K3676" t="s">
        <v>11062</v>
      </c>
    </row>
    <row r="3677" spans="1:11">
      <c r="A3677" t="s">
        <v>11063</v>
      </c>
      <c r="J3677" t="s">
        <v>11064</v>
      </c>
      <c r="K3677" t="s">
        <v>11065</v>
      </c>
    </row>
    <row r="3678" spans="1:11">
      <c r="A3678" t="s">
        <v>11066</v>
      </c>
      <c r="J3678" t="s">
        <v>11067</v>
      </c>
      <c r="K3678" t="s">
        <v>11068</v>
      </c>
    </row>
    <row r="3679" spans="1:11">
      <c r="A3679" t="s">
        <v>11069</v>
      </c>
      <c r="J3679" t="s">
        <v>11070</v>
      </c>
      <c r="K3679" t="s">
        <v>11071</v>
      </c>
    </row>
    <row r="3680" spans="1:11">
      <c r="A3680" t="s">
        <v>11072</v>
      </c>
      <c r="J3680" t="s">
        <v>11073</v>
      </c>
      <c r="K3680" t="s">
        <v>11074</v>
      </c>
    </row>
    <row r="3681" spans="1:11">
      <c r="A3681" t="s">
        <v>11075</v>
      </c>
      <c r="J3681" t="s">
        <v>11076</v>
      </c>
      <c r="K3681" t="s">
        <v>11077</v>
      </c>
    </row>
    <row r="3682" spans="1:11">
      <c r="A3682" t="s">
        <v>11078</v>
      </c>
      <c r="J3682" t="s">
        <v>11079</v>
      </c>
      <c r="K3682" t="s">
        <v>11080</v>
      </c>
    </row>
    <row r="3683" spans="1:11">
      <c r="A3683" t="s">
        <v>11081</v>
      </c>
      <c r="J3683" t="s">
        <v>11082</v>
      </c>
      <c r="K3683" t="s">
        <v>11083</v>
      </c>
    </row>
    <row r="3684" spans="1:11">
      <c r="A3684" t="s">
        <v>11084</v>
      </c>
      <c r="J3684" t="s">
        <v>11085</v>
      </c>
      <c r="K3684" t="s">
        <v>11086</v>
      </c>
    </row>
    <row r="3685" spans="1:11">
      <c r="A3685" t="s">
        <v>11087</v>
      </c>
      <c r="J3685" t="s">
        <v>11088</v>
      </c>
      <c r="K3685" t="s">
        <v>11089</v>
      </c>
    </row>
    <row r="3686" spans="1:11">
      <c r="A3686" t="s">
        <v>11090</v>
      </c>
      <c r="J3686" t="s">
        <v>11091</v>
      </c>
      <c r="K3686" t="s">
        <v>11092</v>
      </c>
    </row>
    <row r="3687" spans="1:11">
      <c r="A3687" t="s">
        <v>11093</v>
      </c>
      <c r="J3687" t="s">
        <v>11094</v>
      </c>
      <c r="K3687" t="s">
        <v>11095</v>
      </c>
    </row>
    <row r="3688" spans="1:11">
      <c r="A3688" t="s">
        <v>11096</v>
      </c>
      <c r="J3688" t="s">
        <v>11097</v>
      </c>
      <c r="K3688" t="s">
        <v>11098</v>
      </c>
    </row>
    <row r="3689" spans="1:11">
      <c r="A3689" t="s">
        <v>11099</v>
      </c>
      <c r="J3689" t="s">
        <v>11100</v>
      </c>
      <c r="K3689" t="s">
        <v>11101</v>
      </c>
    </row>
    <row r="3690" spans="1:11">
      <c r="A3690" t="s">
        <v>11102</v>
      </c>
      <c r="J3690" t="s">
        <v>11103</v>
      </c>
      <c r="K3690" t="s">
        <v>11104</v>
      </c>
    </row>
    <row r="3691" spans="1:11">
      <c r="A3691" t="s">
        <v>11105</v>
      </c>
      <c r="J3691" t="s">
        <v>11106</v>
      </c>
      <c r="K3691" t="s">
        <v>11107</v>
      </c>
    </row>
    <row r="3692" spans="1:11">
      <c r="A3692" t="s">
        <v>11108</v>
      </c>
      <c r="J3692" t="s">
        <v>11109</v>
      </c>
      <c r="K3692" t="s">
        <v>11110</v>
      </c>
    </row>
    <row r="3693" spans="1:11">
      <c r="A3693" t="s">
        <v>11111</v>
      </c>
      <c r="J3693" t="s">
        <v>11112</v>
      </c>
      <c r="K3693" t="s">
        <v>11113</v>
      </c>
    </row>
    <row r="3694" spans="1:11">
      <c r="A3694" t="s">
        <v>11114</v>
      </c>
      <c r="J3694" t="s">
        <v>11115</v>
      </c>
      <c r="K3694" t="s">
        <v>11116</v>
      </c>
    </row>
    <row r="3695" spans="1:11">
      <c r="A3695" t="s">
        <v>11117</v>
      </c>
      <c r="J3695" t="s">
        <v>11118</v>
      </c>
      <c r="K3695" t="s">
        <v>11119</v>
      </c>
    </row>
    <row r="3696" spans="1:11">
      <c r="A3696" t="s">
        <v>11120</v>
      </c>
      <c r="J3696" t="s">
        <v>11121</v>
      </c>
      <c r="K3696" t="s">
        <v>11122</v>
      </c>
    </row>
    <row r="3697" spans="1:11">
      <c r="A3697" t="s">
        <v>11123</v>
      </c>
      <c r="J3697" t="s">
        <v>11124</v>
      </c>
      <c r="K3697" t="s">
        <v>11125</v>
      </c>
    </row>
    <row r="3698" spans="1:11">
      <c r="A3698" t="s">
        <v>11126</v>
      </c>
      <c r="J3698" t="s">
        <v>11127</v>
      </c>
      <c r="K3698" t="s">
        <v>11128</v>
      </c>
    </row>
    <row r="3699" spans="1:11">
      <c r="A3699" t="s">
        <v>11129</v>
      </c>
      <c r="J3699" t="s">
        <v>11130</v>
      </c>
      <c r="K3699" t="s">
        <v>11131</v>
      </c>
    </row>
    <row r="3700" spans="1:11">
      <c r="A3700" t="s">
        <v>11132</v>
      </c>
      <c r="J3700" t="s">
        <v>11133</v>
      </c>
      <c r="K3700" t="s">
        <v>11134</v>
      </c>
    </row>
    <row r="3701" spans="1:11">
      <c r="A3701" t="s">
        <v>11135</v>
      </c>
      <c r="J3701" t="s">
        <v>11136</v>
      </c>
      <c r="K3701" t="s">
        <v>11137</v>
      </c>
    </row>
    <row r="3702" spans="1:11">
      <c r="A3702" t="s">
        <v>11138</v>
      </c>
      <c r="J3702" t="s">
        <v>11139</v>
      </c>
      <c r="K3702" t="s">
        <v>11140</v>
      </c>
    </row>
    <row r="3703" spans="1:11">
      <c r="A3703" t="s">
        <v>11141</v>
      </c>
      <c r="J3703" t="s">
        <v>11142</v>
      </c>
      <c r="K3703" t="s">
        <v>11143</v>
      </c>
    </row>
    <row r="3704" spans="1:11">
      <c r="A3704" t="s">
        <v>11144</v>
      </c>
      <c r="J3704" t="s">
        <v>11145</v>
      </c>
      <c r="K3704" t="s">
        <v>11146</v>
      </c>
    </row>
    <row r="3705" spans="1:11">
      <c r="A3705" t="s">
        <v>11147</v>
      </c>
      <c r="J3705" t="s">
        <v>11148</v>
      </c>
      <c r="K3705" t="s">
        <v>11149</v>
      </c>
    </row>
    <row r="3706" spans="1:11">
      <c r="A3706" t="s">
        <v>11150</v>
      </c>
      <c r="J3706" t="s">
        <v>11151</v>
      </c>
      <c r="K3706" t="s">
        <v>11152</v>
      </c>
    </row>
    <row r="3707" spans="1:11">
      <c r="A3707" t="s">
        <v>11153</v>
      </c>
      <c r="J3707" t="s">
        <v>11154</v>
      </c>
      <c r="K3707" t="s">
        <v>11155</v>
      </c>
    </row>
    <row r="3708" spans="1:11">
      <c r="A3708" t="s">
        <v>11156</v>
      </c>
      <c r="J3708" t="s">
        <v>11157</v>
      </c>
      <c r="K3708" t="s">
        <v>11158</v>
      </c>
    </row>
    <row r="3709" spans="1:11">
      <c r="A3709" t="s">
        <v>11159</v>
      </c>
      <c r="J3709" t="s">
        <v>11160</v>
      </c>
      <c r="K3709" t="s">
        <v>11161</v>
      </c>
    </row>
    <row r="3710" spans="1:11">
      <c r="A3710" t="s">
        <v>11162</v>
      </c>
      <c r="J3710" t="s">
        <v>11163</v>
      </c>
      <c r="K3710" t="s">
        <v>11164</v>
      </c>
    </row>
    <row r="3711" spans="1:11">
      <c r="A3711" t="s">
        <v>11165</v>
      </c>
      <c r="J3711" t="s">
        <v>11166</v>
      </c>
      <c r="K3711" t="s">
        <v>11167</v>
      </c>
    </row>
    <row r="3712" spans="1:11">
      <c r="A3712" t="s">
        <v>11168</v>
      </c>
      <c r="J3712" t="s">
        <v>11169</v>
      </c>
      <c r="K3712" t="s">
        <v>11170</v>
      </c>
    </row>
    <row r="3713" spans="1:11">
      <c r="A3713" t="s">
        <v>11171</v>
      </c>
      <c r="J3713" t="s">
        <v>11172</v>
      </c>
      <c r="K3713" t="s">
        <v>11173</v>
      </c>
    </row>
    <row r="3714" spans="1:11">
      <c r="A3714" t="s">
        <v>11174</v>
      </c>
      <c r="J3714" t="s">
        <v>11175</v>
      </c>
      <c r="K3714" t="s">
        <v>11176</v>
      </c>
    </row>
    <row r="3715" spans="1:11">
      <c r="A3715" t="s">
        <v>11177</v>
      </c>
      <c r="J3715" t="s">
        <v>11178</v>
      </c>
      <c r="K3715" t="s">
        <v>11179</v>
      </c>
    </row>
    <row r="3716" spans="1:11">
      <c r="A3716" t="s">
        <v>11180</v>
      </c>
      <c r="J3716" t="s">
        <v>11181</v>
      </c>
      <c r="K3716" t="s">
        <v>11182</v>
      </c>
    </row>
    <row r="3717" spans="1:11">
      <c r="A3717" t="s">
        <v>11183</v>
      </c>
      <c r="J3717" t="s">
        <v>11184</v>
      </c>
      <c r="K3717" t="s">
        <v>11185</v>
      </c>
    </row>
    <row r="3718" spans="1:11">
      <c r="A3718" t="s">
        <v>11186</v>
      </c>
      <c r="J3718" t="s">
        <v>11187</v>
      </c>
      <c r="K3718" t="s">
        <v>11188</v>
      </c>
    </row>
    <row r="3719" spans="1:11">
      <c r="A3719" t="s">
        <v>11189</v>
      </c>
      <c r="J3719" t="s">
        <v>11190</v>
      </c>
      <c r="K3719" t="s">
        <v>11191</v>
      </c>
    </row>
    <row r="3720" spans="1:11">
      <c r="A3720" t="s">
        <v>11192</v>
      </c>
      <c r="J3720" t="s">
        <v>11193</v>
      </c>
      <c r="K3720" t="s">
        <v>11194</v>
      </c>
    </row>
    <row r="3721" spans="1:11">
      <c r="A3721" t="s">
        <v>11195</v>
      </c>
      <c r="J3721" t="s">
        <v>11196</v>
      </c>
      <c r="K3721" t="s">
        <v>11197</v>
      </c>
    </row>
    <row r="3722" spans="1:11">
      <c r="A3722" t="s">
        <v>11198</v>
      </c>
      <c r="J3722" t="s">
        <v>11199</v>
      </c>
      <c r="K3722" t="s">
        <v>11200</v>
      </c>
    </row>
    <row r="3723" spans="1:11">
      <c r="A3723" t="s">
        <v>11201</v>
      </c>
      <c r="J3723" t="s">
        <v>11202</v>
      </c>
      <c r="K3723" t="s">
        <v>11203</v>
      </c>
    </row>
    <row r="3724" spans="1:11">
      <c r="A3724" t="s">
        <v>11204</v>
      </c>
      <c r="J3724" t="s">
        <v>11205</v>
      </c>
      <c r="K3724" t="s">
        <v>11206</v>
      </c>
    </row>
    <row r="3725" spans="1:11">
      <c r="A3725" t="s">
        <v>11207</v>
      </c>
      <c r="J3725" t="s">
        <v>11208</v>
      </c>
      <c r="K3725" t="s">
        <v>11209</v>
      </c>
    </row>
    <row r="3726" spans="1:11">
      <c r="A3726" t="s">
        <v>11210</v>
      </c>
      <c r="J3726" t="s">
        <v>11211</v>
      </c>
      <c r="K3726" t="s">
        <v>11212</v>
      </c>
    </row>
    <row r="3727" spans="1:11">
      <c r="A3727" t="s">
        <v>11213</v>
      </c>
      <c r="J3727" t="s">
        <v>11214</v>
      </c>
      <c r="K3727" t="s">
        <v>11215</v>
      </c>
    </row>
    <row r="3728" spans="1:11">
      <c r="A3728" t="s">
        <v>11216</v>
      </c>
      <c r="J3728" t="s">
        <v>11217</v>
      </c>
      <c r="K3728" t="s">
        <v>11218</v>
      </c>
    </row>
    <row r="3729" spans="1:11">
      <c r="A3729" t="s">
        <v>11219</v>
      </c>
      <c r="J3729" t="s">
        <v>11220</v>
      </c>
      <c r="K3729" t="s">
        <v>11221</v>
      </c>
    </row>
    <row r="3730" spans="1:11">
      <c r="A3730" t="s">
        <v>11222</v>
      </c>
      <c r="J3730" t="s">
        <v>11223</v>
      </c>
      <c r="K3730" t="s">
        <v>11224</v>
      </c>
    </row>
    <row r="3731" spans="1:11">
      <c r="A3731" t="s">
        <v>11225</v>
      </c>
      <c r="J3731" t="s">
        <v>11226</v>
      </c>
      <c r="K3731" t="s">
        <v>11227</v>
      </c>
    </row>
    <row r="3732" spans="1:11">
      <c r="A3732" t="s">
        <v>11228</v>
      </c>
      <c r="J3732" t="s">
        <v>11229</v>
      </c>
      <c r="K3732" t="s">
        <v>11230</v>
      </c>
    </row>
    <row r="3733" spans="1:11">
      <c r="A3733" t="s">
        <v>11231</v>
      </c>
      <c r="J3733" t="s">
        <v>11232</v>
      </c>
      <c r="K3733" t="s">
        <v>11233</v>
      </c>
    </row>
    <row r="3734" spans="1:11">
      <c r="A3734" t="s">
        <v>11234</v>
      </c>
      <c r="J3734" t="s">
        <v>11235</v>
      </c>
      <c r="K3734" t="s">
        <v>11236</v>
      </c>
    </row>
    <row r="3735" spans="1:11">
      <c r="A3735" t="s">
        <v>11237</v>
      </c>
      <c r="J3735" t="s">
        <v>11238</v>
      </c>
      <c r="K3735" t="s">
        <v>11239</v>
      </c>
    </row>
    <row r="3736" spans="1:11">
      <c r="A3736" t="s">
        <v>11240</v>
      </c>
      <c r="J3736" t="s">
        <v>11241</v>
      </c>
      <c r="K3736" t="s">
        <v>11242</v>
      </c>
    </row>
    <row r="3737" spans="1:11">
      <c r="A3737" t="s">
        <v>11243</v>
      </c>
      <c r="J3737" t="s">
        <v>11244</v>
      </c>
      <c r="K3737" t="s">
        <v>11245</v>
      </c>
    </row>
    <row r="3738" spans="1:11">
      <c r="A3738" t="s">
        <v>11246</v>
      </c>
      <c r="J3738" t="s">
        <v>11247</v>
      </c>
      <c r="K3738" t="s">
        <v>11248</v>
      </c>
    </row>
    <row r="3739" spans="1:11">
      <c r="A3739" t="s">
        <v>11249</v>
      </c>
      <c r="J3739" t="s">
        <v>11250</v>
      </c>
      <c r="K3739" t="s">
        <v>11251</v>
      </c>
    </row>
    <row r="3740" spans="1:11">
      <c r="A3740" t="s">
        <v>11252</v>
      </c>
      <c r="J3740" t="s">
        <v>11253</v>
      </c>
      <c r="K3740" t="s">
        <v>11254</v>
      </c>
    </row>
    <row r="3741" spans="1:11">
      <c r="A3741" t="s">
        <v>11255</v>
      </c>
      <c r="J3741" t="s">
        <v>11256</v>
      </c>
      <c r="K3741" t="s">
        <v>11257</v>
      </c>
    </row>
    <row r="3742" spans="1:11">
      <c r="A3742" t="s">
        <v>11258</v>
      </c>
      <c r="J3742" t="s">
        <v>11259</v>
      </c>
      <c r="K3742" t="s">
        <v>11260</v>
      </c>
    </row>
    <row r="3743" spans="1:11">
      <c r="A3743" t="s">
        <v>11261</v>
      </c>
      <c r="J3743" t="s">
        <v>11262</v>
      </c>
      <c r="K3743" t="s">
        <v>11263</v>
      </c>
    </row>
    <row r="3744" spans="1:11">
      <c r="A3744" t="s">
        <v>11264</v>
      </c>
      <c r="J3744" t="s">
        <v>11265</v>
      </c>
      <c r="K3744" t="s">
        <v>11266</v>
      </c>
    </row>
    <row r="3745" spans="1:11">
      <c r="A3745" t="s">
        <v>11267</v>
      </c>
      <c r="J3745" t="s">
        <v>11268</v>
      </c>
      <c r="K3745" t="s">
        <v>11269</v>
      </c>
    </row>
    <row r="3746" spans="1:11">
      <c r="A3746" t="s">
        <v>11270</v>
      </c>
      <c r="J3746" t="s">
        <v>11271</v>
      </c>
      <c r="K3746" t="s">
        <v>11272</v>
      </c>
    </row>
    <row r="3747" spans="1:11">
      <c r="A3747" t="s">
        <v>11273</v>
      </c>
      <c r="J3747" t="s">
        <v>11274</v>
      </c>
      <c r="K3747" t="s">
        <v>11275</v>
      </c>
    </row>
    <row r="3748" spans="1:11">
      <c r="A3748" t="s">
        <v>11276</v>
      </c>
      <c r="J3748" t="s">
        <v>11277</v>
      </c>
      <c r="K3748" t="s">
        <v>11278</v>
      </c>
    </row>
    <row r="3749" spans="1:11">
      <c r="A3749" t="s">
        <v>11279</v>
      </c>
      <c r="J3749" t="s">
        <v>11280</v>
      </c>
      <c r="K3749" t="s">
        <v>11281</v>
      </c>
    </row>
    <row r="3750" spans="1:11">
      <c r="A3750" t="s">
        <v>11282</v>
      </c>
      <c r="J3750" t="s">
        <v>11283</v>
      </c>
      <c r="K3750" t="s">
        <v>11284</v>
      </c>
    </row>
    <row r="3751" spans="1:11">
      <c r="A3751" t="s">
        <v>11285</v>
      </c>
      <c r="J3751" t="s">
        <v>11286</v>
      </c>
      <c r="K3751" t="s">
        <v>11287</v>
      </c>
    </row>
    <row r="3752" spans="1:11">
      <c r="A3752" t="s">
        <v>11288</v>
      </c>
      <c r="J3752" t="s">
        <v>11289</v>
      </c>
      <c r="K3752" t="s">
        <v>11290</v>
      </c>
    </row>
    <row r="3753" spans="1:11">
      <c r="A3753" t="s">
        <v>11291</v>
      </c>
      <c r="J3753" t="s">
        <v>11292</v>
      </c>
      <c r="K3753" t="s">
        <v>11293</v>
      </c>
    </row>
    <row r="3754" spans="1:11">
      <c r="A3754" t="s">
        <v>11294</v>
      </c>
      <c r="J3754" t="s">
        <v>11295</v>
      </c>
      <c r="K3754" t="s">
        <v>11296</v>
      </c>
    </row>
    <row r="3755" spans="1:11">
      <c r="A3755" t="s">
        <v>11297</v>
      </c>
      <c r="J3755" t="s">
        <v>11298</v>
      </c>
      <c r="K3755" t="s">
        <v>11299</v>
      </c>
    </row>
    <row r="3756" spans="1:11">
      <c r="A3756" t="s">
        <v>11300</v>
      </c>
      <c r="J3756" t="s">
        <v>11301</v>
      </c>
      <c r="K3756" t="s">
        <v>11302</v>
      </c>
    </row>
    <row r="3757" spans="1:11">
      <c r="A3757" t="s">
        <v>11303</v>
      </c>
      <c r="J3757" t="s">
        <v>11304</v>
      </c>
      <c r="K3757" t="s">
        <v>11305</v>
      </c>
    </row>
    <row r="3758" spans="1:11">
      <c r="A3758" t="s">
        <v>11306</v>
      </c>
      <c r="J3758" t="s">
        <v>11307</v>
      </c>
      <c r="K3758" t="s">
        <v>11308</v>
      </c>
    </row>
    <row r="3759" spans="1:11">
      <c r="A3759" t="s">
        <v>11309</v>
      </c>
      <c r="J3759" t="s">
        <v>11310</v>
      </c>
      <c r="K3759" t="s">
        <v>11311</v>
      </c>
    </row>
    <row r="3760" spans="1:11">
      <c r="A3760" t="s">
        <v>11312</v>
      </c>
      <c r="J3760" t="s">
        <v>11313</v>
      </c>
      <c r="K3760" t="s">
        <v>11314</v>
      </c>
    </row>
    <row r="3761" spans="1:11">
      <c r="A3761" t="s">
        <v>11315</v>
      </c>
      <c r="J3761" t="s">
        <v>11316</v>
      </c>
      <c r="K3761" t="s">
        <v>11317</v>
      </c>
    </row>
    <row r="3762" spans="1:11">
      <c r="A3762" t="s">
        <v>11318</v>
      </c>
      <c r="J3762" t="s">
        <v>11319</v>
      </c>
      <c r="K3762" t="s">
        <v>11320</v>
      </c>
    </row>
    <row r="3763" spans="1:11">
      <c r="A3763" t="s">
        <v>11321</v>
      </c>
      <c r="J3763" t="s">
        <v>11322</v>
      </c>
      <c r="K3763" t="s">
        <v>11323</v>
      </c>
    </row>
    <row r="3764" spans="1:11">
      <c r="A3764" t="s">
        <v>11324</v>
      </c>
      <c r="J3764" t="s">
        <v>11325</v>
      </c>
      <c r="K3764" t="s">
        <v>11326</v>
      </c>
    </row>
    <row r="3765" spans="1:11">
      <c r="A3765" t="s">
        <v>11327</v>
      </c>
      <c r="J3765" t="s">
        <v>11328</v>
      </c>
      <c r="K3765" t="s">
        <v>11329</v>
      </c>
    </row>
    <row r="3766" spans="1:11">
      <c r="A3766" t="s">
        <v>11330</v>
      </c>
      <c r="J3766" t="s">
        <v>11331</v>
      </c>
      <c r="K3766" t="s">
        <v>11332</v>
      </c>
    </row>
    <row r="3767" spans="1:11">
      <c r="A3767" t="s">
        <v>11333</v>
      </c>
      <c r="J3767" t="s">
        <v>11334</v>
      </c>
      <c r="K3767" t="s">
        <v>11335</v>
      </c>
    </row>
    <row r="3768" spans="1:11">
      <c r="A3768" t="s">
        <v>11336</v>
      </c>
      <c r="J3768" t="s">
        <v>11337</v>
      </c>
      <c r="K3768" t="s">
        <v>11338</v>
      </c>
    </row>
    <row r="3769" spans="1:11">
      <c r="A3769" t="s">
        <v>11339</v>
      </c>
      <c r="J3769" t="s">
        <v>11340</v>
      </c>
      <c r="K3769" t="s">
        <v>11341</v>
      </c>
    </row>
    <row r="3770" spans="1:11">
      <c r="A3770" t="s">
        <v>11342</v>
      </c>
      <c r="J3770" t="s">
        <v>11343</v>
      </c>
      <c r="K3770" t="s">
        <v>11344</v>
      </c>
    </row>
    <row r="3771" spans="1:11">
      <c r="A3771" t="s">
        <v>11345</v>
      </c>
      <c r="J3771" t="s">
        <v>11346</v>
      </c>
      <c r="K3771" t="s">
        <v>11347</v>
      </c>
    </row>
    <row r="3772" spans="1:11">
      <c r="A3772" t="s">
        <v>11348</v>
      </c>
      <c r="J3772" t="s">
        <v>11349</v>
      </c>
      <c r="K3772" t="s">
        <v>11350</v>
      </c>
    </row>
    <row r="3773" spans="1:11">
      <c r="A3773" t="s">
        <v>11351</v>
      </c>
      <c r="J3773" t="s">
        <v>11352</v>
      </c>
      <c r="K3773" t="s">
        <v>11353</v>
      </c>
    </row>
    <row r="3774" spans="1:11">
      <c r="A3774" t="s">
        <v>11354</v>
      </c>
      <c r="J3774" t="s">
        <v>11355</v>
      </c>
      <c r="K3774" t="s">
        <v>11356</v>
      </c>
    </row>
    <row r="3775" spans="1:11">
      <c r="A3775" t="s">
        <v>11357</v>
      </c>
      <c r="J3775" t="s">
        <v>11358</v>
      </c>
      <c r="K3775" t="s">
        <v>11359</v>
      </c>
    </row>
    <row r="3776" spans="1:11">
      <c r="A3776" t="s">
        <v>11360</v>
      </c>
      <c r="J3776" t="s">
        <v>11361</v>
      </c>
      <c r="K3776" t="s">
        <v>11362</v>
      </c>
    </row>
    <row r="3777" spans="1:11">
      <c r="A3777" t="s">
        <v>11363</v>
      </c>
      <c r="J3777" t="s">
        <v>11364</v>
      </c>
      <c r="K3777" t="s">
        <v>11365</v>
      </c>
    </row>
    <row r="3778" spans="1:11">
      <c r="A3778" t="s">
        <v>11366</v>
      </c>
      <c r="J3778" t="s">
        <v>11367</v>
      </c>
      <c r="K3778" t="s">
        <v>11368</v>
      </c>
    </row>
    <row r="3779" spans="1:11">
      <c r="A3779" t="s">
        <v>11369</v>
      </c>
      <c r="J3779" t="s">
        <v>11370</v>
      </c>
      <c r="K3779" t="s">
        <v>11371</v>
      </c>
    </row>
    <row r="3780" spans="1:11">
      <c r="A3780" t="s">
        <v>11372</v>
      </c>
      <c r="J3780" t="s">
        <v>11373</v>
      </c>
      <c r="K3780" t="s">
        <v>11374</v>
      </c>
    </row>
    <row r="3781" spans="1:11">
      <c r="A3781" t="s">
        <v>11375</v>
      </c>
      <c r="J3781" t="s">
        <v>11376</v>
      </c>
      <c r="K3781" t="s">
        <v>11377</v>
      </c>
    </row>
    <row r="3782" spans="1:11">
      <c r="A3782" t="s">
        <v>11378</v>
      </c>
      <c r="J3782" t="s">
        <v>11379</v>
      </c>
      <c r="K3782" t="s">
        <v>11380</v>
      </c>
    </row>
    <row r="3783" spans="1:11">
      <c r="A3783" t="s">
        <v>11381</v>
      </c>
      <c r="J3783" t="s">
        <v>11382</v>
      </c>
      <c r="K3783" t="s">
        <v>11383</v>
      </c>
    </row>
    <row r="3784" spans="1:11">
      <c r="A3784" t="s">
        <v>11384</v>
      </c>
      <c r="J3784" t="s">
        <v>11385</v>
      </c>
      <c r="K3784" t="s">
        <v>11386</v>
      </c>
    </row>
    <row r="3785" spans="1:11">
      <c r="A3785" t="s">
        <v>11387</v>
      </c>
      <c r="J3785" t="s">
        <v>11388</v>
      </c>
      <c r="K3785" t="s">
        <v>11389</v>
      </c>
    </row>
    <row r="3786" spans="1:11">
      <c r="A3786" t="s">
        <v>11390</v>
      </c>
      <c r="J3786" t="s">
        <v>11391</v>
      </c>
      <c r="K3786" t="s">
        <v>11392</v>
      </c>
    </row>
    <row r="3787" spans="1:11">
      <c r="A3787" t="s">
        <v>11393</v>
      </c>
      <c r="J3787" t="s">
        <v>11394</v>
      </c>
      <c r="K3787" t="s">
        <v>11395</v>
      </c>
    </row>
    <row r="3788" spans="1:11">
      <c r="A3788" t="s">
        <v>11396</v>
      </c>
      <c r="J3788" t="s">
        <v>11397</v>
      </c>
      <c r="K3788" t="s">
        <v>11398</v>
      </c>
    </row>
    <row r="3789" spans="1:11">
      <c r="A3789" t="s">
        <v>11399</v>
      </c>
      <c r="J3789" t="s">
        <v>11400</v>
      </c>
      <c r="K3789" t="s">
        <v>11401</v>
      </c>
    </row>
    <row r="3790" spans="1:11">
      <c r="A3790" t="s">
        <v>11402</v>
      </c>
      <c r="J3790" t="s">
        <v>11403</v>
      </c>
      <c r="K3790" t="s">
        <v>11404</v>
      </c>
    </row>
    <row r="3791" spans="1:11">
      <c r="A3791" t="s">
        <v>11405</v>
      </c>
      <c r="J3791" t="s">
        <v>11406</v>
      </c>
      <c r="K3791" t="s">
        <v>11407</v>
      </c>
    </row>
    <row r="3792" spans="1:11">
      <c r="A3792" t="s">
        <v>11408</v>
      </c>
      <c r="J3792" t="s">
        <v>11409</v>
      </c>
      <c r="K3792" t="s">
        <v>11410</v>
      </c>
    </row>
    <row r="3793" spans="1:11">
      <c r="A3793" t="s">
        <v>11411</v>
      </c>
      <c r="J3793" t="s">
        <v>11412</v>
      </c>
      <c r="K3793" t="s">
        <v>11413</v>
      </c>
    </row>
    <row r="3794" spans="1:11">
      <c r="A3794" t="s">
        <v>11414</v>
      </c>
      <c r="J3794" t="s">
        <v>11415</v>
      </c>
      <c r="K3794" t="s">
        <v>11416</v>
      </c>
    </row>
    <row r="3795" spans="1:11">
      <c r="A3795" t="s">
        <v>11417</v>
      </c>
      <c r="J3795" t="s">
        <v>11418</v>
      </c>
      <c r="K3795" t="s">
        <v>11419</v>
      </c>
    </row>
    <row r="3796" spans="1:11">
      <c r="A3796" t="s">
        <v>11420</v>
      </c>
      <c r="J3796" t="s">
        <v>11421</v>
      </c>
      <c r="K3796" t="s">
        <v>11422</v>
      </c>
    </row>
    <row r="3797" spans="1:11">
      <c r="A3797" t="s">
        <v>11423</v>
      </c>
      <c r="J3797" t="s">
        <v>11424</v>
      </c>
      <c r="K3797" t="s">
        <v>11425</v>
      </c>
    </row>
    <row r="3798" spans="1:11">
      <c r="A3798" t="s">
        <v>11426</v>
      </c>
      <c r="J3798" t="s">
        <v>11427</v>
      </c>
      <c r="K3798" t="s">
        <v>11428</v>
      </c>
    </row>
    <row r="3799" spans="1:11">
      <c r="A3799" t="s">
        <v>11429</v>
      </c>
      <c r="J3799" t="s">
        <v>11430</v>
      </c>
      <c r="K3799" t="s">
        <v>11431</v>
      </c>
    </row>
    <row r="3800" spans="1:11">
      <c r="A3800" t="s">
        <v>11432</v>
      </c>
      <c r="J3800" t="s">
        <v>11433</v>
      </c>
      <c r="K3800" t="s">
        <v>11434</v>
      </c>
    </row>
    <row r="3801" spans="1:11">
      <c r="A3801" t="s">
        <v>11435</v>
      </c>
      <c r="J3801" t="s">
        <v>11436</v>
      </c>
      <c r="K3801" t="s">
        <v>11437</v>
      </c>
    </row>
    <row r="3802" spans="1:11">
      <c r="A3802" t="s">
        <v>11438</v>
      </c>
      <c r="J3802" t="s">
        <v>11439</v>
      </c>
      <c r="K3802" t="s">
        <v>11440</v>
      </c>
    </row>
    <row r="3803" spans="1:11">
      <c r="A3803" t="s">
        <v>11441</v>
      </c>
      <c r="J3803" t="s">
        <v>11442</v>
      </c>
      <c r="K3803" t="s">
        <v>11443</v>
      </c>
    </row>
    <row r="3804" spans="1:11">
      <c r="A3804" t="s">
        <v>11444</v>
      </c>
      <c r="J3804" t="s">
        <v>11445</v>
      </c>
      <c r="K3804" t="s">
        <v>11446</v>
      </c>
    </row>
    <row r="3805" spans="1:11">
      <c r="A3805" t="s">
        <v>11447</v>
      </c>
      <c r="J3805" t="s">
        <v>11448</v>
      </c>
      <c r="K3805" t="s">
        <v>11449</v>
      </c>
    </row>
    <row r="3806" spans="1:11">
      <c r="A3806" t="s">
        <v>11450</v>
      </c>
      <c r="J3806" t="s">
        <v>11451</v>
      </c>
      <c r="K3806" t="s">
        <v>11452</v>
      </c>
    </row>
    <row r="3807" spans="1:11">
      <c r="A3807" t="s">
        <v>11453</v>
      </c>
      <c r="J3807" t="s">
        <v>11454</v>
      </c>
      <c r="K3807" t="s">
        <v>11455</v>
      </c>
    </row>
    <row r="3808" spans="1:11">
      <c r="A3808" t="s">
        <v>11456</v>
      </c>
      <c r="J3808" t="s">
        <v>11457</v>
      </c>
      <c r="K3808" t="s">
        <v>11458</v>
      </c>
    </row>
    <row r="3809" spans="1:11">
      <c r="A3809" t="s">
        <v>11459</v>
      </c>
      <c r="J3809" t="s">
        <v>11460</v>
      </c>
      <c r="K3809" t="s">
        <v>11461</v>
      </c>
    </row>
    <row r="3810" spans="1:11">
      <c r="A3810" t="s">
        <v>11462</v>
      </c>
      <c r="J3810" t="s">
        <v>11463</v>
      </c>
      <c r="K3810" t="s">
        <v>11464</v>
      </c>
    </row>
    <row r="3811" spans="1:11">
      <c r="A3811" t="s">
        <v>11465</v>
      </c>
      <c r="J3811" t="s">
        <v>11466</v>
      </c>
      <c r="K3811" t="s">
        <v>11467</v>
      </c>
    </row>
    <row r="3812" spans="1:11">
      <c r="A3812" t="s">
        <v>11468</v>
      </c>
      <c r="J3812" t="s">
        <v>11469</v>
      </c>
      <c r="K3812" t="s">
        <v>11470</v>
      </c>
    </row>
    <row r="3813" spans="1:11">
      <c r="A3813" t="s">
        <v>11471</v>
      </c>
      <c r="J3813" t="s">
        <v>11472</v>
      </c>
      <c r="K3813" t="s">
        <v>11473</v>
      </c>
    </row>
    <row r="3814" spans="1:11">
      <c r="A3814" t="s">
        <v>11474</v>
      </c>
      <c r="J3814" t="s">
        <v>11475</v>
      </c>
      <c r="K3814" t="s">
        <v>11476</v>
      </c>
    </row>
    <row r="3815" spans="1:11">
      <c r="A3815" t="s">
        <v>11477</v>
      </c>
      <c r="J3815" t="s">
        <v>11478</v>
      </c>
      <c r="K3815" t="s">
        <v>11479</v>
      </c>
    </row>
    <row r="3816" spans="1:11">
      <c r="A3816" t="s">
        <v>11480</v>
      </c>
      <c r="J3816" t="s">
        <v>11481</v>
      </c>
      <c r="K3816" t="s">
        <v>11482</v>
      </c>
    </row>
    <row r="3817" spans="1:11">
      <c r="A3817" t="s">
        <v>11483</v>
      </c>
      <c r="J3817" t="s">
        <v>11484</v>
      </c>
      <c r="K3817" t="s">
        <v>11485</v>
      </c>
    </row>
    <row r="3818" spans="1:11">
      <c r="A3818" t="s">
        <v>11486</v>
      </c>
      <c r="J3818" t="s">
        <v>11487</v>
      </c>
      <c r="K3818" t="s">
        <v>11488</v>
      </c>
    </row>
    <row r="3819" spans="1:11">
      <c r="A3819" t="s">
        <v>11489</v>
      </c>
      <c r="J3819" t="s">
        <v>11490</v>
      </c>
      <c r="K3819" t="s">
        <v>11491</v>
      </c>
    </row>
    <row r="3820" spans="1:11">
      <c r="A3820" t="s">
        <v>11492</v>
      </c>
      <c r="J3820" t="s">
        <v>11493</v>
      </c>
      <c r="K3820" t="s">
        <v>11494</v>
      </c>
    </row>
    <row r="3821" spans="1:11">
      <c r="A3821" t="s">
        <v>11495</v>
      </c>
      <c r="J3821" t="s">
        <v>11496</v>
      </c>
      <c r="K3821" t="s">
        <v>11497</v>
      </c>
    </row>
    <row r="3822" spans="1:11">
      <c r="A3822" t="s">
        <v>11498</v>
      </c>
      <c r="J3822" t="s">
        <v>11499</v>
      </c>
      <c r="K3822" t="s">
        <v>11500</v>
      </c>
    </row>
    <row r="3823" spans="1:11">
      <c r="A3823" t="s">
        <v>11501</v>
      </c>
      <c r="J3823" t="s">
        <v>11502</v>
      </c>
      <c r="K3823" t="s">
        <v>11503</v>
      </c>
    </row>
    <row r="3824" spans="1:11">
      <c r="A3824" t="s">
        <v>11504</v>
      </c>
      <c r="J3824" t="s">
        <v>11505</v>
      </c>
      <c r="K3824" t="s">
        <v>11506</v>
      </c>
    </row>
    <row r="3825" spans="1:11">
      <c r="A3825" t="s">
        <v>11507</v>
      </c>
      <c r="J3825" t="s">
        <v>11508</v>
      </c>
      <c r="K3825" t="s">
        <v>11509</v>
      </c>
    </row>
    <row r="3826" spans="1:11">
      <c r="A3826" t="s">
        <v>11510</v>
      </c>
      <c r="J3826" t="s">
        <v>11511</v>
      </c>
      <c r="K3826" t="s">
        <v>11512</v>
      </c>
    </row>
    <row r="3827" spans="1:11">
      <c r="A3827" t="s">
        <v>11513</v>
      </c>
      <c r="J3827" t="s">
        <v>11514</v>
      </c>
      <c r="K3827" t="s">
        <v>11515</v>
      </c>
    </row>
    <row r="3828" spans="1:11">
      <c r="A3828" t="s">
        <v>11516</v>
      </c>
      <c r="J3828" t="s">
        <v>11517</v>
      </c>
      <c r="K3828" t="s">
        <v>11518</v>
      </c>
    </row>
    <row r="3829" spans="1:11">
      <c r="A3829" t="s">
        <v>11519</v>
      </c>
      <c r="J3829" t="s">
        <v>11520</v>
      </c>
      <c r="K3829" t="s">
        <v>11521</v>
      </c>
    </row>
    <row r="3830" spans="1:11">
      <c r="A3830" t="s">
        <v>11522</v>
      </c>
      <c r="J3830" t="s">
        <v>11523</v>
      </c>
      <c r="K3830" t="s">
        <v>11524</v>
      </c>
    </row>
    <row r="3831" spans="1:11">
      <c r="A3831" t="s">
        <v>11525</v>
      </c>
      <c r="J3831" t="s">
        <v>11526</v>
      </c>
      <c r="K3831" t="s">
        <v>11527</v>
      </c>
    </row>
    <row r="3832" spans="1:11">
      <c r="A3832" t="s">
        <v>11528</v>
      </c>
      <c r="J3832" t="s">
        <v>11529</v>
      </c>
      <c r="K3832" t="s">
        <v>11530</v>
      </c>
    </row>
    <row r="3833" spans="1:11">
      <c r="A3833" t="s">
        <v>11531</v>
      </c>
      <c r="J3833" t="s">
        <v>11532</v>
      </c>
      <c r="K3833" t="s">
        <v>11533</v>
      </c>
    </row>
    <row r="3834" spans="1:11">
      <c r="A3834" t="s">
        <v>11534</v>
      </c>
      <c r="J3834" t="s">
        <v>11535</v>
      </c>
      <c r="K3834" t="s">
        <v>11536</v>
      </c>
    </row>
    <row r="3835" spans="1:11">
      <c r="A3835" t="s">
        <v>11537</v>
      </c>
      <c r="J3835" t="s">
        <v>11538</v>
      </c>
      <c r="K3835" t="s">
        <v>11539</v>
      </c>
    </row>
    <row r="3836" spans="1:11">
      <c r="A3836" t="s">
        <v>11540</v>
      </c>
      <c r="J3836" t="s">
        <v>11541</v>
      </c>
      <c r="K3836" t="s">
        <v>11542</v>
      </c>
    </row>
    <row r="3837" spans="1:11">
      <c r="A3837" t="s">
        <v>11543</v>
      </c>
      <c r="J3837" t="s">
        <v>11544</v>
      </c>
      <c r="K3837" t="s">
        <v>11545</v>
      </c>
    </row>
    <row r="3838" spans="1:11">
      <c r="A3838" t="s">
        <v>11546</v>
      </c>
      <c r="J3838" t="s">
        <v>11547</v>
      </c>
      <c r="K3838" t="s">
        <v>11548</v>
      </c>
    </row>
    <row r="3839" spans="1:11">
      <c r="A3839" t="s">
        <v>11549</v>
      </c>
      <c r="J3839" t="s">
        <v>11550</v>
      </c>
      <c r="K3839" t="s">
        <v>11551</v>
      </c>
    </row>
    <row r="3840" spans="1:11">
      <c r="A3840" t="s">
        <v>11552</v>
      </c>
      <c r="J3840" t="s">
        <v>11553</v>
      </c>
      <c r="K3840" t="s">
        <v>11554</v>
      </c>
    </row>
    <row r="3841" spans="1:11">
      <c r="A3841" t="s">
        <v>11555</v>
      </c>
      <c r="J3841" t="s">
        <v>11556</v>
      </c>
      <c r="K3841" t="s">
        <v>11557</v>
      </c>
    </row>
    <row r="3842" spans="1:11">
      <c r="A3842" t="s">
        <v>11558</v>
      </c>
      <c r="J3842" t="s">
        <v>11559</v>
      </c>
      <c r="K3842" t="s">
        <v>11560</v>
      </c>
    </row>
    <row r="3843" spans="1:11">
      <c r="A3843" t="s">
        <v>11561</v>
      </c>
      <c r="J3843" t="s">
        <v>11562</v>
      </c>
      <c r="K3843" t="s">
        <v>11563</v>
      </c>
    </row>
    <row r="3844" spans="1:11">
      <c r="A3844" t="s">
        <v>11564</v>
      </c>
      <c r="J3844" t="s">
        <v>11565</v>
      </c>
      <c r="K3844" t="s">
        <v>11566</v>
      </c>
    </row>
    <row r="3845" spans="1:11">
      <c r="A3845" t="s">
        <v>11567</v>
      </c>
      <c r="J3845" t="s">
        <v>11568</v>
      </c>
      <c r="K3845" t="s">
        <v>11569</v>
      </c>
    </row>
    <row r="3846" spans="1:11">
      <c r="A3846" t="s">
        <v>11570</v>
      </c>
      <c r="J3846" t="s">
        <v>11571</v>
      </c>
      <c r="K3846" t="s">
        <v>11572</v>
      </c>
    </row>
    <row r="3847" spans="1:11">
      <c r="A3847" t="s">
        <v>11573</v>
      </c>
      <c r="J3847" t="s">
        <v>11574</v>
      </c>
      <c r="K3847" t="s">
        <v>11575</v>
      </c>
    </row>
    <row r="3848" spans="1:11">
      <c r="A3848" t="s">
        <v>11576</v>
      </c>
      <c r="J3848" t="s">
        <v>11577</v>
      </c>
      <c r="K3848" t="s">
        <v>11578</v>
      </c>
    </row>
    <row r="3849" spans="1:11">
      <c r="A3849" t="s">
        <v>11579</v>
      </c>
      <c r="J3849" t="s">
        <v>11580</v>
      </c>
      <c r="K3849" t="s">
        <v>11581</v>
      </c>
    </row>
    <row r="3850" spans="1:11">
      <c r="A3850" t="s">
        <v>11582</v>
      </c>
      <c r="J3850" t="s">
        <v>11583</v>
      </c>
      <c r="K3850" t="s">
        <v>11584</v>
      </c>
    </row>
    <row r="3851" spans="1:11">
      <c r="A3851" t="s">
        <v>11585</v>
      </c>
      <c r="J3851" t="s">
        <v>11586</v>
      </c>
      <c r="K3851" t="s">
        <v>11587</v>
      </c>
    </row>
    <row r="3852" spans="1:11">
      <c r="A3852" t="s">
        <v>11588</v>
      </c>
      <c r="J3852" t="s">
        <v>11589</v>
      </c>
      <c r="K3852" t="s">
        <v>11590</v>
      </c>
    </row>
    <row r="3853" spans="1:11">
      <c r="A3853" t="s">
        <v>11591</v>
      </c>
      <c r="J3853" t="s">
        <v>11592</v>
      </c>
      <c r="K3853" t="s">
        <v>11593</v>
      </c>
    </row>
    <row r="3854" spans="1:11">
      <c r="A3854" t="s">
        <v>11594</v>
      </c>
      <c r="J3854" t="s">
        <v>11595</v>
      </c>
      <c r="K3854" t="s">
        <v>11596</v>
      </c>
    </row>
    <row r="3855" spans="1:11">
      <c r="A3855" t="s">
        <v>11597</v>
      </c>
      <c r="J3855" t="s">
        <v>11598</v>
      </c>
      <c r="K3855" t="s">
        <v>11599</v>
      </c>
    </row>
    <row r="3856" spans="1:11">
      <c r="A3856" t="s">
        <v>11600</v>
      </c>
      <c r="J3856" t="s">
        <v>11601</v>
      </c>
      <c r="K3856" t="s">
        <v>11602</v>
      </c>
    </row>
    <row r="3857" spans="1:11">
      <c r="A3857" t="s">
        <v>11603</v>
      </c>
      <c r="J3857" t="s">
        <v>11604</v>
      </c>
      <c r="K3857" t="s">
        <v>11605</v>
      </c>
    </row>
    <row r="3858" spans="1:11">
      <c r="A3858" t="s">
        <v>11606</v>
      </c>
      <c r="J3858" t="s">
        <v>11607</v>
      </c>
      <c r="K3858" t="s">
        <v>11608</v>
      </c>
    </row>
    <row r="3859" spans="1:11">
      <c r="A3859" t="s">
        <v>11609</v>
      </c>
      <c r="J3859" t="s">
        <v>11610</v>
      </c>
      <c r="K3859" t="s">
        <v>11611</v>
      </c>
    </row>
    <row r="3860" spans="1:11">
      <c r="A3860" t="s">
        <v>11612</v>
      </c>
      <c r="J3860" t="s">
        <v>11613</v>
      </c>
      <c r="K3860" t="s">
        <v>11614</v>
      </c>
    </row>
    <row r="3861" spans="1:11">
      <c r="A3861" t="s">
        <v>11615</v>
      </c>
      <c r="J3861" t="s">
        <v>11616</v>
      </c>
      <c r="K3861" t="s">
        <v>11617</v>
      </c>
    </row>
    <row r="3862" spans="1:11">
      <c r="A3862" t="s">
        <v>11618</v>
      </c>
      <c r="J3862" t="s">
        <v>11619</v>
      </c>
      <c r="K3862" t="s">
        <v>11620</v>
      </c>
    </row>
    <row r="3863" spans="1:11">
      <c r="A3863" t="s">
        <v>11621</v>
      </c>
      <c r="J3863" t="s">
        <v>11622</v>
      </c>
      <c r="K3863" t="s">
        <v>11623</v>
      </c>
    </row>
    <row r="3864" spans="1:11">
      <c r="A3864" t="s">
        <v>11624</v>
      </c>
      <c r="J3864" t="s">
        <v>11625</v>
      </c>
      <c r="K3864" t="s">
        <v>11626</v>
      </c>
    </row>
    <row r="3865" spans="1:11">
      <c r="A3865" t="s">
        <v>11627</v>
      </c>
      <c r="J3865" t="s">
        <v>11628</v>
      </c>
      <c r="K3865" t="s">
        <v>11629</v>
      </c>
    </row>
    <row r="3866" spans="1:11">
      <c r="A3866" t="s">
        <v>11630</v>
      </c>
      <c r="J3866" t="s">
        <v>11631</v>
      </c>
      <c r="K3866" t="s">
        <v>11632</v>
      </c>
    </row>
    <row r="3867" spans="1:11">
      <c r="A3867" t="s">
        <v>11633</v>
      </c>
      <c r="J3867" t="s">
        <v>11634</v>
      </c>
      <c r="K3867" t="s">
        <v>11635</v>
      </c>
    </row>
    <row r="3868" spans="1:11">
      <c r="A3868" t="s">
        <v>11636</v>
      </c>
      <c r="J3868" t="s">
        <v>11637</v>
      </c>
      <c r="K3868" t="s">
        <v>11638</v>
      </c>
    </row>
    <row r="3869" spans="1:11">
      <c r="A3869" t="s">
        <v>11639</v>
      </c>
      <c r="J3869" t="s">
        <v>11640</v>
      </c>
      <c r="K3869" t="s">
        <v>11641</v>
      </c>
    </row>
    <row r="3870" spans="1:11">
      <c r="A3870" t="s">
        <v>11642</v>
      </c>
      <c r="J3870" t="s">
        <v>11643</v>
      </c>
      <c r="K3870" t="s">
        <v>11644</v>
      </c>
    </row>
    <row r="3871" spans="1:11">
      <c r="A3871" t="s">
        <v>11645</v>
      </c>
      <c r="J3871" t="s">
        <v>11646</v>
      </c>
      <c r="K3871" t="s">
        <v>11647</v>
      </c>
    </row>
    <row r="3872" spans="1:11">
      <c r="A3872" t="s">
        <v>11648</v>
      </c>
      <c r="J3872" t="s">
        <v>11649</v>
      </c>
      <c r="K3872" t="s">
        <v>11650</v>
      </c>
    </row>
    <row r="3873" spans="1:11">
      <c r="A3873" t="s">
        <v>11651</v>
      </c>
      <c r="J3873" t="s">
        <v>11652</v>
      </c>
      <c r="K3873" t="s">
        <v>11653</v>
      </c>
    </row>
    <row r="3874" spans="1:11">
      <c r="A3874" t="s">
        <v>11654</v>
      </c>
      <c r="J3874" t="s">
        <v>11655</v>
      </c>
      <c r="K3874" t="s">
        <v>11656</v>
      </c>
    </row>
    <row r="3875" spans="1:11">
      <c r="A3875" t="s">
        <v>11657</v>
      </c>
      <c r="J3875" t="s">
        <v>11658</v>
      </c>
      <c r="K3875" t="s">
        <v>11659</v>
      </c>
    </row>
    <row r="3876" spans="1:11">
      <c r="A3876" t="s">
        <v>11660</v>
      </c>
      <c r="J3876" t="s">
        <v>11661</v>
      </c>
      <c r="K3876" t="s">
        <v>11662</v>
      </c>
    </row>
    <row r="3877" spans="1:11">
      <c r="A3877" t="s">
        <v>11663</v>
      </c>
      <c r="J3877" t="s">
        <v>11664</v>
      </c>
      <c r="K3877" t="s">
        <v>11665</v>
      </c>
    </row>
    <row r="3878" spans="1:11">
      <c r="A3878" t="s">
        <v>11666</v>
      </c>
      <c r="J3878" t="s">
        <v>11667</v>
      </c>
      <c r="K3878" t="s">
        <v>11668</v>
      </c>
    </row>
    <row r="3879" spans="1:11">
      <c r="A3879" t="s">
        <v>11669</v>
      </c>
      <c r="J3879" t="s">
        <v>11670</v>
      </c>
      <c r="K3879" t="s">
        <v>11671</v>
      </c>
    </row>
    <row r="3880" spans="1:11">
      <c r="A3880" t="s">
        <v>11672</v>
      </c>
      <c r="J3880" t="s">
        <v>11673</v>
      </c>
      <c r="K3880" t="s">
        <v>11674</v>
      </c>
    </row>
    <row r="3881" spans="1:11">
      <c r="A3881" t="s">
        <v>11675</v>
      </c>
      <c r="J3881" t="s">
        <v>11676</v>
      </c>
      <c r="K3881" t="s">
        <v>11677</v>
      </c>
    </row>
    <row r="3882" spans="1:11">
      <c r="A3882" t="s">
        <v>11678</v>
      </c>
      <c r="J3882" t="s">
        <v>11679</v>
      </c>
      <c r="K3882" t="s">
        <v>11680</v>
      </c>
    </row>
    <row r="3883" spans="1:11">
      <c r="A3883" t="s">
        <v>11681</v>
      </c>
      <c r="J3883" t="s">
        <v>11682</v>
      </c>
      <c r="K3883" t="s">
        <v>11683</v>
      </c>
    </row>
    <row r="3884" spans="1:11">
      <c r="A3884" t="s">
        <v>11684</v>
      </c>
      <c r="J3884" t="s">
        <v>11685</v>
      </c>
      <c r="K3884" t="s">
        <v>11686</v>
      </c>
    </row>
    <row r="3885" spans="1:11">
      <c r="A3885" t="s">
        <v>11687</v>
      </c>
      <c r="J3885" t="s">
        <v>11688</v>
      </c>
      <c r="K3885" t="s">
        <v>11689</v>
      </c>
    </row>
    <row r="3886" spans="1:11">
      <c r="A3886" t="s">
        <v>11690</v>
      </c>
      <c r="J3886" t="s">
        <v>11691</v>
      </c>
      <c r="K3886" t="s">
        <v>11692</v>
      </c>
    </row>
    <row r="3887" spans="1:11">
      <c r="A3887" t="s">
        <v>11693</v>
      </c>
      <c r="J3887" t="s">
        <v>11694</v>
      </c>
      <c r="K3887" t="s">
        <v>11695</v>
      </c>
    </row>
    <row r="3888" spans="1:11">
      <c r="A3888" t="s">
        <v>11696</v>
      </c>
      <c r="J3888" t="s">
        <v>11697</v>
      </c>
      <c r="K3888" t="s">
        <v>11698</v>
      </c>
    </row>
    <row r="3889" spans="1:11">
      <c r="A3889" t="s">
        <v>11699</v>
      </c>
      <c r="J3889" t="s">
        <v>11700</v>
      </c>
      <c r="K3889" t="s">
        <v>11701</v>
      </c>
    </row>
    <row r="3890" spans="1:11">
      <c r="A3890" t="s">
        <v>11702</v>
      </c>
      <c r="J3890" t="s">
        <v>11703</v>
      </c>
      <c r="K3890" t="s">
        <v>11704</v>
      </c>
    </row>
    <row r="3891" spans="1:11">
      <c r="A3891" t="s">
        <v>11705</v>
      </c>
      <c r="J3891" t="s">
        <v>11706</v>
      </c>
      <c r="K3891" t="s">
        <v>11707</v>
      </c>
    </row>
    <row r="3892" spans="1:11">
      <c r="A3892" t="s">
        <v>11708</v>
      </c>
      <c r="J3892" t="s">
        <v>11709</v>
      </c>
      <c r="K3892" t="s">
        <v>11710</v>
      </c>
    </row>
    <row r="3893" spans="1:11">
      <c r="A3893" t="s">
        <v>11711</v>
      </c>
      <c r="J3893" t="s">
        <v>11712</v>
      </c>
      <c r="K3893" t="s">
        <v>11713</v>
      </c>
    </row>
    <row r="3894" spans="1:11">
      <c r="A3894" t="s">
        <v>11714</v>
      </c>
      <c r="J3894" t="s">
        <v>11715</v>
      </c>
      <c r="K3894" t="s">
        <v>11716</v>
      </c>
    </row>
    <row r="3895" spans="1:11">
      <c r="A3895" t="s">
        <v>11717</v>
      </c>
      <c r="J3895" t="s">
        <v>11718</v>
      </c>
      <c r="K3895" t="s">
        <v>11719</v>
      </c>
    </row>
    <row r="3896" spans="1:11">
      <c r="A3896" t="s">
        <v>11720</v>
      </c>
      <c r="J3896" t="s">
        <v>11721</v>
      </c>
      <c r="K3896" t="s">
        <v>11722</v>
      </c>
    </row>
    <row r="3897" spans="1:11">
      <c r="A3897" t="s">
        <v>11723</v>
      </c>
      <c r="J3897" t="s">
        <v>11724</v>
      </c>
      <c r="K3897" t="s">
        <v>11725</v>
      </c>
    </row>
    <row r="3898" spans="1:11">
      <c r="A3898" t="s">
        <v>11726</v>
      </c>
      <c r="J3898" t="s">
        <v>11727</v>
      </c>
      <c r="K3898" t="s">
        <v>11728</v>
      </c>
    </row>
    <row r="3899" spans="1:11">
      <c r="A3899" t="s">
        <v>11729</v>
      </c>
      <c r="J3899" t="s">
        <v>11730</v>
      </c>
      <c r="K3899" t="s">
        <v>11731</v>
      </c>
    </row>
    <row r="3900" spans="1:11">
      <c r="A3900" t="s">
        <v>11732</v>
      </c>
      <c r="J3900" t="s">
        <v>11733</v>
      </c>
      <c r="K3900" t="s">
        <v>11734</v>
      </c>
    </row>
    <row r="3901" spans="1:11">
      <c r="A3901" t="s">
        <v>11735</v>
      </c>
      <c r="J3901" t="s">
        <v>11736</v>
      </c>
      <c r="K3901" t="s">
        <v>11737</v>
      </c>
    </row>
    <row r="3902" spans="1:11">
      <c r="A3902" t="s">
        <v>11738</v>
      </c>
      <c r="J3902" t="s">
        <v>11739</v>
      </c>
      <c r="K3902" t="s">
        <v>11740</v>
      </c>
    </row>
    <row r="3903" spans="1:11">
      <c r="A3903" t="s">
        <v>11741</v>
      </c>
      <c r="J3903" t="s">
        <v>11742</v>
      </c>
      <c r="K3903" t="s">
        <v>11743</v>
      </c>
    </row>
    <row r="3904" spans="1:11">
      <c r="A3904" t="s">
        <v>11744</v>
      </c>
      <c r="J3904" t="s">
        <v>11745</v>
      </c>
      <c r="K3904" t="s">
        <v>11746</v>
      </c>
    </row>
    <row r="3905" spans="1:11">
      <c r="A3905" t="s">
        <v>11747</v>
      </c>
      <c r="J3905" t="s">
        <v>11748</v>
      </c>
      <c r="K3905" t="s">
        <v>11749</v>
      </c>
    </row>
    <row r="3906" spans="1:11">
      <c r="A3906" t="s">
        <v>11750</v>
      </c>
      <c r="J3906" t="s">
        <v>11751</v>
      </c>
      <c r="K3906" t="s">
        <v>11752</v>
      </c>
    </row>
    <row r="3907" spans="1:11">
      <c r="A3907" t="s">
        <v>11753</v>
      </c>
      <c r="J3907" t="s">
        <v>11754</v>
      </c>
      <c r="K3907" t="s">
        <v>11755</v>
      </c>
    </row>
    <row r="3908" spans="1:11">
      <c r="A3908" t="s">
        <v>11756</v>
      </c>
      <c r="J3908" t="s">
        <v>11757</v>
      </c>
      <c r="K3908" t="s">
        <v>11758</v>
      </c>
    </row>
    <row r="3909" spans="1:11">
      <c r="A3909" t="s">
        <v>11759</v>
      </c>
      <c r="J3909" t="s">
        <v>11760</v>
      </c>
      <c r="K3909" t="s">
        <v>11761</v>
      </c>
    </row>
    <row r="3910" spans="1:11">
      <c r="A3910" t="s">
        <v>11762</v>
      </c>
      <c r="J3910" t="s">
        <v>11763</v>
      </c>
      <c r="K3910" t="s">
        <v>11764</v>
      </c>
    </row>
    <row r="3911" spans="1:11">
      <c r="A3911" t="s">
        <v>11765</v>
      </c>
      <c r="J3911" t="s">
        <v>11766</v>
      </c>
      <c r="K3911" t="s">
        <v>11767</v>
      </c>
    </row>
    <row r="3912" spans="1:11">
      <c r="A3912" t="s">
        <v>11768</v>
      </c>
      <c r="J3912" t="s">
        <v>11769</v>
      </c>
      <c r="K3912" t="s">
        <v>11770</v>
      </c>
    </row>
    <row r="3913" spans="1:11">
      <c r="A3913" t="s">
        <v>11771</v>
      </c>
      <c r="J3913" t="s">
        <v>11772</v>
      </c>
      <c r="K3913" t="s">
        <v>11773</v>
      </c>
    </row>
    <row r="3914" spans="1:11">
      <c r="A3914" t="s">
        <v>11774</v>
      </c>
      <c r="J3914" t="s">
        <v>11775</v>
      </c>
      <c r="K3914" t="s">
        <v>11776</v>
      </c>
    </row>
    <row r="3915" spans="1:11">
      <c r="A3915" t="s">
        <v>11777</v>
      </c>
      <c r="J3915" t="s">
        <v>11778</v>
      </c>
      <c r="K3915" t="s">
        <v>11779</v>
      </c>
    </row>
    <row r="3916" spans="1:11">
      <c r="A3916" t="s">
        <v>11780</v>
      </c>
      <c r="J3916" t="s">
        <v>11781</v>
      </c>
      <c r="K3916" t="s">
        <v>11782</v>
      </c>
    </row>
    <row r="3917" spans="1:11">
      <c r="A3917" t="s">
        <v>11783</v>
      </c>
      <c r="J3917" t="s">
        <v>11784</v>
      </c>
      <c r="K3917" t="s">
        <v>11785</v>
      </c>
    </row>
    <row r="3918" spans="1:11">
      <c r="A3918" t="s">
        <v>11786</v>
      </c>
      <c r="J3918" t="s">
        <v>11787</v>
      </c>
      <c r="K3918" t="s">
        <v>11788</v>
      </c>
    </row>
    <row r="3919" spans="1:11">
      <c r="A3919" t="s">
        <v>11789</v>
      </c>
      <c r="J3919" t="s">
        <v>11790</v>
      </c>
      <c r="K3919" t="s">
        <v>11791</v>
      </c>
    </row>
    <row r="3920" spans="1:11">
      <c r="A3920" t="s">
        <v>11792</v>
      </c>
      <c r="J3920" t="s">
        <v>11793</v>
      </c>
      <c r="K3920" t="s">
        <v>11794</v>
      </c>
    </row>
    <row r="3921" spans="1:11">
      <c r="A3921" t="s">
        <v>11795</v>
      </c>
      <c r="J3921" t="s">
        <v>11796</v>
      </c>
      <c r="K3921" t="s">
        <v>11797</v>
      </c>
    </row>
    <row r="3922" spans="1:11">
      <c r="A3922" t="s">
        <v>11798</v>
      </c>
      <c r="J3922" t="s">
        <v>11799</v>
      </c>
      <c r="K3922" t="s">
        <v>11800</v>
      </c>
    </row>
    <row r="3923" spans="1:11">
      <c r="A3923" t="s">
        <v>11801</v>
      </c>
      <c r="J3923" t="s">
        <v>11802</v>
      </c>
      <c r="K3923" t="s">
        <v>11803</v>
      </c>
    </row>
    <row r="3924" spans="1:11">
      <c r="A3924" t="s">
        <v>11804</v>
      </c>
      <c r="J3924" t="s">
        <v>11805</v>
      </c>
      <c r="K3924" t="s">
        <v>11806</v>
      </c>
    </row>
    <row r="3925" spans="1:11">
      <c r="A3925" t="s">
        <v>11807</v>
      </c>
      <c r="J3925" t="s">
        <v>11808</v>
      </c>
      <c r="K3925" t="s">
        <v>11809</v>
      </c>
    </row>
    <row r="3926" spans="1:11">
      <c r="A3926" t="s">
        <v>11810</v>
      </c>
      <c r="J3926" t="s">
        <v>11811</v>
      </c>
      <c r="K3926" t="s">
        <v>11812</v>
      </c>
    </row>
    <row r="3927" spans="1:11">
      <c r="A3927" t="s">
        <v>11813</v>
      </c>
      <c r="J3927" t="s">
        <v>11814</v>
      </c>
      <c r="K3927" t="s">
        <v>11815</v>
      </c>
    </row>
    <row r="3928" spans="1:11">
      <c r="A3928" t="s">
        <v>11816</v>
      </c>
      <c r="J3928" t="s">
        <v>11817</v>
      </c>
      <c r="K3928" t="s">
        <v>11818</v>
      </c>
    </row>
    <row r="3929" spans="1:11">
      <c r="A3929" t="s">
        <v>11819</v>
      </c>
      <c r="J3929" t="s">
        <v>11820</v>
      </c>
      <c r="K3929" t="s">
        <v>11821</v>
      </c>
    </row>
    <row r="3930" spans="1:11">
      <c r="A3930" t="s">
        <v>11822</v>
      </c>
      <c r="J3930" t="s">
        <v>11823</v>
      </c>
      <c r="K3930" t="s">
        <v>11824</v>
      </c>
    </row>
    <row r="3931" spans="1:11">
      <c r="A3931" t="s">
        <v>11825</v>
      </c>
      <c r="J3931" t="s">
        <v>11826</v>
      </c>
      <c r="K3931" t="s">
        <v>11827</v>
      </c>
    </row>
    <row r="3932" spans="1:11">
      <c r="A3932" t="s">
        <v>11828</v>
      </c>
      <c r="J3932" t="s">
        <v>11829</v>
      </c>
      <c r="K3932" t="s">
        <v>11830</v>
      </c>
    </row>
    <row r="3933" spans="1:11">
      <c r="A3933" t="s">
        <v>11831</v>
      </c>
      <c r="J3933" t="s">
        <v>11832</v>
      </c>
      <c r="K3933" t="s">
        <v>11833</v>
      </c>
    </row>
    <row r="3934" spans="1:11">
      <c r="A3934" t="s">
        <v>11834</v>
      </c>
      <c r="J3934" t="s">
        <v>11835</v>
      </c>
      <c r="K3934" t="s">
        <v>11836</v>
      </c>
    </row>
    <row r="3935" spans="1:11">
      <c r="A3935" t="s">
        <v>11837</v>
      </c>
      <c r="J3935" t="s">
        <v>11838</v>
      </c>
      <c r="K3935" t="s">
        <v>11839</v>
      </c>
    </row>
    <row r="3936" spans="1:11">
      <c r="A3936" t="s">
        <v>11840</v>
      </c>
      <c r="J3936" t="s">
        <v>11841</v>
      </c>
      <c r="K3936" t="s">
        <v>11842</v>
      </c>
    </row>
    <row r="3937" spans="1:11">
      <c r="A3937" t="s">
        <v>11843</v>
      </c>
      <c r="J3937" t="s">
        <v>11844</v>
      </c>
      <c r="K3937" t="s">
        <v>11845</v>
      </c>
    </row>
    <row r="3938" spans="1:11">
      <c r="A3938" t="s">
        <v>11846</v>
      </c>
      <c r="J3938" t="s">
        <v>11847</v>
      </c>
      <c r="K3938" t="s">
        <v>11848</v>
      </c>
    </row>
    <row r="3939" spans="1:11">
      <c r="A3939" t="s">
        <v>11849</v>
      </c>
      <c r="J3939" t="s">
        <v>11850</v>
      </c>
      <c r="K3939" t="s">
        <v>11851</v>
      </c>
    </row>
    <row r="3940" spans="1:11">
      <c r="A3940" t="s">
        <v>11852</v>
      </c>
      <c r="J3940" t="s">
        <v>11853</v>
      </c>
      <c r="K3940" t="s">
        <v>11854</v>
      </c>
    </row>
    <row r="3941" spans="1:11">
      <c r="A3941" t="s">
        <v>11855</v>
      </c>
      <c r="J3941" t="s">
        <v>11856</v>
      </c>
      <c r="K3941" t="s">
        <v>11857</v>
      </c>
    </row>
    <row r="3942" spans="1:11">
      <c r="A3942" t="s">
        <v>11858</v>
      </c>
      <c r="J3942" t="s">
        <v>11859</v>
      </c>
      <c r="K3942" t="s">
        <v>11860</v>
      </c>
    </row>
    <row r="3943" spans="1:11">
      <c r="A3943" t="s">
        <v>11861</v>
      </c>
      <c r="J3943" t="s">
        <v>11862</v>
      </c>
      <c r="K3943" t="s">
        <v>11863</v>
      </c>
    </row>
    <row r="3944" spans="1:11">
      <c r="A3944" t="s">
        <v>11864</v>
      </c>
      <c r="J3944" t="s">
        <v>11865</v>
      </c>
      <c r="K3944" t="s">
        <v>11866</v>
      </c>
    </row>
    <row r="3945" spans="1:11">
      <c r="A3945" t="s">
        <v>11867</v>
      </c>
      <c r="J3945" t="s">
        <v>11868</v>
      </c>
      <c r="K3945" t="s">
        <v>11869</v>
      </c>
    </row>
    <row r="3946" spans="1:11">
      <c r="A3946" t="s">
        <v>11870</v>
      </c>
      <c r="J3946" t="s">
        <v>11871</v>
      </c>
      <c r="K3946" t="s">
        <v>11872</v>
      </c>
    </row>
    <row r="3947" spans="1:11">
      <c r="A3947" t="s">
        <v>11873</v>
      </c>
      <c r="J3947" t="s">
        <v>11874</v>
      </c>
      <c r="K3947" t="s">
        <v>11875</v>
      </c>
    </row>
    <row r="3948" spans="1:11">
      <c r="A3948" t="s">
        <v>11876</v>
      </c>
      <c r="J3948" t="s">
        <v>11877</v>
      </c>
      <c r="K3948" t="s">
        <v>11878</v>
      </c>
    </row>
    <row r="3949" spans="1:11">
      <c r="A3949" t="s">
        <v>11879</v>
      </c>
      <c r="J3949" t="s">
        <v>11880</v>
      </c>
      <c r="K3949" t="s">
        <v>11881</v>
      </c>
    </row>
    <row r="3950" spans="1:11">
      <c r="A3950" t="s">
        <v>11882</v>
      </c>
      <c r="J3950" t="s">
        <v>11883</v>
      </c>
      <c r="K3950" t="s">
        <v>11884</v>
      </c>
    </row>
    <row r="3951" spans="1:11">
      <c r="A3951" t="s">
        <v>11885</v>
      </c>
      <c r="J3951" t="s">
        <v>11886</v>
      </c>
      <c r="K3951" t="s">
        <v>11887</v>
      </c>
    </row>
    <row r="3952" spans="1:11">
      <c r="A3952" t="s">
        <v>11888</v>
      </c>
      <c r="J3952" t="s">
        <v>11889</v>
      </c>
      <c r="K3952" t="s">
        <v>11890</v>
      </c>
    </row>
    <row r="3953" spans="1:11">
      <c r="A3953" t="s">
        <v>11891</v>
      </c>
      <c r="J3953" t="s">
        <v>11892</v>
      </c>
      <c r="K3953" t="s">
        <v>11893</v>
      </c>
    </row>
    <row r="3954" spans="1:11">
      <c r="A3954" t="s">
        <v>11894</v>
      </c>
      <c r="J3954" t="s">
        <v>11895</v>
      </c>
      <c r="K3954" t="s">
        <v>11896</v>
      </c>
    </row>
    <row r="3955" spans="1:11">
      <c r="A3955" t="s">
        <v>11897</v>
      </c>
      <c r="J3955" t="s">
        <v>11898</v>
      </c>
      <c r="K3955" t="s">
        <v>11899</v>
      </c>
    </row>
    <row r="3956" spans="1:11">
      <c r="A3956" t="s">
        <v>11900</v>
      </c>
      <c r="J3956" t="s">
        <v>11901</v>
      </c>
      <c r="K3956" t="s">
        <v>11902</v>
      </c>
    </row>
    <row r="3957" spans="1:11">
      <c r="A3957" t="s">
        <v>11903</v>
      </c>
      <c r="J3957" t="s">
        <v>11904</v>
      </c>
      <c r="K3957" t="s">
        <v>11905</v>
      </c>
    </row>
    <row r="3958" spans="1:11">
      <c r="A3958" t="s">
        <v>11906</v>
      </c>
      <c r="J3958" t="s">
        <v>11907</v>
      </c>
      <c r="K3958" t="s">
        <v>11908</v>
      </c>
    </row>
    <row r="3959" spans="1:11">
      <c r="A3959" t="s">
        <v>11909</v>
      </c>
      <c r="J3959" t="s">
        <v>11910</v>
      </c>
      <c r="K3959" t="s">
        <v>11911</v>
      </c>
    </row>
    <row r="3960" spans="1:11">
      <c r="A3960" t="s">
        <v>11912</v>
      </c>
      <c r="J3960" t="s">
        <v>11913</v>
      </c>
      <c r="K3960" t="s">
        <v>11914</v>
      </c>
    </row>
    <row r="3961" spans="1:11">
      <c r="A3961" t="s">
        <v>11915</v>
      </c>
      <c r="J3961" t="s">
        <v>11916</v>
      </c>
      <c r="K3961" t="s">
        <v>11917</v>
      </c>
    </row>
    <row r="3962" spans="1:11">
      <c r="A3962" t="s">
        <v>11918</v>
      </c>
      <c r="J3962" t="s">
        <v>11919</v>
      </c>
      <c r="K3962" t="s">
        <v>11920</v>
      </c>
    </row>
    <row r="3963" spans="1:11">
      <c r="A3963" t="s">
        <v>11921</v>
      </c>
      <c r="J3963" t="s">
        <v>11922</v>
      </c>
      <c r="K3963" t="s">
        <v>11923</v>
      </c>
    </row>
    <row r="3964" spans="1:11">
      <c r="A3964" t="s">
        <v>11924</v>
      </c>
      <c r="J3964" t="s">
        <v>11925</v>
      </c>
      <c r="K3964" t="s">
        <v>11926</v>
      </c>
    </row>
    <row r="3965" spans="1:11">
      <c r="A3965" t="s">
        <v>11927</v>
      </c>
      <c r="J3965" t="s">
        <v>11928</v>
      </c>
      <c r="K3965" t="s">
        <v>11929</v>
      </c>
    </row>
    <row r="3966" spans="1:11">
      <c r="A3966" t="s">
        <v>11930</v>
      </c>
      <c r="J3966" t="s">
        <v>11931</v>
      </c>
      <c r="K3966" t="s">
        <v>11932</v>
      </c>
    </row>
    <row r="3967" spans="1:11">
      <c r="A3967" t="s">
        <v>11933</v>
      </c>
      <c r="J3967" t="s">
        <v>11934</v>
      </c>
      <c r="K3967" t="s">
        <v>11935</v>
      </c>
    </row>
    <row r="3968" spans="1:11">
      <c r="A3968" t="s">
        <v>11936</v>
      </c>
      <c r="J3968" t="s">
        <v>11937</v>
      </c>
      <c r="K3968" t="s">
        <v>11938</v>
      </c>
    </row>
    <row r="3969" spans="1:11">
      <c r="A3969" t="s">
        <v>11939</v>
      </c>
      <c r="J3969" t="s">
        <v>11940</v>
      </c>
      <c r="K3969" t="s">
        <v>11941</v>
      </c>
    </row>
    <row r="3970" spans="1:11">
      <c r="A3970" t="s">
        <v>11942</v>
      </c>
      <c r="J3970" t="s">
        <v>11943</v>
      </c>
      <c r="K3970" t="s">
        <v>11944</v>
      </c>
    </row>
    <row r="3971" spans="1:11">
      <c r="A3971" t="s">
        <v>11945</v>
      </c>
      <c r="J3971" t="s">
        <v>11946</v>
      </c>
      <c r="K3971" t="s">
        <v>11947</v>
      </c>
    </row>
    <row r="3972" spans="1:11">
      <c r="A3972" t="s">
        <v>11948</v>
      </c>
      <c r="J3972" t="s">
        <v>11949</v>
      </c>
      <c r="K3972" t="s">
        <v>11950</v>
      </c>
    </row>
    <row r="3973" spans="1:11">
      <c r="A3973" t="s">
        <v>11951</v>
      </c>
      <c r="J3973" t="s">
        <v>11952</v>
      </c>
      <c r="K3973" t="s">
        <v>11953</v>
      </c>
    </row>
    <row r="3974" spans="1:11">
      <c r="A3974" t="s">
        <v>11954</v>
      </c>
      <c r="J3974" t="s">
        <v>11955</v>
      </c>
      <c r="K3974" t="s">
        <v>11956</v>
      </c>
    </row>
    <row r="3975" spans="1:11">
      <c r="A3975" t="s">
        <v>11957</v>
      </c>
      <c r="J3975" t="s">
        <v>11958</v>
      </c>
      <c r="K3975" t="s">
        <v>11959</v>
      </c>
    </row>
    <row r="3976" spans="1:11">
      <c r="A3976" t="s">
        <v>11960</v>
      </c>
      <c r="J3976" t="s">
        <v>11961</v>
      </c>
      <c r="K3976" t="s">
        <v>11962</v>
      </c>
    </row>
    <row r="3977" spans="1:11">
      <c r="A3977" t="s">
        <v>11963</v>
      </c>
      <c r="J3977" t="s">
        <v>11964</v>
      </c>
      <c r="K3977" t="s">
        <v>11965</v>
      </c>
    </row>
    <row r="3978" spans="1:11">
      <c r="A3978" t="s">
        <v>11966</v>
      </c>
      <c r="J3978" t="s">
        <v>11967</v>
      </c>
      <c r="K3978" t="s">
        <v>11968</v>
      </c>
    </row>
    <row r="3979" spans="1:11">
      <c r="A3979" t="s">
        <v>11969</v>
      </c>
      <c r="J3979" t="s">
        <v>11970</v>
      </c>
      <c r="K3979" t="s">
        <v>11971</v>
      </c>
    </row>
    <row r="3980" spans="1:11">
      <c r="A3980" t="s">
        <v>11972</v>
      </c>
      <c r="J3980" t="s">
        <v>11973</v>
      </c>
      <c r="K3980" t="s">
        <v>11974</v>
      </c>
    </row>
    <row r="3981" spans="1:11">
      <c r="A3981" t="s">
        <v>11975</v>
      </c>
      <c r="J3981" t="s">
        <v>11976</v>
      </c>
      <c r="K3981" t="s">
        <v>11977</v>
      </c>
    </row>
    <row r="3982" spans="1:11">
      <c r="A3982" t="s">
        <v>11978</v>
      </c>
      <c r="J3982" t="s">
        <v>11979</v>
      </c>
      <c r="K3982" t="s">
        <v>11980</v>
      </c>
    </row>
    <row r="3983" spans="1:11">
      <c r="A3983" t="s">
        <v>11981</v>
      </c>
      <c r="J3983" t="s">
        <v>11982</v>
      </c>
      <c r="K3983" t="s">
        <v>11983</v>
      </c>
    </row>
    <row r="3984" spans="1:11">
      <c r="A3984" t="s">
        <v>11984</v>
      </c>
      <c r="J3984" t="s">
        <v>11985</v>
      </c>
      <c r="K3984" t="s">
        <v>11986</v>
      </c>
    </row>
    <row r="3985" spans="1:11">
      <c r="A3985" t="s">
        <v>11987</v>
      </c>
      <c r="J3985" t="s">
        <v>11988</v>
      </c>
      <c r="K3985" t="s">
        <v>11989</v>
      </c>
    </row>
    <row r="3986" spans="1:11">
      <c r="A3986" t="s">
        <v>11990</v>
      </c>
      <c r="J3986" t="s">
        <v>11991</v>
      </c>
      <c r="K3986" t="s">
        <v>11992</v>
      </c>
    </row>
    <row r="3987" spans="1:11">
      <c r="A3987" t="s">
        <v>11993</v>
      </c>
      <c r="J3987" t="s">
        <v>11994</v>
      </c>
      <c r="K3987" t="s">
        <v>11995</v>
      </c>
    </row>
    <row r="3988" spans="1:11">
      <c r="A3988" t="s">
        <v>11996</v>
      </c>
      <c r="J3988" t="s">
        <v>11997</v>
      </c>
      <c r="K3988" t="s">
        <v>11998</v>
      </c>
    </row>
    <row r="3989" spans="1:11">
      <c r="A3989" t="s">
        <v>11999</v>
      </c>
      <c r="J3989" t="s">
        <v>12000</v>
      </c>
      <c r="K3989" t="s">
        <v>12001</v>
      </c>
    </row>
    <row r="3990" spans="1:11">
      <c r="A3990" t="s">
        <v>12002</v>
      </c>
      <c r="J3990" t="s">
        <v>12003</v>
      </c>
      <c r="K3990" t="s">
        <v>12004</v>
      </c>
    </row>
    <row r="3991" spans="1:11">
      <c r="A3991" t="s">
        <v>12005</v>
      </c>
      <c r="J3991" t="s">
        <v>12006</v>
      </c>
      <c r="K3991" t="s">
        <v>12007</v>
      </c>
    </row>
    <row r="3992" spans="1:11">
      <c r="A3992" t="s">
        <v>12008</v>
      </c>
      <c r="J3992" t="s">
        <v>12009</v>
      </c>
      <c r="K3992" t="s">
        <v>12010</v>
      </c>
    </row>
    <row r="3993" spans="1:11">
      <c r="A3993" t="s">
        <v>12011</v>
      </c>
      <c r="J3993" t="s">
        <v>12012</v>
      </c>
      <c r="K3993" t="s">
        <v>12013</v>
      </c>
    </row>
    <row r="3994" spans="1:11">
      <c r="A3994" t="s">
        <v>12014</v>
      </c>
      <c r="J3994" t="s">
        <v>12015</v>
      </c>
      <c r="K3994" t="s">
        <v>12016</v>
      </c>
    </row>
    <row r="3995" spans="1:11">
      <c r="A3995" t="s">
        <v>12017</v>
      </c>
      <c r="J3995" t="s">
        <v>12018</v>
      </c>
      <c r="K3995" t="s">
        <v>12019</v>
      </c>
    </row>
    <row r="3996" spans="1:11">
      <c r="A3996" t="s">
        <v>12020</v>
      </c>
      <c r="J3996" t="s">
        <v>12021</v>
      </c>
      <c r="K3996" t="s">
        <v>12022</v>
      </c>
    </row>
    <row r="3997" spans="1:11">
      <c r="A3997" t="s">
        <v>12023</v>
      </c>
      <c r="J3997" t="s">
        <v>12024</v>
      </c>
      <c r="K3997" t="s">
        <v>12025</v>
      </c>
    </row>
    <row r="3998" spans="1:11">
      <c r="A3998" t="s">
        <v>12026</v>
      </c>
      <c r="J3998" t="s">
        <v>12027</v>
      </c>
      <c r="K3998" t="s">
        <v>12028</v>
      </c>
    </row>
    <row r="3999" spans="1:11">
      <c r="A3999" t="s">
        <v>12029</v>
      </c>
      <c r="J3999" t="s">
        <v>12030</v>
      </c>
      <c r="K3999" t="s">
        <v>12031</v>
      </c>
    </row>
    <row r="4000" spans="1:11">
      <c r="A4000" t="s">
        <v>12032</v>
      </c>
      <c r="J4000" t="s">
        <v>12033</v>
      </c>
      <c r="K4000" t="s">
        <v>12034</v>
      </c>
    </row>
    <row r="4001" spans="1:11">
      <c r="A4001" t="s">
        <v>12035</v>
      </c>
      <c r="J4001" t="s">
        <v>12036</v>
      </c>
      <c r="K4001" t="s">
        <v>12037</v>
      </c>
    </row>
    <row r="4002" spans="1:11">
      <c r="A4002" t="s">
        <v>12038</v>
      </c>
      <c r="J4002" t="s">
        <v>12039</v>
      </c>
      <c r="K4002" t="s">
        <v>12040</v>
      </c>
    </row>
    <row r="4003" spans="1:11">
      <c r="A4003" t="s">
        <v>12041</v>
      </c>
      <c r="J4003" t="s">
        <v>12042</v>
      </c>
      <c r="K4003" t="s">
        <v>12043</v>
      </c>
    </row>
    <row r="4004" spans="1:11">
      <c r="A4004" t="s">
        <v>12044</v>
      </c>
      <c r="J4004" t="s">
        <v>12045</v>
      </c>
      <c r="K4004" t="s">
        <v>12046</v>
      </c>
    </row>
    <row r="4005" spans="1:11">
      <c r="A4005" t="s">
        <v>12047</v>
      </c>
      <c r="J4005" t="s">
        <v>12048</v>
      </c>
      <c r="K4005" t="s">
        <v>12049</v>
      </c>
    </row>
    <row r="4006" spans="1:11">
      <c r="A4006" t="s">
        <v>12050</v>
      </c>
      <c r="J4006" t="s">
        <v>12051</v>
      </c>
      <c r="K4006" t="s">
        <v>12052</v>
      </c>
    </row>
    <row r="4007" spans="1:11">
      <c r="A4007" t="s">
        <v>12053</v>
      </c>
      <c r="J4007" t="s">
        <v>12054</v>
      </c>
      <c r="K4007" t="s">
        <v>12055</v>
      </c>
    </row>
    <row r="4008" spans="1:11">
      <c r="A4008" t="s">
        <v>12056</v>
      </c>
      <c r="J4008" t="s">
        <v>12057</v>
      </c>
      <c r="K4008" t="s">
        <v>12058</v>
      </c>
    </row>
    <row r="4009" spans="1:11">
      <c r="A4009" t="s">
        <v>12059</v>
      </c>
      <c r="J4009" t="s">
        <v>12060</v>
      </c>
      <c r="K4009" t="s">
        <v>12061</v>
      </c>
    </row>
    <row r="4010" spans="1:11">
      <c r="A4010" t="s">
        <v>12062</v>
      </c>
      <c r="J4010" t="s">
        <v>12063</v>
      </c>
      <c r="K4010" t="s">
        <v>12064</v>
      </c>
    </row>
    <row r="4011" spans="1:11">
      <c r="A4011" t="s">
        <v>12065</v>
      </c>
      <c r="J4011" t="s">
        <v>12066</v>
      </c>
      <c r="K4011" t="s">
        <v>12067</v>
      </c>
    </row>
    <row r="4012" spans="1:11">
      <c r="A4012" t="s">
        <v>12068</v>
      </c>
      <c r="J4012" t="s">
        <v>12069</v>
      </c>
      <c r="K4012" t="s">
        <v>12070</v>
      </c>
    </row>
    <row r="4013" spans="1:11">
      <c r="A4013" t="s">
        <v>12071</v>
      </c>
      <c r="J4013" t="s">
        <v>12072</v>
      </c>
      <c r="K4013" t="s">
        <v>12073</v>
      </c>
    </row>
    <row r="4014" spans="1:11">
      <c r="A4014" t="s">
        <v>12074</v>
      </c>
      <c r="J4014" t="s">
        <v>12075</v>
      </c>
      <c r="K4014" t="s">
        <v>12076</v>
      </c>
    </row>
    <row r="4015" spans="1:11">
      <c r="A4015" t="s">
        <v>12077</v>
      </c>
      <c r="J4015" t="s">
        <v>12078</v>
      </c>
      <c r="K4015" t="s">
        <v>12079</v>
      </c>
    </row>
    <row r="4016" spans="1:11">
      <c r="A4016" t="s">
        <v>12080</v>
      </c>
      <c r="J4016" t="s">
        <v>12081</v>
      </c>
      <c r="K4016" t="s">
        <v>12082</v>
      </c>
    </row>
    <row r="4017" spans="1:11">
      <c r="A4017" t="s">
        <v>12083</v>
      </c>
      <c r="J4017" t="s">
        <v>12084</v>
      </c>
      <c r="K4017" t="s">
        <v>12085</v>
      </c>
    </row>
    <row r="4018" spans="1:11">
      <c r="A4018" t="s">
        <v>12086</v>
      </c>
      <c r="J4018" t="s">
        <v>12087</v>
      </c>
      <c r="K4018" t="s">
        <v>12088</v>
      </c>
    </row>
    <row r="4019" spans="1:11">
      <c r="A4019" t="s">
        <v>12089</v>
      </c>
      <c r="J4019" t="s">
        <v>12090</v>
      </c>
      <c r="K4019" t="s">
        <v>12091</v>
      </c>
    </row>
    <row r="4020" spans="1:11">
      <c r="A4020" t="s">
        <v>12092</v>
      </c>
      <c r="J4020" t="s">
        <v>12093</v>
      </c>
      <c r="K4020" t="s">
        <v>12094</v>
      </c>
    </row>
    <row r="4021" spans="1:11">
      <c r="A4021" t="s">
        <v>12095</v>
      </c>
      <c r="J4021" t="s">
        <v>12096</v>
      </c>
      <c r="K4021" t="s">
        <v>12097</v>
      </c>
    </row>
    <row r="4022" spans="1:11">
      <c r="A4022" t="s">
        <v>12098</v>
      </c>
      <c r="J4022" t="s">
        <v>12099</v>
      </c>
      <c r="K4022" t="s">
        <v>12100</v>
      </c>
    </row>
    <row r="4023" spans="1:11">
      <c r="A4023" t="s">
        <v>12101</v>
      </c>
      <c r="J4023" t="s">
        <v>12102</v>
      </c>
      <c r="K4023" t="s">
        <v>12103</v>
      </c>
    </row>
    <row r="4024" spans="1:11">
      <c r="A4024" t="s">
        <v>12104</v>
      </c>
      <c r="J4024" t="s">
        <v>12105</v>
      </c>
      <c r="K4024" t="s">
        <v>12106</v>
      </c>
    </row>
    <row r="4025" spans="1:11">
      <c r="A4025" t="s">
        <v>12107</v>
      </c>
      <c r="J4025" t="s">
        <v>12108</v>
      </c>
      <c r="K4025" t="s">
        <v>12109</v>
      </c>
    </row>
    <row r="4026" spans="1:11">
      <c r="A4026" t="s">
        <v>12110</v>
      </c>
      <c r="J4026" t="s">
        <v>12111</v>
      </c>
      <c r="K4026" t="s">
        <v>12112</v>
      </c>
    </row>
    <row r="4027" spans="1:11">
      <c r="A4027" t="s">
        <v>12113</v>
      </c>
      <c r="J4027" t="s">
        <v>12114</v>
      </c>
      <c r="K4027" t="s">
        <v>12115</v>
      </c>
    </row>
    <row r="4028" spans="1:11">
      <c r="A4028" t="s">
        <v>12116</v>
      </c>
      <c r="J4028" t="s">
        <v>12117</v>
      </c>
      <c r="K4028" t="s">
        <v>12118</v>
      </c>
    </row>
    <row r="4029" spans="1:11">
      <c r="A4029" t="s">
        <v>12119</v>
      </c>
      <c r="J4029" t="s">
        <v>12120</v>
      </c>
      <c r="K4029" t="s">
        <v>12121</v>
      </c>
    </row>
    <row r="4030" spans="1:11">
      <c r="A4030" t="s">
        <v>12122</v>
      </c>
      <c r="J4030" t="s">
        <v>12123</v>
      </c>
      <c r="K4030" t="s">
        <v>12124</v>
      </c>
    </row>
    <row r="4031" spans="1:11">
      <c r="A4031" t="s">
        <v>12125</v>
      </c>
      <c r="J4031" t="s">
        <v>12126</v>
      </c>
      <c r="K4031" t="s">
        <v>12127</v>
      </c>
    </row>
    <row r="4032" spans="1:11">
      <c r="A4032" t="s">
        <v>12128</v>
      </c>
      <c r="J4032" t="s">
        <v>12129</v>
      </c>
      <c r="K4032" t="s">
        <v>12130</v>
      </c>
    </row>
    <row r="4033" spans="1:11">
      <c r="A4033" t="s">
        <v>12131</v>
      </c>
      <c r="J4033" t="s">
        <v>12132</v>
      </c>
      <c r="K4033" t="s">
        <v>12133</v>
      </c>
    </row>
    <row r="4034" spans="1:11">
      <c r="A4034" t="s">
        <v>12134</v>
      </c>
      <c r="J4034" t="s">
        <v>12135</v>
      </c>
      <c r="K4034" t="s">
        <v>12136</v>
      </c>
    </row>
    <row r="4035" spans="1:11">
      <c r="A4035" t="s">
        <v>12137</v>
      </c>
      <c r="J4035" t="s">
        <v>12138</v>
      </c>
      <c r="K4035" t="s">
        <v>12139</v>
      </c>
    </row>
    <row r="4036" spans="1:11">
      <c r="A4036" t="s">
        <v>12140</v>
      </c>
      <c r="J4036" t="s">
        <v>12141</v>
      </c>
      <c r="K4036" t="s">
        <v>12142</v>
      </c>
    </row>
    <row r="4037" spans="1:11">
      <c r="A4037" t="s">
        <v>12143</v>
      </c>
      <c r="J4037" t="s">
        <v>12144</v>
      </c>
      <c r="K4037" t="s">
        <v>12145</v>
      </c>
    </row>
    <row r="4038" spans="1:11">
      <c r="A4038" t="s">
        <v>12146</v>
      </c>
      <c r="J4038" t="s">
        <v>12147</v>
      </c>
      <c r="K4038" t="s">
        <v>12148</v>
      </c>
    </row>
    <row r="4039" spans="1:11">
      <c r="A4039" t="s">
        <v>12149</v>
      </c>
      <c r="J4039" t="s">
        <v>12150</v>
      </c>
      <c r="K4039" t="s">
        <v>12151</v>
      </c>
    </row>
    <row r="4040" spans="1:11">
      <c r="A4040" t="s">
        <v>12152</v>
      </c>
      <c r="J4040" t="s">
        <v>12153</v>
      </c>
      <c r="K4040" t="s">
        <v>12154</v>
      </c>
    </row>
    <row r="4041" spans="1:11">
      <c r="A4041" t="s">
        <v>12155</v>
      </c>
      <c r="J4041" t="s">
        <v>12156</v>
      </c>
      <c r="K4041" t="s">
        <v>12157</v>
      </c>
    </row>
    <row r="4042" spans="1:11">
      <c r="A4042" t="s">
        <v>12158</v>
      </c>
      <c r="J4042" t="s">
        <v>12159</v>
      </c>
      <c r="K4042" t="s">
        <v>12160</v>
      </c>
    </row>
    <row r="4043" spans="1:11">
      <c r="A4043" t="s">
        <v>12161</v>
      </c>
      <c r="J4043" t="s">
        <v>12162</v>
      </c>
      <c r="K4043" t="s">
        <v>12163</v>
      </c>
    </row>
    <row r="4044" spans="1:11">
      <c r="A4044" t="s">
        <v>12164</v>
      </c>
      <c r="J4044" t="s">
        <v>12165</v>
      </c>
      <c r="K4044" t="s">
        <v>12166</v>
      </c>
    </row>
    <row r="4045" spans="1:11">
      <c r="A4045" t="s">
        <v>12167</v>
      </c>
      <c r="J4045" t="s">
        <v>12168</v>
      </c>
      <c r="K4045" t="s">
        <v>12169</v>
      </c>
    </row>
    <row r="4046" spans="1:11">
      <c r="A4046" t="s">
        <v>12170</v>
      </c>
      <c r="J4046" t="s">
        <v>12171</v>
      </c>
      <c r="K4046" t="s">
        <v>12172</v>
      </c>
    </row>
    <row r="4047" spans="1:11">
      <c r="A4047" t="s">
        <v>12173</v>
      </c>
      <c r="J4047" t="s">
        <v>12174</v>
      </c>
      <c r="K4047" t="s">
        <v>12175</v>
      </c>
    </row>
    <row r="4048" spans="1:11">
      <c r="A4048" t="s">
        <v>12176</v>
      </c>
      <c r="J4048" t="s">
        <v>12177</v>
      </c>
      <c r="K4048" t="s">
        <v>12178</v>
      </c>
    </row>
    <row r="4049" spans="1:11">
      <c r="A4049" t="s">
        <v>12179</v>
      </c>
      <c r="J4049" t="s">
        <v>12180</v>
      </c>
      <c r="K4049" t="s">
        <v>12181</v>
      </c>
    </row>
    <row r="4050" spans="1:11">
      <c r="A4050" t="s">
        <v>12182</v>
      </c>
      <c r="J4050" t="s">
        <v>12183</v>
      </c>
      <c r="K4050" t="s">
        <v>12184</v>
      </c>
    </row>
    <row r="4051" spans="1:11">
      <c r="A4051" t="s">
        <v>12185</v>
      </c>
      <c r="J4051" t="s">
        <v>12186</v>
      </c>
      <c r="K4051" t="s">
        <v>12187</v>
      </c>
    </row>
    <row r="4052" spans="1:11">
      <c r="A4052" t="s">
        <v>12188</v>
      </c>
      <c r="J4052" t="s">
        <v>12189</v>
      </c>
      <c r="K4052" t="s">
        <v>12190</v>
      </c>
    </row>
    <row r="4053" spans="1:11">
      <c r="A4053" t="s">
        <v>12191</v>
      </c>
      <c r="J4053" t="s">
        <v>12192</v>
      </c>
      <c r="K4053" t="s">
        <v>12193</v>
      </c>
    </row>
    <row r="4054" spans="1:11">
      <c r="A4054" t="s">
        <v>12194</v>
      </c>
      <c r="J4054" t="s">
        <v>12195</v>
      </c>
      <c r="K4054" t="s">
        <v>12196</v>
      </c>
    </row>
    <row r="4055" spans="1:11">
      <c r="A4055" t="s">
        <v>12197</v>
      </c>
      <c r="J4055" t="s">
        <v>12198</v>
      </c>
      <c r="K4055" t="s">
        <v>12199</v>
      </c>
    </row>
    <row r="4056" spans="1:11">
      <c r="A4056" t="s">
        <v>12200</v>
      </c>
      <c r="J4056" t="s">
        <v>12201</v>
      </c>
      <c r="K4056" t="s">
        <v>12202</v>
      </c>
    </row>
    <row r="4057" spans="1:11">
      <c r="A4057" t="s">
        <v>12203</v>
      </c>
      <c r="J4057" t="s">
        <v>12204</v>
      </c>
      <c r="K4057" t="s">
        <v>12205</v>
      </c>
    </row>
    <row r="4058" spans="1:11">
      <c r="A4058" t="s">
        <v>12206</v>
      </c>
      <c r="J4058" t="s">
        <v>12207</v>
      </c>
      <c r="K4058" t="s">
        <v>12208</v>
      </c>
    </row>
    <row r="4059" spans="1:11">
      <c r="A4059" t="s">
        <v>12209</v>
      </c>
      <c r="J4059" t="s">
        <v>12210</v>
      </c>
      <c r="K4059" t="s">
        <v>12211</v>
      </c>
    </row>
    <row r="4060" spans="1:11">
      <c r="A4060" t="s">
        <v>12212</v>
      </c>
      <c r="J4060" t="s">
        <v>12213</v>
      </c>
      <c r="K4060" t="s">
        <v>12214</v>
      </c>
    </row>
    <row r="4061" spans="1:11">
      <c r="A4061" t="s">
        <v>12215</v>
      </c>
      <c r="J4061" t="s">
        <v>12216</v>
      </c>
      <c r="K4061" t="s">
        <v>12217</v>
      </c>
    </row>
    <row r="4062" spans="1:11">
      <c r="A4062" t="s">
        <v>12218</v>
      </c>
      <c r="J4062" t="s">
        <v>12219</v>
      </c>
      <c r="K4062" t="s">
        <v>12220</v>
      </c>
    </row>
    <row r="4063" spans="1:11">
      <c r="A4063" t="s">
        <v>12221</v>
      </c>
      <c r="J4063" t="s">
        <v>12222</v>
      </c>
      <c r="K4063" t="s">
        <v>12223</v>
      </c>
    </row>
    <row r="4064" spans="1:11">
      <c r="A4064" t="s">
        <v>12224</v>
      </c>
      <c r="J4064" t="s">
        <v>12225</v>
      </c>
      <c r="K4064" t="s">
        <v>12226</v>
      </c>
    </row>
    <row r="4065" spans="1:11">
      <c r="A4065" t="s">
        <v>12227</v>
      </c>
      <c r="J4065" t="s">
        <v>12228</v>
      </c>
      <c r="K4065" t="s">
        <v>12229</v>
      </c>
    </row>
    <row r="4066" spans="1:11">
      <c r="A4066" t="s">
        <v>12230</v>
      </c>
      <c r="J4066" t="s">
        <v>12231</v>
      </c>
      <c r="K4066" t="s">
        <v>12232</v>
      </c>
    </row>
    <row r="4067" spans="1:11">
      <c r="A4067" t="s">
        <v>12233</v>
      </c>
      <c r="J4067" t="s">
        <v>12234</v>
      </c>
      <c r="K4067" t="s">
        <v>12235</v>
      </c>
    </row>
    <row r="4068" spans="1:11">
      <c r="A4068" t="s">
        <v>12236</v>
      </c>
      <c r="J4068" t="s">
        <v>12237</v>
      </c>
      <c r="K4068" t="s">
        <v>12238</v>
      </c>
    </row>
    <row r="4069" spans="1:11">
      <c r="A4069" t="s">
        <v>12239</v>
      </c>
      <c r="J4069" t="s">
        <v>12240</v>
      </c>
      <c r="K4069" t="s">
        <v>12241</v>
      </c>
    </row>
    <row r="4070" spans="1:11">
      <c r="A4070" t="s">
        <v>12242</v>
      </c>
      <c r="J4070" t="s">
        <v>12243</v>
      </c>
      <c r="K4070" t="s">
        <v>12244</v>
      </c>
    </row>
    <row r="4071" spans="1:11">
      <c r="A4071" t="s">
        <v>12245</v>
      </c>
      <c r="J4071" t="s">
        <v>12246</v>
      </c>
      <c r="K4071" t="s">
        <v>12247</v>
      </c>
    </row>
    <row r="4072" spans="1:11">
      <c r="A4072" t="s">
        <v>12248</v>
      </c>
      <c r="J4072" t="s">
        <v>12249</v>
      </c>
      <c r="K4072" t="s">
        <v>12250</v>
      </c>
    </row>
    <row r="4073" spans="1:11">
      <c r="A4073" t="s">
        <v>12251</v>
      </c>
      <c r="J4073" t="s">
        <v>12252</v>
      </c>
      <c r="K4073" t="s">
        <v>12253</v>
      </c>
    </row>
    <row r="4074" spans="1:11">
      <c r="A4074" t="s">
        <v>12254</v>
      </c>
      <c r="J4074" t="s">
        <v>12255</v>
      </c>
      <c r="K4074" t="s">
        <v>12256</v>
      </c>
    </row>
    <row r="4075" spans="1:11">
      <c r="A4075" t="s">
        <v>12257</v>
      </c>
      <c r="J4075" t="s">
        <v>12258</v>
      </c>
      <c r="K4075" t="s">
        <v>12259</v>
      </c>
    </row>
    <row r="4076" spans="1:11">
      <c r="A4076" t="s">
        <v>12260</v>
      </c>
      <c r="J4076" t="s">
        <v>12261</v>
      </c>
      <c r="K4076" t="s">
        <v>12262</v>
      </c>
    </row>
    <row r="4077" spans="1:11">
      <c r="A4077" t="s">
        <v>12263</v>
      </c>
      <c r="J4077" t="s">
        <v>12264</v>
      </c>
      <c r="K4077" t="s">
        <v>12265</v>
      </c>
    </row>
    <row r="4078" spans="1:11">
      <c r="A4078" t="s">
        <v>12266</v>
      </c>
      <c r="J4078" t="s">
        <v>12267</v>
      </c>
      <c r="K4078" t="s">
        <v>12268</v>
      </c>
    </row>
    <row r="4079" spans="1:11">
      <c r="A4079" t="s">
        <v>12269</v>
      </c>
      <c r="J4079" t="s">
        <v>12270</v>
      </c>
      <c r="K4079" t="s">
        <v>12271</v>
      </c>
    </row>
    <row r="4080" spans="1:11">
      <c r="A4080" t="s">
        <v>12272</v>
      </c>
      <c r="J4080" t="s">
        <v>12273</v>
      </c>
      <c r="K4080" t="s">
        <v>12274</v>
      </c>
    </row>
    <row r="4081" spans="1:11">
      <c r="A4081" t="s">
        <v>12275</v>
      </c>
      <c r="J4081" t="s">
        <v>12276</v>
      </c>
      <c r="K4081" t="s">
        <v>12277</v>
      </c>
    </row>
    <row r="4082" spans="1:11">
      <c r="A4082" t="s">
        <v>12278</v>
      </c>
      <c r="J4082" t="s">
        <v>12279</v>
      </c>
      <c r="K4082" t="s">
        <v>12280</v>
      </c>
    </row>
    <row r="4083" spans="1:11">
      <c r="A4083" t="s">
        <v>12281</v>
      </c>
      <c r="J4083" t="s">
        <v>12282</v>
      </c>
      <c r="K4083" t="s">
        <v>12283</v>
      </c>
    </row>
    <row r="4084" spans="1:11">
      <c r="A4084" t="s">
        <v>12284</v>
      </c>
      <c r="J4084" t="s">
        <v>12285</v>
      </c>
      <c r="K4084" t="s">
        <v>12286</v>
      </c>
    </row>
    <row r="4085" spans="1:11">
      <c r="A4085" t="s">
        <v>12287</v>
      </c>
      <c r="J4085" t="s">
        <v>12288</v>
      </c>
      <c r="K4085" t="s">
        <v>12289</v>
      </c>
    </row>
    <row r="4086" spans="1:11">
      <c r="A4086" t="s">
        <v>12290</v>
      </c>
      <c r="J4086" t="s">
        <v>12291</v>
      </c>
      <c r="K4086" t="s">
        <v>12292</v>
      </c>
    </row>
    <row r="4087" spans="1:11">
      <c r="A4087" t="s">
        <v>12293</v>
      </c>
      <c r="J4087" t="s">
        <v>12294</v>
      </c>
      <c r="K4087" t="s">
        <v>12295</v>
      </c>
    </row>
    <row r="4088" spans="1:11">
      <c r="A4088" t="s">
        <v>12296</v>
      </c>
      <c r="J4088" t="s">
        <v>12297</v>
      </c>
      <c r="K4088" t="s">
        <v>12298</v>
      </c>
    </row>
    <row r="4089" spans="1:11">
      <c r="A4089" t="s">
        <v>12299</v>
      </c>
      <c r="J4089" t="s">
        <v>12300</v>
      </c>
      <c r="K4089" t="s">
        <v>12301</v>
      </c>
    </row>
    <row r="4090" spans="1:11">
      <c r="A4090" t="s">
        <v>12302</v>
      </c>
      <c r="J4090" t="s">
        <v>12303</v>
      </c>
      <c r="K4090" t="s">
        <v>12304</v>
      </c>
    </row>
    <row r="4091" spans="1:11">
      <c r="A4091" t="s">
        <v>12305</v>
      </c>
      <c r="J4091" t="s">
        <v>12306</v>
      </c>
      <c r="K4091" t="s">
        <v>12307</v>
      </c>
    </row>
    <row r="4092" spans="1:11">
      <c r="A4092" t="s">
        <v>12308</v>
      </c>
      <c r="J4092" t="s">
        <v>12309</v>
      </c>
      <c r="K4092" t="s">
        <v>12310</v>
      </c>
    </row>
    <row r="4093" spans="1:11">
      <c r="A4093" t="s">
        <v>12311</v>
      </c>
      <c r="J4093" t="s">
        <v>12312</v>
      </c>
      <c r="K4093" t="s">
        <v>12313</v>
      </c>
    </row>
    <row r="4094" spans="1:11">
      <c r="A4094" t="s">
        <v>12314</v>
      </c>
      <c r="J4094" t="s">
        <v>12315</v>
      </c>
      <c r="K4094" t="s">
        <v>12316</v>
      </c>
    </row>
    <row r="4095" spans="1:11">
      <c r="A4095" t="s">
        <v>12317</v>
      </c>
      <c r="J4095" t="s">
        <v>12318</v>
      </c>
      <c r="K4095" t="s">
        <v>12319</v>
      </c>
    </row>
    <row r="4096" spans="1:11">
      <c r="A4096" t="s">
        <v>12320</v>
      </c>
      <c r="J4096" t="s">
        <v>12321</v>
      </c>
      <c r="K4096" t="s">
        <v>12322</v>
      </c>
    </row>
    <row r="4097" spans="1:11">
      <c r="A4097" t="s">
        <v>12323</v>
      </c>
      <c r="J4097" t="s">
        <v>12324</v>
      </c>
      <c r="K4097" t="s">
        <v>12325</v>
      </c>
    </row>
    <row r="4098" spans="1:11">
      <c r="A4098" t="s">
        <v>12326</v>
      </c>
      <c r="J4098" t="s">
        <v>12327</v>
      </c>
      <c r="K4098" t="s">
        <v>12328</v>
      </c>
    </row>
    <row r="4099" spans="1:11">
      <c r="A4099" t="s">
        <v>12329</v>
      </c>
      <c r="J4099" t="s">
        <v>12330</v>
      </c>
      <c r="K4099" t="s">
        <v>12331</v>
      </c>
    </row>
    <row r="4100" spans="1:11">
      <c r="A4100" t="s">
        <v>12332</v>
      </c>
      <c r="J4100" t="s">
        <v>12333</v>
      </c>
      <c r="K4100" t="s">
        <v>12334</v>
      </c>
    </row>
    <row r="4101" spans="1:11">
      <c r="A4101" t="s">
        <v>12335</v>
      </c>
      <c r="J4101" t="s">
        <v>12336</v>
      </c>
      <c r="K4101" t="s">
        <v>12337</v>
      </c>
    </row>
    <row r="4102" spans="1:11">
      <c r="A4102" t="s">
        <v>12338</v>
      </c>
      <c r="J4102" t="s">
        <v>12339</v>
      </c>
      <c r="K4102" t="s">
        <v>12340</v>
      </c>
    </row>
    <row r="4103" spans="1:11">
      <c r="A4103" t="s">
        <v>12341</v>
      </c>
      <c r="J4103" t="s">
        <v>12342</v>
      </c>
      <c r="K4103" t="s">
        <v>12343</v>
      </c>
    </row>
    <row r="4104" spans="1:11">
      <c r="A4104" t="s">
        <v>12344</v>
      </c>
      <c r="J4104" t="s">
        <v>12345</v>
      </c>
      <c r="K4104" t="s">
        <v>12346</v>
      </c>
    </row>
    <row r="4105" spans="1:11">
      <c r="A4105" t="s">
        <v>12347</v>
      </c>
      <c r="J4105" t="s">
        <v>12348</v>
      </c>
      <c r="K4105" t="s">
        <v>12349</v>
      </c>
    </row>
    <row r="4106" spans="1:11">
      <c r="A4106" t="s">
        <v>12350</v>
      </c>
      <c r="J4106" t="s">
        <v>12351</v>
      </c>
      <c r="K4106" t="s">
        <v>12352</v>
      </c>
    </row>
    <row r="4107" spans="1:11">
      <c r="A4107" t="s">
        <v>12353</v>
      </c>
      <c r="J4107" t="s">
        <v>12354</v>
      </c>
      <c r="K4107" t="s">
        <v>12355</v>
      </c>
    </row>
    <row r="4108" spans="1:11">
      <c r="A4108" t="s">
        <v>12356</v>
      </c>
      <c r="J4108" t="s">
        <v>12357</v>
      </c>
      <c r="K4108" t="s">
        <v>12358</v>
      </c>
    </row>
    <row r="4109" spans="1:11">
      <c r="A4109" t="s">
        <v>12359</v>
      </c>
      <c r="J4109" t="s">
        <v>12360</v>
      </c>
      <c r="K4109" t="s">
        <v>12361</v>
      </c>
    </row>
    <row r="4110" spans="1:11">
      <c r="A4110" t="s">
        <v>12362</v>
      </c>
      <c r="J4110" t="s">
        <v>12363</v>
      </c>
      <c r="K4110" t="s">
        <v>12364</v>
      </c>
    </row>
    <row r="4111" spans="1:11">
      <c r="A4111" t="s">
        <v>12365</v>
      </c>
      <c r="J4111" t="s">
        <v>12366</v>
      </c>
      <c r="K4111" t="s">
        <v>12367</v>
      </c>
    </row>
    <row r="4112" spans="1:11">
      <c r="A4112" t="s">
        <v>12368</v>
      </c>
      <c r="J4112" t="s">
        <v>12369</v>
      </c>
      <c r="K4112" t="s">
        <v>12370</v>
      </c>
    </row>
    <row r="4113" spans="1:11">
      <c r="A4113" t="s">
        <v>12371</v>
      </c>
      <c r="J4113" t="s">
        <v>12372</v>
      </c>
      <c r="K4113" t="s">
        <v>12373</v>
      </c>
    </row>
    <row r="4114" spans="1:11">
      <c r="A4114" t="s">
        <v>12374</v>
      </c>
      <c r="J4114" t="s">
        <v>12375</v>
      </c>
      <c r="K4114" t="s">
        <v>12376</v>
      </c>
    </row>
    <row r="4115" spans="1:11">
      <c r="A4115" t="s">
        <v>12377</v>
      </c>
      <c r="J4115" t="s">
        <v>12378</v>
      </c>
      <c r="K4115" t="s">
        <v>12379</v>
      </c>
    </row>
    <row r="4116" spans="1:11">
      <c r="A4116" t="s">
        <v>12380</v>
      </c>
      <c r="J4116" t="s">
        <v>12381</v>
      </c>
      <c r="K4116" t="s">
        <v>12382</v>
      </c>
    </row>
    <row r="4117" spans="1:11">
      <c r="A4117" t="s">
        <v>12383</v>
      </c>
      <c r="J4117" t="s">
        <v>12384</v>
      </c>
      <c r="K4117" t="s">
        <v>12385</v>
      </c>
    </row>
    <row r="4118" spans="1:11">
      <c r="A4118" t="s">
        <v>12386</v>
      </c>
      <c r="J4118" t="s">
        <v>12387</v>
      </c>
      <c r="K4118" t="s">
        <v>12388</v>
      </c>
    </row>
    <row r="4119" spans="1:11">
      <c r="A4119" t="s">
        <v>12389</v>
      </c>
      <c r="J4119" t="s">
        <v>12390</v>
      </c>
      <c r="K4119" t="s">
        <v>12391</v>
      </c>
    </row>
    <row r="4120" spans="1:11">
      <c r="A4120" t="s">
        <v>12392</v>
      </c>
      <c r="J4120" t="s">
        <v>12393</v>
      </c>
      <c r="K4120" t="s">
        <v>12394</v>
      </c>
    </row>
    <row r="4121" spans="1:11">
      <c r="A4121" t="s">
        <v>12395</v>
      </c>
      <c r="J4121" t="s">
        <v>12396</v>
      </c>
      <c r="K4121" t="s">
        <v>12397</v>
      </c>
    </row>
    <row r="4122" spans="1:11">
      <c r="A4122" t="s">
        <v>12398</v>
      </c>
      <c r="J4122" t="s">
        <v>12399</v>
      </c>
      <c r="K4122" t="s">
        <v>12400</v>
      </c>
    </row>
    <row r="4123" spans="1:11">
      <c r="A4123" t="s">
        <v>12401</v>
      </c>
      <c r="J4123" t="s">
        <v>12402</v>
      </c>
      <c r="K4123" t="s">
        <v>12403</v>
      </c>
    </row>
    <row r="4124" spans="1:11">
      <c r="A4124" t="s">
        <v>12404</v>
      </c>
      <c r="J4124" t="s">
        <v>12405</v>
      </c>
      <c r="K4124" t="s">
        <v>12406</v>
      </c>
    </row>
    <row r="4125" spans="1:11">
      <c r="A4125" t="s">
        <v>12407</v>
      </c>
      <c r="J4125" t="s">
        <v>12408</v>
      </c>
      <c r="K4125" t="s">
        <v>12409</v>
      </c>
    </row>
    <row r="4126" spans="1:11">
      <c r="A4126" t="s">
        <v>12410</v>
      </c>
      <c r="J4126" t="s">
        <v>12411</v>
      </c>
      <c r="K4126" t="s">
        <v>12412</v>
      </c>
    </row>
    <row r="4127" spans="1:11">
      <c r="A4127" t="s">
        <v>12413</v>
      </c>
      <c r="J4127" t="s">
        <v>12414</v>
      </c>
      <c r="K4127" t="s">
        <v>12415</v>
      </c>
    </row>
    <row r="4128" spans="1:11">
      <c r="A4128" t="s">
        <v>12416</v>
      </c>
      <c r="J4128" t="s">
        <v>12417</v>
      </c>
      <c r="K4128" t="s">
        <v>12418</v>
      </c>
    </row>
    <row r="4129" spans="1:11">
      <c r="A4129" t="s">
        <v>12419</v>
      </c>
      <c r="J4129" t="s">
        <v>12420</v>
      </c>
      <c r="K4129" t="s">
        <v>12421</v>
      </c>
    </row>
    <row r="4130" spans="1:11">
      <c r="A4130" t="s">
        <v>12422</v>
      </c>
      <c r="J4130" t="s">
        <v>12423</v>
      </c>
      <c r="K4130" t="s">
        <v>12424</v>
      </c>
    </row>
    <row r="4131" spans="1:11">
      <c r="A4131" t="s">
        <v>12425</v>
      </c>
      <c r="J4131" t="s">
        <v>12426</v>
      </c>
      <c r="K4131" t="s">
        <v>12427</v>
      </c>
    </row>
    <row r="4132" spans="1:11">
      <c r="A4132" t="s">
        <v>12428</v>
      </c>
      <c r="J4132" t="s">
        <v>12429</v>
      </c>
      <c r="K4132" t="s">
        <v>12430</v>
      </c>
    </row>
    <row r="4133" spans="1:11">
      <c r="A4133" t="s">
        <v>12431</v>
      </c>
      <c r="J4133" t="s">
        <v>12432</v>
      </c>
      <c r="K4133" t="s">
        <v>12433</v>
      </c>
    </row>
    <row r="4134" spans="1:11">
      <c r="A4134" t="s">
        <v>12434</v>
      </c>
      <c r="J4134" t="s">
        <v>12435</v>
      </c>
      <c r="K4134" t="s">
        <v>12436</v>
      </c>
    </row>
    <row r="4135" spans="1:11">
      <c r="A4135" t="s">
        <v>12437</v>
      </c>
      <c r="J4135" t="s">
        <v>12438</v>
      </c>
      <c r="K4135" t="s">
        <v>12439</v>
      </c>
    </row>
    <row r="4136" spans="1:11">
      <c r="A4136" t="s">
        <v>12440</v>
      </c>
      <c r="J4136" t="s">
        <v>12441</v>
      </c>
      <c r="K4136" t="s">
        <v>12442</v>
      </c>
    </row>
    <row r="4137" spans="1:11">
      <c r="A4137" t="s">
        <v>12443</v>
      </c>
      <c r="J4137" t="s">
        <v>12444</v>
      </c>
      <c r="K4137" t="s">
        <v>12445</v>
      </c>
    </row>
    <row r="4138" spans="1:11">
      <c r="A4138" t="s">
        <v>12446</v>
      </c>
      <c r="J4138" t="s">
        <v>12447</v>
      </c>
      <c r="K4138" t="s">
        <v>12448</v>
      </c>
    </row>
    <row r="4139" spans="1:11">
      <c r="A4139" t="s">
        <v>12449</v>
      </c>
      <c r="J4139" t="s">
        <v>12450</v>
      </c>
      <c r="K4139" t="s">
        <v>12451</v>
      </c>
    </row>
    <row r="4140" spans="1:11">
      <c r="A4140" t="s">
        <v>12452</v>
      </c>
      <c r="J4140" t="s">
        <v>12453</v>
      </c>
      <c r="K4140" t="s">
        <v>12454</v>
      </c>
    </row>
    <row r="4141" spans="1:11">
      <c r="A4141" t="s">
        <v>12455</v>
      </c>
      <c r="J4141" t="s">
        <v>12456</v>
      </c>
      <c r="K4141" t="s">
        <v>12457</v>
      </c>
    </row>
    <row r="4142" spans="1:11">
      <c r="A4142" t="s">
        <v>12458</v>
      </c>
      <c r="J4142" t="s">
        <v>12459</v>
      </c>
      <c r="K4142" t="s">
        <v>12460</v>
      </c>
    </row>
    <row r="4143" spans="1:11">
      <c r="A4143" t="s">
        <v>12461</v>
      </c>
      <c r="J4143" t="s">
        <v>12462</v>
      </c>
      <c r="K4143" t="s">
        <v>12463</v>
      </c>
    </row>
    <row r="4144" spans="1:11">
      <c r="A4144" t="s">
        <v>12464</v>
      </c>
      <c r="J4144" t="s">
        <v>12465</v>
      </c>
      <c r="K4144" t="s">
        <v>12466</v>
      </c>
    </row>
    <row r="4145" spans="1:11">
      <c r="A4145" t="s">
        <v>12467</v>
      </c>
      <c r="J4145" t="s">
        <v>12468</v>
      </c>
      <c r="K4145" t="s">
        <v>12469</v>
      </c>
    </row>
    <row r="4146" spans="1:11">
      <c r="A4146" t="s">
        <v>12470</v>
      </c>
      <c r="J4146" t="s">
        <v>12471</v>
      </c>
      <c r="K4146" t="s">
        <v>12472</v>
      </c>
    </row>
    <row r="4147" spans="1:11">
      <c r="A4147" t="s">
        <v>12473</v>
      </c>
      <c r="J4147" t="s">
        <v>12474</v>
      </c>
      <c r="K4147" t="s">
        <v>12475</v>
      </c>
    </row>
    <row r="4148" spans="1:11">
      <c r="A4148" t="s">
        <v>12476</v>
      </c>
      <c r="J4148" t="s">
        <v>12477</v>
      </c>
      <c r="K4148" t="s">
        <v>12478</v>
      </c>
    </row>
    <row r="4149" spans="1:11">
      <c r="A4149" t="s">
        <v>12479</v>
      </c>
      <c r="J4149" t="s">
        <v>12480</v>
      </c>
      <c r="K4149" t="s">
        <v>12481</v>
      </c>
    </row>
    <row r="4150" spans="1:11">
      <c r="A4150" t="s">
        <v>12482</v>
      </c>
      <c r="J4150" t="s">
        <v>12483</v>
      </c>
      <c r="K4150" t="s">
        <v>12484</v>
      </c>
    </row>
    <row r="4151" spans="1:11">
      <c r="A4151" t="s">
        <v>12485</v>
      </c>
      <c r="J4151" t="s">
        <v>12486</v>
      </c>
      <c r="K4151" t="s">
        <v>12487</v>
      </c>
    </row>
    <row r="4152" spans="1:11">
      <c r="A4152" t="s">
        <v>12488</v>
      </c>
      <c r="J4152" t="s">
        <v>12489</v>
      </c>
      <c r="K4152" t="s">
        <v>12490</v>
      </c>
    </row>
    <row r="4153" spans="1:11">
      <c r="A4153" t="s">
        <v>12491</v>
      </c>
      <c r="J4153" t="s">
        <v>12492</v>
      </c>
      <c r="K4153" t="s">
        <v>12493</v>
      </c>
    </row>
    <row r="4154" spans="1:11">
      <c r="A4154" t="s">
        <v>12494</v>
      </c>
      <c r="J4154" t="s">
        <v>12495</v>
      </c>
      <c r="K4154" t="s">
        <v>12496</v>
      </c>
    </row>
    <row r="4155" spans="1:11">
      <c r="A4155" t="s">
        <v>12497</v>
      </c>
      <c r="J4155" t="s">
        <v>12498</v>
      </c>
      <c r="K4155" t="s">
        <v>12499</v>
      </c>
    </row>
    <row r="4156" spans="1:11">
      <c r="A4156" t="s">
        <v>12500</v>
      </c>
      <c r="J4156" t="s">
        <v>12501</v>
      </c>
      <c r="K4156" t="s">
        <v>12502</v>
      </c>
    </row>
    <row r="4157" spans="1:11">
      <c r="A4157" t="s">
        <v>12503</v>
      </c>
      <c r="J4157" t="s">
        <v>12504</v>
      </c>
      <c r="K4157" t="s">
        <v>12505</v>
      </c>
    </row>
    <row r="4158" spans="1:11">
      <c r="A4158" t="s">
        <v>12506</v>
      </c>
      <c r="J4158" t="s">
        <v>12507</v>
      </c>
      <c r="K4158" t="s">
        <v>12508</v>
      </c>
    </row>
    <row r="4159" spans="1:11">
      <c r="A4159" t="s">
        <v>12509</v>
      </c>
      <c r="J4159" t="s">
        <v>12510</v>
      </c>
      <c r="K4159" t="s">
        <v>12511</v>
      </c>
    </row>
    <row r="4160" spans="1:11">
      <c r="A4160" t="s">
        <v>12512</v>
      </c>
      <c r="J4160" t="s">
        <v>12513</v>
      </c>
      <c r="K4160" t="s">
        <v>12514</v>
      </c>
    </row>
    <row r="4161" spans="1:11">
      <c r="A4161" t="s">
        <v>12515</v>
      </c>
      <c r="J4161" t="s">
        <v>12516</v>
      </c>
      <c r="K4161" t="s">
        <v>12517</v>
      </c>
    </row>
    <row r="4162" spans="1:11">
      <c r="A4162" t="s">
        <v>12518</v>
      </c>
      <c r="J4162" t="s">
        <v>12519</v>
      </c>
      <c r="K4162" t="s">
        <v>12520</v>
      </c>
    </row>
    <row r="4163" spans="1:11">
      <c r="A4163" t="s">
        <v>12521</v>
      </c>
      <c r="J4163" t="s">
        <v>12522</v>
      </c>
      <c r="K4163" t="s">
        <v>12523</v>
      </c>
    </row>
    <row r="4164" spans="1:11">
      <c r="A4164" t="s">
        <v>12524</v>
      </c>
      <c r="J4164" t="s">
        <v>12525</v>
      </c>
      <c r="K4164" t="s">
        <v>12526</v>
      </c>
    </row>
    <row r="4165" spans="1:11">
      <c r="A4165" t="s">
        <v>12527</v>
      </c>
      <c r="J4165" t="s">
        <v>12528</v>
      </c>
      <c r="K4165" t="s">
        <v>12529</v>
      </c>
    </row>
    <row r="4166" spans="1:11">
      <c r="A4166" t="s">
        <v>12530</v>
      </c>
      <c r="J4166" t="s">
        <v>12531</v>
      </c>
      <c r="K4166" t="s">
        <v>12532</v>
      </c>
    </row>
    <row r="4167" spans="1:11">
      <c r="A4167" t="s">
        <v>12533</v>
      </c>
      <c r="J4167" t="s">
        <v>12534</v>
      </c>
      <c r="K4167" t="s">
        <v>12535</v>
      </c>
    </row>
    <row r="4168" spans="1:11">
      <c r="A4168" t="s">
        <v>12536</v>
      </c>
      <c r="J4168" t="s">
        <v>12537</v>
      </c>
      <c r="K4168" t="s">
        <v>12538</v>
      </c>
    </row>
    <row r="4169" spans="1:11">
      <c r="A4169" t="s">
        <v>12539</v>
      </c>
      <c r="J4169" t="s">
        <v>12540</v>
      </c>
      <c r="K4169" t="s">
        <v>12541</v>
      </c>
    </row>
    <row r="4170" spans="1:11">
      <c r="A4170" t="s">
        <v>12542</v>
      </c>
      <c r="J4170" t="s">
        <v>12543</v>
      </c>
      <c r="K4170" t="s">
        <v>12544</v>
      </c>
    </row>
    <row r="4171" spans="1:11">
      <c r="A4171" t="s">
        <v>12545</v>
      </c>
      <c r="J4171" t="s">
        <v>12546</v>
      </c>
      <c r="K4171" t="s">
        <v>12547</v>
      </c>
    </row>
    <row r="4172" spans="1:11">
      <c r="A4172" t="s">
        <v>12548</v>
      </c>
      <c r="J4172" t="s">
        <v>12549</v>
      </c>
      <c r="K4172" t="s">
        <v>12550</v>
      </c>
    </row>
    <row r="4173" spans="1:11">
      <c r="A4173" t="s">
        <v>12551</v>
      </c>
      <c r="J4173" t="s">
        <v>12552</v>
      </c>
      <c r="K4173" t="s">
        <v>12553</v>
      </c>
    </row>
    <row r="4174" spans="1:11">
      <c r="A4174" t="s">
        <v>12554</v>
      </c>
      <c r="J4174" t="s">
        <v>12555</v>
      </c>
      <c r="K4174" t="s">
        <v>12556</v>
      </c>
    </row>
    <row r="4175" spans="1:11">
      <c r="A4175" t="s">
        <v>12557</v>
      </c>
      <c r="J4175" t="s">
        <v>12558</v>
      </c>
      <c r="K4175" t="s">
        <v>12559</v>
      </c>
    </row>
    <row r="4176" spans="1:11">
      <c r="A4176" t="s">
        <v>12560</v>
      </c>
      <c r="J4176" t="s">
        <v>12561</v>
      </c>
      <c r="K4176" t="s">
        <v>12562</v>
      </c>
    </row>
    <row r="4177" spans="1:11">
      <c r="A4177" t="s">
        <v>12563</v>
      </c>
      <c r="J4177" t="s">
        <v>12564</v>
      </c>
      <c r="K4177" t="s">
        <v>12565</v>
      </c>
    </row>
    <row r="4178" spans="1:11">
      <c r="A4178" t="s">
        <v>12566</v>
      </c>
      <c r="J4178" t="s">
        <v>12567</v>
      </c>
      <c r="K4178" t="s">
        <v>12568</v>
      </c>
    </row>
    <row r="4179" spans="1:11">
      <c r="A4179" t="s">
        <v>12569</v>
      </c>
      <c r="J4179" t="s">
        <v>12570</v>
      </c>
      <c r="K4179" t="s">
        <v>12571</v>
      </c>
    </row>
    <row r="4180" spans="1:11">
      <c r="A4180" t="s">
        <v>12572</v>
      </c>
      <c r="J4180" t="s">
        <v>12573</v>
      </c>
      <c r="K4180" t="s">
        <v>12574</v>
      </c>
    </row>
    <row r="4181" spans="1:11">
      <c r="A4181" t="s">
        <v>12575</v>
      </c>
      <c r="J4181" t="s">
        <v>12576</v>
      </c>
      <c r="K4181" t="s">
        <v>12577</v>
      </c>
    </row>
    <row r="4182" spans="1:11">
      <c r="A4182" t="s">
        <v>12578</v>
      </c>
      <c r="J4182" t="s">
        <v>12579</v>
      </c>
      <c r="K4182" t="s">
        <v>12580</v>
      </c>
    </row>
    <row r="4183" spans="1:11">
      <c r="A4183" t="s">
        <v>12581</v>
      </c>
      <c r="J4183" t="s">
        <v>12582</v>
      </c>
      <c r="K4183" t="s">
        <v>12583</v>
      </c>
    </row>
    <row r="4184" spans="1:11">
      <c r="A4184" t="s">
        <v>12584</v>
      </c>
      <c r="J4184" t="s">
        <v>12585</v>
      </c>
      <c r="K4184" t="s">
        <v>12586</v>
      </c>
    </row>
    <row r="4185" spans="1:11">
      <c r="A4185" t="s">
        <v>12587</v>
      </c>
      <c r="J4185" t="s">
        <v>12588</v>
      </c>
      <c r="K4185" t="s">
        <v>12589</v>
      </c>
    </row>
    <row r="4186" spans="1:11">
      <c r="A4186" t="s">
        <v>12590</v>
      </c>
      <c r="J4186" t="s">
        <v>12591</v>
      </c>
      <c r="K4186" t="s">
        <v>12592</v>
      </c>
    </row>
    <row r="4187" spans="1:11">
      <c r="A4187" t="s">
        <v>12593</v>
      </c>
      <c r="J4187" t="s">
        <v>12594</v>
      </c>
      <c r="K4187" t="s">
        <v>12595</v>
      </c>
    </row>
    <row r="4188" spans="1:11">
      <c r="A4188" t="s">
        <v>12596</v>
      </c>
      <c r="J4188" t="s">
        <v>12597</v>
      </c>
      <c r="K4188" t="s">
        <v>12598</v>
      </c>
    </row>
    <row r="4189" spans="1:11">
      <c r="A4189" t="s">
        <v>12599</v>
      </c>
      <c r="J4189" t="s">
        <v>12600</v>
      </c>
      <c r="K4189" t="s">
        <v>12601</v>
      </c>
    </row>
    <row r="4190" spans="1:11">
      <c r="A4190" t="s">
        <v>12602</v>
      </c>
      <c r="J4190" t="s">
        <v>12603</v>
      </c>
      <c r="K4190" t="s">
        <v>12604</v>
      </c>
    </row>
    <row r="4191" spans="1:11">
      <c r="A4191" t="s">
        <v>12605</v>
      </c>
      <c r="J4191" t="s">
        <v>12606</v>
      </c>
      <c r="K4191" t="s">
        <v>12607</v>
      </c>
    </row>
    <row r="4192" spans="1:11">
      <c r="A4192" t="s">
        <v>12608</v>
      </c>
      <c r="J4192" t="s">
        <v>12609</v>
      </c>
      <c r="K4192" t="s">
        <v>12610</v>
      </c>
    </row>
    <row r="4193" spans="1:11">
      <c r="A4193" t="s">
        <v>12611</v>
      </c>
      <c r="J4193" t="s">
        <v>12612</v>
      </c>
      <c r="K4193" t="s">
        <v>12613</v>
      </c>
    </row>
    <row r="4194" spans="1:11">
      <c r="A4194" t="s">
        <v>12614</v>
      </c>
      <c r="J4194" t="s">
        <v>12615</v>
      </c>
      <c r="K4194" t="s">
        <v>12616</v>
      </c>
    </row>
    <row r="4195" spans="1:11">
      <c r="A4195" t="s">
        <v>12617</v>
      </c>
      <c r="J4195" t="s">
        <v>12618</v>
      </c>
      <c r="K4195" t="s">
        <v>12619</v>
      </c>
    </row>
    <row r="4196" spans="1:11">
      <c r="A4196" t="s">
        <v>12620</v>
      </c>
      <c r="J4196" t="s">
        <v>12621</v>
      </c>
      <c r="K4196" t="s">
        <v>12622</v>
      </c>
    </row>
    <row r="4197" spans="1:11">
      <c r="A4197" t="s">
        <v>12623</v>
      </c>
      <c r="J4197" t="s">
        <v>12624</v>
      </c>
      <c r="K4197" t="s">
        <v>12625</v>
      </c>
    </row>
    <row r="4198" spans="1:11">
      <c r="A4198" t="s">
        <v>12626</v>
      </c>
      <c r="J4198" t="s">
        <v>12627</v>
      </c>
      <c r="K4198" t="s">
        <v>12628</v>
      </c>
    </row>
    <row r="4199" spans="1:11">
      <c r="A4199" t="s">
        <v>12629</v>
      </c>
      <c r="J4199" t="s">
        <v>12630</v>
      </c>
      <c r="K4199" t="s">
        <v>12631</v>
      </c>
    </row>
    <row r="4200" spans="1:11">
      <c r="A4200" t="s">
        <v>12632</v>
      </c>
      <c r="J4200" t="s">
        <v>12633</v>
      </c>
      <c r="K4200" t="s">
        <v>12634</v>
      </c>
    </row>
    <row r="4201" spans="1:11">
      <c r="A4201" t="s">
        <v>12635</v>
      </c>
      <c r="J4201" t="s">
        <v>12636</v>
      </c>
      <c r="K4201" t="s">
        <v>12637</v>
      </c>
    </row>
    <row r="4202" spans="1:11">
      <c r="A4202" t="s">
        <v>12638</v>
      </c>
      <c r="J4202" t="s">
        <v>12639</v>
      </c>
      <c r="K4202" t="s">
        <v>12640</v>
      </c>
    </row>
    <row r="4203" spans="1:11">
      <c r="A4203" t="s">
        <v>12641</v>
      </c>
      <c r="J4203" t="s">
        <v>12642</v>
      </c>
      <c r="K4203" t="s">
        <v>12643</v>
      </c>
    </row>
    <row r="4204" spans="1:11">
      <c r="A4204" t="s">
        <v>12644</v>
      </c>
      <c r="J4204" t="s">
        <v>12645</v>
      </c>
      <c r="K4204" t="s">
        <v>12646</v>
      </c>
    </row>
    <row r="4205" spans="1:11">
      <c r="A4205" t="s">
        <v>12647</v>
      </c>
      <c r="J4205" t="s">
        <v>12648</v>
      </c>
      <c r="K4205" t="s">
        <v>12649</v>
      </c>
    </row>
    <row r="4206" spans="1:11">
      <c r="A4206" t="s">
        <v>12650</v>
      </c>
      <c r="J4206" t="s">
        <v>12651</v>
      </c>
      <c r="K4206" t="s">
        <v>12652</v>
      </c>
    </row>
    <row r="4207" spans="1:11">
      <c r="A4207" t="s">
        <v>12653</v>
      </c>
      <c r="J4207" t="s">
        <v>12654</v>
      </c>
      <c r="K4207" t="s">
        <v>12655</v>
      </c>
    </row>
    <row r="4208" spans="1:11">
      <c r="A4208" t="s">
        <v>12656</v>
      </c>
      <c r="J4208" t="s">
        <v>12657</v>
      </c>
      <c r="K4208" t="s">
        <v>12658</v>
      </c>
    </row>
    <row r="4209" spans="1:11">
      <c r="A4209" t="s">
        <v>12659</v>
      </c>
      <c r="J4209" t="s">
        <v>12660</v>
      </c>
      <c r="K4209" t="s">
        <v>12661</v>
      </c>
    </row>
    <row r="4210" spans="1:11">
      <c r="A4210" t="s">
        <v>12662</v>
      </c>
      <c r="J4210" t="s">
        <v>12663</v>
      </c>
      <c r="K4210" t="s">
        <v>12664</v>
      </c>
    </row>
    <row r="4211" spans="1:11">
      <c r="A4211" t="s">
        <v>12665</v>
      </c>
      <c r="J4211" t="s">
        <v>12666</v>
      </c>
      <c r="K4211" t="s">
        <v>12667</v>
      </c>
    </row>
    <row r="4212" spans="1:11">
      <c r="A4212" t="s">
        <v>12668</v>
      </c>
      <c r="J4212" t="s">
        <v>12669</v>
      </c>
      <c r="K4212" t="s">
        <v>12670</v>
      </c>
    </row>
    <row r="4213" spans="1:11">
      <c r="A4213" t="s">
        <v>12671</v>
      </c>
      <c r="J4213" t="s">
        <v>12672</v>
      </c>
      <c r="K4213" t="s">
        <v>12673</v>
      </c>
    </row>
    <row r="4214" spans="1:11">
      <c r="A4214" t="s">
        <v>12674</v>
      </c>
      <c r="J4214" t="s">
        <v>12675</v>
      </c>
      <c r="K4214" t="s">
        <v>12676</v>
      </c>
    </row>
    <row r="4215" spans="1:11">
      <c r="A4215" t="s">
        <v>12677</v>
      </c>
      <c r="J4215" t="s">
        <v>12678</v>
      </c>
      <c r="K4215" t="s">
        <v>12679</v>
      </c>
    </row>
    <row r="4216" spans="1:11">
      <c r="A4216" t="s">
        <v>12680</v>
      </c>
      <c r="J4216" t="s">
        <v>12681</v>
      </c>
      <c r="K4216" t="s">
        <v>12682</v>
      </c>
    </row>
    <row r="4217" spans="1:11">
      <c r="A4217" t="s">
        <v>12683</v>
      </c>
      <c r="J4217" t="s">
        <v>12684</v>
      </c>
      <c r="K4217" t="s">
        <v>12685</v>
      </c>
    </row>
    <row r="4218" spans="1:11">
      <c r="A4218" t="s">
        <v>12686</v>
      </c>
      <c r="J4218" t="s">
        <v>12687</v>
      </c>
      <c r="K4218" t="s">
        <v>12688</v>
      </c>
    </row>
    <row r="4219" spans="1:11">
      <c r="A4219" t="s">
        <v>12689</v>
      </c>
      <c r="J4219" t="s">
        <v>12690</v>
      </c>
      <c r="K4219" t="s">
        <v>12691</v>
      </c>
    </row>
    <row r="4220" spans="1:11">
      <c r="A4220" t="s">
        <v>12692</v>
      </c>
      <c r="J4220" t="s">
        <v>12693</v>
      </c>
      <c r="K4220" t="s">
        <v>12694</v>
      </c>
    </row>
    <row r="4221" spans="1:11">
      <c r="A4221" t="s">
        <v>12695</v>
      </c>
      <c r="J4221" t="s">
        <v>12696</v>
      </c>
      <c r="K4221" t="s">
        <v>12697</v>
      </c>
    </row>
    <row r="4222" spans="1:11">
      <c r="A4222" t="s">
        <v>12698</v>
      </c>
      <c r="J4222" t="s">
        <v>12699</v>
      </c>
      <c r="K4222" t="s">
        <v>12700</v>
      </c>
    </row>
    <row r="4223" spans="1:11">
      <c r="A4223" t="s">
        <v>12701</v>
      </c>
      <c r="J4223" t="s">
        <v>12702</v>
      </c>
      <c r="K4223" t="s">
        <v>12703</v>
      </c>
    </row>
    <row r="4224" spans="1:11">
      <c r="A4224" t="s">
        <v>12704</v>
      </c>
      <c r="J4224" t="s">
        <v>12705</v>
      </c>
      <c r="K4224" t="s">
        <v>12706</v>
      </c>
    </row>
    <row r="4225" spans="1:11">
      <c r="A4225" t="s">
        <v>12707</v>
      </c>
      <c r="J4225" t="s">
        <v>12708</v>
      </c>
      <c r="K4225" t="s">
        <v>12709</v>
      </c>
    </row>
    <row r="4226" spans="1:11">
      <c r="A4226" t="s">
        <v>12710</v>
      </c>
      <c r="J4226" t="s">
        <v>12711</v>
      </c>
      <c r="K4226" t="s">
        <v>12712</v>
      </c>
    </row>
    <row r="4227" spans="1:11">
      <c r="A4227" t="s">
        <v>12713</v>
      </c>
      <c r="J4227" t="s">
        <v>12714</v>
      </c>
      <c r="K4227" t="s">
        <v>12715</v>
      </c>
    </row>
    <row r="4228" spans="1:11">
      <c r="A4228" t="s">
        <v>12716</v>
      </c>
      <c r="J4228" t="s">
        <v>12717</v>
      </c>
      <c r="K4228" t="s">
        <v>12718</v>
      </c>
    </row>
    <row r="4229" spans="1:11">
      <c r="A4229" t="s">
        <v>12719</v>
      </c>
      <c r="J4229" t="s">
        <v>12720</v>
      </c>
      <c r="K4229" t="s">
        <v>12721</v>
      </c>
    </row>
    <row r="4230" spans="1:11">
      <c r="A4230" t="s">
        <v>12722</v>
      </c>
      <c r="J4230" t="s">
        <v>12723</v>
      </c>
      <c r="K4230" t="s">
        <v>12724</v>
      </c>
    </row>
    <row r="4231" spans="1:11">
      <c r="A4231" t="s">
        <v>12725</v>
      </c>
      <c r="J4231" t="s">
        <v>12726</v>
      </c>
      <c r="K4231" t="s">
        <v>12727</v>
      </c>
    </row>
    <row r="4232" spans="1:11">
      <c r="A4232" t="s">
        <v>12728</v>
      </c>
      <c r="J4232" t="s">
        <v>12729</v>
      </c>
      <c r="K4232" t="s">
        <v>12730</v>
      </c>
    </row>
    <row r="4233" spans="1:11">
      <c r="A4233" t="s">
        <v>12731</v>
      </c>
      <c r="J4233" t="s">
        <v>12732</v>
      </c>
      <c r="K4233" t="s">
        <v>12733</v>
      </c>
    </row>
    <row r="4234" spans="1:11">
      <c r="A4234" t="s">
        <v>12734</v>
      </c>
      <c r="J4234" t="s">
        <v>12735</v>
      </c>
      <c r="K4234" t="s">
        <v>12736</v>
      </c>
    </row>
    <row r="4235" spans="1:11">
      <c r="A4235" t="s">
        <v>12737</v>
      </c>
      <c r="J4235" t="s">
        <v>12738</v>
      </c>
      <c r="K4235" t="s">
        <v>12739</v>
      </c>
    </row>
    <row r="4236" spans="1:11">
      <c r="A4236" t="s">
        <v>12740</v>
      </c>
      <c r="J4236" t="s">
        <v>12741</v>
      </c>
      <c r="K4236" t="s">
        <v>12742</v>
      </c>
    </row>
    <row r="4237" spans="1:11">
      <c r="A4237" t="s">
        <v>12743</v>
      </c>
      <c r="J4237" t="s">
        <v>12744</v>
      </c>
      <c r="K4237" t="s">
        <v>12745</v>
      </c>
    </row>
    <row r="4238" spans="1:11">
      <c r="A4238" t="s">
        <v>12746</v>
      </c>
      <c r="J4238" t="s">
        <v>12747</v>
      </c>
      <c r="K4238" t="s">
        <v>12748</v>
      </c>
    </row>
    <row r="4239" spans="1:11">
      <c r="A4239" t="s">
        <v>12749</v>
      </c>
      <c r="J4239" t="s">
        <v>12750</v>
      </c>
      <c r="K4239" t="s">
        <v>12751</v>
      </c>
    </row>
    <row r="4240" spans="1:11">
      <c r="A4240" t="s">
        <v>12752</v>
      </c>
      <c r="J4240" t="s">
        <v>12753</v>
      </c>
      <c r="K4240" t="s">
        <v>12754</v>
      </c>
    </row>
    <row r="4241" spans="1:11">
      <c r="A4241" t="s">
        <v>12755</v>
      </c>
      <c r="J4241" t="s">
        <v>12756</v>
      </c>
      <c r="K4241" t="s">
        <v>12757</v>
      </c>
    </row>
    <row r="4242" spans="1:11">
      <c r="A4242" t="s">
        <v>12758</v>
      </c>
      <c r="J4242" t="s">
        <v>12759</v>
      </c>
      <c r="K4242" t="s">
        <v>12760</v>
      </c>
    </row>
    <row r="4243" spans="1:11">
      <c r="A4243" t="s">
        <v>12761</v>
      </c>
      <c r="J4243" t="s">
        <v>12762</v>
      </c>
      <c r="K4243" t="s">
        <v>12763</v>
      </c>
    </row>
    <row r="4244" spans="1:11">
      <c r="A4244" t="s">
        <v>12764</v>
      </c>
      <c r="J4244" t="s">
        <v>12765</v>
      </c>
      <c r="K4244" t="s">
        <v>12766</v>
      </c>
    </row>
    <row r="4245" spans="1:11">
      <c r="A4245" t="s">
        <v>12767</v>
      </c>
      <c r="J4245" t="s">
        <v>12768</v>
      </c>
      <c r="K4245" t="s">
        <v>12769</v>
      </c>
    </row>
    <row r="4246" spans="1:11">
      <c r="A4246" t="s">
        <v>12770</v>
      </c>
      <c r="J4246" t="s">
        <v>12771</v>
      </c>
      <c r="K4246" t="s">
        <v>12772</v>
      </c>
    </row>
    <row r="4247" spans="1:11">
      <c r="A4247" t="s">
        <v>12773</v>
      </c>
      <c r="J4247" t="s">
        <v>12774</v>
      </c>
      <c r="K4247" t="s">
        <v>12775</v>
      </c>
    </row>
    <row r="4248" spans="1:11">
      <c r="A4248" t="s">
        <v>12776</v>
      </c>
      <c r="J4248" t="s">
        <v>12777</v>
      </c>
      <c r="K4248" t="s">
        <v>12778</v>
      </c>
    </row>
    <row r="4249" spans="1:11">
      <c r="A4249" t="s">
        <v>12779</v>
      </c>
      <c r="J4249" t="s">
        <v>12780</v>
      </c>
      <c r="K4249" t="s">
        <v>12781</v>
      </c>
    </row>
    <row r="4250" spans="1:11">
      <c r="A4250" t="s">
        <v>12782</v>
      </c>
      <c r="J4250" t="s">
        <v>12783</v>
      </c>
      <c r="K4250" t="s">
        <v>12784</v>
      </c>
    </row>
    <row r="4251" spans="1:11">
      <c r="A4251" t="s">
        <v>12785</v>
      </c>
      <c r="J4251" t="s">
        <v>12786</v>
      </c>
      <c r="K4251" t="s">
        <v>12787</v>
      </c>
    </row>
    <row r="4252" spans="1:11">
      <c r="A4252" t="s">
        <v>12788</v>
      </c>
      <c r="J4252" t="s">
        <v>12789</v>
      </c>
      <c r="K4252" t="s">
        <v>12790</v>
      </c>
    </row>
    <row r="4253" spans="1:11">
      <c r="A4253" t="s">
        <v>12791</v>
      </c>
      <c r="J4253" t="s">
        <v>12792</v>
      </c>
      <c r="K4253" t="s">
        <v>12793</v>
      </c>
    </row>
    <row r="4254" spans="1:11">
      <c r="A4254" t="s">
        <v>12794</v>
      </c>
      <c r="J4254" t="s">
        <v>12795</v>
      </c>
      <c r="K4254" t="s">
        <v>12796</v>
      </c>
    </row>
    <row r="4255" spans="1:11">
      <c r="A4255" t="s">
        <v>12797</v>
      </c>
      <c r="J4255" t="s">
        <v>12798</v>
      </c>
      <c r="K4255" t="s">
        <v>12799</v>
      </c>
    </row>
    <row r="4256" spans="1:11">
      <c r="A4256" t="s">
        <v>12800</v>
      </c>
      <c r="J4256" t="s">
        <v>12801</v>
      </c>
      <c r="K4256" t="s">
        <v>12802</v>
      </c>
    </row>
    <row r="4257" spans="1:11">
      <c r="A4257" t="s">
        <v>12803</v>
      </c>
      <c r="J4257" t="s">
        <v>12804</v>
      </c>
      <c r="K4257" t="s">
        <v>12805</v>
      </c>
    </row>
    <row r="4258" spans="1:11">
      <c r="A4258" t="s">
        <v>12806</v>
      </c>
      <c r="J4258" t="s">
        <v>12807</v>
      </c>
      <c r="K4258" t="s">
        <v>12808</v>
      </c>
    </row>
    <row r="4259" spans="1:11">
      <c r="A4259" t="s">
        <v>12809</v>
      </c>
      <c r="J4259" t="s">
        <v>12810</v>
      </c>
      <c r="K4259" t="s">
        <v>12811</v>
      </c>
    </row>
    <row r="4260" spans="1:11">
      <c r="A4260" t="s">
        <v>12812</v>
      </c>
      <c r="J4260" t="s">
        <v>12813</v>
      </c>
      <c r="K4260" t="s">
        <v>12814</v>
      </c>
    </row>
    <row r="4261" spans="1:11">
      <c r="A4261" t="s">
        <v>12815</v>
      </c>
      <c r="J4261" t="s">
        <v>12816</v>
      </c>
      <c r="K4261" t="s">
        <v>12817</v>
      </c>
    </row>
    <row r="4262" spans="1:11">
      <c r="A4262" t="s">
        <v>12818</v>
      </c>
      <c r="J4262" t="s">
        <v>12819</v>
      </c>
      <c r="K4262" t="s">
        <v>12820</v>
      </c>
    </row>
    <row r="4263" spans="1:11">
      <c r="A4263" t="s">
        <v>12821</v>
      </c>
      <c r="J4263" t="s">
        <v>12822</v>
      </c>
      <c r="K4263" t="s">
        <v>12823</v>
      </c>
    </row>
    <row r="4264" spans="1:11">
      <c r="A4264" t="s">
        <v>12824</v>
      </c>
      <c r="J4264" t="s">
        <v>12825</v>
      </c>
      <c r="K4264" t="s">
        <v>12826</v>
      </c>
    </row>
    <row r="4265" spans="1:11">
      <c r="A4265" t="s">
        <v>12827</v>
      </c>
      <c r="J4265" t="s">
        <v>12828</v>
      </c>
      <c r="K4265" t="s">
        <v>12829</v>
      </c>
    </row>
    <row r="4266" spans="1:11">
      <c r="A4266" t="s">
        <v>12830</v>
      </c>
      <c r="J4266" t="s">
        <v>12831</v>
      </c>
      <c r="K4266" t="s">
        <v>12832</v>
      </c>
    </row>
    <row r="4267" spans="1:11">
      <c r="A4267" t="s">
        <v>12833</v>
      </c>
      <c r="J4267" t="s">
        <v>12834</v>
      </c>
      <c r="K4267" t="s">
        <v>12835</v>
      </c>
    </row>
    <row r="4268" spans="1:11">
      <c r="A4268" t="s">
        <v>12836</v>
      </c>
      <c r="J4268" t="s">
        <v>12837</v>
      </c>
      <c r="K4268" t="s">
        <v>12838</v>
      </c>
    </row>
    <row r="4269" spans="1:11">
      <c r="A4269" t="s">
        <v>12839</v>
      </c>
      <c r="J4269" t="s">
        <v>12840</v>
      </c>
      <c r="K4269" t="s">
        <v>12841</v>
      </c>
    </row>
    <row r="4270" spans="1:11">
      <c r="A4270" t="s">
        <v>12842</v>
      </c>
      <c r="J4270" t="s">
        <v>12843</v>
      </c>
      <c r="K4270" t="s">
        <v>12844</v>
      </c>
    </row>
    <row r="4271" spans="1:11">
      <c r="A4271" t="s">
        <v>12845</v>
      </c>
      <c r="J4271" t="s">
        <v>12846</v>
      </c>
      <c r="K4271" t="s">
        <v>12847</v>
      </c>
    </row>
    <row r="4272" spans="1:11">
      <c r="A4272" t="s">
        <v>12848</v>
      </c>
      <c r="J4272" t="s">
        <v>12849</v>
      </c>
      <c r="K4272" t="s">
        <v>12850</v>
      </c>
    </row>
    <row r="4273" spans="1:11">
      <c r="A4273" t="s">
        <v>12851</v>
      </c>
      <c r="J4273" t="s">
        <v>12852</v>
      </c>
      <c r="K4273" t="s">
        <v>12853</v>
      </c>
    </row>
    <row r="4274" spans="1:11">
      <c r="A4274" t="s">
        <v>12854</v>
      </c>
      <c r="J4274" t="s">
        <v>12855</v>
      </c>
      <c r="K4274" t="s">
        <v>12856</v>
      </c>
    </row>
    <row r="4275" spans="1:11">
      <c r="A4275" t="s">
        <v>12857</v>
      </c>
      <c r="J4275" t="s">
        <v>12858</v>
      </c>
      <c r="K4275" t="s">
        <v>12859</v>
      </c>
    </row>
    <row r="4276" spans="1:11">
      <c r="A4276" t="s">
        <v>12860</v>
      </c>
      <c r="J4276" t="s">
        <v>12861</v>
      </c>
      <c r="K4276" t="s">
        <v>12862</v>
      </c>
    </row>
    <row r="4277" spans="1:11">
      <c r="A4277" t="s">
        <v>12863</v>
      </c>
      <c r="J4277" t="s">
        <v>12864</v>
      </c>
      <c r="K4277" t="s">
        <v>12865</v>
      </c>
    </row>
    <row r="4278" spans="1:11">
      <c r="A4278" t="s">
        <v>12866</v>
      </c>
      <c r="J4278" t="s">
        <v>12867</v>
      </c>
      <c r="K4278" t="s">
        <v>12868</v>
      </c>
    </row>
    <row r="4279" spans="1:11">
      <c r="A4279" t="s">
        <v>12869</v>
      </c>
      <c r="J4279" t="s">
        <v>12870</v>
      </c>
      <c r="K4279" t="s">
        <v>12871</v>
      </c>
    </row>
    <row r="4280" spans="1:11">
      <c r="A4280" t="s">
        <v>12872</v>
      </c>
      <c r="J4280" t="s">
        <v>12873</v>
      </c>
      <c r="K4280" t="s">
        <v>12874</v>
      </c>
    </row>
    <row r="4281" spans="1:11">
      <c r="A4281" t="s">
        <v>12875</v>
      </c>
      <c r="J4281" t="s">
        <v>12876</v>
      </c>
      <c r="K4281" t="s">
        <v>12877</v>
      </c>
    </row>
    <row r="4282" spans="1:11">
      <c r="A4282" t="s">
        <v>12878</v>
      </c>
      <c r="J4282" t="s">
        <v>12879</v>
      </c>
      <c r="K4282" t="s">
        <v>12880</v>
      </c>
    </row>
    <row r="4283" spans="1:11">
      <c r="A4283" t="s">
        <v>12881</v>
      </c>
      <c r="J4283" t="s">
        <v>12882</v>
      </c>
      <c r="K4283" t="s">
        <v>12883</v>
      </c>
    </row>
    <row r="4284" spans="1:11">
      <c r="A4284" t="s">
        <v>12884</v>
      </c>
      <c r="J4284" t="s">
        <v>12885</v>
      </c>
      <c r="K4284" t="s">
        <v>12886</v>
      </c>
    </row>
    <row r="4285" spans="1:11">
      <c r="A4285" t="s">
        <v>12887</v>
      </c>
      <c r="J4285" t="s">
        <v>12888</v>
      </c>
      <c r="K4285" t="s">
        <v>12889</v>
      </c>
    </row>
    <row r="4286" spans="1:11">
      <c r="A4286" t="s">
        <v>12890</v>
      </c>
      <c r="J4286" t="s">
        <v>12891</v>
      </c>
      <c r="K4286" t="s">
        <v>12892</v>
      </c>
    </row>
    <row r="4287" spans="1:11">
      <c r="A4287" t="s">
        <v>12893</v>
      </c>
      <c r="J4287" t="s">
        <v>12894</v>
      </c>
      <c r="K4287" t="s">
        <v>12895</v>
      </c>
    </row>
    <row r="4288" spans="1:11">
      <c r="A4288" t="s">
        <v>12896</v>
      </c>
      <c r="J4288" t="s">
        <v>12897</v>
      </c>
      <c r="K4288" t="s">
        <v>12898</v>
      </c>
    </row>
    <row r="4289" spans="1:11">
      <c r="A4289" t="s">
        <v>12899</v>
      </c>
      <c r="J4289" t="s">
        <v>12900</v>
      </c>
      <c r="K4289" t="s">
        <v>12901</v>
      </c>
    </row>
    <row r="4290" spans="1:11">
      <c r="A4290" t="s">
        <v>12902</v>
      </c>
      <c r="J4290" t="s">
        <v>12903</v>
      </c>
      <c r="K4290" t="s">
        <v>12904</v>
      </c>
    </row>
    <row r="4291" spans="1:11">
      <c r="A4291" t="s">
        <v>12905</v>
      </c>
      <c r="J4291" t="s">
        <v>12906</v>
      </c>
      <c r="K4291" t="s">
        <v>12907</v>
      </c>
    </row>
    <row r="4292" spans="1:11">
      <c r="A4292" t="s">
        <v>12908</v>
      </c>
      <c r="J4292" t="s">
        <v>12909</v>
      </c>
      <c r="K4292" t="s">
        <v>12910</v>
      </c>
    </row>
    <row r="4293" spans="1:11">
      <c r="A4293" t="s">
        <v>12911</v>
      </c>
      <c r="J4293" t="s">
        <v>12912</v>
      </c>
      <c r="K4293" t="s">
        <v>12913</v>
      </c>
    </row>
    <row r="4294" spans="1:11">
      <c r="A4294" t="s">
        <v>12914</v>
      </c>
      <c r="J4294" t="s">
        <v>12915</v>
      </c>
      <c r="K4294" t="s">
        <v>12916</v>
      </c>
    </row>
    <row r="4295" spans="1:11">
      <c r="A4295" t="s">
        <v>12917</v>
      </c>
      <c r="J4295" t="s">
        <v>12918</v>
      </c>
      <c r="K4295" t="s">
        <v>12919</v>
      </c>
    </row>
    <row r="4296" spans="1:11">
      <c r="A4296" t="s">
        <v>12920</v>
      </c>
      <c r="J4296" t="s">
        <v>12921</v>
      </c>
      <c r="K4296" t="s">
        <v>12922</v>
      </c>
    </row>
    <row r="4297" spans="1:11">
      <c r="A4297" t="s">
        <v>12923</v>
      </c>
      <c r="J4297" t="s">
        <v>12924</v>
      </c>
      <c r="K4297" t="s">
        <v>12925</v>
      </c>
    </row>
    <row r="4298" spans="1:11">
      <c r="A4298" t="s">
        <v>12926</v>
      </c>
      <c r="J4298" t="s">
        <v>12927</v>
      </c>
      <c r="K4298" t="s">
        <v>12928</v>
      </c>
    </row>
    <row r="4299" spans="1:11">
      <c r="A4299" t="s">
        <v>12929</v>
      </c>
      <c r="J4299" t="s">
        <v>12930</v>
      </c>
      <c r="K4299" t="s">
        <v>12931</v>
      </c>
    </row>
    <row r="4300" spans="1:11">
      <c r="A4300" t="s">
        <v>12932</v>
      </c>
      <c r="J4300" t="s">
        <v>12933</v>
      </c>
      <c r="K4300" t="s">
        <v>12934</v>
      </c>
    </row>
    <row r="4301" spans="1:11">
      <c r="A4301" t="s">
        <v>12935</v>
      </c>
      <c r="J4301" t="s">
        <v>12936</v>
      </c>
      <c r="K4301" t="s">
        <v>12937</v>
      </c>
    </row>
    <row r="4302" spans="1:11">
      <c r="A4302" t="s">
        <v>12938</v>
      </c>
      <c r="J4302" t="s">
        <v>12939</v>
      </c>
      <c r="K4302" t="s">
        <v>12940</v>
      </c>
    </row>
    <row r="4303" spans="1:11">
      <c r="A4303" t="s">
        <v>12941</v>
      </c>
      <c r="J4303" t="s">
        <v>12942</v>
      </c>
      <c r="K4303" t="s">
        <v>12943</v>
      </c>
    </row>
    <row r="4304" spans="1:11">
      <c r="A4304" t="s">
        <v>12944</v>
      </c>
      <c r="J4304" t="s">
        <v>12945</v>
      </c>
      <c r="K4304" t="s">
        <v>12946</v>
      </c>
    </row>
    <row r="4305" spans="1:11">
      <c r="A4305" t="s">
        <v>12947</v>
      </c>
      <c r="J4305" t="s">
        <v>12948</v>
      </c>
      <c r="K4305" t="s">
        <v>12949</v>
      </c>
    </row>
    <row r="4306" spans="1:11">
      <c r="A4306" t="s">
        <v>12950</v>
      </c>
      <c r="J4306" t="s">
        <v>12951</v>
      </c>
      <c r="K4306" t="s">
        <v>12952</v>
      </c>
    </row>
    <row r="4307" spans="1:11">
      <c r="A4307" t="s">
        <v>12953</v>
      </c>
      <c r="J4307" t="s">
        <v>12954</v>
      </c>
      <c r="K4307" t="s">
        <v>12955</v>
      </c>
    </row>
    <row r="4308" spans="1:11">
      <c r="A4308" t="s">
        <v>12956</v>
      </c>
      <c r="J4308" t="s">
        <v>12957</v>
      </c>
      <c r="K4308" t="s">
        <v>12958</v>
      </c>
    </row>
    <row r="4309" spans="1:11">
      <c r="A4309" t="s">
        <v>12959</v>
      </c>
      <c r="J4309" t="s">
        <v>12960</v>
      </c>
      <c r="K4309" t="s">
        <v>12961</v>
      </c>
    </row>
    <row r="4310" spans="1:11">
      <c r="A4310" t="s">
        <v>12962</v>
      </c>
      <c r="J4310" t="s">
        <v>12963</v>
      </c>
      <c r="K4310" t="s">
        <v>12964</v>
      </c>
    </row>
    <row r="4311" spans="1:11">
      <c r="A4311" t="s">
        <v>12965</v>
      </c>
      <c r="J4311" t="s">
        <v>12966</v>
      </c>
      <c r="K4311" t="s">
        <v>12967</v>
      </c>
    </row>
    <row r="4312" spans="1:11">
      <c r="A4312" t="s">
        <v>12968</v>
      </c>
      <c r="J4312" t="s">
        <v>12969</v>
      </c>
      <c r="K4312" t="s">
        <v>12970</v>
      </c>
    </row>
    <row r="4313" spans="1:11">
      <c r="A4313" t="s">
        <v>12971</v>
      </c>
      <c r="J4313" t="s">
        <v>12972</v>
      </c>
      <c r="K4313" t="s">
        <v>12973</v>
      </c>
    </row>
    <row r="4314" spans="1:11">
      <c r="A4314" t="s">
        <v>12974</v>
      </c>
      <c r="J4314" t="s">
        <v>12975</v>
      </c>
      <c r="K4314" t="s">
        <v>12976</v>
      </c>
    </row>
    <row r="4315" spans="1:11">
      <c r="A4315" t="s">
        <v>12977</v>
      </c>
      <c r="J4315" t="s">
        <v>12978</v>
      </c>
      <c r="K4315" t="s">
        <v>12979</v>
      </c>
    </row>
    <row r="4316" spans="1:11">
      <c r="A4316" t="s">
        <v>12980</v>
      </c>
      <c r="J4316" t="s">
        <v>12981</v>
      </c>
      <c r="K4316" t="s">
        <v>12982</v>
      </c>
    </row>
    <row r="4317" spans="1:11">
      <c r="A4317" t="s">
        <v>12983</v>
      </c>
      <c r="J4317" t="s">
        <v>12984</v>
      </c>
      <c r="K4317" t="s">
        <v>12985</v>
      </c>
    </row>
    <row r="4318" spans="1:11">
      <c r="A4318" t="s">
        <v>12986</v>
      </c>
      <c r="J4318" t="s">
        <v>12987</v>
      </c>
      <c r="K4318" t="s">
        <v>12988</v>
      </c>
    </row>
    <row r="4319" spans="1:11">
      <c r="A4319" t="s">
        <v>12989</v>
      </c>
      <c r="J4319" t="s">
        <v>12990</v>
      </c>
      <c r="K4319" t="s">
        <v>12991</v>
      </c>
    </row>
    <row r="4320" spans="1:11">
      <c r="A4320" t="s">
        <v>12992</v>
      </c>
      <c r="J4320" t="s">
        <v>12993</v>
      </c>
      <c r="K4320" t="s">
        <v>12994</v>
      </c>
    </row>
    <row r="4321" spans="1:11">
      <c r="A4321" t="s">
        <v>12995</v>
      </c>
      <c r="J4321" t="s">
        <v>12996</v>
      </c>
      <c r="K4321" t="s">
        <v>12997</v>
      </c>
    </row>
    <row r="4322" spans="1:11">
      <c r="A4322" t="s">
        <v>12998</v>
      </c>
      <c r="J4322" t="s">
        <v>12999</v>
      </c>
      <c r="K4322" t="s">
        <v>13000</v>
      </c>
    </row>
    <row r="4323" spans="1:11">
      <c r="A4323" t="s">
        <v>13001</v>
      </c>
      <c r="J4323" t="s">
        <v>13002</v>
      </c>
      <c r="K4323" t="s">
        <v>13003</v>
      </c>
    </row>
    <row r="4324" spans="1:11">
      <c r="A4324" t="s">
        <v>13004</v>
      </c>
      <c r="J4324" t="s">
        <v>13005</v>
      </c>
      <c r="K4324" t="s">
        <v>13006</v>
      </c>
    </row>
    <row r="4325" spans="1:11">
      <c r="A4325" t="s">
        <v>13007</v>
      </c>
      <c r="J4325" t="s">
        <v>13008</v>
      </c>
      <c r="K4325" t="s">
        <v>13009</v>
      </c>
    </row>
    <row r="4326" spans="1:11">
      <c r="A4326" t="s">
        <v>13010</v>
      </c>
      <c r="J4326" t="s">
        <v>13011</v>
      </c>
      <c r="K4326" t="s">
        <v>13012</v>
      </c>
    </row>
    <row r="4327" spans="1:11">
      <c r="A4327" t="s">
        <v>13013</v>
      </c>
      <c r="J4327" t="s">
        <v>13014</v>
      </c>
      <c r="K4327" t="s">
        <v>13015</v>
      </c>
    </row>
    <row r="4328" spans="1:11">
      <c r="A4328" t="s">
        <v>13016</v>
      </c>
      <c r="J4328" t="s">
        <v>13017</v>
      </c>
      <c r="K4328" t="s">
        <v>13018</v>
      </c>
    </row>
    <row r="4329" spans="1:11">
      <c r="A4329" t="s">
        <v>13019</v>
      </c>
      <c r="J4329" t="s">
        <v>13020</v>
      </c>
      <c r="K4329" t="s">
        <v>13021</v>
      </c>
    </row>
    <row r="4330" spans="1:11">
      <c r="A4330" t="s">
        <v>13022</v>
      </c>
      <c r="J4330" t="s">
        <v>13023</v>
      </c>
      <c r="K4330" t="s">
        <v>13024</v>
      </c>
    </row>
    <row r="4331" spans="1:11">
      <c r="A4331" t="s">
        <v>13025</v>
      </c>
      <c r="J4331" t="s">
        <v>13026</v>
      </c>
      <c r="K4331" t="s">
        <v>13027</v>
      </c>
    </row>
    <row r="4332" spans="1:11">
      <c r="A4332" t="s">
        <v>13028</v>
      </c>
      <c r="J4332" t="s">
        <v>13029</v>
      </c>
      <c r="K4332" t="s">
        <v>13030</v>
      </c>
    </row>
    <row r="4333" spans="1:11">
      <c r="A4333" t="s">
        <v>13031</v>
      </c>
      <c r="J4333" t="s">
        <v>13032</v>
      </c>
      <c r="K4333" t="s">
        <v>13033</v>
      </c>
    </row>
    <row r="4334" spans="1:11">
      <c r="A4334" t="s">
        <v>13034</v>
      </c>
      <c r="J4334" t="s">
        <v>13035</v>
      </c>
      <c r="K4334" t="s">
        <v>13036</v>
      </c>
    </row>
    <row r="4335" spans="1:11">
      <c r="A4335" t="s">
        <v>13037</v>
      </c>
      <c r="J4335" t="s">
        <v>13038</v>
      </c>
      <c r="K4335" t="s">
        <v>13039</v>
      </c>
    </row>
    <row r="4336" spans="1:11">
      <c r="A4336" t="s">
        <v>13040</v>
      </c>
      <c r="J4336" t="s">
        <v>13041</v>
      </c>
      <c r="K4336" t="s">
        <v>13042</v>
      </c>
    </row>
    <row r="4337" spans="1:11">
      <c r="A4337" t="s">
        <v>13043</v>
      </c>
      <c r="J4337" t="s">
        <v>13044</v>
      </c>
      <c r="K4337" t="s">
        <v>13045</v>
      </c>
    </row>
    <row r="4338" spans="1:11">
      <c r="A4338" t="s">
        <v>13046</v>
      </c>
      <c r="J4338" t="s">
        <v>13047</v>
      </c>
      <c r="K4338" t="s">
        <v>13048</v>
      </c>
    </row>
    <row r="4339" spans="1:11">
      <c r="A4339" t="s">
        <v>13049</v>
      </c>
      <c r="J4339" t="s">
        <v>13050</v>
      </c>
      <c r="K4339" t="s">
        <v>13051</v>
      </c>
    </row>
    <row r="4340" spans="1:11">
      <c r="A4340" t="s">
        <v>13052</v>
      </c>
      <c r="J4340" t="s">
        <v>13053</v>
      </c>
      <c r="K4340" t="s">
        <v>13054</v>
      </c>
    </row>
    <row r="4341" spans="1:11">
      <c r="A4341" t="s">
        <v>13055</v>
      </c>
      <c r="J4341" t="s">
        <v>13056</v>
      </c>
      <c r="K4341" t="s">
        <v>13057</v>
      </c>
    </row>
    <row r="4342" spans="1:11">
      <c r="A4342" t="s">
        <v>13058</v>
      </c>
      <c r="J4342" t="s">
        <v>13059</v>
      </c>
      <c r="K4342" t="s">
        <v>13060</v>
      </c>
    </row>
    <row r="4343" spans="1:11">
      <c r="A4343" t="s">
        <v>13061</v>
      </c>
      <c r="J4343" t="s">
        <v>13062</v>
      </c>
      <c r="K4343" t="s">
        <v>13063</v>
      </c>
    </row>
    <row r="4344" spans="1:11">
      <c r="A4344" t="s">
        <v>13064</v>
      </c>
      <c r="J4344" t="s">
        <v>13065</v>
      </c>
      <c r="K4344" t="s">
        <v>13066</v>
      </c>
    </row>
    <row r="4345" spans="1:11">
      <c r="A4345" t="s">
        <v>13067</v>
      </c>
      <c r="J4345" t="s">
        <v>13068</v>
      </c>
      <c r="K4345" t="s">
        <v>13069</v>
      </c>
    </row>
    <row r="4346" spans="1:11">
      <c r="A4346" t="s">
        <v>13070</v>
      </c>
      <c r="J4346" t="s">
        <v>13071</v>
      </c>
      <c r="K4346" t="s">
        <v>13072</v>
      </c>
    </row>
    <row r="4347" spans="1:11">
      <c r="A4347" t="s">
        <v>13073</v>
      </c>
      <c r="J4347" t="s">
        <v>13074</v>
      </c>
      <c r="K4347" t="s">
        <v>13075</v>
      </c>
    </row>
    <row r="4348" spans="1:11">
      <c r="A4348" t="s">
        <v>13076</v>
      </c>
      <c r="J4348" t="s">
        <v>13077</v>
      </c>
      <c r="K4348" t="s">
        <v>13078</v>
      </c>
    </row>
    <row r="4349" spans="1:11">
      <c r="A4349" t="s">
        <v>13079</v>
      </c>
      <c r="J4349" t="s">
        <v>13080</v>
      </c>
      <c r="K4349" t="s">
        <v>13081</v>
      </c>
    </row>
    <row r="4350" spans="1:11">
      <c r="A4350" t="s">
        <v>13082</v>
      </c>
      <c r="J4350" t="s">
        <v>13083</v>
      </c>
      <c r="K4350" t="s">
        <v>13084</v>
      </c>
    </row>
    <row r="4351" spans="1:11">
      <c r="A4351" t="s">
        <v>13085</v>
      </c>
      <c r="J4351" t="s">
        <v>13086</v>
      </c>
      <c r="K4351" t="s">
        <v>13087</v>
      </c>
    </row>
    <row r="4352" spans="1:11">
      <c r="A4352" t="s">
        <v>13088</v>
      </c>
      <c r="J4352" t="s">
        <v>13089</v>
      </c>
      <c r="K4352" t="s">
        <v>13090</v>
      </c>
    </row>
    <row r="4353" spans="1:11">
      <c r="A4353" t="s">
        <v>13091</v>
      </c>
      <c r="J4353" t="s">
        <v>13092</v>
      </c>
      <c r="K4353" t="s">
        <v>13093</v>
      </c>
    </row>
    <row r="4354" spans="1:11">
      <c r="A4354" t="s">
        <v>13094</v>
      </c>
      <c r="J4354" t="s">
        <v>13095</v>
      </c>
      <c r="K4354" t="s">
        <v>13096</v>
      </c>
    </row>
    <row r="4355" spans="1:11">
      <c r="A4355" t="s">
        <v>13097</v>
      </c>
      <c r="J4355" t="s">
        <v>13098</v>
      </c>
      <c r="K4355" t="s">
        <v>13099</v>
      </c>
    </row>
    <row r="4356" spans="1:11">
      <c r="A4356" t="s">
        <v>13100</v>
      </c>
      <c r="J4356" t="s">
        <v>13101</v>
      </c>
      <c r="K4356" t="s">
        <v>13102</v>
      </c>
    </row>
    <row r="4357" spans="1:11">
      <c r="A4357" t="s">
        <v>13103</v>
      </c>
      <c r="J4357" t="s">
        <v>13104</v>
      </c>
      <c r="K4357" t="s">
        <v>13105</v>
      </c>
    </row>
    <row r="4358" spans="1:11">
      <c r="A4358" t="s">
        <v>13106</v>
      </c>
      <c r="J4358" t="s">
        <v>13107</v>
      </c>
      <c r="K4358" t="s">
        <v>13108</v>
      </c>
    </row>
    <row r="4359" spans="1:11">
      <c r="A4359" t="s">
        <v>13109</v>
      </c>
      <c r="J4359" t="s">
        <v>13110</v>
      </c>
      <c r="K4359" t="s">
        <v>13111</v>
      </c>
    </row>
    <row r="4360" spans="1:11">
      <c r="A4360" t="s">
        <v>13112</v>
      </c>
      <c r="J4360" t="s">
        <v>13113</v>
      </c>
      <c r="K4360" t="s">
        <v>13114</v>
      </c>
    </row>
    <row r="4361" spans="1:11">
      <c r="A4361" t="s">
        <v>13115</v>
      </c>
      <c r="J4361" t="s">
        <v>13116</v>
      </c>
      <c r="K4361" t="s">
        <v>13117</v>
      </c>
    </row>
    <row r="4362" spans="1:11">
      <c r="A4362" t="s">
        <v>13118</v>
      </c>
      <c r="J4362" t="s">
        <v>13119</v>
      </c>
      <c r="K4362" t="s">
        <v>13120</v>
      </c>
    </row>
    <row r="4363" spans="1:11">
      <c r="A4363" t="s">
        <v>13121</v>
      </c>
      <c r="J4363" t="s">
        <v>13122</v>
      </c>
      <c r="K4363" t="s">
        <v>13123</v>
      </c>
    </row>
    <row r="4364" spans="1:11">
      <c r="A4364" t="s">
        <v>13124</v>
      </c>
      <c r="J4364" t="s">
        <v>13125</v>
      </c>
      <c r="K4364" t="s">
        <v>13126</v>
      </c>
    </row>
    <row r="4365" spans="1:11">
      <c r="A4365" t="s">
        <v>13127</v>
      </c>
      <c r="J4365" t="s">
        <v>13128</v>
      </c>
      <c r="K4365" t="s">
        <v>13129</v>
      </c>
    </row>
    <row r="4366" spans="1:11">
      <c r="A4366" t="s">
        <v>13130</v>
      </c>
      <c r="J4366" t="s">
        <v>13131</v>
      </c>
      <c r="K4366" t="s">
        <v>13132</v>
      </c>
    </row>
    <row r="4367" spans="1:11">
      <c r="A4367" t="s">
        <v>13133</v>
      </c>
      <c r="J4367" t="s">
        <v>13134</v>
      </c>
      <c r="K4367" t="s">
        <v>13135</v>
      </c>
    </row>
    <row r="4368" spans="1:11">
      <c r="A4368" t="s">
        <v>13136</v>
      </c>
      <c r="J4368" t="s">
        <v>13137</v>
      </c>
      <c r="K4368" t="s">
        <v>13138</v>
      </c>
    </row>
    <row r="4369" spans="1:11">
      <c r="A4369" t="s">
        <v>13139</v>
      </c>
      <c r="J4369" t="s">
        <v>13140</v>
      </c>
      <c r="K4369" t="s">
        <v>13141</v>
      </c>
    </row>
    <row r="4370" spans="1:11">
      <c r="A4370" t="s">
        <v>13142</v>
      </c>
      <c r="J4370" t="s">
        <v>13143</v>
      </c>
      <c r="K4370" t="s">
        <v>13144</v>
      </c>
    </row>
    <row r="4371" spans="1:11">
      <c r="A4371" t="s">
        <v>13145</v>
      </c>
      <c r="J4371" t="s">
        <v>13146</v>
      </c>
      <c r="K4371" t="s">
        <v>13147</v>
      </c>
    </row>
    <row r="4372" spans="1:11">
      <c r="A4372" t="s">
        <v>13148</v>
      </c>
      <c r="J4372" t="s">
        <v>13149</v>
      </c>
      <c r="K4372" t="s">
        <v>13150</v>
      </c>
    </row>
    <row r="4373" spans="1:11">
      <c r="A4373" t="s">
        <v>13151</v>
      </c>
      <c r="J4373" t="s">
        <v>13152</v>
      </c>
      <c r="K4373" t="s">
        <v>13153</v>
      </c>
    </row>
    <row r="4374" spans="1:11">
      <c r="A4374" t="s">
        <v>13154</v>
      </c>
      <c r="J4374" t="s">
        <v>13155</v>
      </c>
      <c r="K4374" t="s">
        <v>13156</v>
      </c>
    </row>
    <row r="4375" spans="1:11">
      <c r="A4375" t="s">
        <v>13157</v>
      </c>
      <c r="J4375" t="s">
        <v>13158</v>
      </c>
      <c r="K4375" t="s">
        <v>13159</v>
      </c>
    </row>
    <row r="4376" spans="1:11">
      <c r="A4376" t="s">
        <v>13160</v>
      </c>
      <c r="J4376" t="s">
        <v>13161</v>
      </c>
      <c r="K4376" t="s">
        <v>13162</v>
      </c>
    </row>
    <row r="4377" spans="1:11">
      <c r="A4377" t="s">
        <v>13163</v>
      </c>
      <c r="J4377" t="s">
        <v>13164</v>
      </c>
      <c r="K4377" t="s">
        <v>13165</v>
      </c>
    </row>
    <row r="4378" spans="1:11">
      <c r="A4378" t="s">
        <v>13166</v>
      </c>
      <c r="J4378" t="s">
        <v>13167</v>
      </c>
      <c r="K4378" t="s">
        <v>13168</v>
      </c>
    </row>
    <row r="4379" spans="1:11">
      <c r="A4379" t="s">
        <v>13169</v>
      </c>
      <c r="J4379" t="s">
        <v>13170</v>
      </c>
      <c r="K4379" t="s">
        <v>13171</v>
      </c>
    </row>
    <row r="4380" spans="1:11">
      <c r="A4380" t="s">
        <v>13172</v>
      </c>
      <c r="J4380" t="s">
        <v>13173</v>
      </c>
      <c r="K4380" t="s">
        <v>13174</v>
      </c>
    </row>
    <row r="4381" spans="1:11">
      <c r="A4381" t="s">
        <v>13175</v>
      </c>
      <c r="J4381" t="s">
        <v>13176</v>
      </c>
      <c r="K4381" t="s">
        <v>13177</v>
      </c>
    </row>
    <row r="4382" spans="1:11">
      <c r="A4382" t="s">
        <v>13178</v>
      </c>
      <c r="J4382" t="s">
        <v>13179</v>
      </c>
      <c r="K4382" t="s">
        <v>13180</v>
      </c>
    </row>
    <row r="4383" spans="1:11">
      <c r="A4383" t="s">
        <v>13181</v>
      </c>
      <c r="J4383" t="s">
        <v>13182</v>
      </c>
      <c r="K4383" t="s">
        <v>13183</v>
      </c>
    </row>
    <row r="4384" spans="1:11">
      <c r="A4384" t="s">
        <v>13184</v>
      </c>
      <c r="J4384" t="s">
        <v>13185</v>
      </c>
      <c r="K4384" t="s">
        <v>13186</v>
      </c>
    </row>
    <row r="4385" spans="1:11">
      <c r="A4385" t="s">
        <v>13187</v>
      </c>
      <c r="J4385" t="s">
        <v>13188</v>
      </c>
      <c r="K4385" t="s">
        <v>13189</v>
      </c>
    </row>
    <row r="4386" spans="1:11">
      <c r="A4386" t="s">
        <v>13190</v>
      </c>
      <c r="J4386" t="s">
        <v>13191</v>
      </c>
      <c r="K4386" t="s">
        <v>13192</v>
      </c>
    </row>
    <row r="4387" spans="1:11">
      <c r="A4387" t="s">
        <v>13193</v>
      </c>
      <c r="J4387" t="s">
        <v>13194</v>
      </c>
      <c r="K4387" t="s">
        <v>13195</v>
      </c>
    </row>
    <row r="4388" spans="1:11">
      <c r="A4388" t="s">
        <v>13196</v>
      </c>
      <c r="J4388" t="s">
        <v>13197</v>
      </c>
      <c r="K4388" t="s">
        <v>13198</v>
      </c>
    </row>
    <row r="4389" spans="1:11">
      <c r="A4389" t="s">
        <v>13199</v>
      </c>
      <c r="J4389" t="s">
        <v>13200</v>
      </c>
      <c r="K4389" t="s">
        <v>13201</v>
      </c>
    </row>
    <row r="4390" spans="1:11">
      <c r="A4390" t="s">
        <v>13202</v>
      </c>
      <c r="J4390" t="s">
        <v>13203</v>
      </c>
      <c r="K4390" t="s">
        <v>13204</v>
      </c>
    </row>
    <row r="4391" spans="1:11">
      <c r="A4391" t="s">
        <v>13205</v>
      </c>
      <c r="J4391" t="s">
        <v>13206</v>
      </c>
      <c r="K4391" t="s">
        <v>13207</v>
      </c>
    </row>
    <row r="4392" spans="1:11">
      <c r="A4392" t="s">
        <v>13208</v>
      </c>
      <c r="J4392" t="s">
        <v>13209</v>
      </c>
      <c r="K4392" t="s">
        <v>13210</v>
      </c>
    </row>
    <row r="4393" spans="1:11">
      <c r="A4393" t="s">
        <v>13211</v>
      </c>
      <c r="J4393" t="s">
        <v>13212</v>
      </c>
      <c r="K4393" t="s">
        <v>13213</v>
      </c>
    </row>
    <row r="4394" spans="1:11">
      <c r="A4394" t="s">
        <v>13214</v>
      </c>
      <c r="J4394" t="s">
        <v>13215</v>
      </c>
      <c r="K4394" t="s">
        <v>13216</v>
      </c>
    </row>
    <row r="4395" spans="1:11">
      <c r="A4395" t="s">
        <v>13217</v>
      </c>
      <c r="J4395" t="s">
        <v>13218</v>
      </c>
      <c r="K4395" t="s">
        <v>13219</v>
      </c>
    </row>
    <row r="4396" spans="1:11">
      <c r="A4396" t="s">
        <v>13220</v>
      </c>
      <c r="J4396" t="s">
        <v>13221</v>
      </c>
      <c r="K4396" t="s">
        <v>13222</v>
      </c>
    </row>
    <row r="4397" spans="1:11">
      <c r="A4397" t="s">
        <v>13223</v>
      </c>
      <c r="J4397" t="s">
        <v>13224</v>
      </c>
      <c r="K4397" t="s">
        <v>13225</v>
      </c>
    </row>
    <row r="4398" spans="1:11">
      <c r="A4398" t="s">
        <v>13226</v>
      </c>
      <c r="J4398" t="s">
        <v>13227</v>
      </c>
      <c r="K4398" t="s">
        <v>13228</v>
      </c>
    </row>
    <row r="4399" spans="1:11">
      <c r="A4399" t="s">
        <v>13229</v>
      </c>
      <c r="J4399" t="s">
        <v>13230</v>
      </c>
      <c r="K4399" t="s">
        <v>13231</v>
      </c>
    </row>
    <row r="4400" spans="1:11">
      <c r="A4400" t="s">
        <v>13232</v>
      </c>
      <c r="J4400" t="s">
        <v>13233</v>
      </c>
      <c r="K4400" t="s">
        <v>13234</v>
      </c>
    </row>
    <row r="4401" spans="1:11">
      <c r="A4401" t="s">
        <v>13235</v>
      </c>
      <c r="J4401" t="s">
        <v>13236</v>
      </c>
      <c r="K4401" t="s">
        <v>13237</v>
      </c>
    </row>
    <row r="4402" spans="1:11">
      <c r="A4402" t="s">
        <v>13238</v>
      </c>
      <c r="J4402" t="s">
        <v>13239</v>
      </c>
      <c r="K4402" t="s">
        <v>13240</v>
      </c>
    </row>
    <row r="4403" spans="1:11">
      <c r="A4403" t="s">
        <v>13241</v>
      </c>
      <c r="J4403" t="s">
        <v>13242</v>
      </c>
      <c r="K4403" t="s">
        <v>13243</v>
      </c>
    </row>
    <row r="4404" spans="1:11">
      <c r="A4404" t="s">
        <v>13244</v>
      </c>
      <c r="J4404" t="s">
        <v>13245</v>
      </c>
      <c r="K4404" t="s">
        <v>13246</v>
      </c>
    </row>
    <row r="4405" spans="1:11">
      <c r="A4405" t="s">
        <v>13247</v>
      </c>
      <c r="J4405" t="s">
        <v>13248</v>
      </c>
      <c r="K4405" t="s">
        <v>13249</v>
      </c>
    </row>
    <row r="4406" spans="1:11">
      <c r="A4406" t="s">
        <v>13250</v>
      </c>
      <c r="J4406" t="s">
        <v>13251</v>
      </c>
      <c r="K4406" t="s">
        <v>13252</v>
      </c>
    </row>
    <row r="4407" spans="1:11">
      <c r="A4407" t="s">
        <v>13253</v>
      </c>
      <c r="J4407" t="s">
        <v>13254</v>
      </c>
      <c r="K4407" t="s">
        <v>13255</v>
      </c>
    </row>
    <row r="4408" spans="1:11">
      <c r="A4408" t="s">
        <v>13256</v>
      </c>
      <c r="J4408" t="s">
        <v>13257</v>
      </c>
      <c r="K4408" t="s">
        <v>13258</v>
      </c>
    </row>
    <row r="4409" spans="1:11">
      <c r="A4409" t="s">
        <v>13259</v>
      </c>
      <c r="J4409" t="s">
        <v>13260</v>
      </c>
      <c r="K4409" t="s">
        <v>13261</v>
      </c>
    </row>
    <row r="4410" spans="1:11">
      <c r="A4410" t="s">
        <v>13262</v>
      </c>
      <c r="J4410" t="s">
        <v>13263</v>
      </c>
      <c r="K4410" t="s">
        <v>13264</v>
      </c>
    </row>
    <row r="4411" spans="1:11">
      <c r="A4411" t="s">
        <v>13265</v>
      </c>
      <c r="J4411" t="s">
        <v>13266</v>
      </c>
      <c r="K4411" t="s">
        <v>13267</v>
      </c>
    </row>
    <row r="4412" spans="1:11">
      <c r="A4412" t="s">
        <v>13268</v>
      </c>
      <c r="J4412" t="s">
        <v>13269</v>
      </c>
      <c r="K4412" t="s">
        <v>13270</v>
      </c>
    </row>
    <row r="4413" spans="1:11">
      <c r="A4413" t="s">
        <v>13271</v>
      </c>
      <c r="J4413" t="s">
        <v>13272</v>
      </c>
      <c r="K4413" t="s">
        <v>13273</v>
      </c>
    </row>
    <row r="4414" spans="1:11">
      <c r="A4414" t="s">
        <v>13274</v>
      </c>
      <c r="J4414" t="s">
        <v>13275</v>
      </c>
      <c r="K4414" t="s">
        <v>13276</v>
      </c>
    </row>
    <row r="4415" spans="1:11">
      <c r="A4415" t="s">
        <v>13277</v>
      </c>
      <c r="J4415" t="s">
        <v>13278</v>
      </c>
      <c r="K4415" t="s">
        <v>13279</v>
      </c>
    </row>
    <row r="4416" spans="1:11">
      <c r="A4416" t="s">
        <v>13280</v>
      </c>
      <c r="J4416" t="s">
        <v>13281</v>
      </c>
      <c r="K4416" t="s">
        <v>13282</v>
      </c>
    </row>
    <row r="4417" spans="1:11">
      <c r="A4417" t="s">
        <v>13283</v>
      </c>
      <c r="J4417" t="s">
        <v>13284</v>
      </c>
      <c r="K4417" t="s">
        <v>13285</v>
      </c>
    </row>
    <row r="4418" spans="1:11">
      <c r="A4418" t="s">
        <v>13286</v>
      </c>
      <c r="J4418" t="s">
        <v>13287</v>
      </c>
      <c r="K4418" t="s">
        <v>13288</v>
      </c>
    </row>
    <row r="4419" spans="1:11">
      <c r="A4419" t="s">
        <v>13289</v>
      </c>
      <c r="J4419" t="s">
        <v>13290</v>
      </c>
      <c r="K4419" t="s">
        <v>13291</v>
      </c>
    </row>
    <row r="4420" spans="1:11">
      <c r="A4420" t="s">
        <v>13292</v>
      </c>
      <c r="J4420" t="s">
        <v>13293</v>
      </c>
      <c r="K4420" t="s">
        <v>13294</v>
      </c>
    </row>
    <row r="4421" spans="1:11">
      <c r="A4421" t="s">
        <v>13295</v>
      </c>
      <c r="J4421" t="s">
        <v>13296</v>
      </c>
      <c r="K4421" t="s">
        <v>13297</v>
      </c>
    </row>
    <row r="4422" spans="1:11">
      <c r="A4422" t="s">
        <v>13298</v>
      </c>
      <c r="J4422" t="s">
        <v>13299</v>
      </c>
      <c r="K4422" t="s">
        <v>13300</v>
      </c>
    </row>
    <row r="4423" spans="1:11">
      <c r="A4423" t="s">
        <v>13301</v>
      </c>
      <c r="J4423" t="s">
        <v>13302</v>
      </c>
      <c r="K4423" t="s">
        <v>13303</v>
      </c>
    </row>
    <row r="4424" spans="1:11">
      <c r="A4424" t="s">
        <v>13304</v>
      </c>
      <c r="J4424" t="s">
        <v>13305</v>
      </c>
      <c r="K4424" t="s">
        <v>13306</v>
      </c>
    </row>
    <row r="4425" spans="1:11">
      <c r="A4425" t="s">
        <v>13307</v>
      </c>
      <c r="J4425" t="s">
        <v>13308</v>
      </c>
      <c r="K4425" t="s">
        <v>13309</v>
      </c>
    </row>
    <row r="4426" spans="1:11">
      <c r="A4426" t="s">
        <v>13310</v>
      </c>
      <c r="J4426" t="s">
        <v>13311</v>
      </c>
      <c r="K4426" t="s">
        <v>13312</v>
      </c>
    </row>
    <row r="4427" spans="1:11">
      <c r="A4427" t="s">
        <v>13313</v>
      </c>
      <c r="J4427" t="s">
        <v>13314</v>
      </c>
      <c r="K4427" t="s">
        <v>13315</v>
      </c>
    </row>
    <row r="4428" spans="1:11">
      <c r="A4428" t="s">
        <v>13316</v>
      </c>
      <c r="J4428" t="s">
        <v>13317</v>
      </c>
      <c r="K4428" t="s">
        <v>13318</v>
      </c>
    </row>
    <row r="4429" spans="1:11">
      <c r="A4429" t="s">
        <v>13319</v>
      </c>
      <c r="J4429" t="s">
        <v>13320</v>
      </c>
      <c r="K4429" t="s">
        <v>13321</v>
      </c>
    </row>
    <row r="4430" spans="1:11">
      <c r="A4430" t="s">
        <v>13322</v>
      </c>
      <c r="J4430" t="s">
        <v>13323</v>
      </c>
      <c r="K4430" t="s">
        <v>13324</v>
      </c>
    </row>
    <row r="4431" spans="1:11">
      <c r="A4431" t="s">
        <v>13325</v>
      </c>
      <c r="J4431" t="s">
        <v>13326</v>
      </c>
      <c r="K4431" t="s">
        <v>13327</v>
      </c>
    </row>
    <row r="4432" spans="1:11">
      <c r="A4432" t="s">
        <v>13328</v>
      </c>
      <c r="J4432" t="s">
        <v>13329</v>
      </c>
      <c r="K4432" t="s">
        <v>13330</v>
      </c>
    </row>
    <row r="4433" spans="1:11">
      <c r="A4433" t="s">
        <v>13331</v>
      </c>
      <c r="J4433" t="s">
        <v>13332</v>
      </c>
      <c r="K4433" t="s">
        <v>13333</v>
      </c>
    </row>
    <row r="4434" spans="1:11">
      <c r="A4434" t="s">
        <v>13334</v>
      </c>
      <c r="J4434" t="s">
        <v>13335</v>
      </c>
      <c r="K4434" t="s">
        <v>13336</v>
      </c>
    </row>
    <row r="4435" spans="1:11">
      <c r="A4435" t="s">
        <v>13337</v>
      </c>
      <c r="J4435" t="s">
        <v>13338</v>
      </c>
      <c r="K4435" t="s">
        <v>13339</v>
      </c>
    </row>
    <row r="4436" spans="1:11">
      <c r="A4436" t="s">
        <v>13340</v>
      </c>
      <c r="J4436" t="s">
        <v>13341</v>
      </c>
      <c r="K4436" t="s">
        <v>13342</v>
      </c>
    </row>
    <row r="4437" spans="1:11">
      <c r="A4437" t="s">
        <v>13343</v>
      </c>
      <c r="J4437" t="s">
        <v>13344</v>
      </c>
      <c r="K4437" t="s">
        <v>13345</v>
      </c>
    </row>
    <row r="4438" spans="1:11">
      <c r="A4438" t="s">
        <v>13346</v>
      </c>
      <c r="J4438" t="s">
        <v>13347</v>
      </c>
      <c r="K4438" t="s">
        <v>13348</v>
      </c>
    </row>
    <row r="4439" spans="1:11">
      <c r="A4439" t="s">
        <v>13349</v>
      </c>
      <c r="J4439" t="s">
        <v>13350</v>
      </c>
      <c r="K4439" t="s">
        <v>13351</v>
      </c>
    </row>
    <row r="4440" spans="1:11">
      <c r="A4440" t="s">
        <v>13352</v>
      </c>
      <c r="J4440" t="s">
        <v>13353</v>
      </c>
      <c r="K4440" t="s">
        <v>13354</v>
      </c>
    </row>
    <row r="4441" spans="1:11">
      <c r="A4441" t="s">
        <v>13355</v>
      </c>
      <c r="J4441" t="s">
        <v>13356</v>
      </c>
      <c r="K4441" t="s">
        <v>13357</v>
      </c>
    </row>
    <row r="4442" spans="1:11">
      <c r="A4442" t="s">
        <v>13358</v>
      </c>
      <c r="J4442" t="s">
        <v>13359</v>
      </c>
      <c r="K4442" t="s">
        <v>13360</v>
      </c>
    </row>
    <row r="4443" spans="1:11">
      <c r="A4443" t="s">
        <v>13361</v>
      </c>
      <c r="J4443" t="s">
        <v>13362</v>
      </c>
      <c r="K4443" t="s">
        <v>13363</v>
      </c>
    </row>
    <row r="4444" spans="1:11">
      <c r="A4444" t="s">
        <v>13364</v>
      </c>
      <c r="J4444" t="s">
        <v>13365</v>
      </c>
      <c r="K4444" t="s">
        <v>13366</v>
      </c>
    </row>
    <row r="4445" spans="1:11">
      <c r="A4445" t="s">
        <v>13367</v>
      </c>
      <c r="J4445" t="s">
        <v>13368</v>
      </c>
      <c r="K4445" t="s">
        <v>13369</v>
      </c>
    </row>
    <row r="4446" spans="1:11">
      <c r="A4446" t="s">
        <v>13370</v>
      </c>
      <c r="J4446" t="s">
        <v>13371</v>
      </c>
      <c r="K4446" t="s">
        <v>13372</v>
      </c>
    </row>
    <row r="4447" spans="1:11">
      <c r="A4447" t="s">
        <v>13373</v>
      </c>
      <c r="J4447" t="s">
        <v>13374</v>
      </c>
      <c r="K4447" t="s">
        <v>13375</v>
      </c>
    </row>
    <row r="4448" spans="1:11">
      <c r="A4448" t="s">
        <v>13376</v>
      </c>
      <c r="J4448" t="s">
        <v>13377</v>
      </c>
      <c r="K4448" t="s">
        <v>13378</v>
      </c>
    </row>
    <row r="4449" spans="1:11">
      <c r="A4449" t="s">
        <v>13379</v>
      </c>
      <c r="J4449" t="s">
        <v>13380</v>
      </c>
      <c r="K4449" t="s">
        <v>13381</v>
      </c>
    </row>
    <row r="4450" spans="1:11">
      <c r="A4450" t="s">
        <v>13382</v>
      </c>
      <c r="J4450" t="s">
        <v>13383</v>
      </c>
      <c r="K4450" t="s">
        <v>13384</v>
      </c>
    </row>
    <row r="4451" spans="1:11">
      <c r="A4451" t="s">
        <v>13385</v>
      </c>
      <c r="J4451" t="s">
        <v>13386</v>
      </c>
      <c r="K4451" t="s">
        <v>13387</v>
      </c>
    </row>
    <row r="4452" spans="1:11">
      <c r="A4452" t="s">
        <v>13388</v>
      </c>
      <c r="J4452" t="s">
        <v>13389</v>
      </c>
      <c r="K4452" t="s">
        <v>13390</v>
      </c>
    </row>
    <row r="4453" spans="1:11">
      <c r="A4453" t="s">
        <v>13391</v>
      </c>
      <c r="J4453" t="s">
        <v>13392</v>
      </c>
      <c r="K4453" t="s">
        <v>13393</v>
      </c>
    </row>
    <row r="4454" spans="1:11">
      <c r="A4454" t="s">
        <v>13394</v>
      </c>
      <c r="J4454" t="s">
        <v>13395</v>
      </c>
      <c r="K4454" t="s">
        <v>13396</v>
      </c>
    </row>
    <row r="4455" spans="1:11">
      <c r="A4455" t="s">
        <v>13397</v>
      </c>
      <c r="J4455" t="s">
        <v>13398</v>
      </c>
      <c r="K4455" t="s">
        <v>13399</v>
      </c>
    </row>
    <row r="4456" spans="1:11">
      <c r="A4456" t="s">
        <v>13400</v>
      </c>
      <c r="J4456" t="s">
        <v>13401</v>
      </c>
      <c r="K4456" t="s">
        <v>13402</v>
      </c>
    </row>
    <row r="4457" spans="1:11">
      <c r="A4457" t="s">
        <v>13403</v>
      </c>
      <c r="J4457" t="s">
        <v>13404</v>
      </c>
      <c r="K4457" t="s">
        <v>13405</v>
      </c>
    </row>
    <row r="4458" spans="1:11">
      <c r="A4458" t="s">
        <v>13406</v>
      </c>
      <c r="J4458" t="s">
        <v>13407</v>
      </c>
      <c r="K4458" t="s">
        <v>13408</v>
      </c>
    </row>
    <row r="4459" spans="1:11">
      <c r="A4459" t="s">
        <v>13409</v>
      </c>
      <c r="J4459" t="s">
        <v>13410</v>
      </c>
      <c r="K4459" t="s">
        <v>13411</v>
      </c>
    </row>
    <row r="4460" spans="1:11">
      <c r="A4460" t="s">
        <v>13412</v>
      </c>
      <c r="J4460" t="s">
        <v>13413</v>
      </c>
      <c r="K4460" t="s">
        <v>13414</v>
      </c>
    </row>
    <row r="4461" spans="1:11">
      <c r="A4461" t="s">
        <v>13415</v>
      </c>
      <c r="J4461" t="s">
        <v>13416</v>
      </c>
      <c r="K4461" t="s">
        <v>13417</v>
      </c>
    </row>
    <row r="4462" spans="1:11">
      <c r="A4462" t="s">
        <v>13418</v>
      </c>
      <c r="J4462" t="s">
        <v>13419</v>
      </c>
      <c r="K4462" t="s">
        <v>13420</v>
      </c>
    </row>
    <row r="4463" spans="1:11">
      <c r="A4463" t="s">
        <v>13421</v>
      </c>
      <c r="J4463" t="s">
        <v>13422</v>
      </c>
      <c r="K4463" t="s">
        <v>13423</v>
      </c>
    </row>
    <row r="4464" spans="1:11">
      <c r="A4464" t="s">
        <v>13424</v>
      </c>
      <c r="J4464" t="s">
        <v>13425</v>
      </c>
      <c r="K4464" t="s">
        <v>13426</v>
      </c>
    </row>
    <row r="4465" spans="1:11">
      <c r="A4465" t="s">
        <v>13427</v>
      </c>
      <c r="J4465" t="s">
        <v>13428</v>
      </c>
      <c r="K4465" t="s">
        <v>13429</v>
      </c>
    </row>
    <row r="4466" spans="1:11">
      <c r="A4466" t="s">
        <v>13430</v>
      </c>
      <c r="J4466" t="s">
        <v>13431</v>
      </c>
      <c r="K4466" t="s">
        <v>13432</v>
      </c>
    </row>
    <row r="4467" spans="1:11">
      <c r="A4467" t="s">
        <v>13433</v>
      </c>
      <c r="J4467" t="s">
        <v>13434</v>
      </c>
      <c r="K4467" t="s">
        <v>13435</v>
      </c>
    </row>
    <row r="4468" spans="1:11">
      <c r="A4468" t="s">
        <v>13436</v>
      </c>
      <c r="J4468" t="s">
        <v>13437</v>
      </c>
      <c r="K4468" t="s">
        <v>13438</v>
      </c>
    </row>
    <row r="4469" spans="1:11">
      <c r="A4469" t="s">
        <v>13439</v>
      </c>
      <c r="J4469" t="s">
        <v>13440</v>
      </c>
      <c r="K4469" t="s">
        <v>13441</v>
      </c>
    </row>
    <row r="4470" spans="1:11">
      <c r="A4470" t="s">
        <v>13442</v>
      </c>
      <c r="J4470" t="s">
        <v>13443</v>
      </c>
      <c r="K4470" t="s">
        <v>13444</v>
      </c>
    </row>
    <row r="4471" spans="1:11">
      <c r="A4471" t="s">
        <v>13445</v>
      </c>
      <c r="J4471" t="s">
        <v>13446</v>
      </c>
      <c r="K4471" t="s">
        <v>13447</v>
      </c>
    </row>
    <row r="4472" spans="1:11">
      <c r="A4472" t="s">
        <v>13448</v>
      </c>
      <c r="J4472" t="s">
        <v>13449</v>
      </c>
      <c r="K4472" t="s">
        <v>13450</v>
      </c>
    </row>
    <row r="4473" spans="1:11">
      <c r="A4473" t="s">
        <v>13451</v>
      </c>
      <c r="J4473" t="s">
        <v>13452</v>
      </c>
      <c r="K4473" t="s">
        <v>13453</v>
      </c>
    </row>
    <row r="4474" spans="1:11">
      <c r="A4474" t="s">
        <v>13454</v>
      </c>
      <c r="J4474" t="s">
        <v>13455</v>
      </c>
      <c r="K4474" t="s">
        <v>13456</v>
      </c>
    </row>
    <row r="4475" spans="1:11">
      <c r="A4475" t="s">
        <v>13457</v>
      </c>
      <c r="J4475" t="s">
        <v>13458</v>
      </c>
      <c r="K4475" t="s">
        <v>13459</v>
      </c>
    </row>
    <row r="4476" spans="1:11">
      <c r="A4476" t="s">
        <v>13460</v>
      </c>
      <c r="J4476" t="s">
        <v>13461</v>
      </c>
      <c r="K4476" t="s">
        <v>13462</v>
      </c>
    </row>
    <row r="4477" spans="1:11">
      <c r="A4477" t="s">
        <v>13463</v>
      </c>
      <c r="J4477" t="s">
        <v>13464</v>
      </c>
      <c r="K4477" t="s">
        <v>13465</v>
      </c>
    </row>
    <row r="4478" spans="1:11">
      <c r="A4478" t="s">
        <v>13466</v>
      </c>
      <c r="J4478" t="s">
        <v>13467</v>
      </c>
      <c r="K4478" t="s">
        <v>13468</v>
      </c>
    </row>
    <row r="4479" spans="1:11">
      <c r="A4479" t="s">
        <v>13469</v>
      </c>
      <c r="J4479" t="s">
        <v>13470</v>
      </c>
      <c r="K4479" t="s">
        <v>13471</v>
      </c>
    </row>
    <row r="4480" spans="1:11">
      <c r="A4480" t="s">
        <v>13472</v>
      </c>
      <c r="J4480" t="s">
        <v>13473</v>
      </c>
      <c r="K4480" t="s">
        <v>13474</v>
      </c>
    </row>
    <row r="4481" spans="1:11">
      <c r="A4481" t="s">
        <v>13475</v>
      </c>
      <c r="J4481" t="s">
        <v>13476</v>
      </c>
      <c r="K4481" t="s">
        <v>13477</v>
      </c>
    </row>
    <row r="4482" spans="1:11">
      <c r="A4482" t="s">
        <v>13478</v>
      </c>
      <c r="J4482" t="s">
        <v>13479</v>
      </c>
      <c r="K4482" t="s">
        <v>13480</v>
      </c>
    </row>
    <row r="4483" spans="1:11">
      <c r="A4483" t="s">
        <v>13481</v>
      </c>
      <c r="J4483" t="s">
        <v>13482</v>
      </c>
      <c r="K4483" t="s">
        <v>13483</v>
      </c>
    </row>
    <row r="4484" spans="1:11">
      <c r="A4484" t="s">
        <v>13484</v>
      </c>
      <c r="J4484" t="s">
        <v>13485</v>
      </c>
      <c r="K4484" t="s">
        <v>13486</v>
      </c>
    </row>
    <row r="4485" spans="1:11">
      <c r="A4485" t="s">
        <v>13487</v>
      </c>
      <c r="J4485" t="s">
        <v>13488</v>
      </c>
      <c r="K4485" t="s">
        <v>13489</v>
      </c>
    </row>
    <row r="4486" spans="1:11">
      <c r="A4486" t="s">
        <v>13490</v>
      </c>
      <c r="J4486" t="s">
        <v>13491</v>
      </c>
      <c r="K4486" t="s">
        <v>13492</v>
      </c>
    </row>
    <row r="4487" spans="1:11">
      <c r="A4487" t="s">
        <v>13493</v>
      </c>
      <c r="J4487" t="s">
        <v>13494</v>
      </c>
      <c r="K4487" t="s">
        <v>13495</v>
      </c>
    </row>
    <row r="4488" spans="1:11">
      <c r="A4488" t="s">
        <v>13496</v>
      </c>
      <c r="J4488" t="s">
        <v>13497</v>
      </c>
      <c r="K4488" t="s">
        <v>13498</v>
      </c>
    </row>
    <row r="4489" spans="1:11">
      <c r="A4489" t="s">
        <v>13499</v>
      </c>
      <c r="J4489" t="s">
        <v>13500</v>
      </c>
      <c r="K4489" t="s">
        <v>13501</v>
      </c>
    </row>
    <row r="4490" spans="1:11">
      <c r="A4490" t="s">
        <v>13502</v>
      </c>
      <c r="J4490" t="s">
        <v>13503</v>
      </c>
      <c r="K4490" t="s">
        <v>13504</v>
      </c>
    </row>
    <row r="4491" spans="1:11">
      <c r="A4491" t="s">
        <v>13505</v>
      </c>
      <c r="J4491" t="s">
        <v>13506</v>
      </c>
      <c r="K4491" t="s">
        <v>13507</v>
      </c>
    </row>
    <row r="4492" spans="1:11">
      <c r="A4492" t="s">
        <v>13508</v>
      </c>
      <c r="J4492" t="s">
        <v>13509</v>
      </c>
      <c r="K4492" t="s">
        <v>13510</v>
      </c>
    </row>
    <row r="4493" spans="1:11">
      <c r="A4493" t="s">
        <v>13511</v>
      </c>
      <c r="J4493" t="s">
        <v>13512</v>
      </c>
      <c r="K4493" t="s">
        <v>13513</v>
      </c>
    </row>
    <row r="4494" spans="1:11">
      <c r="A4494" t="s">
        <v>13514</v>
      </c>
      <c r="J4494" t="s">
        <v>13515</v>
      </c>
      <c r="K4494" t="s">
        <v>13516</v>
      </c>
    </row>
    <row r="4495" spans="1:11">
      <c r="A4495" t="s">
        <v>13517</v>
      </c>
      <c r="J4495" t="s">
        <v>13518</v>
      </c>
      <c r="K4495" t="s">
        <v>13519</v>
      </c>
    </row>
    <row r="4496" spans="1:11">
      <c r="A4496" t="s">
        <v>13520</v>
      </c>
      <c r="J4496" t="s">
        <v>13521</v>
      </c>
      <c r="K4496" t="s">
        <v>13522</v>
      </c>
    </row>
    <row r="4497" spans="1:11">
      <c r="A4497" t="s">
        <v>13523</v>
      </c>
      <c r="J4497" t="s">
        <v>13524</v>
      </c>
      <c r="K4497" t="s">
        <v>13525</v>
      </c>
    </row>
    <row r="4498" spans="1:11">
      <c r="A4498" t="s">
        <v>13526</v>
      </c>
      <c r="J4498" t="s">
        <v>13527</v>
      </c>
      <c r="K4498" t="s">
        <v>13528</v>
      </c>
    </row>
    <row r="4499" spans="1:11">
      <c r="A4499" t="s">
        <v>13529</v>
      </c>
      <c r="J4499" t="s">
        <v>13530</v>
      </c>
      <c r="K4499" t="s">
        <v>13531</v>
      </c>
    </row>
    <row r="4500" spans="1:11">
      <c r="A4500" t="s">
        <v>13532</v>
      </c>
      <c r="J4500" t="s">
        <v>13533</v>
      </c>
      <c r="K4500" t="s">
        <v>13534</v>
      </c>
    </row>
    <row r="4501" spans="1:11">
      <c r="A4501" t="s">
        <v>13535</v>
      </c>
      <c r="J4501" t="s">
        <v>13536</v>
      </c>
      <c r="K4501" t="s">
        <v>13537</v>
      </c>
    </row>
    <row r="4502" spans="1:11">
      <c r="A4502" t="s">
        <v>13538</v>
      </c>
      <c r="J4502" t="s">
        <v>13539</v>
      </c>
      <c r="K4502" t="s">
        <v>13540</v>
      </c>
    </row>
    <row r="4503" spans="1:11">
      <c r="A4503" t="s">
        <v>13541</v>
      </c>
      <c r="J4503" t="s">
        <v>13542</v>
      </c>
      <c r="K4503" t="s">
        <v>13543</v>
      </c>
    </row>
    <row r="4504" spans="1:11">
      <c r="A4504" t="s">
        <v>13544</v>
      </c>
      <c r="J4504" t="s">
        <v>13545</v>
      </c>
      <c r="K4504" t="s">
        <v>13546</v>
      </c>
    </row>
    <row r="4505" spans="1:11">
      <c r="A4505" t="s">
        <v>13547</v>
      </c>
      <c r="J4505" t="s">
        <v>13548</v>
      </c>
      <c r="K4505" t="s">
        <v>13549</v>
      </c>
    </row>
    <row r="4506" spans="1:11">
      <c r="A4506" t="s">
        <v>13550</v>
      </c>
      <c r="J4506" t="s">
        <v>13551</v>
      </c>
      <c r="K4506" t="s">
        <v>13552</v>
      </c>
    </row>
    <row r="4507" spans="1:11">
      <c r="A4507" t="s">
        <v>13553</v>
      </c>
      <c r="J4507" t="s">
        <v>13554</v>
      </c>
      <c r="K4507" t="s">
        <v>13555</v>
      </c>
    </row>
    <row r="4508" spans="1:11">
      <c r="A4508" t="s">
        <v>13556</v>
      </c>
      <c r="J4508" t="s">
        <v>13557</v>
      </c>
      <c r="K4508" t="s">
        <v>13558</v>
      </c>
    </row>
    <row r="4509" spans="1:11">
      <c r="A4509" t="s">
        <v>13559</v>
      </c>
      <c r="J4509" t="s">
        <v>13560</v>
      </c>
      <c r="K4509" t="s">
        <v>13561</v>
      </c>
    </row>
    <row r="4510" spans="1:11">
      <c r="A4510" t="s">
        <v>13562</v>
      </c>
      <c r="J4510" t="s">
        <v>13563</v>
      </c>
      <c r="K4510" t="s">
        <v>13564</v>
      </c>
    </row>
    <row r="4511" spans="1:11">
      <c r="A4511" t="s">
        <v>13565</v>
      </c>
      <c r="J4511" t="s">
        <v>13566</v>
      </c>
      <c r="K4511" t="s">
        <v>13567</v>
      </c>
    </row>
    <row r="4512" spans="1:11">
      <c r="A4512" t="s">
        <v>13568</v>
      </c>
      <c r="J4512" t="s">
        <v>13569</v>
      </c>
      <c r="K4512" t="s">
        <v>13570</v>
      </c>
    </row>
    <row r="4513" spans="1:11">
      <c r="A4513" t="s">
        <v>13571</v>
      </c>
      <c r="J4513" t="s">
        <v>13572</v>
      </c>
      <c r="K4513" t="s">
        <v>13573</v>
      </c>
    </row>
    <row r="4514" spans="1:11">
      <c r="A4514" t="s">
        <v>13574</v>
      </c>
      <c r="J4514" t="s">
        <v>13575</v>
      </c>
      <c r="K4514" t="s">
        <v>13576</v>
      </c>
    </row>
    <row r="4515" spans="1:11">
      <c r="A4515" t="s">
        <v>13577</v>
      </c>
      <c r="J4515" t="s">
        <v>13578</v>
      </c>
      <c r="K4515" t="s">
        <v>13579</v>
      </c>
    </row>
    <row r="4516" spans="1:11">
      <c r="A4516" t="s">
        <v>13580</v>
      </c>
      <c r="J4516" t="s">
        <v>13581</v>
      </c>
      <c r="K4516" t="s">
        <v>13582</v>
      </c>
    </row>
    <row r="4517" spans="1:11">
      <c r="A4517" t="s">
        <v>13583</v>
      </c>
      <c r="J4517" t="s">
        <v>13584</v>
      </c>
      <c r="K4517" t="s">
        <v>13585</v>
      </c>
    </row>
    <row r="4518" spans="1:11">
      <c r="A4518" t="s">
        <v>13586</v>
      </c>
      <c r="J4518" t="s">
        <v>13587</v>
      </c>
      <c r="K4518" t="s">
        <v>13588</v>
      </c>
    </row>
    <row r="4519" spans="1:11">
      <c r="A4519" t="s">
        <v>13589</v>
      </c>
      <c r="J4519" t="s">
        <v>13590</v>
      </c>
      <c r="K4519" t="s">
        <v>13591</v>
      </c>
    </row>
    <row r="4520" spans="1:11">
      <c r="A4520" t="s">
        <v>13592</v>
      </c>
      <c r="J4520" t="s">
        <v>13593</v>
      </c>
      <c r="K4520" t="s">
        <v>13594</v>
      </c>
    </row>
    <row r="4521" spans="1:11">
      <c r="A4521" t="s">
        <v>13595</v>
      </c>
      <c r="J4521" t="s">
        <v>13596</v>
      </c>
      <c r="K4521" t="s">
        <v>13597</v>
      </c>
    </row>
    <row r="4522" spans="1:11">
      <c r="A4522" t="s">
        <v>13598</v>
      </c>
      <c r="J4522" t="s">
        <v>13599</v>
      </c>
      <c r="K4522" t="s">
        <v>13600</v>
      </c>
    </row>
    <row r="4523" spans="1:11">
      <c r="A4523" t="s">
        <v>13601</v>
      </c>
      <c r="J4523" t="s">
        <v>13602</v>
      </c>
      <c r="K4523" t="s">
        <v>13603</v>
      </c>
    </row>
    <row r="4524" spans="1:11">
      <c r="A4524" t="s">
        <v>13604</v>
      </c>
      <c r="J4524" t="s">
        <v>13605</v>
      </c>
      <c r="K4524" t="s">
        <v>13606</v>
      </c>
    </row>
    <row r="4525" spans="1:11">
      <c r="A4525" t="s">
        <v>13607</v>
      </c>
      <c r="J4525" t="s">
        <v>13608</v>
      </c>
      <c r="K4525" t="s">
        <v>13609</v>
      </c>
    </row>
    <row r="4526" spans="1:11">
      <c r="A4526" t="s">
        <v>13610</v>
      </c>
      <c r="J4526" t="s">
        <v>13611</v>
      </c>
      <c r="K4526" t="s">
        <v>13612</v>
      </c>
    </row>
    <row r="4527" spans="1:11">
      <c r="A4527" t="s">
        <v>13613</v>
      </c>
      <c r="J4527" t="s">
        <v>13614</v>
      </c>
      <c r="K4527" t="s">
        <v>13615</v>
      </c>
    </row>
    <row r="4528" spans="1:11">
      <c r="A4528" t="s">
        <v>13616</v>
      </c>
      <c r="J4528" t="s">
        <v>13617</v>
      </c>
      <c r="K4528" t="s">
        <v>13618</v>
      </c>
    </row>
    <row r="4529" spans="1:11">
      <c r="A4529" t="s">
        <v>13619</v>
      </c>
      <c r="J4529" t="s">
        <v>13620</v>
      </c>
      <c r="K4529" t="s">
        <v>13621</v>
      </c>
    </row>
    <row r="4530" spans="1:11">
      <c r="A4530" t="s">
        <v>13622</v>
      </c>
      <c r="J4530" t="s">
        <v>13623</v>
      </c>
      <c r="K4530" t="s">
        <v>13624</v>
      </c>
    </row>
    <row r="4531" spans="1:11">
      <c r="A4531" t="s">
        <v>13625</v>
      </c>
      <c r="J4531" t="s">
        <v>13626</v>
      </c>
      <c r="K4531" t="s">
        <v>13627</v>
      </c>
    </row>
    <row r="4532" spans="1:11">
      <c r="A4532" t="s">
        <v>13628</v>
      </c>
      <c r="J4532" t="s">
        <v>13629</v>
      </c>
      <c r="K4532" t="s">
        <v>13630</v>
      </c>
    </row>
    <row r="4533" spans="1:11">
      <c r="A4533" t="s">
        <v>13631</v>
      </c>
      <c r="J4533" t="s">
        <v>13632</v>
      </c>
      <c r="K4533" t="s">
        <v>13633</v>
      </c>
    </row>
    <row r="4534" spans="1:11">
      <c r="A4534" t="s">
        <v>13634</v>
      </c>
      <c r="J4534" t="s">
        <v>13635</v>
      </c>
      <c r="K4534" t="s">
        <v>13636</v>
      </c>
    </row>
    <row r="4535" spans="1:11">
      <c r="A4535" t="s">
        <v>13637</v>
      </c>
      <c r="J4535" t="s">
        <v>13638</v>
      </c>
      <c r="K4535" t="s">
        <v>13639</v>
      </c>
    </row>
    <row r="4536" spans="1:11">
      <c r="A4536" t="s">
        <v>13640</v>
      </c>
      <c r="J4536" t="s">
        <v>13641</v>
      </c>
      <c r="K4536" t="s">
        <v>13642</v>
      </c>
    </row>
    <row r="4537" spans="1:11">
      <c r="A4537" t="s">
        <v>13643</v>
      </c>
      <c r="J4537" t="s">
        <v>13644</v>
      </c>
      <c r="K4537" t="s">
        <v>13645</v>
      </c>
    </row>
    <row r="4538" spans="1:11">
      <c r="A4538" t="s">
        <v>13646</v>
      </c>
      <c r="J4538" t="s">
        <v>13647</v>
      </c>
      <c r="K4538" t="s">
        <v>13648</v>
      </c>
    </row>
    <row r="4539" spans="1:11">
      <c r="A4539" t="s">
        <v>13649</v>
      </c>
      <c r="J4539" t="s">
        <v>13650</v>
      </c>
      <c r="K4539" t="s">
        <v>13651</v>
      </c>
    </row>
    <row r="4540" spans="1:11">
      <c r="A4540" t="s">
        <v>13652</v>
      </c>
      <c r="J4540" t="s">
        <v>13653</v>
      </c>
      <c r="K4540" t="s">
        <v>13654</v>
      </c>
    </row>
    <row r="4541" spans="1:11">
      <c r="A4541" t="s">
        <v>13655</v>
      </c>
      <c r="J4541" t="s">
        <v>13656</v>
      </c>
      <c r="K4541" t="s">
        <v>13657</v>
      </c>
    </row>
    <row r="4542" spans="1:11">
      <c r="A4542" t="s">
        <v>13658</v>
      </c>
      <c r="J4542" t="s">
        <v>13659</v>
      </c>
      <c r="K4542" t="s">
        <v>13660</v>
      </c>
    </row>
    <row r="4543" spans="1:11">
      <c r="A4543" t="s">
        <v>13661</v>
      </c>
      <c r="J4543" t="s">
        <v>13662</v>
      </c>
      <c r="K4543" t="s">
        <v>13663</v>
      </c>
    </row>
    <row r="4544" spans="1:11">
      <c r="A4544" t="s">
        <v>13664</v>
      </c>
      <c r="J4544" t="s">
        <v>13665</v>
      </c>
      <c r="K4544" t="s">
        <v>13666</v>
      </c>
    </row>
    <row r="4545" spans="1:11">
      <c r="A4545" t="s">
        <v>13667</v>
      </c>
      <c r="J4545" t="s">
        <v>13668</v>
      </c>
      <c r="K4545" t="s">
        <v>13669</v>
      </c>
    </row>
    <row r="4546" spans="1:11">
      <c r="A4546" t="s">
        <v>13670</v>
      </c>
      <c r="J4546" t="s">
        <v>13671</v>
      </c>
      <c r="K4546" t="s">
        <v>13672</v>
      </c>
    </row>
    <row r="4547" spans="1:11">
      <c r="A4547" t="s">
        <v>13673</v>
      </c>
      <c r="J4547" t="s">
        <v>13674</v>
      </c>
      <c r="K4547" t="s">
        <v>13675</v>
      </c>
    </row>
    <row r="4548" spans="1:11">
      <c r="A4548" t="s">
        <v>13676</v>
      </c>
      <c r="J4548" t="s">
        <v>13677</v>
      </c>
      <c r="K4548" t="s">
        <v>13678</v>
      </c>
    </row>
    <row r="4549" spans="1:11">
      <c r="A4549" t="s">
        <v>13679</v>
      </c>
      <c r="J4549" t="s">
        <v>13680</v>
      </c>
      <c r="K4549" t="s">
        <v>13681</v>
      </c>
    </row>
    <row r="4550" spans="1:11">
      <c r="A4550" t="s">
        <v>13682</v>
      </c>
      <c r="J4550" t="s">
        <v>13683</v>
      </c>
      <c r="K4550" t="s">
        <v>13684</v>
      </c>
    </row>
    <row r="4551" spans="1:11">
      <c r="A4551" t="s">
        <v>13685</v>
      </c>
      <c r="J4551" t="s">
        <v>13686</v>
      </c>
      <c r="K4551" t="s">
        <v>13687</v>
      </c>
    </row>
    <row r="4552" spans="1:11">
      <c r="A4552" t="s">
        <v>13688</v>
      </c>
      <c r="J4552" t="s">
        <v>13689</v>
      </c>
      <c r="K4552" t="s">
        <v>13690</v>
      </c>
    </row>
    <row r="4553" spans="1:11">
      <c r="A4553" t="s">
        <v>13691</v>
      </c>
      <c r="J4553" t="s">
        <v>13692</v>
      </c>
      <c r="K4553" t="s">
        <v>13693</v>
      </c>
    </row>
    <row r="4554" spans="1:11">
      <c r="A4554" t="s">
        <v>13694</v>
      </c>
      <c r="J4554" t="s">
        <v>13695</v>
      </c>
      <c r="K4554" t="s">
        <v>13696</v>
      </c>
    </row>
    <row r="4555" spans="1:11">
      <c r="A4555" t="s">
        <v>13697</v>
      </c>
      <c r="J4555" t="s">
        <v>13698</v>
      </c>
      <c r="K4555" t="s">
        <v>13699</v>
      </c>
    </row>
    <row r="4556" spans="1:11">
      <c r="A4556" t="s">
        <v>13700</v>
      </c>
      <c r="J4556" t="s">
        <v>13701</v>
      </c>
      <c r="K4556" t="s">
        <v>13702</v>
      </c>
    </row>
    <row r="4557" spans="1:11">
      <c r="A4557" t="s">
        <v>13703</v>
      </c>
      <c r="J4557" t="s">
        <v>13704</v>
      </c>
      <c r="K4557" t="s">
        <v>13705</v>
      </c>
    </row>
    <row r="4558" spans="1:11">
      <c r="A4558" t="s">
        <v>13706</v>
      </c>
      <c r="J4558" t="s">
        <v>13707</v>
      </c>
      <c r="K4558" t="s">
        <v>13708</v>
      </c>
    </row>
    <row r="4559" spans="1:11">
      <c r="A4559" t="s">
        <v>13709</v>
      </c>
      <c r="J4559" t="s">
        <v>13710</v>
      </c>
      <c r="K4559" t="s">
        <v>13711</v>
      </c>
    </row>
    <row r="4560" spans="1:11">
      <c r="A4560" t="s">
        <v>13712</v>
      </c>
      <c r="J4560" t="s">
        <v>13713</v>
      </c>
      <c r="K4560" t="s">
        <v>13714</v>
      </c>
    </row>
    <row r="4561" spans="1:11">
      <c r="A4561" t="s">
        <v>13715</v>
      </c>
      <c r="J4561" t="s">
        <v>13716</v>
      </c>
      <c r="K4561" t="s">
        <v>13717</v>
      </c>
    </row>
    <row r="4562" spans="1:11">
      <c r="A4562" t="s">
        <v>13718</v>
      </c>
      <c r="J4562" t="s">
        <v>13719</v>
      </c>
      <c r="K4562" t="s">
        <v>13720</v>
      </c>
    </row>
    <row r="4563" spans="1:11">
      <c r="A4563" t="s">
        <v>13721</v>
      </c>
      <c r="J4563" t="s">
        <v>13722</v>
      </c>
      <c r="K4563" t="s">
        <v>13723</v>
      </c>
    </row>
    <row r="4564" spans="1:11">
      <c r="A4564" t="s">
        <v>13724</v>
      </c>
      <c r="J4564" t="s">
        <v>13725</v>
      </c>
      <c r="K4564" t="s">
        <v>13726</v>
      </c>
    </row>
    <row r="4565" spans="1:11">
      <c r="A4565" t="s">
        <v>13727</v>
      </c>
      <c r="J4565" t="s">
        <v>13728</v>
      </c>
      <c r="K4565" t="s">
        <v>13729</v>
      </c>
    </row>
    <row r="4566" spans="1:11">
      <c r="A4566" t="s">
        <v>13730</v>
      </c>
      <c r="J4566" t="s">
        <v>13731</v>
      </c>
      <c r="K4566" t="s">
        <v>13732</v>
      </c>
    </row>
    <row r="4567" spans="1:11">
      <c r="A4567" t="s">
        <v>13733</v>
      </c>
      <c r="J4567" t="s">
        <v>13734</v>
      </c>
      <c r="K4567" t="s">
        <v>13735</v>
      </c>
    </row>
    <row r="4568" spans="1:11">
      <c r="A4568" t="s">
        <v>13736</v>
      </c>
      <c r="J4568" t="s">
        <v>13737</v>
      </c>
      <c r="K4568" t="s">
        <v>13738</v>
      </c>
    </row>
    <row r="4569" spans="1:11">
      <c r="A4569" t="s">
        <v>13739</v>
      </c>
      <c r="J4569" t="s">
        <v>13740</v>
      </c>
      <c r="K4569" t="s">
        <v>13741</v>
      </c>
    </row>
    <row r="4570" spans="1:11">
      <c r="A4570" t="s">
        <v>13742</v>
      </c>
      <c r="J4570" t="s">
        <v>13743</v>
      </c>
      <c r="K4570" t="s">
        <v>13744</v>
      </c>
    </row>
    <row r="4571" spans="1:11">
      <c r="A4571" t="s">
        <v>13745</v>
      </c>
      <c r="J4571" t="s">
        <v>13746</v>
      </c>
      <c r="K4571" t="s">
        <v>13747</v>
      </c>
    </row>
    <row r="4572" spans="1:11">
      <c r="A4572" t="s">
        <v>13748</v>
      </c>
      <c r="J4572" t="s">
        <v>13749</v>
      </c>
      <c r="K4572" t="s">
        <v>13750</v>
      </c>
    </row>
    <row r="4573" spans="1:11">
      <c r="A4573" t="s">
        <v>13751</v>
      </c>
      <c r="J4573" t="s">
        <v>13752</v>
      </c>
      <c r="K4573" t="s">
        <v>13753</v>
      </c>
    </row>
    <row r="4574" spans="1:11">
      <c r="A4574" t="s">
        <v>13754</v>
      </c>
      <c r="J4574" t="s">
        <v>13755</v>
      </c>
      <c r="K4574" t="s">
        <v>13756</v>
      </c>
    </row>
    <row r="4575" spans="1:11">
      <c r="A4575" t="s">
        <v>13757</v>
      </c>
      <c r="J4575" t="s">
        <v>13758</v>
      </c>
      <c r="K4575" t="s">
        <v>13759</v>
      </c>
    </row>
    <row r="4576" spans="1:11">
      <c r="A4576" t="s">
        <v>13760</v>
      </c>
      <c r="J4576" t="s">
        <v>13761</v>
      </c>
      <c r="K4576" t="s">
        <v>13762</v>
      </c>
    </row>
    <row r="4577" spans="1:11">
      <c r="A4577" t="s">
        <v>13763</v>
      </c>
      <c r="J4577" t="s">
        <v>13764</v>
      </c>
      <c r="K4577" t="s">
        <v>13765</v>
      </c>
    </row>
    <row r="4578" spans="1:11">
      <c r="A4578" t="s">
        <v>13766</v>
      </c>
      <c r="J4578" t="s">
        <v>13767</v>
      </c>
      <c r="K4578" t="s">
        <v>13768</v>
      </c>
    </row>
    <row r="4579" spans="1:11">
      <c r="A4579" t="s">
        <v>13769</v>
      </c>
      <c r="J4579" t="s">
        <v>13770</v>
      </c>
      <c r="K4579" t="s">
        <v>13771</v>
      </c>
    </row>
    <row r="4580" spans="1:11">
      <c r="A4580" t="s">
        <v>13772</v>
      </c>
      <c r="J4580" t="s">
        <v>13773</v>
      </c>
      <c r="K4580" t="s">
        <v>13774</v>
      </c>
    </row>
    <row r="4581" spans="1:11">
      <c r="A4581" t="s">
        <v>13775</v>
      </c>
      <c r="J4581" t="s">
        <v>13776</v>
      </c>
      <c r="K4581" t="s">
        <v>13777</v>
      </c>
    </row>
    <row r="4582" spans="1:11">
      <c r="A4582" t="s">
        <v>13778</v>
      </c>
      <c r="J4582" t="s">
        <v>13779</v>
      </c>
      <c r="K4582" t="s">
        <v>13780</v>
      </c>
    </row>
    <row r="4583" spans="1:11">
      <c r="A4583" t="s">
        <v>13781</v>
      </c>
      <c r="J4583" t="s">
        <v>13782</v>
      </c>
      <c r="K4583" t="s">
        <v>13783</v>
      </c>
    </row>
    <row r="4584" spans="1:11">
      <c r="A4584" t="s">
        <v>13784</v>
      </c>
      <c r="J4584" t="s">
        <v>13785</v>
      </c>
      <c r="K4584" t="s">
        <v>13786</v>
      </c>
    </row>
    <row r="4585" spans="1:11">
      <c r="A4585" t="s">
        <v>13787</v>
      </c>
      <c r="J4585" t="s">
        <v>13788</v>
      </c>
      <c r="K4585" t="s">
        <v>13789</v>
      </c>
    </row>
    <row r="4586" spans="1:11">
      <c r="A4586" t="s">
        <v>13790</v>
      </c>
      <c r="J4586" t="s">
        <v>13791</v>
      </c>
      <c r="K4586" t="s">
        <v>13792</v>
      </c>
    </row>
    <row r="4587" spans="1:11">
      <c r="A4587" t="s">
        <v>13793</v>
      </c>
      <c r="J4587" t="s">
        <v>13794</v>
      </c>
      <c r="K4587" t="s">
        <v>13795</v>
      </c>
    </row>
    <row r="4588" spans="1:11">
      <c r="A4588" t="s">
        <v>13796</v>
      </c>
      <c r="J4588" t="s">
        <v>13797</v>
      </c>
      <c r="K4588" t="s">
        <v>13798</v>
      </c>
    </row>
    <row r="4589" spans="1:11">
      <c r="A4589" t="s">
        <v>13799</v>
      </c>
      <c r="J4589" t="s">
        <v>13800</v>
      </c>
      <c r="K4589" t="s">
        <v>13801</v>
      </c>
    </row>
    <row r="4590" spans="1:11">
      <c r="A4590" t="s">
        <v>13802</v>
      </c>
      <c r="J4590" t="s">
        <v>13803</v>
      </c>
      <c r="K4590" t="s">
        <v>13804</v>
      </c>
    </row>
    <row r="4591" spans="1:11">
      <c r="A4591" t="s">
        <v>13805</v>
      </c>
      <c r="J4591" t="s">
        <v>13806</v>
      </c>
      <c r="K4591" t="s">
        <v>13807</v>
      </c>
    </row>
    <row r="4592" spans="1:11">
      <c r="A4592" t="s">
        <v>13808</v>
      </c>
      <c r="J4592" t="s">
        <v>13809</v>
      </c>
      <c r="K4592" t="s">
        <v>13810</v>
      </c>
    </row>
    <row r="4593" spans="1:11">
      <c r="A4593" t="s">
        <v>13811</v>
      </c>
      <c r="J4593" t="s">
        <v>13812</v>
      </c>
      <c r="K4593" t="s">
        <v>13813</v>
      </c>
    </row>
    <row r="4594" spans="1:11">
      <c r="A4594" t="s">
        <v>13814</v>
      </c>
      <c r="J4594" t="s">
        <v>13815</v>
      </c>
      <c r="K4594" t="s">
        <v>13816</v>
      </c>
    </row>
    <row r="4595" spans="1:11">
      <c r="A4595" t="s">
        <v>13817</v>
      </c>
      <c r="J4595" t="s">
        <v>13818</v>
      </c>
      <c r="K4595" t="s">
        <v>13819</v>
      </c>
    </row>
    <row r="4596" spans="1:11">
      <c r="A4596" t="s">
        <v>13820</v>
      </c>
      <c r="J4596" t="s">
        <v>13821</v>
      </c>
      <c r="K4596" t="s">
        <v>13822</v>
      </c>
    </row>
    <row r="4597" spans="1:11">
      <c r="A4597" t="s">
        <v>13823</v>
      </c>
      <c r="J4597" t="s">
        <v>13824</v>
      </c>
      <c r="K4597" t="s">
        <v>13825</v>
      </c>
    </row>
    <row r="4598" spans="1:11">
      <c r="A4598" t="s">
        <v>13826</v>
      </c>
      <c r="J4598" t="s">
        <v>13827</v>
      </c>
      <c r="K4598" t="s">
        <v>13828</v>
      </c>
    </row>
    <row r="4599" spans="1:11">
      <c r="A4599" t="s">
        <v>13829</v>
      </c>
      <c r="J4599" t="s">
        <v>13830</v>
      </c>
      <c r="K4599" t="s">
        <v>13831</v>
      </c>
    </row>
    <row r="4600" spans="1:11">
      <c r="A4600" t="s">
        <v>13832</v>
      </c>
      <c r="J4600" t="s">
        <v>13833</v>
      </c>
      <c r="K4600" t="s">
        <v>13834</v>
      </c>
    </row>
    <row r="4601" spans="1:11">
      <c r="A4601" t="s">
        <v>13835</v>
      </c>
      <c r="J4601" t="s">
        <v>13836</v>
      </c>
      <c r="K4601" t="s">
        <v>13837</v>
      </c>
    </row>
    <row r="4602" spans="1:11">
      <c r="A4602" t="s">
        <v>13838</v>
      </c>
      <c r="J4602" t="s">
        <v>13839</v>
      </c>
      <c r="K4602" t="s">
        <v>13840</v>
      </c>
    </row>
    <row r="4603" spans="1:11">
      <c r="A4603" t="s">
        <v>13841</v>
      </c>
      <c r="J4603" t="s">
        <v>13842</v>
      </c>
      <c r="K4603" t="s">
        <v>13843</v>
      </c>
    </row>
    <row r="4604" spans="1:11">
      <c r="A4604" t="s">
        <v>13844</v>
      </c>
      <c r="J4604" t="s">
        <v>13845</v>
      </c>
      <c r="K4604" t="s">
        <v>13846</v>
      </c>
    </row>
    <row r="4605" spans="1:11">
      <c r="A4605" t="s">
        <v>13847</v>
      </c>
      <c r="J4605" t="s">
        <v>13848</v>
      </c>
      <c r="K4605" t="s">
        <v>13849</v>
      </c>
    </row>
    <row r="4606" spans="1:11">
      <c r="A4606" t="s">
        <v>13850</v>
      </c>
      <c r="J4606" t="s">
        <v>13851</v>
      </c>
      <c r="K4606" t="s">
        <v>13852</v>
      </c>
    </row>
    <row r="4607" spans="1:11">
      <c r="A4607" t="s">
        <v>13853</v>
      </c>
      <c r="J4607" t="s">
        <v>13854</v>
      </c>
      <c r="K4607" t="s">
        <v>13855</v>
      </c>
    </row>
    <row r="4608" spans="1:11">
      <c r="A4608" t="s">
        <v>13856</v>
      </c>
      <c r="J4608" t="s">
        <v>13857</v>
      </c>
      <c r="K4608" t="s">
        <v>13858</v>
      </c>
    </row>
    <row r="4609" spans="1:11">
      <c r="A4609" t="s">
        <v>13859</v>
      </c>
      <c r="J4609" t="s">
        <v>13860</v>
      </c>
      <c r="K4609" t="s">
        <v>13861</v>
      </c>
    </row>
    <row r="4610" spans="1:11">
      <c r="A4610" t="s">
        <v>13862</v>
      </c>
      <c r="J4610" t="s">
        <v>13863</v>
      </c>
      <c r="K4610" t="s">
        <v>13864</v>
      </c>
    </row>
    <row r="4611" spans="1:11">
      <c r="A4611" t="s">
        <v>13865</v>
      </c>
      <c r="J4611" t="s">
        <v>13866</v>
      </c>
      <c r="K4611" t="s">
        <v>13867</v>
      </c>
    </row>
    <row r="4612" spans="1:11">
      <c r="A4612" t="s">
        <v>13868</v>
      </c>
      <c r="J4612" t="s">
        <v>13869</v>
      </c>
      <c r="K4612" t="s">
        <v>13870</v>
      </c>
    </row>
    <row r="4613" spans="1:11">
      <c r="A4613" t="s">
        <v>13871</v>
      </c>
      <c r="J4613" t="s">
        <v>13872</v>
      </c>
      <c r="K4613" t="s">
        <v>13873</v>
      </c>
    </row>
    <row r="4614" spans="1:11">
      <c r="A4614" t="s">
        <v>13874</v>
      </c>
      <c r="J4614" t="s">
        <v>13875</v>
      </c>
      <c r="K4614" t="s">
        <v>13876</v>
      </c>
    </row>
    <row r="4615" spans="1:11">
      <c r="A4615" t="s">
        <v>13877</v>
      </c>
      <c r="J4615" t="s">
        <v>13878</v>
      </c>
      <c r="K4615" t="s">
        <v>13879</v>
      </c>
    </row>
    <row r="4616" spans="1:11">
      <c r="A4616" t="s">
        <v>13880</v>
      </c>
      <c r="J4616" t="s">
        <v>13881</v>
      </c>
      <c r="K4616" t="s">
        <v>13882</v>
      </c>
    </row>
    <row r="4617" spans="1:11">
      <c r="A4617" t="s">
        <v>13883</v>
      </c>
      <c r="J4617" t="s">
        <v>13884</v>
      </c>
      <c r="K4617" t="s">
        <v>13885</v>
      </c>
    </row>
    <row r="4618" spans="1:11">
      <c r="A4618" t="s">
        <v>13886</v>
      </c>
      <c r="J4618" t="s">
        <v>13887</v>
      </c>
      <c r="K4618" t="s">
        <v>13888</v>
      </c>
    </row>
    <row r="4619" spans="1:11">
      <c r="A4619" t="s">
        <v>13889</v>
      </c>
      <c r="J4619" t="s">
        <v>13890</v>
      </c>
      <c r="K4619" t="s">
        <v>13891</v>
      </c>
    </row>
    <row r="4620" spans="1:11">
      <c r="A4620" t="s">
        <v>13892</v>
      </c>
      <c r="J4620" t="s">
        <v>13893</v>
      </c>
      <c r="K4620" t="s">
        <v>13894</v>
      </c>
    </row>
    <row r="4621" spans="1:11">
      <c r="A4621" t="s">
        <v>13895</v>
      </c>
      <c r="J4621" t="s">
        <v>13896</v>
      </c>
      <c r="K4621" t="s">
        <v>13897</v>
      </c>
    </row>
    <row r="4622" spans="1:11">
      <c r="A4622" t="s">
        <v>13898</v>
      </c>
      <c r="J4622" t="s">
        <v>13899</v>
      </c>
      <c r="K4622" t="s">
        <v>13900</v>
      </c>
    </row>
    <row r="4623" spans="1:11">
      <c r="A4623" t="s">
        <v>13901</v>
      </c>
      <c r="J4623" t="s">
        <v>13902</v>
      </c>
      <c r="K4623" t="s">
        <v>13903</v>
      </c>
    </row>
    <row r="4624" spans="1:11">
      <c r="A4624" t="s">
        <v>13904</v>
      </c>
      <c r="J4624" t="s">
        <v>13905</v>
      </c>
      <c r="K4624" t="s">
        <v>13906</v>
      </c>
    </row>
    <row r="4625" spans="1:11">
      <c r="A4625" t="s">
        <v>13907</v>
      </c>
      <c r="J4625" t="s">
        <v>13908</v>
      </c>
      <c r="K4625" t="s">
        <v>13909</v>
      </c>
    </row>
    <row r="4626" spans="1:11">
      <c r="A4626" t="s">
        <v>13910</v>
      </c>
      <c r="J4626" t="s">
        <v>13911</v>
      </c>
      <c r="K4626" t="s">
        <v>13912</v>
      </c>
    </row>
    <row r="4627" spans="1:11">
      <c r="A4627" t="s">
        <v>13913</v>
      </c>
      <c r="J4627" t="s">
        <v>13914</v>
      </c>
      <c r="K4627" t="s">
        <v>13915</v>
      </c>
    </row>
    <row r="4628" spans="1:11">
      <c r="A4628" t="s">
        <v>13916</v>
      </c>
      <c r="J4628" t="s">
        <v>13917</v>
      </c>
      <c r="K4628" t="s">
        <v>13918</v>
      </c>
    </row>
    <row r="4629" spans="1:11">
      <c r="A4629" t="s">
        <v>13919</v>
      </c>
      <c r="J4629" t="s">
        <v>13920</v>
      </c>
      <c r="K4629" t="s">
        <v>13921</v>
      </c>
    </row>
    <row r="4630" spans="1:11">
      <c r="A4630" t="s">
        <v>13922</v>
      </c>
      <c r="J4630" t="s">
        <v>13923</v>
      </c>
      <c r="K4630" t="s">
        <v>13924</v>
      </c>
    </row>
    <row r="4631" spans="1:11">
      <c r="A4631" t="s">
        <v>13925</v>
      </c>
      <c r="J4631" t="s">
        <v>13926</v>
      </c>
      <c r="K4631" t="s">
        <v>13927</v>
      </c>
    </row>
    <row r="4632" spans="1:11">
      <c r="A4632" t="s">
        <v>13928</v>
      </c>
      <c r="J4632" t="s">
        <v>13929</v>
      </c>
      <c r="K4632" t="s">
        <v>13930</v>
      </c>
    </row>
    <row r="4633" spans="1:11">
      <c r="A4633" t="s">
        <v>13931</v>
      </c>
      <c r="J4633" t="s">
        <v>13932</v>
      </c>
      <c r="K4633" t="s">
        <v>13933</v>
      </c>
    </row>
    <row r="4634" spans="1:11">
      <c r="A4634" t="s">
        <v>13934</v>
      </c>
      <c r="J4634" t="s">
        <v>13935</v>
      </c>
      <c r="K4634" t="s">
        <v>13936</v>
      </c>
    </row>
    <row r="4635" spans="1:11">
      <c r="A4635" t="s">
        <v>13937</v>
      </c>
      <c r="J4635" t="s">
        <v>13938</v>
      </c>
      <c r="K4635" t="s">
        <v>13939</v>
      </c>
    </row>
    <row r="4636" spans="1:11">
      <c r="A4636" t="s">
        <v>13940</v>
      </c>
      <c r="J4636" t="s">
        <v>13941</v>
      </c>
      <c r="K4636" t="s">
        <v>13942</v>
      </c>
    </row>
    <row r="4637" spans="1:11">
      <c r="A4637" t="s">
        <v>13943</v>
      </c>
      <c r="J4637" t="s">
        <v>13944</v>
      </c>
      <c r="K4637" t="s">
        <v>13945</v>
      </c>
    </row>
    <row r="4638" spans="1:11">
      <c r="A4638" t="s">
        <v>13946</v>
      </c>
      <c r="J4638" t="s">
        <v>13947</v>
      </c>
      <c r="K4638" t="s">
        <v>13948</v>
      </c>
    </row>
    <row r="4639" spans="1:11">
      <c r="A4639" t="s">
        <v>13949</v>
      </c>
      <c r="J4639" t="s">
        <v>13950</v>
      </c>
      <c r="K4639" t="s">
        <v>13951</v>
      </c>
    </row>
    <row r="4640" spans="1:11">
      <c r="A4640" t="s">
        <v>13952</v>
      </c>
      <c r="J4640" t="s">
        <v>13953</v>
      </c>
      <c r="K4640" t="s">
        <v>13954</v>
      </c>
    </row>
    <row r="4641" spans="1:11">
      <c r="A4641" t="s">
        <v>13955</v>
      </c>
      <c r="J4641" t="s">
        <v>13956</v>
      </c>
      <c r="K4641" t="s">
        <v>13957</v>
      </c>
    </row>
    <row r="4642" spans="1:11">
      <c r="A4642" t="s">
        <v>13958</v>
      </c>
      <c r="J4642" t="s">
        <v>13959</v>
      </c>
      <c r="K4642" t="s">
        <v>13960</v>
      </c>
    </row>
    <row r="4643" spans="1:11">
      <c r="A4643" t="s">
        <v>13961</v>
      </c>
      <c r="J4643" t="s">
        <v>13962</v>
      </c>
      <c r="K4643" t="s">
        <v>13963</v>
      </c>
    </row>
    <row r="4644" spans="1:11">
      <c r="A4644" t="s">
        <v>13964</v>
      </c>
      <c r="J4644" t="s">
        <v>13965</v>
      </c>
      <c r="K4644" t="s">
        <v>13966</v>
      </c>
    </row>
    <row r="4645" spans="1:11">
      <c r="A4645" t="s">
        <v>13967</v>
      </c>
      <c r="J4645" t="s">
        <v>13968</v>
      </c>
      <c r="K4645" t="s">
        <v>13969</v>
      </c>
    </row>
    <row r="4646" spans="1:11">
      <c r="A4646" t="s">
        <v>13970</v>
      </c>
      <c r="J4646" t="s">
        <v>13971</v>
      </c>
      <c r="K4646" t="s">
        <v>13972</v>
      </c>
    </row>
    <row r="4647" spans="1:11">
      <c r="A4647" t="s">
        <v>13973</v>
      </c>
      <c r="J4647" t="s">
        <v>13974</v>
      </c>
      <c r="K4647" t="s">
        <v>13975</v>
      </c>
    </row>
    <row r="4648" spans="1:11">
      <c r="A4648" t="s">
        <v>13976</v>
      </c>
      <c r="J4648" t="s">
        <v>13977</v>
      </c>
      <c r="K4648" t="s">
        <v>13978</v>
      </c>
    </row>
    <row r="4649" spans="1:11">
      <c r="A4649" t="s">
        <v>13979</v>
      </c>
      <c r="J4649" t="s">
        <v>13980</v>
      </c>
      <c r="K4649" t="s">
        <v>13981</v>
      </c>
    </row>
    <row r="4650" spans="1:11">
      <c r="A4650" t="s">
        <v>13982</v>
      </c>
      <c r="J4650" t="s">
        <v>13983</v>
      </c>
      <c r="K4650" t="s">
        <v>13984</v>
      </c>
    </row>
    <row r="4651" spans="1:11">
      <c r="A4651" t="s">
        <v>13985</v>
      </c>
      <c r="J4651" t="s">
        <v>13986</v>
      </c>
      <c r="K4651" t="s">
        <v>13987</v>
      </c>
    </row>
    <row r="4652" spans="1:11">
      <c r="A4652" t="s">
        <v>13988</v>
      </c>
      <c r="J4652" t="s">
        <v>13989</v>
      </c>
      <c r="K4652" t="s">
        <v>13990</v>
      </c>
    </row>
    <row r="4653" spans="1:11">
      <c r="A4653" t="s">
        <v>13991</v>
      </c>
      <c r="J4653" t="s">
        <v>13992</v>
      </c>
      <c r="K4653" t="s">
        <v>13993</v>
      </c>
    </row>
    <row r="4654" spans="1:11">
      <c r="A4654" t="s">
        <v>13994</v>
      </c>
      <c r="J4654" t="s">
        <v>13995</v>
      </c>
      <c r="K4654" t="s">
        <v>13996</v>
      </c>
    </row>
    <row r="4655" spans="1:11">
      <c r="A4655" t="s">
        <v>13997</v>
      </c>
      <c r="J4655" t="s">
        <v>13998</v>
      </c>
      <c r="K4655" t="s">
        <v>13999</v>
      </c>
    </row>
    <row r="4656" spans="1:11">
      <c r="A4656" t="s">
        <v>14000</v>
      </c>
      <c r="J4656" t="s">
        <v>14001</v>
      </c>
      <c r="K4656" t="s">
        <v>14002</v>
      </c>
    </row>
    <row r="4657" spans="1:11">
      <c r="A4657" t="s">
        <v>14003</v>
      </c>
      <c r="J4657" t="s">
        <v>14004</v>
      </c>
      <c r="K4657" t="s">
        <v>14005</v>
      </c>
    </row>
    <row r="4658" spans="1:11">
      <c r="A4658" t="s">
        <v>14006</v>
      </c>
      <c r="J4658" t="s">
        <v>14007</v>
      </c>
      <c r="K4658" t="s">
        <v>14008</v>
      </c>
    </row>
    <row r="4659" spans="1:11">
      <c r="A4659" t="s">
        <v>14009</v>
      </c>
      <c r="J4659" t="s">
        <v>14010</v>
      </c>
      <c r="K4659" t="s">
        <v>14011</v>
      </c>
    </row>
    <row r="4660" spans="1:11">
      <c r="A4660" t="s">
        <v>14012</v>
      </c>
      <c r="J4660" t="s">
        <v>14013</v>
      </c>
      <c r="K4660" t="s">
        <v>14014</v>
      </c>
    </row>
    <row r="4661" spans="1:11">
      <c r="A4661" t="s">
        <v>14015</v>
      </c>
      <c r="J4661" t="s">
        <v>14016</v>
      </c>
      <c r="K4661" t="s">
        <v>14017</v>
      </c>
    </row>
    <row r="4662" spans="1:11">
      <c r="A4662" t="s">
        <v>14018</v>
      </c>
      <c r="J4662" t="s">
        <v>14019</v>
      </c>
      <c r="K4662" t="s">
        <v>14020</v>
      </c>
    </row>
    <row r="4663" spans="1:11">
      <c r="A4663" t="s">
        <v>14021</v>
      </c>
      <c r="J4663" t="s">
        <v>14022</v>
      </c>
      <c r="K4663" t="s">
        <v>14023</v>
      </c>
    </row>
    <row r="4664" spans="1:11">
      <c r="A4664" t="s">
        <v>14024</v>
      </c>
      <c r="J4664" t="s">
        <v>14025</v>
      </c>
      <c r="K4664" t="s">
        <v>14026</v>
      </c>
    </row>
    <row r="4665" spans="1:11">
      <c r="A4665" t="s">
        <v>14027</v>
      </c>
      <c r="J4665" t="s">
        <v>14028</v>
      </c>
      <c r="K4665" t="s">
        <v>14029</v>
      </c>
    </row>
    <row r="4666" spans="1:11">
      <c r="A4666" t="s">
        <v>14030</v>
      </c>
      <c r="J4666" t="s">
        <v>14031</v>
      </c>
      <c r="K4666" t="s">
        <v>14032</v>
      </c>
    </row>
    <row r="4667" spans="1:11">
      <c r="A4667" t="s">
        <v>14033</v>
      </c>
      <c r="J4667" t="s">
        <v>14034</v>
      </c>
      <c r="K4667" t="s">
        <v>14035</v>
      </c>
    </row>
    <row r="4668" spans="1:11">
      <c r="A4668" t="s">
        <v>14036</v>
      </c>
      <c r="J4668" t="s">
        <v>14037</v>
      </c>
      <c r="K4668" t="s">
        <v>14038</v>
      </c>
    </row>
    <row r="4669" spans="1:11">
      <c r="A4669" t="s">
        <v>14039</v>
      </c>
      <c r="J4669" t="s">
        <v>14040</v>
      </c>
      <c r="K4669" t="s">
        <v>14041</v>
      </c>
    </row>
    <row r="4670" spans="1:11">
      <c r="A4670" t="s">
        <v>14042</v>
      </c>
      <c r="J4670" t="s">
        <v>14043</v>
      </c>
      <c r="K4670" t="s">
        <v>14044</v>
      </c>
    </row>
    <row r="4671" spans="1:11">
      <c r="A4671" t="s">
        <v>14045</v>
      </c>
      <c r="J4671" t="s">
        <v>14046</v>
      </c>
      <c r="K4671" t="s">
        <v>14047</v>
      </c>
    </row>
    <row r="4672" spans="1:11">
      <c r="A4672" t="s">
        <v>14048</v>
      </c>
      <c r="J4672" t="s">
        <v>14049</v>
      </c>
      <c r="K4672" t="s">
        <v>14050</v>
      </c>
    </row>
    <row r="4673" spans="1:11">
      <c r="A4673" t="s">
        <v>14051</v>
      </c>
      <c r="J4673" t="s">
        <v>14052</v>
      </c>
      <c r="K4673" t="s">
        <v>14053</v>
      </c>
    </row>
    <row r="4674" spans="1:11">
      <c r="A4674" t="s">
        <v>14054</v>
      </c>
      <c r="J4674" t="s">
        <v>14055</v>
      </c>
      <c r="K4674" t="s">
        <v>14056</v>
      </c>
    </row>
    <row r="4675" spans="1:11">
      <c r="A4675" t="s">
        <v>14057</v>
      </c>
      <c r="J4675" t="s">
        <v>14058</v>
      </c>
      <c r="K4675" t="s">
        <v>14059</v>
      </c>
    </row>
    <row r="4676" spans="1:11">
      <c r="A4676" t="s">
        <v>14060</v>
      </c>
      <c r="J4676" t="s">
        <v>14061</v>
      </c>
      <c r="K4676" t="s">
        <v>14062</v>
      </c>
    </row>
    <row r="4677" spans="1:11">
      <c r="A4677" t="s">
        <v>14063</v>
      </c>
      <c r="J4677" t="s">
        <v>14064</v>
      </c>
      <c r="K4677" t="s">
        <v>14065</v>
      </c>
    </row>
    <row r="4678" spans="1:11">
      <c r="A4678" t="s">
        <v>14066</v>
      </c>
      <c r="J4678" t="s">
        <v>14067</v>
      </c>
      <c r="K4678" t="s">
        <v>14068</v>
      </c>
    </row>
    <row r="4679" spans="1:11">
      <c r="A4679" t="s">
        <v>14069</v>
      </c>
      <c r="J4679" t="s">
        <v>14070</v>
      </c>
      <c r="K4679" t="s">
        <v>14071</v>
      </c>
    </row>
    <row r="4680" spans="1:11">
      <c r="A4680" t="s">
        <v>14072</v>
      </c>
      <c r="J4680" t="s">
        <v>14073</v>
      </c>
      <c r="K4680" t="s">
        <v>14074</v>
      </c>
    </row>
    <row r="4681" spans="1:11">
      <c r="A4681" t="s">
        <v>14075</v>
      </c>
      <c r="J4681" t="s">
        <v>14076</v>
      </c>
      <c r="K4681" t="s">
        <v>14077</v>
      </c>
    </row>
    <row r="4682" spans="1:11">
      <c r="A4682" t="s">
        <v>14078</v>
      </c>
      <c r="J4682" t="s">
        <v>14079</v>
      </c>
      <c r="K4682" t="s">
        <v>14080</v>
      </c>
    </row>
    <row r="4683" spans="1:11">
      <c r="A4683" t="s">
        <v>14081</v>
      </c>
      <c r="J4683" t="s">
        <v>14082</v>
      </c>
      <c r="K4683" t="s">
        <v>14083</v>
      </c>
    </row>
    <row r="4684" spans="1:11">
      <c r="A4684" t="s">
        <v>14084</v>
      </c>
      <c r="J4684" t="s">
        <v>14085</v>
      </c>
      <c r="K4684" t="s">
        <v>14086</v>
      </c>
    </row>
    <row r="4685" spans="1:11">
      <c r="A4685" t="s">
        <v>14087</v>
      </c>
      <c r="J4685" t="s">
        <v>14088</v>
      </c>
      <c r="K4685" t="s">
        <v>14089</v>
      </c>
    </row>
    <row r="4686" spans="1:11">
      <c r="A4686" t="s">
        <v>14090</v>
      </c>
      <c r="J4686" t="s">
        <v>14091</v>
      </c>
      <c r="K4686" t="s">
        <v>14092</v>
      </c>
    </row>
    <row r="4687" spans="1:11">
      <c r="A4687" t="s">
        <v>14093</v>
      </c>
      <c r="J4687" t="s">
        <v>14094</v>
      </c>
      <c r="K4687" t="s">
        <v>14095</v>
      </c>
    </row>
    <row r="4688" spans="1:11">
      <c r="A4688" t="s">
        <v>14096</v>
      </c>
      <c r="J4688" t="s">
        <v>14097</v>
      </c>
      <c r="K4688" t="s">
        <v>14098</v>
      </c>
    </row>
    <row r="4689" spans="1:11">
      <c r="A4689" t="s">
        <v>14099</v>
      </c>
      <c r="J4689" t="s">
        <v>14100</v>
      </c>
      <c r="K4689" t="s">
        <v>14101</v>
      </c>
    </row>
    <row r="4690" spans="1:11">
      <c r="A4690" t="s">
        <v>14102</v>
      </c>
      <c r="J4690" t="s">
        <v>14103</v>
      </c>
      <c r="K4690" t="s">
        <v>14104</v>
      </c>
    </row>
    <row r="4691" spans="1:11">
      <c r="A4691" t="s">
        <v>14105</v>
      </c>
      <c r="J4691" t="s">
        <v>14106</v>
      </c>
      <c r="K4691" t="s">
        <v>14107</v>
      </c>
    </row>
    <row r="4692" spans="1:11">
      <c r="A4692" t="s">
        <v>14108</v>
      </c>
      <c r="J4692" t="s">
        <v>14109</v>
      </c>
      <c r="K4692" t="s">
        <v>14110</v>
      </c>
    </row>
    <row r="4693" spans="1:11">
      <c r="A4693" t="s">
        <v>14111</v>
      </c>
      <c r="J4693" t="s">
        <v>14112</v>
      </c>
      <c r="K4693" t="s">
        <v>14113</v>
      </c>
    </row>
    <row r="4694" spans="1:11">
      <c r="A4694" t="s">
        <v>14114</v>
      </c>
      <c r="J4694" t="s">
        <v>14115</v>
      </c>
      <c r="K4694" t="s">
        <v>14116</v>
      </c>
    </row>
    <row r="4695" spans="1:11">
      <c r="A4695" t="s">
        <v>14117</v>
      </c>
      <c r="J4695" t="s">
        <v>14118</v>
      </c>
      <c r="K4695" t="s">
        <v>14119</v>
      </c>
    </row>
    <row r="4696" spans="1:11">
      <c r="A4696" t="s">
        <v>14120</v>
      </c>
      <c r="J4696" t="s">
        <v>14121</v>
      </c>
      <c r="K4696" t="s">
        <v>14122</v>
      </c>
    </row>
    <row r="4697" spans="1:11">
      <c r="A4697" t="s">
        <v>14123</v>
      </c>
      <c r="J4697" t="s">
        <v>14124</v>
      </c>
      <c r="K4697" t="s">
        <v>14125</v>
      </c>
    </row>
    <row r="4698" spans="1:11">
      <c r="A4698" t="s">
        <v>14126</v>
      </c>
      <c r="J4698" t="s">
        <v>14127</v>
      </c>
      <c r="K4698" t="s">
        <v>14128</v>
      </c>
    </row>
    <row r="4699" spans="1:11">
      <c r="A4699" t="s">
        <v>14129</v>
      </c>
      <c r="J4699" t="s">
        <v>14130</v>
      </c>
      <c r="K4699" t="s">
        <v>14131</v>
      </c>
    </row>
    <row r="4700" spans="1:11">
      <c r="A4700" t="s">
        <v>14132</v>
      </c>
      <c r="J4700" t="s">
        <v>14133</v>
      </c>
      <c r="K4700" t="s">
        <v>14134</v>
      </c>
    </row>
    <row r="4701" spans="1:11">
      <c r="A4701" t="s">
        <v>14135</v>
      </c>
      <c r="J4701" t="s">
        <v>14136</v>
      </c>
      <c r="K4701" t="s">
        <v>14137</v>
      </c>
    </row>
    <row r="4702" spans="1:11">
      <c r="A4702" t="s">
        <v>14138</v>
      </c>
      <c r="J4702" t="s">
        <v>14139</v>
      </c>
      <c r="K4702" t="s">
        <v>14140</v>
      </c>
    </row>
    <row r="4703" spans="1:11">
      <c r="A4703" t="s">
        <v>14141</v>
      </c>
      <c r="J4703" t="s">
        <v>14142</v>
      </c>
      <c r="K4703" t="s">
        <v>14143</v>
      </c>
    </row>
    <row r="4704" spans="1:11">
      <c r="A4704" t="s">
        <v>14144</v>
      </c>
      <c r="J4704" t="s">
        <v>14145</v>
      </c>
      <c r="K4704" t="s">
        <v>14146</v>
      </c>
    </row>
    <row r="4705" spans="1:11">
      <c r="A4705" t="s">
        <v>14147</v>
      </c>
      <c r="J4705" t="s">
        <v>14148</v>
      </c>
      <c r="K4705" t="s">
        <v>14149</v>
      </c>
    </row>
    <row r="4706" spans="1:11">
      <c r="A4706" t="s">
        <v>14150</v>
      </c>
      <c r="J4706" t="s">
        <v>14151</v>
      </c>
      <c r="K4706" t="s">
        <v>14152</v>
      </c>
    </row>
    <row r="4707" spans="1:11">
      <c r="A4707" t="s">
        <v>14153</v>
      </c>
      <c r="J4707" t="s">
        <v>14154</v>
      </c>
      <c r="K4707" t="s">
        <v>14155</v>
      </c>
    </row>
    <row r="4708" spans="1:11">
      <c r="A4708" t="s">
        <v>14156</v>
      </c>
      <c r="J4708" t="s">
        <v>14157</v>
      </c>
      <c r="K4708" t="s">
        <v>14158</v>
      </c>
    </row>
    <row r="4709" spans="1:11">
      <c r="A4709" t="s">
        <v>14159</v>
      </c>
      <c r="J4709" t="s">
        <v>14160</v>
      </c>
      <c r="K4709" t="s">
        <v>14161</v>
      </c>
    </row>
    <row r="4710" spans="1:11">
      <c r="A4710" t="s">
        <v>14162</v>
      </c>
      <c r="J4710" t="s">
        <v>14163</v>
      </c>
      <c r="K4710" t="s">
        <v>14164</v>
      </c>
    </row>
    <row r="4711" spans="1:11">
      <c r="A4711" t="s">
        <v>14165</v>
      </c>
      <c r="J4711" t="s">
        <v>14166</v>
      </c>
      <c r="K4711" t="s">
        <v>14167</v>
      </c>
    </row>
    <row r="4712" spans="1:11">
      <c r="A4712" t="s">
        <v>14168</v>
      </c>
      <c r="J4712" t="s">
        <v>14169</v>
      </c>
      <c r="K4712" t="s">
        <v>14170</v>
      </c>
    </row>
    <row r="4713" spans="1:11">
      <c r="A4713" t="s">
        <v>14171</v>
      </c>
      <c r="J4713" t="s">
        <v>14172</v>
      </c>
      <c r="K4713" t="s">
        <v>14173</v>
      </c>
    </row>
    <row r="4714" spans="1:11">
      <c r="A4714" t="s">
        <v>14174</v>
      </c>
      <c r="J4714" t="s">
        <v>14175</v>
      </c>
      <c r="K4714" t="s">
        <v>14176</v>
      </c>
    </row>
    <row r="4715" spans="1:11">
      <c r="A4715" t="s">
        <v>14177</v>
      </c>
      <c r="J4715" t="s">
        <v>14178</v>
      </c>
      <c r="K4715" t="s">
        <v>14179</v>
      </c>
    </row>
    <row r="4716" spans="1:11">
      <c r="A4716" t="s">
        <v>14180</v>
      </c>
      <c r="J4716" t="s">
        <v>14181</v>
      </c>
      <c r="K4716" t="s">
        <v>14182</v>
      </c>
    </row>
    <row r="4717" spans="1:11">
      <c r="A4717" t="s">
        <v>14183</v>
      </c>
      <c r="J4717" t="s">
        <v>14184</v>
      </c>
      <c r="K4717" t="s">
        <v>14185</v>
      </c>
    </row>
    <row r="4718" spans="1:11">
      <c r="A4718" t="s">
        <v>14186</v>
      </c>
      <c r="J4718" t="s">
        <v>14187</v>
      </c>
      <c r="K4718" t="s">
        <v>14188</v>
      </c>
    </row>
    <row r="4719" spans="1:11">
      <c r="A4719" t="s">
        <v>14189</v>
      </c>
      <c r="J4719" t="s">
        <v>14190</v>
      </c>
      <c r="K4719" t="s">
        <v>14191</v>
      </c>
    </row>
    <row r="4720" spans="1:11">
      <c r="A4720" t="s">
        <v>14192</v>
      </c>
      <c r="J4720" t="s">
        <v>14193</v>
      </c>
      <c r="K4720" t="s">
        <v>14194</v>
      </c>
    </row>
    <row r="4721" spans="1:11">
      <c r="A4721" t="s">
        <v>14195</v>
      </c>
      <c r="J4721" t="s">
        <v>14196</v>
      </c>
      <c r="K4721" t="s">
        <v>14197</v>
      </c>
    </row>
    <row r="4722" spans="1:11">
      <c r="A4722" t="s">
        <v>14198</v>
      </c>
      <c r="J4722" t="s">
        <v>14199</v>
      </c>
      <c r="K4722" t="s">
        <v>14200</v>
      </c>
    </row>
    <row r="4723" spans="1:11">
      <c r="A4723" t="s">
        <v>14201</v>
      </c>
      <c r="J4723" t="s">
        <v>14202</v>
      </c>
      <c r="K4723" t="s">
        <v>14203</v>
      </c>
    </row>
    <row r="4724" spans="1:11">
      <c r="A4724" t="s">
        <v>14204</v>
      </c>
      <c r="J4724" t="s">
        <v>14205</v>
      </c>
      <c r="K4724" t="s">
        <v>14206</v>
      </c>
    </row>
    <row r="4725" spans="1:11">
      <c r="A4725" t="s">
        <v>14207</v>
      </c>
      <c r="J4725" t="s">
        <v>14208</v>
      </c>
      <c r="K4725" t="s">
        <v>14209</v>
      </c>
    </row>
    <row r="4726" spans="1:11">
      <c r="A4726" t="s">
        <v>14210</v>
      </c>
      <c r="J4726" t="s">
        <v>14211</v>
      </c>
      <c r="K4726" t="s">
        <v>14212</v>
      </c>
    </row>
    <row r="4727" spans="1:11">
      <c r="A4727" t="s">
        <v>14213</v>
      </c>
      <c r="J4727" t="s">
        <v>14214</v>
      </c>
      <c r="K4727" t="s">
        <v>14215</v>
      </c>
    </row>
    <row r="4728" spans="1:11">
      <c r="A4728" t="s">
        <v>14216</v>
      </c>
      <c r="J4728" t="s">
        <v>14217</v>
      </c>
      <c r="K4728" t="s">
        <v>14218</v>
      </c>
    </row>
    <row r="4729" spans="1:11">
      <c r="A4729" t="s">
        <v>14219</v>
      </c>
      <c r="J4729" t="s">
        <v>14220</v>
      </c>
      <c r="K4729" t="s">
        <v>14221</v>
      </c>
    </row>
    <row r="4730" spans="1:11">
      <c r="A4730" t="s">
        <v>14222</v>
      </c>
      <c r="J4730" t="s">
        <v>14223</v>
      </c>
      <c r="K4730" t="s">
        <v>14224</v>
      </c>
    </row>
    <row r="4731" spans="1:11">
      <c r="A4731" t="s">
        <v>14225</v>
      </c>
      <c r="J4731" t="s">
        <v>14226</v>
      </c>
      <c r="K4731" t="s">
        <v>14227</v>
      </c>
    </row>
    <row r="4732" spans="1:11">
      <c r="A4732" t="s">
        <v>14228</v>
      </c>
      <c r="J4732" t="s">
        <v>14229</v>
      </c>
      <c r="K4732" t="s">
        <v>14230</v>
      </c>
    </row>
    <row r="4733" spans="1:11">
      <c r="A4733" t="s">
        <v>14231</v>
      </c>
      <c r="J4733" t="s">
        <v>14232</v>
      </c>
      <c r="K4733" t="s">
        <v>14233</v>
      </c>
    </row>
    <row r="4734" spans="1:11">
      <c r="A4734" t="s">
        <v>14234</v>
      </c>
      <c r="J4734" t="s">
        <v>14235</v>
      </c>
      <c r="K4734" t="s">
        <v>14236</v>
      </c>
    </row>
    <row r="4735" spans="1:11">
      <c r="A4735" t="s">
        <v>14237</v>
      </c>
      <c r="J4735" t="s">
        <v>14238</v>
      </c>
      <c r="K4735" t="s">
        <v>14239</v>
      </c>
    </row>
    <row r="4736" spans="1:11">
      <c r="A4736" t="s">
        <v>14240</v>
      </c>
      <c r="J4736" t="s">
        <v>14241</v>
      </c>
      <c r="K4736" t="s">
        <v>14242</v>
      </c>
    </row>
    <row r="4737" spans="1:11">
      <c r="A4737" t="s">
        <v>14243</v>
      </c>
      <c r="J4737" t="s">
        <v>14244</v>
      </c>
      <c r="K4737" t="s">
        <v>14245</v>
      </c>
    </row>
    <row r="4738" spans="1:11">
      <c r="A4738" t="s">
        <v>14246</v>
      </c>
      <c r="J4738" t="s">
        <v>14247</v>
      </c>
      <c r="K4738" t="s">
        <v>14248</v>
      </c>
    </row>
    <row r="4739" spans="1:11">
      <c r="A4739" t="s">
        <v>14249</v>
      </c>
      <c r="J4739" t="s">
        <v>14250</v>
      </c>
      <c r="K4739" t="s">
        <v>14251</v>
      </c>
    </row>
    <row r="4740" spans="1:11">
      <c r="A4740" t="s">
        <v>14252</v>
      </c>
      <c r="J4740" t="s">
        <v>14253</v>
      </c>
      <c r="K4740" t="s">
        <v>14254</v>
      </c>
    </row>
    <row r="4741" spans="1:11">
      <c r="A4741" t="s">
        <v>14255</v>
      </c>
      <c r="J4741" t="s">
        <v>14256</v>
      </c>
      <c r="K4741" t="s">
        <v>14257</v>
      </c>
    </row>
    <row r="4742" spans="1:11">
      <c r="A4742" t="s">
        <v>14258</v>
      </c>
      <c r="J4742" t="s">
        <v>14259</v>
      </c>
      <c r="K4742" t="s">
        <v>14260</v>
      </c>
    </row>
    <row r="4743" spans="1:11">
      <c r="A4743" t="s">
        <v>14261</v>
      </c>
      <c r="J4743" t="s">
        <v>14262</v>
      </c>
      <c r="K4743" t="s">
        <v>14263</v>
      </c>
    </row>
    <row r="4744" spans="1:11">
      <c r="A4744" t="s">
        <v>14264</v>
      </c>
      <c r="J4744" t="s">
        <v>14265</v>
      </c>
      <c r="K4744" t="s">
        <v>14266</v>
      </c>
    </row>
    <row r="4745" spans="1:11">
      <c r="A4745" t="s">
        <v>14267</v>
      </c>
      <c r="J4745" t="s">
        <v>14268</v>
      </c>
      <c r="K4745" t="s">
        <v>14269</v>
      </c>
    </row>
    <row r="4746" spans="1:11">
      <c r="A4746" t="s">
        <v>14270</v>
      </c>
      <c r="J4746" t="s">
        <v>14271</v>
      </c>
      <c r="K4746" t="s">
        <v>14272</v>
      </c>
    </row>
    <row r="4747" spans="1:11">
      <c r="A4747" t="s">
        <v>14273</v>
      </c>
      <c r="J4747" t="s">
        <v>14274</v>
      </c>
      <c r="K4747" t="s">
        <v>14275</v>
      </c>
    </row>
    <row r="4748" spans="1:11">
      <c r="A4748" t="s">
        <v>14276</v>
      </c>
      <c r="J4748" t="s">
        <v>14277</v>
      </c>
      <c r="K4748" t="s">
        <v>14278</v>
      </c>
    </row>
    <row r="4749" spans="1:11">
      <c r="A4749" t="s">
        <v>14279</v>
      </c>
      <c r="J4749" t="s">
        <v>14280</v>
      </c>
      <c r="K4749" t="s">
        <v>14281</v>
      </c>
    </row>
    <row r="4750" spans="1:11">
      <c r="A4750" t="s">
        <v>14282</v>
      </c>
      <c r="J4750" t="s">
        <v>14283</v>
      </c>
      <c r="K4750" t="s">
        <v>14284</v>
      </c>
    </row>
    <row r="4751" spans="1:11">
      <c r="A4751" t="s">
        <v>14285</v>
      </c>
      <c r="J4751" t="s">
        <v>14286</v>
      </c>
      <c r="K4751" t="s">
        <v>14287</v>
      </c>
    </row>
    <row r="4752" spans="1:11">
      <c r="A4752" t="s">
        <v>14288</v>
      </c>
      <c r="J4752" t="s">
        <v>14289</v>
      </c>
      <c r="K4752" t="s">
        <v>14290</v>
      </c>
    </row>
    <row r="4753" spans="1:11">
      <c r="A4753" t="s">
        <v>14291</v>
      </c>
      <c r="J4753" t="s">
        <v>14292</v>
      </c>
      <c r="K4753" t="s">
        <v>14293</v>
      </c>
    </row>
    <row r="4754" spans="1:11">
      <c r="A4754" t="s">
        <v>14294</v>
      </c>
      <c r="J4754" t="s">
        <v>14295</v>
      </c>
      <c r="K4754" t="s">
        <v>14296</v>
      </c>
    </row>
    <row r="4755" spans="1:11">
      <c r="A4755" t="s">
        <v>14297</v>
      </c>
      <c r="J4755" t="s">
        <v>14298</v>
      </c>
      <c r="K4755" t="s">
        <v>14299</v>
      </c>
    </row>
    <row r="4756" spans="1:11">
      <c r="A4756" t="s">
        <v>14300</v>
      </c>
      <c r="J4756" t="s">
        <v>14301</v>
      </c>
      <c r="K4756" t="s">
        <v>14302</v>
      </c>
    </row>
    <row r="4757" spans="1:11">
      <c r="A4757" t="s">
        <v>14303</v>
      </c>
      <c r="J4757" t="s">
        <v>14304</v>
      </c>
      <c r="K4757" t="s">
        <v>14305</v>
      </c>
    </row>
    <row r="4758" spans="1:11">
      <c r="A4758" t="s">
        <v>14306</v>
      </c>
      <c r="J4758" t="s">
        <v>14307</v>
      </c>
      <c r="K4758" t="s">
        <v>14308</v>
      </c>
    </row>
    <row r="4759" spans="1:11">
      <c r="A4759" t="s">
        <v>14309</v>
      </c>
      <c r="J4759" t="s">
        <v>14310</v>
      </c>
      <c r="K4759" t="s">
        <v>14311</v>
      </c>
    </row>
    <row r="4760" spans="1:11">
      <c r="A4760" t="s">
        <v>14312</v>
      </c>
      <c r="J4760" t="s">
        <v>14313</v>
      </c>
      <c r="K4760" t="s">
        <v>14314</v>
      </c>
    </row>
    <row r="4761" spans="1:11">
      <c r="A4761" t="s">
        <v>14315</v>
      </c>
      <c r="J4761" t="s">
        <v>14316</v>
      </c>
      <c r="K4761" t="s">
        <v>14317</v>
      </c>
    </row>
    <row r="4762" spans="1:11">
      <c r="A4762" t="s">
        <v>14318</v>
      </c>
      <c r="J4762" t="s">
        <v>14319</v>
      </c>
      <c r="K4762" t="s">
        <v>14320</v>
      </c>
    </row>
    <row r="4763" spans="1:11">
      <c r="A4763" t="s">
        <v>14321</v>
      </c>
      <c r="J4763" t="s">
        <v>14322</v>
      </c>
      <c r="K4763" t="s">
        <v>14323</v>
      </c>
    </row>
    <row r="4764" spans="1:11">
      <c r="A4764" t="s">
        <v>14324</v>
      </c>
      <c r="J4764" t="s">
        <v>14325</v>
      </c>
      <c r="K4764" t="s">
        <v>14326</v>
      </c>
    </row>
    <row r="4765" spans="1:11">
      <c r="A4765" t="s">
        <v>14327</v>
      </c>
      <c r="J4765" t="s">
        <v>14328</v>
      </c>
      <c r="K4765" t="s">
        <v>14329</v>
      </c>
    </row>
    <row r="4766" spans="1:11">
      <c r="A4766" t="s">
        <v>14330</v>
      </c>
      <c r="J4766" t="s">
        <v>14331</v>
      </c>
      <c r="K4766" t="s">
        <v>14332</v>
      </c>
    </row>
    <row r="4767" spans="1:11">
      <c r="A4767" t="s">
        <v>14333</v>
      </c>
      <c r="J4767" t="s">
        <v>14334</v>
      </c>
      <c r="K4767" t="s">
        <v>14335</v>
      </c>
    </row>
    <row r="4768" spans="1:11">
      <c r="A4768" t="s">
        <v>14336</v>
      </c>
      <c r="J4768" t="s">
        <v>14337</v>
      </c>
      <c r="K4768" t="s">
        <v>14338</v>
      </c>
    </row>
    <row r="4769" spans="1:11">
      <c r="A4769" t="s">
        <v>14339</v>
      </c>
      <c r="J4769" t="s">
        <v>14340</v>
      </c>
      <c r="K4769" t="s">
        <v>14341</v>
      </c>
    </row>
    <row r="4770" spans="1:11">
      <c r="A4770" t="s">
        <v>14342</v>
      </c>
      <c r="J4770" t="s">
        <v>14343</v>
      </c>
      <c r="K4770" t="s">
        <v>14344</v>
      </c>
    </row>
    <row r="4771" spans="1:11">
      <c r="A4771" t="s">
        <v>14345</v>
      </c>
      <c r="J4771" t="s">
        <v>14346</v>
      </c>
      <c r="K4771" t="s">
        <v>14347</v>
      </c>
    </row>
    <row r="4772" spans="1:11">
      <c r="A4772" t="s">
        <v>14348</v>
      </c>
      <c r="J4772" t="s">
        <v>14349</v>
      </c>
      <c r="K4772" t="s">
        <v>14350</v>
      </c>
    </row>
    <row r="4773" spans="1:11">
      <c r="A4773" t="s">
        <v>14351</v>
      </c>
      <c r="J4773" t="s">
        <v>14352</v>
      </c>
      <c r="K4773" t="s">
        <v>14353</v>
      </c>
    </row>
    <row r="4774" spans="1:11">
      <c r="A4774" t="s">
        <v>14354</v>
      </c>
      <c r="J4774" t="s">
        <v>14355</v>
      </c>
      <c r="K4774" t="s">
        <v>14356</v>
      </c>
    </row>
    <row r="4775" spans="1:11">
      <c r="A4775" t="s">
        <v>14357</v>
      </c>
      <c r="J4775" t="s">
        <v>14358</v>
      </c>
      <c r="K4775" t="s">
        <v>14359</v>
      </c>
    </row>
    <row r="4776" spans="1:11">
      <c r="A4776" t="s">
        <v>14360</v>
      </c>
      <c r="J4776" t="s">
        <v>14361</v>
      </c>
      <c r="K4776" t="s">
        <v>14362</v>
      </c>
    </row>
    <row r="4777" spans="1:11">
      <c r="A4777" t="s">
        <v>14363</v>
      </c>
      <c r="J4777" t="s">
        <v>14364</v>
      </c>
      <c r="K4777" t="s">
        <v>14365</v>
      </c>
    </row>
    <row r="4778" spans="1:11">
      <c r="A4778" t="s">
        <v>14366</v>
      </c>
      <c r="J4778" t="s">
        <v>14367</v>
      </c>
      <c r="K4778" t="s">
        <v>14368</v>
      </c>
    </row>
    <row r="4779" spans="1:11">
      <c r="A4779" t="s">
        <v>14369</v>
      </c>
      <c r="J4779" t="s">
        <v>14370</v>
      </c>
      <c r="K4779" t="s">
        <v>14371</v>
      </c>
    </row>
    <row r="4780" spans="1:11">
      <c r="A4780" t="s">
        <v>14372</v>
      </c>
      <c r="J4780" t="s">
        <v>14373</v>
      </c>
      <c r="K4780" t="s">
        <v>14374</v>
      </c>
    </row>
    <row r="4781" spans="1:11">
      <c r="A4781" t="s">
        <v>14375</v>
      </c>
      <c r="J4781" t="s">
        <v>14376</v>
      </c>
      <c r="K4781" t="s">
        <v>14377</v>
      </c>
    </row>
    <row r="4782" spans="1:11">
      <c r="A4782" t="s">
        <v>14378</v>
      </c>
      <c r="J4782" t="s">
        <v>14379</v>
      </c>
      <c r="K4782" t="s">
        <v>14380</v>
      </c>
    </row>
    <row r="4783" spans="1:11">
      <c r="A4783" t="s">
        <v>14381</v>
      </c>
      <c r="J4783" t="s">
        <v>14382</v>
      </c>
      <c r="K4783" t="s">
        <v>14383</v>
      </c>
    </row>
    <row r="4784" spans="1:11">
      <c r="A4784" t="s">
        <v>14384</v>
      </c>
      <c r="J4784" t="s">
        <v>14385</v>
      </c>
      <c r="K4784" t="s">
        <v>14386</v>
      </c>
    </row>
    <row r="4785" spans="1:11">
      <c r="A4785" t="s">
        <v>14387</v>
      </c>
      <c r="J4785" t="s">
        <v>14388</v>
      </c>
      <c r="K4785" t="s">
        <v>14389</v>
      </c>
    </row>
    <row r="4786" spans="1:11">
      <c r="A4786" t="s">
        <v>14390</v>
      </c>
      <c r="J4786" t="s">
        <v>14391</v>
      </c>
      <c r="K4786" t="s">
        <v>14392</v>
      </c>
    </row>
    <row r="4787" spans="1:11">
      <c r="A4787" t="s">
        <v>14393</v>
      </c>
      <c r="J4787" t="s">
        <v>14394</v>
      </c>
      <c r="K4787" t="s">
        <v>14395</v>
      </c>
    </row>
    <row r="4788" spans="1:11">
      <c r="A4788" t="s">
        <v>14396</v>
      </c>
      <c r="J4788" t="s">
        <v>14397</v>
      </c>
      <c r="K4788" t="s">
        <v>14398</v>
      </c>
    </row>
    <row r="4789" spans="1:11">
      <c r="A4789" t="s">
        <v>14399</v>
      </c>
      <c r="J4789" t="s">
        <v>14400</v>
      </c>
      <c r="K4789" t="s">
        <v>14401</v>
      </c>
    </row>
    <row r="4790" spans="1:11">
      <c r="A4790" t="s">
        <v>14402</v>
      </c>
      <c r="J4790" t="s">
        <v>14403</v>
      </c>
      <c r="K4790" t="s">
        <v>14404</v>
      </c>
    </row>
    <row r="4791" spans="1:11">
      <c r="A4791" t="s">
        <v>14405</v>
      </c>
      <c r="J4791" t="s">
        <v>14406</v>
      </c>
      <c r="K4791" t="s">
        <v>14407</v>
      </c>
    </row>
    <row r="4792" spans="1:11">
      <c r="A4792" t="s">
        <v>14408</v>
      </c>
      <c r="J4792" t="s">
        <v>14409</v>
      </c>
      <c r="K4792" t="s">
        <v>14410</v>
      </c>
    </row>
    <row r="4793" spans="1:11">
      <c r="A4793" t="s">
        <v>14411</v>
      </c>
      <c r="J4793" t="s">
        <v>14412</v>
      </c>
      <c r="K4793" t="s">
        <v>14413</v>
      </c>
    </row>
    <row r="4794" spans="1:11">
      <c r="A4794" t="s">
        <v>14414</v>
      </c>
      <c r="J4794" t="s">
        <v>14415</v>
      </c>
      <c r="K4794" t="s">
        <v>14416</v>
      </c>
    </row>
    <row r="4795" spans="1:11">
      <c r="A4795" t="s">
        <v>14417</v>
      </c>
      <c r="J4795" t="s">
        <v>14418</v>
      </c>
      <c r="K4795" t="s">
        <v>14419</v>
      </c>
    </row>
    <row r="4796" spans="1:11">
      <c r="A4796" t="s">
        <v>14420</v>
      </c>
      <c r="J4796" t="s">
        <v>14421</v>
      </c>
      <c r="K4796" t="s">
        <v>14422</v>
      </c>
    </row>
    <row r="4797" spans="1:11">
      <c r="A4797" t="s">
        <v>14423</v>
      </c>
      <c r="J4797" t="s">
        <v>14424</v>
      </c>
      <c r="K4797" t="s">
        <v>14425</v>
      </c>
    </row>
    <row r="4798" spans="1:11">
      <c r="A4798" t="s">
        <v>14426</v>
      </c>
      <c r="J4798" t="s">
        <v>14427</v>
      </c>
      <c r="K4798" t="s">
        <v>14428</v>
      </c>
    </row>
    <row r="4799" spans="1:11">
      <c r="A4799" t="s">
        <v>14429</v>
      </c>
      <c r="J4799" t="s">
        <v>14430</v>
      </c>
      <c r="K4799" t="s">
        <v>14431</v>
      </c>
    </row>
    <row r="4800" spans="1:11">
      <c r="A4800" t="s">
        <v>14432</v>
      </c>
      <c r="J4800" t="s">
        <v>14433</v>
      </c>
      <c r="K4800" t="s">
        <v>14434</v>
      </c>
    </row>
    <row r="4801" spans="1:11">
      <c r="A4801" t="s">
        <v>14435</v>
      </c>
      <c r="J4801" t="s">
        <v>14436</v>
      </c>
      <c r="K4801" t="s">
        <v>14437</v>
      </c>
    </row>
    <row r="4802" spans="1:11">
      <c r="A4802" t="s">
        <v>14438</v>
      </c>
      <c r="J4802" t="s">
        <v>14439</v>
      </c>
      <c r="K4802" t="s">
        <v>14440</v>
      </c>
    </row>
    <row r="4803" spans="1:11">
      <c r="A4803" t="s">
        <v>14441</v>
      </c>
      <c r="J4803" t="s">
        <v>14442</v>
      </c>
      <c r="K4803" t="s">
        <v>14443</v>
      </c>
    </row>
    <row r="4804" spans="1:11">
      <c r="A4804" t="s">
        <v>14444</v>
      </c>
      <c r="J4804" t="s">
        <v>14445</v>
      </c>
      <c r="K4804" t="s">
        <v>14446</v>
      </c>
    </row>
    <row r="4805" spans="1:11">
      <c r="A4805" t="s">
        <v>14447</v>
      </c>
      <c r="J4805" t="s">
        <v>14448</v>
      </c>
      <c r="K4805" t="s">
        <v>14449</v>
      </c>
    </row>
    <row r="4806" spans="1:11">
      <c r="A4806" t="s">
        <v>14450</v>
      </c>
      <c r="J4806" t="s">
        <v>14451</v>
      </c>
      <c r="K4806" t="s">
        <v>14452</v>
      </c>
    </row>
    <row r="4807" spans="1:11">
      <c r="A4807" t="s">
        <v>14453</v>
      </c>
      <c r="J4807" t="s">
        <v>14454</v>
      </c>
      <c r="K4807" t="s">
        <v>14455</v>
      </c>
    </row>
    <row r="4808" spans="1:11">
      <c r="A4808" t="s">
        <v>14456</v>
      </c>
      <c r="J4808" t="s">
        <v>14457</v>
      </c>
      <c r="K4808" t="s">
        <v>14458</v>
      </c>
    </row>
    <row r="4809" spans="1:11">
      <c r="A4809" t="s">
        <v>14459</v>
      </c>
      <c r="J4809" t="s">
        <v>14460</v>
      </c>
      <c r="K4809" t="s">
        <v>14461</v>
      </c>
    </row>
    <row r="4810" spans="1:11">
      <c r="A4810" t="s">
        <v>14462</v>
      </c>
      <c r="J4810" t="s">
        <v>14463</v>
      </c>
      <c r="K4810" t="s">
        <v>14464</v>
      </c>
    </row>
    <row r="4811" spans="1:11">
      <c r="A4811" t="s">
        <v>14465</v>
      </c>
      <c r="J4811" t="s">
        <v>14466</v>
      </c>
      <c r="K4811" t="s">
        <v>14467</v>
      </c>
    </row>
    <row r="4812" spans="1:11">
      <c r="A4812" t="s">
        <v>14468</v>
      </c>
      <c r="J4812" t="s">
        <v>14469</v>
      </c>
      <c r="K4812" t="s">
        <v>14470</v>
      </c>
    </row>
    <row r="4813" spans="1:11">
      <c r="A4813" t="s">
        <v>14471</v>
      </c>
      <c r="J4813" t="s">
        <v>14472</v>
      </c>
      <c r="K4813" t="s">
        <v>14473</v>
      </c>
    </row>
    <row r="4814" spans="1:11">
      <c r="A4814" t="s">
        <v>14474</v>
      </c>
      <c r="J4814" t="s">
        <v>14475</v>
      </c>
      <c r="K4814" t="s">
        <v>14476</v>
      </c>
    </row>
    <row r="4815" spans="1:11">
      <c r="A4815" t="s">
        <v>14477</v>
      </c>
      <c r="J4815" t="s">
        <v>14478</v>
      </c>
      <c r="K4815" t="s">
        <v>14479</v>
      </c>
    </row>
    <row r="4816" spans="1:11">
      <c r="A4816" t="s">
        <v>14480</v>
      </c>
      <c r="J4816" t="s">
        <v>14481</v>
      </c>
      <c r="K4816" t="s">
        <v>14482</v>
      </c>
    </row>
    <row r="4817" spans="1:11">
      <c r="A4817" t="s">
        <v>14483</v>
      </c>
      <c r="J4817" t="s">
        <v>14484</v>
      </c>
      <c r="K4817" t="s">
        <v>14485</v>
      </c>
    </row>
    <row r="4818" spans="1:11">
      <c r="A4818" t="s">
        <v>14486</v>
      </c>
      <c r="J4818" t="s">
        <v>14487</v>
      </c>
      <c r="K4818" t="s">
        <v>14488</v>
      </c>
    </row>
    <row r="4819" spans="1:11">
      <c r="A4819" t="s">
        <v>14489</v>
      </c>
      <c r="J4819" t="s">
        <v>14490</v>
      </c>
      <c r="K4819" t="s">
        <v>14491</v>
      </c>
    </row>
    <row r="4820" spans="1:11">
      <c r="A4820" t="s">
        <v>14492</v>
      </c>
      <c r="J4820" t="s">
        <v>14493</v>
      </c>
      <c r="K4820" t="s">
        <v>14494</v>
      </c>
    </row>
    <row r="4821" spans="1:11">
      <c r="A4821" t="s">
        <v>14495</v>
      </c>
      <c r="J4821" t="s">
        <v>14496</v>
      </c>
      <c r="K4821" t="s">
        <v>14497</v>
      </c>
    </row>
    <row r="4822" spans="1:11">
      <c r="A4822" t="s">
        <v>14498</v>
      </c>
      <c r="J4822" t="s">
        <v>14499</v>
      </c>
      <c r="K4822" t="s">
        <v>14500</v>
      </c>
    </row>
    <row r="4823" spans="1:11">
      <c r="A4823" t="s">
        <v>14501</v>
      </c>
      <c r="J4823" t="s">
        <v>14502</v>
      </c>
      <c r="K4823" t="s">
        <v>14503</v>
      </c>
    </row>
    <row r="4824" spans="1:11">
      <c r="A4824" t="s">
        <v>14504</v>
      </c>
      <c r="J4824" t="s">
        <v>14505</v>
      </c>
      <c r="K4824" t="s">
        <v>14506</v>
      </c>
    </row>
    <row r="4825" spans="1:11">
      <c r="A4825" t="s">
        <v>14507</v>
      </c>
      <c r="J4825" t="s">
        <v>14508</v>
      </c>
      <c r="K4825" t="s">
        <v>14509</v>
      </c>
    </row>
    <row r="4826" spans="1:11">
      <c r="A4826" t="s">
        <v>14510</v>
      </c>
      <c r="J4826" t="s">
        <v>14511</v>
      </c>
      <c r="K4826" t="s">
        <v>14512</v>
      </c>
    </row>
    <row r="4827" spans="1:11">
      <c r="A4827" t="s">
        <v>14513</v>
      </c>
      <c r="J4827" t="s">
        <v>14514</v>
      </c>
      <c r="K4827" t="s">
        <v>14515</v>
      </c>
    </row>
    <row r="4828" spans="1:11">
      <c r="A4828" t="s">
        <v>14516</v>
      </c>
      <c r="J4828" t="s">
        <v>14517</v>
      </c>
      <c r="K4828" t="s">
        <v>14518</v>
      </c>
    </row>
    <row r="4829" spans="1:11">
      <c r="A4829" t="s">
        <v>14519</v>
      </c>
      <c r="J4829" t="s">
        <v>14520</v>
      </c>
      <c r="K4829" t="s">
        <v>14521</v>
      </c>
    </row>
    <row r="4830" spans="1:11">
      <c r="A4830" t="s">
        <v>14522</v>
      </c>
      <c r="J4830" t="s">
        <v>14523</v>
      </c>
      <c r="K4830" t="s">
        <v>14524</v>
      </c>
    </row>
    <row r="4831" spans="1:11">
      <c r="A4831" t="s">
        <v>14525</v>
      </c>
      <c r="J4831" t="s">
        <v>14526</v>
      </c>
      <c r="K4831" t="s">
        <v>14527</v>
      </c>
    </row>
    <row r="4832" spans="1:11">
      <c r="A4832" t="s">
        <v>14528</v>
      </c>
      <c r="J4832" t="s">
        <v>14529</v>
      </c>
      <c r="K4832" t="s">
        <v>14530</v>
      </c>
    </row>
    <row r="4833" spans="1:11">
      <c r="A4833" t="s">
        <v>14531</v>
      </c>
      <c r="J4833" t="s">
        <v>14532</v>
      </c>
      <c r="K4833" t="s">
        <v>14533</v>
      </c>
    </row>
    <row r="4834" spans="1:11">
      <c r="A4834" t="s">
        <v>14534</v>
      </c>
      <c r="J4834" t="s">
        <v>14535</v>
      </c>
      <c r="K4834" t="s">
        <v>14536</v>
      </c>
    </row>
    <row r="4835" spans="1:11">
      <c r="A4835" t="s">
        <v>14537</v>
      </c>
      <c r="J4835" t="s">
        <v>14538</v>
      </c>
      <c r="K4835" t="s">
        <v>14539</v>
      </c>
    </row>
    <row r="4836" spans="1:11">
      <c r="A4836" t="s">
        <v>14540</v>
      </c>
      <c r="J4836" t="s">
        <v>14541</v>
      </c>
      <c r="K4836" t="s">
        <v>14542</v>
      </c>
    </row>
    <row r="4837" spans="1:11">
      <c r="A4837" t="s">
        <v>14543</v>
      </c>
      <c r="J4837" t="s">
        <v>14544</v>
      </c>
      <c r="K4837" t="s">
        <v>14545</v>
      </c>
    </row>
    <row r="4838" spans="1:11">
      <c r="A4838" t="s">
        <v>14546</v>
      </c>
      <c r="J4838" t="s">
        <v>14547</v>
      </c>
      <c r="K4838" t="s">
        <v>14548</v>
      </c>
    </row>
    <row r="4839" spans="1:11">
      <c r="A4839" t="s">
        <v>14549</v>
      </c>
      <c r="J4839" t="s">
        <v>14550</v>
      </c>
      <c r="K4839" t="s">
        <v>14551</v>
      </c>
    </row>
    <row r="4840" spans="1:11">
      <c r="A4840" t="s">
        <v>14552</v>
      </c>
      <c r="J4840" t="s">
        <v>14553</v>
      </c>
      <c r="K4840" t="s">
        <v>14554</v>
      </c>
    </row>
    <row r="4841" spans="1:11">
      <c r="A4841" t="s">
        <v>14555</v>
      </c>
      <c r="J4841" t="s">
        <v>14556</v>
      </c>
      <c r="K4841" t="s">
        <v>14557</v>
      </c>
    </row>
    <row r="4842" spans="1:11">
      <c r="A4842" t="s">
        <v>14558</v>
      </c>
      <c r="J4842" t="s">
        <v>14559</v>
      </c>
      <c r="K4842" t="s">
        <v>14560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843"/>
  <sheetViews>
    <sheetView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10</v>
      </c>
      <c r="B1" s="1" t="s">
        <v>14561</v>
      </c>
    </row>
    <row r="2" spans="1:2">
      <c r="A2" s="2" t="s">
        <v>39</v>
      </c>
      <c r="B2" s="3">
        <v>1</v>
      </c>
    </row>
    <row r="3" spans="1:2">
      <c r="A3" s="2" t="s">
        <v>42</v>
      </c>
      <c r="B3" s="3">
        <v>1</v>
      </c>
    </row>
    <row r="4" spans="1:2">
      <c r="A4" s="2" t="s">
        <v>51</v>
      </c>
      <c r="B4" s="3">
        <v>1</v>
      </c>
    </row>
    <row r="5" spans="1:2">
      <c r="A5" s="2" t="s">
        <v>60</v>
      </c>
      <c r="B5" s="3">
        <v>1</v>
      </c>
    </row>
    <row r="6" spans="1:2">
      <c r="A6" s="2" t="s">
        <v>69</v>
      </c>
      <c r="B6" s="3">
        <v>1</v>
      </c>
    </row>
    <row r="7" spans="1:2">
      <c r="A7" s="2" t="s">
        <v>78</v>
      </c>
      <c r="B7" s="3">
        <v>1</v>
      </c>
    </row>
    <row r="8" spans="1:2">
      <c r="A8" s="2" t="s">
        <v>84</v>
      </c>
      <c r="B8" s="3">
        <v>1</v>
      </c>
    </row>
    <row r="9" spans="1:2">
      <c r="A9" s="2" t="s">
        <v>93</v>
      </c>
      <c r="B9" s="3">
        <v>1</v>
      </c>
    </row>
    <row r="10" spans="1:2">
      <c r="A10" s="2" t="s">
        <v>99</v>
      </c>
      <c r="B10" s="3">
        <v>1</v>
      </c>
    </row>
    <row r="11" spans="1:2">
      <c r="A11" s="2" t="s">
        <v>108</v>
      </c>
      <c r="B11" s="3">
        <v>1</v>
      </c>
    </row>
    <row r="12" spans="1:2">
      <c r="A12" s="2" t="s">
        <v>123</v>
      </c>
      <c r="B12" s="3">
        <v>1</v>
      </c>
    </row>
    <row r="13" spans="1:2">
      <c r="A13" s="2" t="s">
        <v>132</v>
      </c>
      <c r="B13" s="3">
        <v>1</v>
      </c>
    </row>
    <row r="14" spans="1:2">
      <c r="A14" s="2" t="s">
        <v>141</v>
      </c>
      <c r="B14" s="3">
        <v>1</v>
      </c>
    </row>
    <row r="15" spans="1:2">
      <c r="A15" s="2" t="s">
        <v>153</v>
      </c>
      <c r="B15" s="3">
        <v>1</v>
      </c>
    </row>
    <row r="16" spans="1:2">
      <c r="A16" s="2" t="s">
        <v>159</v>
      </c>
      <c r="B16" s="3">
        <v>1</v>
      </c>
    </row>
    <row r="17" spans="1:2">
      <c r="A17" s="2" t="s">
        <v>168</v>
      </c>
      <c r="B17" s="3">
        <v>1</v>
      </c>
    </row>
    <row r="18" spans="1:2">
      <c r="A18" s="2" t="s">
        <v>177</v>
      </c>
      <c r="B18" s="3">
        <v>1</v>
      </c>
    </row>
    <row r="19" spans="1:2">
      <c r="A19" s="2" t="s">
        <v>186</v>
      </c>
      <c r="B19" s="3">
        <v>1</v>
      </c>
    </row>
    <row r="20" spans="1:2">
      <c r="A20" s="2" t="s">
        <v>195</v>
      </c>
      <c r="B20" s="3">
        <v>1</v>
      </c>
    </row>
    <row r="21" spans="1:2">
      <c r="A21" s="2" t="s">
        <v>204</v>
      </c>
      <c r="B21" s="3">
        <v>1</v>
      </c>
    </row>
    <row r="22" spans="1:2">
      <c r="A22" s="2" t="s">
        <v>213</v>
      </c>
      <c r="B22" s="3">
        <v>1</v>
      </c>
    </row>
    <row r="23" spans="1:2">
      <c r="A23" s="2" t="s">
        <v>219</v>
      </c>
      <c r="B23" s="3">
        <v>1</v>
      </c>
    </row>
    <row r="24" spans="1:2">
      <c r="A24" s="2" t="s">
        <v>231</v>
      </c>
      <c r="B24" s="3">
        <v>1</v>
      </c>
    </row>
    <row r="25" spans="1:2">
      <c r="A25" s="2" t="s">
        <v>237</v>
      </c>
      <c r="B25" s="3">
        <v>1</v>
      </c>
    </row>
    <row r="26" spans="1:2">
      <c r="A26" s="2" t="s">
        <v>246</v>
      </c>
      <c r="B26" s="3">
        <v>1</v>
      </c>
    </row>
    <row r="27" spans="1:2">
      <c r="A27" s="2" t="s">
        <v>255</v>
      </c>
      <c r="B27" s="3">
        <v>1</v>
      </c>
    </row>
    <row r="28" spans="1:2">
      <c r="A28" s="2" t="s">
        <v>267</v>
      </c>
      <c r="B28" s="3">
        <v>1</v>
      </c>
    </row>
    <row r="29" spans="1:2">
      <c r="A29" s="2" t="s">
        <v>279</v>
      </c>
      <c r="B29" s="3">
        <v>1</v>
      </c>
    </row>
    <row r="30" spans="1:2">
      <c r="A30" s="2" t="s">
        <v>288</v>
      </c>
      <c r="B30" s="3">
        <v>1</v>
      </c>
    </row>
    <row r="31" spans="1:2">
      <c r="A31" s="2" t="s">
        <v>297</v>
      </c>
      <c r="B31" s="3">
        <v>1</v>
      </c>
    </row>
    <row r="32" spans="1:2">
      <c r="A32" s="2" t="s">
        <v>300</v>
      </c>
      <c r="B32" s="3">
        <v>1</v>
      </c>
    </row>
    <row r="33" spans="1:2">
      <c r="A33" s="2" t="s">
        <v>309</v>
      </c>
      <c r="B33" s="3">
        <v>1</v>
      </c>
    </row>
    <row r="34" spans="1:2">
      <c r="A34" s="2" t="s">
        <v>315</v>
      </c>
      <c r="B34" s="3">
        <v>1</v>
      </c>
    </row>
    <row r="35" spans="1:2">
      <c r="A35" s="2" t="s">
        <v>324</v>
      </c>
      <c r="B35" s="3">
        <v>1</v>
      </c>
    </row>
    <row r="36" spans="1:2">
      <c r="A36" s="2" t="s">
        <v>336</v>
      </c>
      <c r="B36" s="3">
        <v>1</v>
      </c>
    </row>
    <row r="37" spans="1:2">
      <c r="A37" s="2" t="s">
        <v>342</v>
      </c>
      <c r="B37" s="3">
        <v>1</v>
      </c>
    </row>
    <row r="38" spans="1:2">
      <c r="A38" s="2" t="s">
        <v>348</v>
      </c>
      <c r="B38" s="3">
        <v>1</v>
      </c>
    </row>
    <row r="39" spans="1:2">
      <c r="A39" s="2" t="s">
        <v>360</v>
      </c>
      <c r="B39" s="3">
        <v>1</v>
      </c>
    </row>
    <row r="40" spans="1:2">
      <c r="A40" s="2" t="s">
        <v>369</v>
      </c>
      <c r="B40" s="3">
        <v>1</v>
      </c>
    </row>
    <row r="41" spans="1:2">
      <c r="A41" s="2" t="s">
        <v>378</v>
      </c>
      <c r="B41" s="3">
        <v>1</v>
      </c>
    </row>
    <row r="42" spans="1:2">
      <c r="A42" s="2" t="s">
        <v>387</v>
      </c>
      <c r="B42" s="3">
        <v>1</v>
      </c>
    </row>
    <row r="43" spans="1:2">
      <c r="A43" s="2" t="s">
        <v>393</v>
      </c>
      <c r="B43" s="3">
        <v>1</v>
      </c>
    </row>
    <row r="44" spans="1:2">
      <c r="A44" s="2" t="s">
        <v>402</v>
      </c>
      <c r="B44" s="3">
        <v>1</v>
      </c>
    </row>
    <row r="45" spans="1:2">
      <c r="A45" s="2" t="s">
        <v>414</v>
      </c>
      <c r="B45" s="3">
        <v>1</v>
      </c>
    </row>
    <row r="46" spans="1:2">
      <c r="A46" s="2" t="s">
        <v>423</v>
      </c>
      <c r="B46" s="3">
        <v>1</v>
      </c>
    </row>
    <row r="47" spans="1:2">
      <c r="A47" s="2" t="s">
        <v>432</v>
      </c>
      <c r="B47" s="3">
        <v>1</v>
      </c>
    </row>
    <row r="48" spans="1:2">
      <c r="A48" s="2" t="s">
        <v>441</v>
      </c>
      <c r="B48" s="3">
        <v>1</v>
      </c>
    </row>
    <row r="49" spans="1:2">
      <c r="A49" s="2" t="s">
        <v>450</v>
      </c>
      <c r="B49" s="3">
        <v>1</v>
      </c>
    </row>
    <row r="50" spans="1:2">
      <c r="A50" s="2" t="s">
        <v>456</v>
      </c>
      <c r="B50" s="3">
        <v>1</v>
      </c>
    </row>
    <row r="51" spans="1:2">
      <c r="A51" s="2" t="s">
        <v>462</v>
      </c>
      <c r="B51" s="3">
        <v>1</v>
      </c>
    </row>
    <row r="52" spans="1:2">
      <c r="A52" s="2" t="s">
        <v>471</v>
      </c>
      <c r="B52" s="3">
        <v>1</v>
      </c>
    </row>
    <row r="53" spans="1:2">
      <c r="A53" s="2" t="s">
        <v>480</v>
      </c>
      <c r="B53" s="3">
        <v>1</v>
      </c>
    </row>
    <row r="54" spans="1:2">
      <c r="A54" s="2" t="s">
        <v>489</v>
      </c>
      <c r="B54" s="3">
        <v>1</v>
      </c>
    </row>
    <row r="55" spans="1:2">
      <c r="A55" s="2" t="s">
        <v>48</v>
      </c>
      <c r="B55" s="3">
        <v>1</v>
      </c>
    </row>
    <row r="56" spans="1:2">
      <c r="A56" s="2" t="s">
        <v>54</v>
      </c>
      <c r="B56" s="3">
        <v>1</v>
      </c>
    </row>
    <row r="57" spans="1:2">
      <c r="A57" s="2" t="s">
        <v>66</v>
      </c>
      <c r="B57" s="3">
        <v>1</v>
      </c>
    </row>
    <row r="58" spans="1:2">
      <c r="A58" s="2" t="s">
        <v>72</v>
      </c>
      <c r="B58" s="3">
        <v>1</v>
      </c>
    </row>
    <row r="59" spans="1:2">
      <c r="A59" s="2" t="s">
        <v>81</v>
      </c>
      <c r="B59" s="3">
        <v>1</v>
      </c>
    </row>
    <row r="60" spans="1:2">
      <c r="A60" s="2" t="s">
        <v>87</v>
      </c>
      <c r="B60" s="3">
        <v>1</v>
      </c>
    </row>
    <row r="61" spans="1:2">
      <c r="A61" s="2" t="s">
        <v>105</v>
      </c>
      <c r="B61" s="3">
        <v>1</v>
      </c>
    </row>
    <row r="62" spans="1:2">
      <c r="A62" s="2" t="s">
        <v>111</v>
      </c>
      <c r="B62" s="3">
        <v>1</v>
      </c>
    </row>
    <row r="63" spans="1:2">
      <c r="A63" s="2" t="s">
        <v>114</v>
      </c>
      <c r="B63" s="3">
        <v>1</v>
      </c>
    </row>
    <row r="64" spans="1:2">
      <c r="A64" s="2" t="s">
        <v>129</v>
      </c>
      <c r="B64" s="3">
        <v>1</v>
      </c>
    </row>
    <row r="65" spans="1:2">
      <c r="A65" s="2" t="s">
        <v>135</v>
      </c>
      <c r="B65" s="3">
        <v>1</v>
      </c>
    </row>
    <row r="66" spans="1:2">
      <c r="A66" s="2" t="s">
        <v>150</v>
      </c>
      <c r="B66" s="3">
        <v>1</v>
      </c>
    </row>
    <row r="67" spans="1:2">
      <c r="A67" s="2" t="s">
        <v>156</v>
      </c>
      <c r="B67" s="3">
        <v>1</v>
      </c>
    </row>
    <row r="68" spans="1:2">
      <c r="A68" s="2" t="s">
        <v>162</v>
      </c>
      <c r="B68" s="3">
        <v>1</v>
      </c>
    </row>
    <row r="69" spans="1:2">
      <c r="A69" s="2" t="s">
        <v>174</v>
      </c>
      <c r="B69" s="3">
        <v>1</v>
      </c>
    </row>
    <row r="70" spans="1:2">
      <c r="A70" s="2" t="s">
        <v>180</v>
      </c>
      <c r="B70" s="3">
        <v>1</v>
      </c>
    </row>
    <row r="71" spans="1:2">
      <c r="A71" s="2" t="s">
        <v>192</v>
      </c>
      <c r="B71" s="3">
        <v>1</v>
      </c>
    </row>
    <row r="72" spans="1:2">
      <c r="A72" s="2" t="s">
        <v>198</v>
      </c>
      <c r="B72" s="3">
        <v>1</v>
      </c>
    </row>
    <row r="73" spans="1:2">
      <c r="A73" s="2" t="s">
        <v>210</v>
      </c>
      <c r="B73" s="3">
        <v>1</v>
      </c>
    </row>
    <row r="74" spans="1:2">
      <c r="A74" s="2" t="s">
        <v>216</v>
      </c>
      <c r="B74" s="3">
        <v>1</v>
      </c>
    </row>
    <row r="75" spans="1:2">
      <c r="A75" s="2" t="s">
        <v>222</v>
      </c>
      <c r="B75" s="3">
        <v>1</v>
      </c>
    </row>
    <row r="76" spans="1:2">
      <c r="A76" s="2" t="s">
        <v>234</v>
      </c>
      <c r="B76" s="3">
        <v>1</v>
      </c>
    </row>
    <row r="77" spans="1:2">
      <c r="A77" s="2" t="s">
        <v>240</v>
      </c>
      <c r="B77" s="3">
        <v>1</v>
      </c>
    </row>
    <row r="78" spans="1:2">
      <c r="A78" s="2" t="s">
        <v>252</v>
      </c>
      <c r="B78" s="3">
        <v>1</v>
      </c>
    </row>
    <row r="79" spans="1:2">
      <c r="A79" s="2" t="s">
        <v>258</v>
      </c>
      <c r="B79" s="3">
        <v>1</v>
      </c>
    </row>
    <row r="80" spans="1:2">
      <c r="A80" s="2" t="s">
        <v>273</v>
      </c>
      <c r="B80" s="3">
        <v>1</v>
      </c>
    </row>
    <row r="81" spans="1:2">
      <c r="A81" s="2" t="s">
        <v>276</v>
      </c>
      <c r="B81" s="3">
        <v>1</v>
      </c>
    </row>
    <row r="82" spans="1:2">
      <c r="A82" s="2" t="s">
        <v>294</v>
      </c>
      <c r="B82" s="3">
        <v>1</v>
      </c>
    </row>
    <row r="83" spans="1:2">
      <c r="A83" s="2" t="s">
        <v>303</v>
      </c>
      <c r="B83" s="3">
        <v>1</v>
      </c>
    </row>
    <row r="84" spans="1:2">
      <c r="A84" s="2" t="s">
        <v>321</v>
      </c>
      <c r="B84" s="3">
        <v>1</v>
      </c>
    </row>
    <row r="85" spans="1:2">
      <c r="A85" s="2" t="s">
        <v>327</v>
      </c>
      <c r="B85" s="3">
        <v>1</v>
      </c>
    </row>
    <row r="86" spans="1:2">
      <c r="A86" s="2" t="s">
        <v>339</v>
      </c>
      <c r="B86" s="3">
        <v>1</v>
      </c>
    </row>
    <row r="87" spans="1:2">
      <c r="A87" s="2" t="s">
        <v>354</v>
      </c>
      <c r="B87" s="3">
        <v>1</v>
      </c>
    </row>
    <row r="88" spans="1:2">
      <c r="A88" s="2" t="s">
        <v>357</v>
      </c>
      <c r="B88" s="3">
        <v>1</v>
      </c>
    </row>
    <row r="89" spans="1:2">
      <c r="A89" s="2" t="s">
        <v>363</v>
      </c>
      <c r="B89" s="3">
        <v>1</v>
      </c>
    </row>
    <row r="90" spans="1:2">
      <c r="A90" s="2" t="s">
        <v>375</v>
      </c>
      <c r="B90" s="3">
        <v>1</v>
      </c>
    </row>
    <row r="91" spans="1:2">
      <c r="A91" s="2" t="s">
        <v>381</v>
      </c>
      <c r="B91" s="3">
        <v>1</v>
      </c>
    </row>
    <row r="92" spans="1:2">
      <c r="A92" s="2" t="s">
        <v>390</v>
      </c>
      <c r="B92" s="3">
        <v>1</v>
      </c>
    </row>
    <row r="93" spans="1:2">
      <c r="A93" s="2" t="s">
        <v>396</v>
      </c>
      <c r="B93" s="3">
        <v>1</v>
      </c>
    </row>
    <row r="94" spans="1:2">
      <c r="A94" s="2" t="s">
        <v>408</v>
      </c>
      <c r="B94" s="3">
        <v>1</v>
      </c>
    </row>
    <row r="95" spans="1:2">
      <c r="A95" s="2" t="s">
        <v>411</v>
      </c>
      <c r="B95" s="3">
        <v>1</v>
      </c>
    </row>
    <row r="96" spans="1:2">
      <c r="A96" s="2" t="s">
        <v>417</v>
      </c>
      <c r="B96" s="3">
        <v>1</v>
      </c>
    </row>
    <row r="97" spans="1:2">
      <c r="A97" s="2" t="s">
        <v>429</v>
      </c>
      <c r="B97" s="3">
        <v>1</v>
      </c>
    </row>
    <row r="98" spans="1:2">
      <c r="A98" s="2" t="s">
        <v>435</v>
      </c>
      <c r="B98" s="3">
        <v>1</v>
      </c>
    </row>
    <row r="99" spans="1:2">
      <c r="A99" s="2" t="s">
        <v>447</v>
      </c>
      <c r="B99" s="3">
        <v>1</v>
      </c>
    </row>
    <row r="100" spans="1:2">
      <c r="A100" s="2" t="s">
        <v>459</v>
      </c>
      <c r="B100" s="3">
        <v>1</v>
      </c>
    </row>
    <row r="101" spans="1:2">
      <c r="A101" s="2" t="s">
        <v>465</v>
      </c>
      <c r="B101" s="3">
        <v>1</v>
      </c>
    </row>
    <row r="102" spans="1:2">
      <c r="A102" s="2" t="s">
        <v>477</v>
      </c>
      <c r="B102" s="3">
        <v>1</v>
      </c>
    </row>
    <row r="103" spans="1:2">
      <c r="A103" s="2" t="s">
        <v>483</v>
      </c>
      <c r="B103" s="3">
        <v>1</v>
      </c>
    </row>
    <row r="104" spans="1:2">
      <c r="A104" s="2" t="s">
        <v>501</v>
      </c>
      <c r="B104" s="3">
        <v>1</v>
      </c>
    </row>
    <row r="105" spans="1:2">
      <c r="A105" s="2" t="s">
        <v>516</v>
      </c>
      <c r="B105" s="3">
        <v>1</v>
      </c>
    </row>
    <row r="106" spans="1:2">
      <c r="A106" s="2" t="s">
        <v>522</v>
      </c>
      <c r="B106" s="3">
        <v>1</v>
      </c>
    </row>
    <row r="107" spans="1:2">
      <c r="A107" s="2" t="s">
        <v>525</v>
      </c>
      <c r="B107" s="3">
        <v>1</v>
      </c>
    </row>
    <row r="108" spans="1:2">
      <c r="A108" s="2" t="s">
        <v>537</v>
      </c>
      <c r="B108" s="3">
        <v>1</v>
      </c>
    </row>
    <row r="109" spans="1:2">
      <c r="A109" s="2" t="s">
        <v>543</v>
      </c>
      <c r="B109" s="3">
        <v>1</v>
      </c>
    </row>
    <row r="110" spans="1:2">
      <c r="A110" s="2" t="s">
        <v>555</v>
      </c>
      <c r="B110" s="3">
        <v>1</v>
      </c>
    </row>
    <row r="111" spans="1:2">
      <c r="A111" s="2" t="s">
        <v>561</v>
      </c>
      <c r="B111" s="3">
        <v>1</v>
      </c>
    </row>
    <row r="112" spans="1:2">
      <c r="A112" s="2" t="s">
        <v>573</v>
      </c>
      <c r="B112" s="3">
        <v>1</v>
      </c>
    </row>
    <row r="113" spans="1:2">
      <c r="A113" s="2" t="s">
        <v>576</v>
      </c>
      <c r="B113" s="3">
        <v>1</v>
      </c>
    </row>
    <row r="114" spans="1:2">
      <c r="A114" s="2" t="s">
        <v>579</v>
      </c>
      <c r="B114" s="3">
        <v>1</v>
      </c>
    </row>
    <row r="115" spans="1:2">
      <c r="A115" s="2" t="s">
        <v>591</v>
      </c>
      <c r="B115" s="3">
        <v>1</v>
      </c>
    </row>
    <row r="116" spans="1:2">
      <c r="A116" s="2" t="s">
        <v>597</v>
      </c>
      <c r="B116" s="3">
        <v>1</v>
      </c>
    </row>
    <row r="117" spans="1:2">
      <c r="A117" s="2" t="s">
        <v>609</v>
      </c>
      <c r="B117" s="3">
        <v>1</v>
      </c>
    </row>
    <row r="118" spans="1:2">
      <c r="A118" s="2" t="s">
        <v>612</v>
      </c>
      <c r="B118" s="3">
        <v>1</v>
      </c>
    </row>
    <row r="119" spans="1:2">
      <c r="A119" s="2" t="s">
        <v>627</v>
      </c>
      <c r="B119" s="3">
        <v>1</v>
      </c>
    </row>
    <row r="120" spans="1:2">
      <c r="A120" s="2" t="s">
        <v>633</v>
      </c>
      <c r="B120" s="3">
        <v>1</v>
      </c>
    </row>
    <row r="121" spans="1:2">
      <c r="A121" s="2" t="s">
        <v>642</v>
      </c>
      <c r="B121" s="3">
        <v>1</v>
      </c>
    </row>
    <row r="122" spans="1:2">
      <c r="A122" s="2" t="s">
        <v>648</v>
      </c>
      <c r="B122" s="3">
        <v>1</v>
      </c>
    </row>
    <row r="123" spans="1:2">
      <c r="A123" s="2" t="s">
        <v>651</v>
      </c>
      <c r="B123" s="3">
        <v>1</v>
      </c>
    </row>
    <row r="124" spans="1:2">
      <c r="A124" s="2" t="s">
        <v>663</v>
      </c>
      <c r="B124" s="3">
        <v>1</v>
      </c>
    </row>
    <row r="125" spans="1:2">
      <c r="A125" s="2" t="s">
        <v>678</v>
      </c>
      <c r="B125" s="3">
        <v>1</v>
      </c>
    </row>
    <row r="126" spans="1:2">
      <c r="A126" s="2" t="s">
        <v>681</v>
      </c>
      <c r="B126" s="3">
        <v>1</v>
      </c>
    </row>
    <row r="127" spans="1:2">
      <c r="A127" s="2" t="s">
        <v>693</v>
      </c>
      <c r="B127" s="3">
        <v>1</v>
      </c>
    </row>
    <row r="128" spans="1:2">
      <c r="A128" s="2" t="s">
        <v>696</v>
      </c>
      <c r="B128" s="3">
        <v>1</v>
      </c>
    </row>
    <row r="129" spans="1:2">
      <c r="A129" s="2" t="s">
        <v>702</v>
      </c>
      <c r="B129" s="3">
        <v>1</v>
      </c>
    </row>
    <row r="130" spans="1:2">
      <c r="A130" s="2" t="s">
        <v>714</v>
      </c>
      <c r="B130" s="3">
        <v>1</v>
      </c>
    </row>
    <row r="131" spans="1:2">
      <c r="A131" s="2" t="s">
        <v>720</v>
      </c>
      <c r="B131" s="3">
        <v>1</v>
      </c>
    </row>
    <row r="132" spans="1:2">
      <c r="A132" s="2" t="s">
        <v>735</v>
      </c>
      <c r="B132" s="3">
        <v>1</v>
      </c>
    </row>
    <row r="133" spans="1:2">
      <c r="A133" s="2" t="s">
        <v>738</v>
      </c>
      <c r="B133" s="3">
        <v>1</v>
      </c>
    </row>
    <row r="134" spans="1:2">
      <c r="A134" s="2" t="s">
        <v>744</v>
      </c>
      <c r="B134" s="3">
        <v>1</v>
      </c>
    </row>
    <row r="135" spans="1:2">
      <c r="A135" s="2" t="s">
        <v>756</v>
      </c>
      <c r="B135" s="3">
        <v>1</v>
      </c>
    </row>
    <row r="136" spans="1:2">
      <c r="A136" s="2" t="s">
        <v>762</v>
      </c>
      <c r="B136" s="3">
        <v>1</v>
      </c>
    </row>
    <row r="137" spans="1:2">
      <c r="A137" s="2" t="s">
        <v>765</v>
      </c>
      <c r="B137" s="3">
        <v>1</v>
      </c>
    </row>
    <row r="138" spans="1:2">
      <c r="A138" s="2" t="s">
        <v>780</v>
      </c>
      <c r="B138" s="3">
        <v>1</v>
      </c>
    </row>
    <row r="139" spans="1:2">
      <c r="A139" s="2" t="s">
        <v>786</v>
      </c>
      <c r="B139" s="3">
        <v>1</v>
      </c>
    </row>
    <row r="140" spans="1:2">
      <c r="A140" s="2" t="s">
        <v>789</v>
      </c>
      <c r="B140" s="3">
        <v>1</v>
      </c>
    </row>
    <row r="141" spans="1:2">
      <c r="A141" s="2" t="s">
        <v>807</v>
      </c>
      <c r="B141" s="3">
        <v>1</v>
      </c>
    </row>
    <row r="142" spans="1:2">
      <c r="A142" s="2" t="s">
        <v>813</v>
      </c>
      <c r="B142" s="3">
        <v>1</v>
      </c>
    </row>
    <row r="143" spans="1:2">
      <c r="A143" s="2" t="s">
        <v>816</v>
      </c>
      <c r="B143" s="3">
        <v>1</v>
      </c>
    </row>
    <row r="144" spans="1:2">
      <c r="A144" s="2" t="s">
        <v>831</v>
      </c>
      <c r="B144" s="3">
        <v>1</v>
      </c>
    </row>
    <row r="145" spans="1:2">
      <c r="A145" s="2" t="s">
        <v>837</v>
      </c>
      <c r="B145" s="3">
        <v>1</v>
      </c>
    </row>
    <row r="146" spans="1:2">
      <c r="A146" s="2" t="s">
        <v>14538</v>
      </c>
      <c r="B146" s="3">
        <v>1</v>
      </c>
    </row>
    <row r="147" spans="1:2">
      <c r="A147" s="2" t="s">
        <v>849</v>
      </c>
      <c r="B147" s="3">
        <v>1</v>
      </c>
    </row>
    <row r="148" spans="1:2">
      <c r="A148" s="2" t="s">
        <v>855</v>
      </c>
      <c r="B148" s="3">
        <v>1</v>
      </c>
    </row>
    <row r="149" spans="1:2">
      <c r="A149" s="2" t="s">
        <v>858</v>
      </c>
      <c r="B149" s="3">
        <v>1</v>
      </c>
    </row>
    <row r="150" spans="1:2">
      <c r="A150" s="2" t="s">
        <v>870</v>
      </c>
      <c r="B150" s="3">
        <v>1</v>
      </c>
    </row>
    <row r="151" spans="1:2">
      <c r="A151" s="2" t="s">
        <v>876</v>
      </c>
      <c r="B151" s="3">
        <v>1</v>
      </c>
    </row>
    <row r="152" spans="1:2">
      <c r="A152" s="2" t="s">
        <v>882</v>
      </c>
      <c r="B152" s="3">
        <v>1</v>
      </c>
    </row>
    <row r="153" spans="1:2">
      <c r="A153" s="2" t="s">
        <v>45</v>
      </c>
      <c r="B153" s="3">
        <v>1</v>
      </c>
    </row>
    <row r="154" spans="1:2">
      <c r="A154" s="2" t="s">
        <v>57</v>
      </c>
      <c r="B154" s="3">
        <v>1</v>
      </c>
    </row>
    <row r="155" spans="1:2">
      <c r="A155" s="2" t="s">
        <v>63</v>
      </c>
      <c r="B155" s="3">
        <v>1</v>
      </c>
    </row>
    <row r="156" spans="1:2">
      <c r="A156" s="2" t="s">
        <v>75</v>
      </c>
      <c r="B156" s="3">
        <v>1</v>
      </c>
    </row>
    <row r="157" spans="1:2">
      <c r="A157" s="2" t="s">
        <v>90</v>
      </c>
      <c r="B157" s="3">
        <v>1</v>
      </c>
    </row>
    <row r="158" spans="1:2">
      <c r="A158" s="2" t="s">
        <v>96</v>
      </c>
      <c r="B158" s="3">
        <v>1</v>
      </c>
    </row>
    <row r="159" spans="1:2">
      <c r="A159" s="2" t="s">
        <v>102</v>
      </c>
      <c r="B159" s="3">
        <v>1</v>
      </c>
    </row>
    <row r="160" spans="1:2">
      <c r="A160" s="2" t="s">
        <v>117</v>
      </c>
      <c r="B160" s="3">
        <v>1</v>
      </c>
    </row>
    <row r="161" spans="1:2">
      <c r="A161" s="2" t="s">
        <v>120</v>
      </c>
      <c r="B161" s="3">
        <v>1</v>
      </c>
    </row>
    <row r="162" spans="1:2">
      <c r="A162" s="2" t="s">
        <v>126</v>
      </c>
      <c r="B162" s="3">
        <v>1</v>
      </c>
    </row>
    <row r="163" spans="1:2">
      <c r="A163" s="2" t="s">
        <v>138</v>
      </c>
      <c r="B163" s="3">
        <v>1</v>
      </c>
    </row>
    <row r="164" spans="1:2">
      <c r="A164" s="2" t="s">
        <v>144</v>
      </c>
      <c r="B164" s="3">
        <v>1</v>
      </c>
    </row>
    <row r="165" spans="1:2">
      <c r="A165" s="2" t="s">
        <v>147</v>
      </c>
      <c r="B165" s="3">
        <v>1</v>
      </c>
    </row>
    <row r="166" spans="1:2">
      <c r="A166" s="2" t="s">
        <v>165</v>
      </c>
      <c r="B166" s="3">
        <v>1</v>
      </c>
    </row>
    <row r="167" spans="1:2">
      <c r="A167" s="2" t="s">
        <v>171</v>
      </c>
      <c r="B167" s="3">
        <v>1</v>
      </c>
    </row>
    <row r="168" spans="1:2">
      <c r="A168" s="2" t="s">
        <v>183</v>
      </c>
      <c r="B168" s="3">
        <v>1</v>
      </c>
    </row>
    <row r="169" spans="1:2">
      <c r="A169" s="2" t="s">
        <v>189</v>
      </c>
      <c r="B169" s="3">
        <v>1</v>
      </c>
    </row>
    <row r="170" spans="1:2">
      <c r="A170" s="2" t="s">
        <v>201</v>
      </c>
      <c r="B170" s="3">
        <v>1</v>
      </c>
    </row>
    <row r="171" spans="1:2">
      <c r="A171" s="2" t="s">
        <v>207</v>
      </c>
      <c r="B171" s="3">
        <v>1</v>
      </c>
    </row>
    <row r="172" spans="1:2">
      <c r="A172" s="2" t="s">
        <v>225</v>
      </c>
      <c r="B172" s="3">
        <v>1</v>
      </c>
    </row>
    <row r="173" spans="1:2">
      <c r="A173" s="2" t="s">
        <v>228</v>
      </c>
      <c r="B173" s="3">
        <v>1</v>
      </c>
    </row>
    <row r="174" spans="1:2">
      <c r="A174" s="2" t="s">
        <v>243</v>
      </c>
      <c r="B174" s="3">
        <v>1</v>
      </c>
    </row>
    <row r="175" spans="1:2">
      <c r="A175" s="2" t="s">
        <v>249</v>
      </c>
      <c r="B175" s="3">
        <v>1</v>
      </c>
    </row>
    <row r="176" spans="1:2">
      <c r="A176" s="2" t="s">
        <v>261</v>
      </c>
      <c r="B176" s="3">
        <v>1</v>
      </c>
    </row>
    <row r="177" spans="1:2">
      <c r="A177" s="2" t="s">
        <v>264</v>
      </c>
      <c r="B177" s="3">
        <v>1</v>
      </c>
    </row>
    <row r="178" spans="1:2">
      <c r="A178" s="2" t="s">
        <v>270</v>
      </c>
      <c r="B178" s="3">
        <v>1</v>
      </c>
    </row>
    <row r="179" spans="1:2">
      <c r="A179" s="2" t="s">
        <v>282</v>
      </c>
      <c r="B179" s="3">
        <v>1</v>
      </c>
    </row>
    <row r="180" spans="1:2">
      <c r="A180" s="2" t="s">
        <v>285</v>
      </c>
      <c r="B180" s="3">
        <v>1</v>
      </c>
    </row>
    <row r="181" spans="1:2">
      <c r="A181" s="2" t="s">
        <v>291</v>
      </c>
      <c r="B181" s="3">
        <v>1</v>
      </c>
    </row>
    <row r="182" spans="1:2">
      <c r="A182" s="2" t="s">
        <v>306</v>
      </c>
      <c r="B182" s="3">
        <v>1</v>
      </c>
    </row>
    <row r="183" spans="1:2">
      <c r="A183" s="2" t="s">
        <v>312</v>
      </c>
      <c r="B183" s="3">
        <v>1</v>
      </c>
    </row>
    <row r="184" spans="1:2">
      <c r="A184" s="2" t="s">
        <v>318</v>
      </c>
      <c r="B184" s="3">
        <v>1</v>
      </c>
    </row>
    <row r="185" spans="1:2">
      <c r="A185" s="2" t="s">
        <v>330</v>
      </c>
      <c r="B185" s="3">
        <v>1</v>
      </c>
    </row>
    <row r="186" spans="1:2">
      <c r="A186" s="2" t="s">
        <v>333</v>
      </c>
      <c r="B186" s="3">
        <v>1</v>
      </c>
    </row>
    <row r="187" spans="1:2">
      <c r="A187" s="2" t="s">
        <v>345</v>
      </c>
      <c r="B187" s="3">
        <v>1</v>
      </c>
    </row>
    <row r="188" spans="1:2">
      <c r="A188" s="2" t="s">
        <v>351</v>
      </c>
      <c r="B188" s="3">
        <v>1</v>
      </c>
    </row>
    <row r="189" spans="1:2">
      <c r="A189" s="2" t="s">
        <v>366</v>
      </c>
      <c r="B189" s="3">
        <v>1</v>
      </c>
    </row>
    <row r="190" spans="1:2">
      <c r="A190" s="2" t="s">
        <v>372</v>
      </c>
      <c r="B190" s="3">
        <v>1</v>
      </c>
    </row>
    <row r="191" spans="1:2">
      <c r="A191" s="2" t="s">
        <v>384</v>
      </c>
      <c r="B191" s="3">
        <v>1</v>
      </c>
    </row>
    <row r="192" spans="1:2">
      <c r="A192" s="2" t="s">
        <v>399</v>
      </c>
      <c r="B192" s="3">
        <v>1</v>
      </c>
    </row>
    <row r="193" spans="1:2">
      <c r="A193" s="2" t="s">
        <v>405</v>
      </c>
      <c r="B193" s="3">
        <v>1</v>
      </c>
    </row>
    <row r="194" spans="1:2">
      <c r="A194" s="2" t="s">
        <v>420</v>
      </c>
      <c r="B194" s="3">
        <v>1</v>
      </c>
    </row>
    <row r="195" spans="1:2">
      <c r="A195" s="2" t="s">
        <v>426</v>
      </c>
      <c r="B195" s="3">
        <v>1</v>
      </c>
    </row>
    <row r="196" spans="1:2">
      <c r="A196" s="2" t="s">
        <v>438</v>
      </c>
      <c r="B196" s="3">
        <v>1</v>
      </c>
    </row>
    <row r="197" spans="1:2">
      <c r="A197" s="2" t="s">
        <v>444</v>
      </c>
      <c r="B197" s="3">
        <v>1</v>
      </c>
    </row>
    <row r="198" spans="1:2">
      <c r="A198" s="2" t="s">
        <v>453</v>
      </c>
      <c r="B198" s="3">
        <v>1</v>
      </c>
    </row>
    <row r="199" spans="1:2">
      <c r="A199" s="2" t="s">
        <v>468</v>
      </c>
      <c r="B199" s="3">
        <v>1</v>
      </c>
    </row>
    <row r="200" spans="1:2">
      <c r="A200" s="2" t="s">
        <v>474</v>
      </c>
      <c r="B200" s="3">
        <v>1</v>
      </c>
    </row>
    <row r="201" spans="1:2">
      <c r="A201" s="2" t="s">
        <v>486</v>
      </c>
      <c r="B201" s="3">
        <v>1</v>
      </c>
    </row>
    <row r="202" spans="1:2">
      <c r="A202" s="2" t="s">
        <v>492</v>
      </c>
      <c r="B202" s="3">
        <v>1</v>
      </c>
    </row>
    <row r="203" spans="1:2">
      <c r="A203" s="2" t="s">
        <v>498</v>
      </c>
      <c r="B203" s="3">
        <v>1</v>
      </c>
    </row>
    <row r="204" spans="1:2">
      <c r="A204" s="2" t="s">
        <v>507</v>
      </c>
      <c r="B204" s="3">
        <v>1</v>
      </c>
    </row>
    <row r="205" spans="1:2">
      <c r="A205" s="2" t="s">
        <v>513</v>
      </c>
      <c r="B205" s="3">
        <v>1</v>
      </c>
    </row>
    <row r="206" spans="1:2">
      <c r="A206" s="2" t="s">
        <v>528</v>
      </c>
      <c r="B206" s="3">
        <v>1</v>
      </c>
    </row>
    <row r="207" spans="1:2">
      <c r="A207" s="2" t="s">
        <v>534</v>
      </c>
      <c r="B207" s="3">
        <v>1</v>
      </c>
    </row>
    <row r="208" spans="1:2">
      <c r="A208" s="2" t="s">
        <v>546</v>
      </c>
      <c r="B208" s="3">
        <v>1</v>
      </c>
    </row>
    <row r="209" spans="1:2">
      <c r="A209" s="2" t="s">
        <v>552</v>
      </c>
      <c r="B209" s="3">
        <v>1</v>
      </c>
    </row>
    <row r="210" spans="1:2">
      <c r="A210" s="2" t="s">
        <v>564</v>
      </c>
      <c r="B210" s="3">
        <v>1</v>
      </c>
    </row>
    <row r="211" spans="1:2">
      <c r="A211" s="2" t="s">
        <v>570</v>
      </c>
      <c r="B211" s="3">
        <v>1</v>
      </c>
    </row>
    <row r="212" spans="1:2">
      <c r="A212" s="2" t="s">
        <v>582</v>
      </c>
      <c r="B212" s="3">
        <v>1</v>
      </c>
    </row>
    <row r="213" spans="1:2">
      <c r="A213" s="2" t="s">
        <v>588</v>
      </c>
      <c r="B213" s="3">
        <v>1</v>
      </c>
    </row>
    <row r="214" spans="1:2">
      <c r="A214" s="2" t="s">
        <v>600</v>
      </c>
      <c r="B214" s="3">
        <v>1</v>
      </c>
    </row>
    <row r="215" spans="1:2">
      <c r="A215" s="2" t="s">
        <v>606</v>
      </c>
      <c r="B215" s="3">
        <v>1</v>
      </c>
    </row>
    <row r="216" spans="1:2">
      <c r="A216" s="2" t="s">
        <v>618</v>
      </c>
      <c r="B216" s="3">
        <v>1</v>
      </c>
    </row>
    <row r="217" spans="1:2">
      <c r="A217" s="2" t="s">
        <v>624</v>
      </c>
      <c r="B217" s="3">
        <v>1</v>
      </c>
    </row>
    <row r="218" spans="1:2">
      <c r="A218" s="2" t="s">
        <v>639</v>
      </c>
      <c r="B218" s="3">
        <v>1</v>
      </c>
    </row>
    <row r="219" spans="1:2">
      <c r="A219" s="2" t="s">
        <v>654</v>
      </c>
      <c r="B219" s="3">
        <v>1</v>
      </c>
    </row>
    <row r="220" spans="1:2">
      <c r="A220" s="2" t="s">
        <v>660</v>
      </c>
      <c r="B220" s="3">
        <v>1</v>
      </c>
    </row>
    <row r="221" spans="1:2">
      <c r="A221" s="2" t="s">
        <v>669</v>
      </c>
      <c r="B221" s="3">
        <v>1</v>
      </c>
    </row>
    <row r="222" spans="1:2">
      <c r="A222" s="2" t="s">
        <v>675</v>
      </c>
      <c r="B222" s="3">
        <v>1</v>
      </c>
    </row>
    <row r="223" spans="1:2">
      <c r="A223" s="2" t="s">
        <v>690</v>
      </c>
      <c r="B223" s="3">
        <v>1</v>
      </c>
    </row>
    <row r="224" spans="1:2">
      <c r="A224" s="2" t="s">
        <v>705</v>
      </c>
      <c r="B224" s="3">
        <v>1</v>
      </c>
    </row>
    <row r="225" spans="1:2">
      <c r="A225" s="2" t="s">
        <v>711</v>
      </c>
      <c r="B225" s="3">
        <v>1</v>
      </c>
    </row>
    <row r="226" spans="1:2">
      <c r="A226" s="2" t="s">
        <v>723</v>
      </c>
      <c r="B226" s="3">
        <v>1</v>
      </c>
    </row>
    <row r="227" spans="1:2">
      <c r="A227" s="2" t="s">
        <v>729</v>
      </c>
      <c r="B227" s="3">
        <v>1</v>
      </c>
    </row>
    <row r="228" spans="1:2">
      <c r="A228" s="2" t="s">
        <v>732</v>
      </c>
      <c r="B228" s="3">
        <v>1</v>
      </c>
    </row>
    <row r="229" spans="1:2">
      <c r="A229" s="2" t="s">
        <v>747</v>
      </c>
      <c r="B229" s="3">
        <v>1</v>
      </c>
    </row>
    <row r="230" spans="1:2">
      <c r="A230" s="2" t="s">
        <v>750</v>
      </c>
      <c r="B230" s="3">
        <v>1</v>
      </c>
    </row>
    <row r="231" spans="1:2">
      <c r="A231" s="2" t="s">
        <v>753</v>
      </c>
      <c r="B231" s="3">
        <v>1</v>
      </c>
    </row>
    <row r="232" spans="1:2">
      <c r="A232" s="2" t="s">
        <v>768</v>
      </c>
      <c r="B232" s="3">
        <v>1</v>
      </c>
    </row>
    <row r="233" spans="1:2">
      <c r="A233" s="2" t="s">
        <v>777</v>
      </c>
      <c r="B233" s="3">
        <v>1</v>
      </c>
    </row>
    <row r="234" spans="1:2">
      <c r="A234" s="2" t="s">
        <v>792</v>
      </c>
      <c r="B234" s="3">
        <v>1</v>
      </c>
    </row>
    <row r="235" spans="1:2">
      <c r="A235" s="2" t="s">
        <v>798</v>
      </c>
      <c r="B235" s="3">
        <v>1</v>
      </c>
    </row>
    <row r="236" spans="1:2">
      <c r="A236" s="2" t="s">
        <v>804</v>
      </c>
      <c r="B236" s="3">
        <v>1</v>
      </c>
    </row>
    <row r="237" spans="1:2">
      <c r="A237" s="2" t="s">
        <v>819</v>
      </c>
      <c r="B237" s="3">
        <v>1</v>
      </c>
    </row>
    <row r="238" spans="1:2">
      <c r="A238" s="2" t="s">
        <v>825</v>
      </c>
      <c r="B238" s="3">
        <v>1</v>
      </c>
    </row>
    <row r="239" spans="1:2">
      <c r="A239" s="2" t="s">
        <v>840</v>
      </c>
      <c r="B239" s="3">
        <v>1</v>
      </c>
    </row>
    <row r="240" spans="1:2">
      <c r="A240" s="2" t="s">
        <v>846</v>
      </c>
      <c r="B240" s="3">
        <v>1</v>
      </c>
    </row>
    <row r="241" spans="1:2">
      <c r="A241" s="2" t="s">
        <v>861</v>
      </c>
      <c r="B241" s="3">
        <v>1</v>
      </c>
    </row>
    <row r="242" spans="1:2">
      <c r="A242" s="2" t="s">
        <v>867</v>
      </c>
      <c r="B242" s="3">
        <v>1</v>
      </c>
    </row>
    <row r="243" spans="1:2">
      <c r="A243" s="2" t="s">
        <v>885</v>
      </c>
      <c r="B243" s="3">
        <v>1</v>
      </c>
    </row>
    <row r="244" spans="1:2">
      <c r="A244" s="2" t="s">
        <v>891</v>
      </c>
      <c r="B244" s="3">
        <v>1</v>
      </c>
    </row>
    <row r="245" spans="1:2">
      <c r="A245" s="2" t="s">
        <v>903</v>
      </c>
      <c r="B245" s="3">
        <v>1</v>
      </c>
    </row>
    <row r="246" spans="1:2">
      <c r="A246" s="2" t="s">
        <v>909</v>
      </c>
      <c r="B246" s="3">
        <v>1</v>
      </c>
    </row>
    <row r="247" spans="1:2">
      <c r="A247" s="2" t="s">
        <v>495</v>
      </c>
      <c r="B247" s="3">
        <v>1</v>
      </c>
    </row>
    <row r="248" spans="1:2">
      <c r="A248" s="2" t="s">
        <v>504</v>
      </c>
      <c r="B248" s="3">
        <v>1</v>
      </c>
    </row>
    <row r="249" spans="1:2">
      <c r="A249" s="2" t="s">
        <v>510</v>
      </c>
      <c r="B249" s="3">
        <v>1</v>
      </c>
    </row>
    <row r="250" spans="1:2">
      <c r="A250" s="2" t="s">
        <v>519</v>
      </c>
      <c r="B250" s="3">
        <v>1</v>
      </c>
    </row>
    <row r="251" spans="1:2">
      <c r="A251" s="2" t="s">
        <v>531</v>
      </c>
      <c r="B251" s="3">
        <v>1</v>
      </c>
    </row>
    <row r="252" spans="1:2">
      <c r="A252" s="2" t="s">
        <v>540</v>
      </c>
      <c r="B252" s="3">
        <v>1</v>
      </c>
    </row>
    <row r="253" spans="1:2">
      <c r="A253" s="2" t="s">
        <v>549</v>
      </c>
      <c r="B253" s="3">
        <v>1</v>
      </c>
    </row>
    <row r="254" spans="1:2">
      <c r="A254" s="2" t="s">
        <v>558</v>
      </c>
      <c r="B254" s="3">
        <v>1</v>
      </c>
    </row>
    <row r="255" spans="1:2">
      <c r="A255" s="2" t="s">
        <v>567</v>
      </c>
      <c r="B255" s="3">
        <v>1</v>
      </c>
    </row>
    <row r="256" spans="1:2">
      <c r="A256" s="2" t="s">
        <v>585</v>
      </c>
      <c r="B256" s="3">
        <v>1</v>
      </c>
    </row>
    <row r="257" spans="1:2">
      <c r="A257" s="2" t="s">
        <v>594</v>
      </c>
      <c r="B257" s="3">
        <v>1</v>
      </c>
    </row>
    <row r="258" spans="1:2">
      <c r="A258" s="2" t="s">
        <v>603</v>
      </c>
      <c r="B258" s="3">
        <v>1</v>
      </c>
    </row>
    <row r="259" spans="1:2">
      <c r="A259" s="2" t="s">
        <v>615</v>
      </c>
      <c r="B259" s="3">
        <v>1</v>
      </c>
    </row>
    <row r="260" spans="1:2">
      <c r="A260" s="2" t="s">
        <v>621</v>
      </c>
      <c r="B260" s="3">
        <v>1</v>
      </c>
    </row>
    <row r="261" spans="1:2">
      <c r="A261" s="2" t="s">
        <v>630</v>
      </c>
      <c r="B261" s="3">
        <v>1</v>
      </c>
    </row>
    <row r="262" spans="1:2">
      <c r="A262" s="2" t="s">
        <v>636</v>
      </c>
      <c r="B262" s="3">
        <v>1</v>
      </c>
    </row>
    <row r="263" spans="1:2">
      <c r="A263" s="2" t="s">
        <v>645</v>
      </c>
      <c r="B263" s="3">
        <v>1</v>
      </c>
    </row>
    <row r="264" spans="1:2">
      <c r="A264" s="2" t="s">
        <v>657</v>
      </c>
      <c r="B264" s="3">
        <v>1</v>
      </c>
    </row>
    <row r="265" spans="1:2">
      <c r="A265" s="2" t="s">
        <v>666</v>
      </c>
      <c r="B265" s="3">
        <v>1</v>
      </c>
    </row>
    <row r="266" spans="1:2">
      <c r="A266" s="2" t="s">
        <v>672</v>
      </c>
      <c r="B266" s="3">
        <v>1</v>
      </c>
    </row>
    <row r="267" spans="1:2">
      <c r="A267" s="2" t="s">
        <v>684</v>
      </c>
      <c r="B267" s="3">
        <v>1</v>
      </c>
    </row>
    <row r="268" spans="1:2">
      <c r="A268" s="2" t="s">
        <v>687</v>
      </c>
      <c r="B268" s="3">
        <v>1</v>
      </c>
    </row>
    <row r="269" spans="1:2">
      <c r="A269" s="2" t="s">
        <v>699</v>
      </c>
      <c r="B269" s="3">
        <v>1</v>
      </c>
    </row>
    <row r="270" spans="1:2">
      <c r="A270" s="2" t="s">
        <v>708</v>
      </c>
      <c r="B270" s="3">
        <v>1</v>
      </c>
    </row>
    <row r="271" spans="1:2">
      <c r="A271" s="2" t="s">
        <v>717</v>
      </c>
      <c r="B271" s="3">
        <v>1</v>
      </c>
    </row>
    <row r="272" spans="1:2">
      <c r="A272" s="2" t="s">
        <v>726</v>
      </c>
      <c r="B272" s="3">
        <v>1</v>
      </c>
    </row>
    <row r="273" spans="1:2">
      <c r="A273" s="2" t="s">
        <v>741</v>
      </c>
      <c r="B273" s="3">
        <v>1</v>
      </c>
    </row>
    <row r="274" spans="1:2">
      <c r="A274" s="2" t="s">
        <v>759</v>
      </c>
      <c r="B274" s="3">
        <v>1</v>
      </c>
    </row>
    <row r="275" spans="1:2">
      <c r="A275" s="2" t="s">
        <v>771</v>
      </c>
      <c r="B275" s="3">
        <v>1</v>
      </c>
    </row>
    <row r="276" spans="1:2">
      <c r="A276" s="2" t="s">
        <v>774</v>
      </c>
      <c r="B276" s="3">
        <v>1</v>
      </c>
    </row>
    <row r="277" spans="1:2">
      <c r="A277" s="2" t="s">
        <v>783</v>
      </c>
      <c r="B277" s="3">
        <v>1</v>
      </c>
    </row>
    <row r="278" spans="1:2">
      <c r="A278" s="2" t="s">
        <v>795</v>
      </c>
      <c r="B278" s="3">
        <v>1</v>
      </c>
    </row>
    <row r="279" spans="1:2">
      <c r="A279" s="2" t="s">
        <v>801</v>
      </c>
      <c r="B279" s="3">
        <v>1</v>
      </c>
    </row>
    <row r="280" spans="1:2">
      <c r="A280" s="2" t="s">
        <v>810</v>
      </c>
      <c r="B280" s="3">
        <v>1</v>
      </c>
    </row>
    <row r="281" spans="1:2">
      <c r="A281" s="2" t="s">
        <v>822</v>
      </c>
      <c r="B281" s="3">
        <v>1</v>
      </c>
    </row>
    <row r="282" spans="1:2">
      <c r="A282" s="2" t="s">
        <v>828</v>
      </c>
      <c r="B282" s="3">
        <v>1</v>
      </c>
    </row>
    <row r="283" spans="1:2">
      <c r="A283" s="2" t="s">
        <v>834</v>
      </c>
      <c r="B283" s="3">
        <v>1</v>
      </c>
    </row>
    <row r="284" spans="1:2">
      <c r="A284" s="2" t="s">
        <v>843</v>
      </c>
      <c r="B284" s="3">
        <v>1</v>
      </c>
    </row>
    <row r="285" spans="1:2">
      <c r="A285" s="2" t="s">
        <v>852</v>
      </c>
      <c r="B285" s="3">
        <v>1</v>
      </c>
    </row>
    <row r="286" spans="1:2">
      <c r="A286" s="2" t="s">
        <v>864</v>
      </c>
      <c r="B286" s="3">
        <v>1</v>
      </c>
    </row>
    <row r="287" spans="1:2">
      <c r="A287" s="2" t="s">
        <v>873</v>
      </c>
      <c r="B287" s="3">
        <v>1</v>
      </c>
    </row>
    <row r="288" spans="1:2">
      <c r="A288" s="2" t="s">
        <v>879</v>
      </c>
      <c r="B288" s="3">
        <v>1</v>
      </c>
    </row>
    <row r="289" spans="1:2">
      <c r="A289" s="2" t="s">
        <v>888</v>
      </c>
      <c r="B289" s="3">
        <v>1</v>
      </c>
    </row>
    <row r="290" spans="1:2">
      <c r="A290" s="2" t="s">
        <v>897</v>
      </c>
      <c r="B290" s="3">
        <v>1</v>
      </c>
    </row>
    <row r="291" spans="1:2">
      <c r="A291" s="2" t="s">
        <v>906</v>
      </c>
      <c r="B291" s="3">
        <v>1</v>
      </c>
    </row>
    <row r="292" spans="1:2">
      <c r="A292" s="2" t="s">
        <v>915</v>
      </c>
      <c r="B292" s="3">
        <v>1</v>
      </c>
    </row>
    <row r="293" spans="1:2">
      <c r="A293" s="2" t="s">
        <v>927</v>
      </c>
      <c r="B293" s="3">
        <v>1</v>
      </c>
    </row>
    <row r="294" spans="1:2">
      <c r="A294" s="2" t="s">
        <v>936</v>
      </c>
      <c r="B294" s="3">
        <v>1</v>
      </c>
    </row>
    <row r="295" spans="1:2">
      <c r="A295" s="2" t="s">
        <v>945</v>
      </c>
      <c r="B295" s="3">
        <v>1</v>
      </c>
    </row>
    <row r="296" spans="1:2">
      <c r="A296" s="2" t="s">
        <v>948</v>
      </c>
      <c r="B296" s="3">
        <v>1</v>
      </c>
    </row>
    <row r="297" spans="1:2">
      <c r="A297" s="2" t="s">
        <v>957</v>
      </c>
      <c r="B297" s="3">
        <v>1</v>
      </c>
    </row>
    <row r="298" spans="1:2">
      <c r="A298" s="2" t="s">
        <v>960</v>
      </c>
      <c r="B298" s="3">
        <v>1</v>
      </c>
    </row>
    <row r="299" spans="1:2">
      <c r="A299" s="2" t="s">
        <v>969</v>
      </c>
      <c r="B299" s="3">
        <v>1</v>
      </c>
    </row>
    <row r="300" spans="1:2">
      <c r="A300" s="2" t="s">
        <v>978</v>
      </c>
      <c r="B300" s="3">
        <v>1</v>
      </c>
    </row>
    <row r="301" spans="1:2">
      <c r="A301" s="2" t="s">
        <v>987</v>
      </c>
      <c r="B301" s="3">
        <v>1</v>
      </c>
    </row>
    <row r="302" spans="1:2">
      <c r="A302" s="2" t="s">
        <v>993</v>
      </c>
      <c r="B302" s="3">
        <v>1</v>
      </c>
    </row>
    <row r="303" spans="1:2">
      <c r="A303" s="2" t="s">
        <v>1002</v>
      </c>
      <c r="B303" s="3">
        <v>1</v>
      </c>
    </row>
    <row r="304" spans="1:2">
      <c r="A304" s="2" t="s">
        <v>1011</v>
      </c>
      <c r="B304" s="3">
        <v>1</v>
      </c>
    </row>
    <row r="305" spans="1:2">
      <c r="A305" s="2" t="s">
        <v>1023</v>
      </c>
      <c r="B305" s="3">
        <v>1</v>
      </c>
    </row>
    <row r="306" spans="1:2">
      <c r="A306" s="2" t="s">
        <v>1032</v>
      </c>
      <c r="B306" s="3">
        <v>1</v>
      </c>
    </row>
    <row r="307" spans="1:2">
      <c r="A307" s="2" t="s">
        <v>1038</v>
      </c>
      <c r="B307" s="3">
        <v>1</v>
      </c>
    </row>
    <row r="308" spans="1:2">
      <c r="A308" s="2" t="s">
        <v>1050</v>
      </c>
      <c r="B308" s="3">
        <v>1</v>
      </c>
    </row>
    <row r="309" spans="1:2">
      <c r="A309" s="2" t="s">
        <v>1059</v>
      </c>
      <c r="B309" s="3">
        <v>1</v>
      </c>
    </row>
    <row r="310" spans="1:2">
      <c r="A310" s="2" t="s">
        <v>1065</v>
      </c>
      <c r="B310" s="3">
        <v>1</v>
      </c>
    </row>
    <row r="311" spans="1:2">
      <c r="A311" s="2" t="s">
        <v>1077</v>
      </c>
      <c r="B311" s="3">
        <v>1</v>
      </c>
    </row>
    <row r="312" spans="1:2">
      <c r="A312" s="2" t="s">
        <v>1089</v>
      </c>
      <c r="B312" s="3">
        <v>1</v>
      </c>
    </row>
    <row r="313" spans="1:2">
      <c r="A313" s="2" t="s">
        <v>1095</v>
      </c>
      <c r="B313" s="3">
        <v>1</v>
      </c>
    </row>
    <row r="314" spans="1:2">
      <c r="A314" s="2" t="s">
        <v>1107</v>
      </c>
      <c r="B314" s="3">
        <v>1</v>
      </c>
    </row>
    <row r="315" spans="1:2">
      <c r="A315" s="2" t="s">
        <v>1110</v>
      </c>
      <c r="B315" s="3">
        <v>1</v>
      </c>
    </row>
    <row r="316" spans="1:2">
      <c r="A316" s="2" t="s">
        <v>1122</v>
      </c>
      <c r="B316" s="3">
        <v>1</v>
      </c>
    </row>
    <row r="317" spans="1:2">
      <c r="A317" s="2" t="s">
        <v>1131</v>
      </c>
      <c r="B317" s="3">
        <v>1</v>
      </c>
    </row>
    <row r="318" spans="1:2">
      <c r="A318" s="2" t="s">
        <v>1137</v>
      </c>
      <c r="B318" s="3">
        <v>1</v>
      </c>
    </row>
    <row r="319" spans="1:2">
      <c r="A319" s="2" t="s">
        <v>1143</v>
      </c>
      <c r="B319" s="3">
        <v>1</v>
      </c>
    </row>
    <row r="320" spans="1:2">
      <c r="A320" s="2" t="s">
        <v>1152</v>
      </c>
      <c r="B320" s="3">
        <v>1</v>
      </c>
    </row>
    <row r="321" spans="1:2">
      <c r="A321" s="2" t="s">
        <v>1161</v>
      </c>
      <c r="B321" s="3">
        <v>1</v>
      </c>
    </row>
    <row r="322" spans="1:2">
      <c r="A322" s="2" t="s">
        <v>1170</v>
      </c>
      <c r="B322" s="3">
        <v>1</v>
      </c>
    </row>
    <row r="323" spans="1:2">
      <c r="A323" s="2" t="s">
        <v>1179</v>
      </c>
      <c r="B323" s="3">
        <v>1</v>
      </c>
    </row>
    <row r="324" spans="1:2">
      <c r="A324" s="2" t="s">
        <v>1188</v>
      </c>
      <c r="B324" s="3">
        <v>1</v>
      </c>
    </row>
    <row r="325" spans="1:2">
      <c r="A325" s="2" t="s">
        <v>1197</v>
      </c>
      <c r="B325" s="3">
        <v>1</v>
      </c>
    </row>
    <row r="326" spans="1:2">
      <c r="A326" s="2" t="s">
        <v>1203</v>
      </c>
      <c r="B326" s="3">
        <v>1</v>
      </c>
    </row>
    <row r="327" spans="1:2">
      <c r="A327" s="2" t="s">
        <v>1209</v>
      </c>
      <c r="B327" s="3">
        <v>1</v>
      </c>
    </row>
    <row r="328" spans="1:2">
      <c r="A328" s="2" t="s">
        <v>1218</v>
      </c>
      <c r="B328" s="3">
        <v>1</v>
      </c>
    </row>
    <row r="329" spans="1:2">
      <c r="A329" s="2" t="s">
        <v>1224</v>
      </c>
      <c r="B329" s="3">
        <v>1</v>
      </c>
    </row>
    <row r="330" spans="1:2">
      <c r="A330" s="2" t="s">
        <v>1236</v>
      </c>
      <c r="B330" s="3">
        <v>1</v>
      </c>
    </row>
    <row r="331" spans="1:2">
      <c r="A331" s="2" t="s">
        <v>1245</v>
      </c>
      <c r="B331" s="3">
        <v>1</v>
      </c>
    </row>
    <row r="332" spans="1:2">
      <c r="A332" s="2" t="s">
        <v>1248</v>
      </c>
      <c r="B332" s="3">
        <v>1</v>
      </c>
    </row>
    <row r="333" spans="1:2">
      <c r="A333" s="2" t="s">
        <v>1254</v>
      </c>
      <c r="B333" s="3">
        <v>1</v>
      </c>
    </row>
    <row r="334" spans="1:2">
      <c r="A334" s="2" t="s">
        <v>1263</v>
      </c>
      <c r="B334" s="3">
        <v>1</v>
      </c>
    </row>
    <row r="335" spans="1:2">
      <c r="A335" s="2" t="s">
        <v>1269</v>
      </c>
      <c r="B335" s="3">
        <v>1</v>
      </c>
    </row>
    <row r="336" spans="1:2">
      <c r="A336" s="2" t="s">
        <v>1278</v>
      </c>
      <c r="B336" s="3">
        <v>1</v>
      </c>
    </row>
    <row r="337" spans="1:2">
      <c r="A337" s="2" t="s">
        <v>1290</v>
      </c>
      <c r="B337" s="3">
        <v>1</v>
      </c>
    </row>
    <row r="338" spans="1:2">
      <c r="A338" s="2" t="s">
        <v>1299</v>
      </c>
      <c r="B338" s="3">
        <v>1</v>
      </c>
    </row>
    <row r="339" spans="1:2">
      <c r="A339" s="2" t="s">
        <v>1305</v>
      </c>
      <c r="B339" s="3">
        <v>1</v>
      </c>
    </row>
    <row r="340" spans="1:2">
      <c r="A340" s="2" t="s">
        <v>1314</v>
      </c>
      <c r="B340" s="3">
        <v>1</v>
      </c>
    </row>
    <row r="341" spans="1:2">
      <c r="A341" s="2" t="s">
        <v>894</v>
      </c>
      <c r="B341" s="3">
        <v>1</v>
      </c>
    </row>
    <row r="342" spans="1:2">
      <c r="A342" s="2" t="s">
        <v>900</v>
      </c>
      <c r="B342" s="3">
        <v>1</v>
      </c>
    </row>
    <row r="343" spans="1:2">
      <c r="A343" s="2" t="s">
        <v>912</v>
      </c>
      <c r="B343" s="3">
        <v>1</v>
      </c>
    </row>
    <row r="344" spans="1:2">
      <c r="A344" s="2" t="s">
        <v>918</v>
      </c>
      <c r="B344" s="3">
        <v>1</v>
      </c>
    </row>
    <row r="345" spans="1:2">
      <c r="A345" s="2" t="s">
        <v>921</v>
      </c>
      <c r="B345" s="3">
        <v>1</v>
      </c>
    </row>
    <row r="346" spans="1:2">
      <c r="A346" s="2" t="s">
        <v>933</v>
      </c>
      <c r="B346" s="3">
        <v>1</v>
      </c>
    </row>
    <row r="347" spans="1:2">
      <c r="A347" s="2" t="s">
        <v>939</v>
      </c>
      <c r="B347" s="3">
        <v>1</v>
      </c>
    </row>
    <row r="348" spans="1:2">
      <c r="A348" s="2" t="s">
        <v>951</v>
      </c>
      <c r="B348" s="3">
        <v>1</v>
      </c>
    </row>
    <row r="349" spans="1:2">
      <c r="A349" s="2" t="s">
        <v>954</v>
      </c>
      <c r="B349" s="3">
        <v>1</v>
      </c>
    </row>
    <row r="350" spans="1:2">
      <c r="A350" s="2" t="s">
        <v>963</v>
      </c>
      <c r="B350" s="3">
        <v>1</v>
      </c>
    </row>
    <row r="351" spans="1:2">
      <c r="A351" s="2" t="s">
        <v>975</v>
      </c>
      <c r="B351" s="3">
        <v>1</v>
      </c>
    </row>
    <row r="352" spans="1:2">
      <c r="A352" s="2" t="s">
        <v>981</v>
      </c>
      <c r="B352" s="3">
        <v>1</v>
      </c>
    </row>
    <row r="353" spans="1:2">
      <c r="A353" s="2" t="s">
        <v>990</v>
      </c>
      <c r="B353" s="3">
        <v>1</v>
      </c>
    </row>
    <row r="354" spans="1:2">
      <c r="A354" s="2" t="s">
        <v>996</v>
      </c>
      <c r="B354" s="3">
        <v>1</v>
      </c>
    </row>
    <row r="355" spans="1:2">
      <c r="A355" s="2" t="s">
        <v>1008</v>
      </c>
      <c r="B355" s="3">
        <v>1</v>
      </c>
    </row>
    <row r="356" spans="1:2">
      <c r="A356" s="2" t="s">
        <v>1014</v>
      </c>
      <c r="B356" s="3">
        <v>1</v>
      </c>
    </row>
    <row r="357" spans="1:2">
      <c r="A357" s="2" t="s">
        <v>1029</v>
      </c>
      <c r="B357" s="3">
        <v>1</v>
      </c>
    </row>
    <row r="358" spans="1:2">
      <c r="A358" s="2" t="s">
        <v>1035</v>
      </c>
      <c r="B358" s="3">
        <v>1</v>
      </c>
    </row>
    <row r="359" spans="1:2">
      <c r="A359" s="2" t="s">
        <v>1041</v>
      </c>
      <c r="B359" s="3">
        <v>1</v>
      </c>
    </row>
    <row r="360" spans="1:2">
      <c r="A360" s="2" t="s">
        <v>1056</v>
      </c>
      <c r="B360" s="3">
        <v>1</v>
      </c>
    </row>
    <row r="361" spans="1:2">
      <c r="A361" s="2" t="s">
        <v>1062</v>
      </c>
      <c r="B361" s="3">
        <v>1</v>
      </c>
    </row>
    <row r="362" spans="1:2">
      <c r="A362" s="2" t="s">
        <v>1068</v>
      </c>
      <c r="B362" s="3">
        <v>1</v>
      </c>
    </row>
    <row r="363" spans="1:2">
      <c r="A363" s="2" t="s">
        <v>1083</v>
      </c>
      <c r="B363" s="3">
        <v>1</v>
      </c>
    </row>
    <row r="364" spans="1:2">
      <c r="A364" s="2" t="s">
        <v>1086</v>
      </c>
      <c r="B364" s="3">
        <v>1</v>
      </c>
    </row>
    <row r="365" spans="1:2">
      <c r="A365" s="2" t="s">
        <v>1101</v>
      </c>
      <c r="B365" s="3">
        <v>1</v>
      </c>
    </row>
    <row r="366" spans="1:2">
      <c r="A366" s="2" t="s">
        <v>1104</v>
      </c>
      <c r="B366" s="3">
        <v>1</v>
      </c>
    </row>
    <row r="367" spans="1:2">
      <c r="A367" s="2" t="s">
        <v>1113</v>
      </c>
      <c r="B367" s="3">
        <v>1</v>
      </c>
    </row>
    <row r="368" spans="1:2">
      <c r="A368" s="2" t="s">
        <v>1116</v>
      </c>
      <c r="B368" s="3">
        <v>1</v>
      </c>
    </row>
    <row r="369" spans="1:2">
      <c r="A369" s="2" t="s">
        <v>1128</v>
      </c>
      <c r="B369" s="3">
        <v>1</v>
      </c>
    </row>
    <row r="370" spans="1:2">
      <c r="A370" s="2" t="s">
        <v>1140</v>
      </c>
      <c r="B370" s="3">
        <v>1</v>
      </c>
    </row>
    <row r="371" spans="1:2">
      <c r="A371" s="2" t="s">
        <v>1146</v>
      </c>
      <c r="B371" s="3">
        <v>1</v>
      </c>
    </row>
    <row r="372" spans="1:2">
      <c r="A372" s="2" t="s">
        <v>1158</v>
      </c>
      <c r="B372" s="3">
        <v>1</v>
      </c>
    </row>
    <row r="373" spans="1:2">
      <c r="A373" s="2" t="s">
        <v>1164</v>
      </c>
      <c r="B373" s="3">
        <v>1</v>
      </c>
    </row>
    <row r="374" spans="1:2">
      <c r="A374" s="2" t="s">
        <v>1176</v>
      </c>
      <c r="B374" s="3">
        <v>1</v>
      </c>
    </row>
    <row r="375" spans="1:2">
      <c r="A375" s="2" t="s">
        <v>1182</v>
      </c>
      <c r="B375" s="3">
        <v>1</v>
      </c>
    </row>
    <row r="376" spans="1:2">
      <c r="A376" s="2" t="s">
        <v>1194</v>
      </c>
      <c r="B376" s="3">
        <v>1</v>
      </c>
    </row>
    <row r="377" spans="1:2">
      <c r="A377" s="2" t="s">
        <v>1200</v>
      </c>
      <c r="B377" s="3">
        <v>1</v>
      </c>
    </row>
    <row r="378" spans="1:2">
      <c r="A378" s="2" t="s">
        <v>1215</v>
      </c>
      <c r="B378" s="3">
        <v>1</v>
      </c>
    </row>
    <row r="379" spans="1:2">
      <c r="A379" s="2" t="s">
        <v>1221</v>
      </c>
      <c r="B379" s="3">
        <v>1</v>
      </c>
    </row>
    <row r="380" spans="1:2">
      <c r="A380" s="2" t="s">
        <v>1227</v>
      </c>
      <c r="B380" s="3">
        <v>1</v>
      </c>
    </row>
    <row r="381" spans="1:2">
      <c r="A381" s="2" t="s">
        <v>1242</v>
      </c>
      <c r="B381" s="3">
        <v>1</v>
      </c>
    </row>
    <row r="382" spans="1:2">
      <c r="A382" s="2" t="s">
        <v>1260</v>
      </c>
      <c r="B382" s="3">
        <v>1</v>
      </c>
    </row>
    <row r="383" spans="1:2">
      <c r="A383" s="2" t="s">
        <v>1266</v>
      </c>
      <c r="B383" s="3">
        <v>1</v>
      </c>
    </row>
    <row r="384" spans="1:2">
      <c r="A384" s="2" t="s">
        <v>1272</v>
      </c>
      <c r="B384" s="3">
        <v>1</v>
      </c>
    </row>
    <row r="385" spans="1:2">
      <c r="A385" s="2" t="s">
        <v>1287</v>
      </c>
      <c r="B385" s="3">
        <v>1</v>
      </c>
    </row>
    <row r="386" spans="1:2">
      <c r="A386" s="2" t="s">
        <v>1293</v>
      </c>
      <c r="B386" s="3">
        <v>1</v>
      </c>
    </row>
    <row r="387" spans="1:2">
      <c r="A387" s="2" t="s">
        <v>1311</v>
      </c>
      <c r="B387" s="3">
        <v>1</v>
      </c>
    </row>
    <row r="388" spans="1:2">
      <c r="A388" s="2" t="s">
        <v>1317</v>
      </c>
      <c r="B388" s="3">
        <v>1</v>
      </c>
    </row>
    <row r="389" spans="1:2">
      <c r="A389" s="2" t="s">
        <v>1329</v>
      </c>
      <c r="B389" s="3">
        <v>1</v>
      </c>
    </row>
    <row r="390" spans="1:2">
      <c r="A390" s="2" t="s">
        <v>1335</v>
      </c>
      <c r="B390" s="3">
        <v>1</v>
      </c>
    </row>
    <row r="391" spans="1:2">
      <c r="A391" s="2" t="s">
        <v>1347</v>
      </c>
      <c r="B391" s="3">
        <v>1</v>
      </c>
    </row>
    <row r="392" spans="1:2">
      <c r="A392" s="2" t="s">
        <v>1350</v>
      </c>
      <c r="B392" s="3">
        <v>1</v>
      </c>
    </row>
    <row r="393" spans="1:2">
      <c r="A393" s="2" t="s">
        <v>1356</v>
      </c>
      <c r="B393" s="3">
        <v>1</v>
      </c>
    </row>
    <row r="394" spans="1:2">
      <c r="A394" s="2" t="s">
        <v>1371</v>
      </c>
      <c r="B394" s="3">
        <v>1</v>
      </c>
    </row>
    <row r="395" spans="1:2">
      <c r="A395" s="2" t="s">
        <v>1374</v>
      </c>
      <c r="B395" s="3">
        <v>1</v>
      </c>
    </row>
    <row r="396" spans="1:2">
      <c r="A396" s="2" t="s">
        <v>1386</v>
      </c>
      <c r="B396" s="3">
        <v>1</v>
      </c>
    </row>
    <row r="397" spans="1:2">
      <c r="A397" s="2" t="s">
        <v>1392</v>
      </c>
      <c r="B397" s="3">
        <v>1</v>
      </c>
    </row>
    <row r="398" spans="1:2">
      <c r="A398" s="2" t="s">
        <v>1404</v>
      </c>
      <c r="B398" s="3">
        <v>1</v>
      </c>
    </row>
    <row r="399" spans="1:2">
      <c r="A399" s="2" t="s">
        <v>1407</v>
      </c>
      <c r="B399" s="3">
        <v>1</v>
      </c>
    </row>
    <row r="400" spans="1:2">
      <c r="A400" s="2" t="s">
        <v>1413</v>
      </c>
      <c r="B400" s="3">
        <v>1</v>
      </c>
    </row>
    <row r="401" spans="1:2">
      <c r="A401" s="2" t="s">
        <v>1416</v>
      </c>
      <c r="B401" s="3">
        <v>1</v>
      </c>
    </row>
    <row r="402" spans="1:2">
      <c r="A402" s="2" t="s">
        <v>1428</v>
      </c>
      <c r="B402" s="3">
        <v>1</v>
      </c>
    </row>
    <row r="403" spans="1:2">
      <c r="A403" s="2" t="s">
        <v>1443</v>
      </c>
      <c r="B403" s="3">
        <v>1</v>
      </c>
    </row>
    <row r="404" spans="1:2">
      <c r="A404" s="2" t="s">
        <v>1449</v>
      </c>
      <c r="B404" s="3">
        <v>1</v>
      </c>
    </row>
    <row r="405" spans="1:2">
      <c r="A405" s="2" t="s">
        <v>1464</v>
      </c>
      <c r="B405" s="3">
        <v>1</v>
      </c>
    </row>
    <row r="406" spans="1:2">
      <c r="A406" s="2" t="s">
        <v>1467</v>
      </c>
      <c r="B406" s="3">
        <v>1</v>
      </c>
    </row>
    <row r="407" spans="1:2">
      <c r="A407" s="2" t="s">
        <v>1470</v>
      </c>
      <c r="B407" s="3">
        <v>1</v>
      </c>
    </row>
    <row r="408" spans="1:2">
      <c r="A408" s="2" t="s">
        <v>1488</v>
      </c>
      <c r="B408" s="3">
        <v>1</v>
      </c>
    </row>
    <row r="409" spans="1:2">
      <c r="A409" s="2" t="s">
        <v>1491</v>
      </c>
      <c r="B409" s="3">
        <v>1</v>
      </c>
    </row>
    <row r="410" spans="1:2">
      <c r="A410" s="2" t="s">
        <v>1506</v>
      </c>
      <c r="B410" s="3">
        <v>1</v>
      </c>
    </row>
    <row r="411" spans="1:2">
      <c r="A411" s="2" t="s">
        <v>1512</v>
      </c>
      <c r="B411" s="3">
        <v>1</v>
      </c>
    </row>
    <row r="412" spans="1:2">
      <c r="A412" s="2" t="s">
        <v>1521</v>
      </c>
      <c r="B412" s="3">
        <v>1</v>
      </c>
    </row>
    <row r="413" spans="1:2">
      <c r="A413" s="2" t="s">
        <v>1533</v>
      </c>
      <c r="B413" s="3">
        <v>1</v>
      </c>
    </row>
    <row r="414" spans="1:2">
      <c r="A414" s="2" t="s">
        <v>1536</v>
      </c>
      <c r="B414" s="3">
        <v>1</v>
      </c>
    </row>
    <row r="415" spans="1:2">
      <c r="A415" s="2" t="s">
        <v>1542</v>
      </c>
      <c r="B415" s="3">
        <v>1</v>
      </c>
    </row>
    <row r="416" spans="1:2">
      <c r="A416" s="2" t="s">
        <v>1551</v>
      </c>
      <c r="B416" s="3">
        <v>1</v>
      </c>
    </row>
    <row r="417" spans="1:2">
      <c r="A417" s="2" t="s">
        <v>1557</v>
      </c>
      <c r="B417" s="3">
        <v>1</v>
      </c>
    </row>
    <row r="418" spans="1:2">
      <c r="A418" s="2" t="s">
        <v>1578</v>
      </c>
      <c r="B418" s="3">
        <v>1</v>
      </c>
    </row>
    <row r="419" spans="1:2">
      <c r="A419" s="2" t="s">
        <v>1581</v>
      </c>
      <c r="B419" s="3">
        <v>1</v>
      </c>
    </row>
    <row r="420" spans="1:2">
      <c r="A420" s="2" t="s">
        <v>1587</v>
      </c>
      <c r="B420" s="3">
        <v>1</v>
      </c>
    </row>
    <row r="421" spans="1:2">
      <c r="A421" s="2" t="s">
        <v>1593</v>
      </c>
      <c r="B421" s="3">
        <v>1</v>
      </c>
    </row>
    <row r="422" spans="1:2">
      <c r="A422" s="2" t="s">
        <v>1605</v>
      </c>
      <c r="B422" s="3">
        <v>1</v>
      </c>
    </row>
    <row r="423" spans="1:2">
      <c r="A423" s="2" t="s">
        <v>1608</v>
      </c>
      <c r="B423" s="3">
        <v>1</v>
      </c>
    </row>
    <row r="424" spans="1:2">
      <c r="A424" s="2" t="s">
        <v>1623</v>
      </c>
      <c r="B424" s="3">
        <v>1</v>
      </c>
    </row>
    <row r="425" spans="1:2">
      <c r="A425" s="2" t="s">
        <v>1629</v>
      </c>
      <c r="B425" s="3">
        <v>1</v>
      </c>
    </row>
    <row r="426" spans="1:2">
      <c r="A426" s="2" t="s">
        <v>1641</v>
      </c>
      <c r="B426" s="3">
        <v>1</v>
      </c>
    </row>
    <row r="427" spans="1:2">
      <c r="A427" s="2" t="s">
        <v>1647</v>
      </c>
      <c r="B427" s="3">
        <v>1</v>
      </c>
    </row>
    <row r="428" spans="1:2">
      <c r="A428" s="2" t="s">
        <v>1665</v>
      </c>
      <c r="B428" s="3">
        <v>1</v>
      </c>
    </row>
    <row r="429" spans="1:2">
      <c r="A429" s="2" t="s">
        <v>1680</v>
      </c>
      <c r="B429" s="3">
        <v>1</v>
      </c>
    </row>
    <row r="430" spans="1:2">
      <c r="A430" s="2" t="s">
        <v>1686</v>
      </c>
      <c r="B430" s="3">
        <v>1</v>
      </c>
    </row>
    <row r="431" spans="1:2">
      <c r="A431" s="2" t="s">
        <v>1689</v>
      </c>
      <c r="B431" s="3">
        <v>1</v>
      </c>
    </row>
    <row r="432" spans="1:2">
      <c r="A432" s="2" t="s">
        <v>1695</v>
      </c>
      <c r="B432" s="3">
        <v>1</v>
      </c>
    </row>
    <row r="433" spans="1:2">
      <c r="A433" s="2" t="s">
        <v>1707</v>
      </c>
      <c r="B433" s="3">
        <v>1</v>
      </c>
    </row>
    <row r="434" spans="1:2">
      <c r="A434" s="2" t="s">
        <v>924</v>
      </c>
      <c r="B434" s="3">
        <v>1</v>
      </c>
    </row>
    <row r="435" spans="1:2">
      <c r="A435" s="2" t="s">
        <v>930</v>
      </c>
      <c r="B435" s="3">
        <v>1</v>
      </c>
    </row>
    <row r="436" spans="1:2">
      <c r="A436" s="2" t="s">
        <v>942</v>
      </c>
      <c r="B436" s="3">
        <v>1</v>
      </c>
    </row>
    <row r="437" spans="1:2">
      <c r="A437" s="2" t="s">
        <v>966</v>
      </c>
      <c r="B437" s="3">
        <v>1</v>
      </c>
    </row>
    <row r="438" spans="1:2">
      <c r="A438" s="2" t="s">
        <v>972</v>
      </c>
      <c r="B438" s="3">
        <v>1</v>
      </c>
    </row>
    <row r="439" spans="1:2">
      <c r="A439" s="2" t="s">
        <v>984</v>
      </c>
      <c r="B439" s="3">
        <v>1</v>
      </c>
    </row>
    <row r="440" spans="1:2">
      <c r="A440" s="2" t="s">
        <v>999</v>
      </c>
      <c r="B440" s="3">
        <v>1</v>
      </c>
    </row>
    <row r="441" spans="1:2">
      <c r="A441" s="2" t="s">
        <v>1005</v>
      </c>
      <c r="B441" s="3">
        <v>1</v>
      </c>
    </row>
    <row r="442" spans="1:2">
      <c r="A442" s="2" t="s">
        <v>1017</v>
      </c>
      <c r="B442" s="3">
        <v>1</v>
      </c>
    </row>
    <row r="443" spans="1:2">
      <c r="A443" s="2" t="s">
        <v>1020</v>
      </c>
      <c r="B443" s="3">
        <v>1</v>
      </c>
    </row>
    <row r="444" spans="1:2">
      <c r="A444" s="2" t="s">
        <v>1026</v>
      </c>
      <c r="B444" s="3">
        <v>1</v>
      </c>
    </row>
    <row r="445" spans="1:2">
      <c r="A445" s="2" t="s">
        <v>1044</v>
      </c>
      <c r="B445" s="3">
        <v>1</v>
      </c>
    </row>
    <row r="446" spans="1:2">
      <c r="A446" s="2" t="s">
        <v>1047</v>
      </c>
      <c r="B446" s="3">
        <v>1</v>
      </c>
    </row>
    <row r="447" spans="1:2">
      <c r="A447" s="2" t="s">
        <v>1053</v>
      </c>
      <c r="B447" s="3">
        <v>1</v>
      </c>
    </row>
    <row r="448" spans="1:2">
      <c r="A448" s="2" t="s">
        <v>1071</v>
      </c>
      <c r="B448" s="3">
        <v>1</v>
      </c>
    </row>
    <row r="449" spans="1:2">
      <c r="A449" s="2" t="s">
        <v>1074</v>
      </c>
      <c r="B449" s="3">
        <v>1</v>
      </c>
    </row>
    <row r="450" spans="1:2">
      <c r="A450" s="2" t="s">
        <v>1080</v>
      </c>
      <c r="B450" s="3">
        <v>1</v>
      </c>
    </row>
    <row r="451" spans="1:2">
      <c r="A451" s="2" t="s">
        <v>1092</v>
      </c>
      <c r="B451" s="3">
        <v>1</v>
      </c>
    </row>
    <row r="452" spans="1:2">
      <c r="A452" s="2" t="s">
        <v>1098</v>
      </c>
      <c r="B452" s="3">
        <v>1</v>
      </c>
    </row>
    <row r="453" spans="1:2">
      <c r="A453" s="2" t="s">
        <v>1119</v>
      </c>
      <c r="B453" s="3">
        <v>1</v>
      </c>
    </row>
    <row r="454" spans="1:2">
      <c r="A454" s="2" t="s">
        <v>1125</v>
      </c>
      <c r="B454" s="3">
        <v>1</v>
      </c>
    </row>
    <row r="455" spans="1:2">
      <c r="A455" s="2" t="s">
        <v>1134</v>
      </c>
      <c r="B455" s="3">
        <v>1</v>
      </c>
    </row>
    <row r="456" spans="1:2">
      <c r="A456" s="2" t="s">
        <v>1149</v>
      </c>
      <c r="B456" s="3">
        <v>1</v>
      </c>
    </row>
    <row r="457" spans="1:2">
      <c r="A457" s="2" t="s">
        <v>1155</v>
      </c>
      <c r="B457" s="3">
        <v>1</v>
      </c>
    </row>
    <row r="458" spans="1:2">
      <c r="A458" s="2" t="s">
        <v>1167</v>
      </c>
      <c r="B458" s="3">
        <v>1</v>
      </c>
    </row>
    <row r="459" spans="1:2">
      <c r="A459" s="2" t="s">
        <v>1173</v>
      </c>
      <c r="B459" s="3">
        <v>1</v>
      </c>
    </row>
    <row r="460" spans="1:2">
      <c r="A460" s="2" t="s">
        <v>1185</v>
      </c>
      <c r="B460" s="3">
        <v>1</v>
      </c>
    </row>
    <row r="461" spans="1:2">
      <c r="A461" s="2" t="s">
        <v>1191</v>
      </c>
      <c r="B461" s="3">
        <v>1</v>
      </c>
    </row>
    <row r="462" spans="1:2">
      <c r="A462" s="2" t="s">
        <v>1206</v>
      </c>
      <c r="B462" s="3">
        <v>1</v>
      </c>
    </row>
    <row r="463" spans="1:2">
      <c r="A463" s="2" t="s">
        <v>1212</v>
      </c>
      <c r="B463" s="3">
        <v>1</v>
      </c>
    </row>
    <row r="464" spans="1:2">
      <c r="A464" s="2" t="s">
        <v>1230</v>
      </c>
      <c r="B464" s="3">
        <v>1</v>
      </c>
    </row>
    <row r="465" spans="1:2">
      <c r="A465" s="2" t="s">
        <v>1233</v>
      </c>
      <c r="B465" s="3">
        <v>1</v>
      </c>
    </row>
    <row r="466" spans="1:2">
      <c r="A466" s="2" t="s">
        <v>1239</v>
      </c>
      <c r="B466" s="3">
        <v>1</v>
      </c>
    </row>
    <row r="467" spans="1:2">
      <c r="A467" s="2" t="s">
        <v>1251</v>
      </c>
      <c r="B467" s="3">
        <v>1</v>
      </c>
    </row>
    <row r="468" spans="1:2">
      <c r="A468" s="2" t="s">
        <v>1257</v>
      </c>
      <c r="B468" s="3">
        <v>1</v>
      </c>
    </row>
    <row r="469" spans="1:2">
      <c r="A469" s="2" t="s">
        <v>1275</v>
      </c>
      <c r="B469" s="3">
        <v>1</v>
      </c>
    </row>
    <row r="470" spans="1:2">
      <c r="A470" s="2" t="s">
        <v>1281</v>
      </c>
      <c r="B470" s="3">
        <v>1</v>
      </c>
    </row>
    <row r="471" spans="1:2">
      <c r="A471" s="2" t="s">
        <v>1284</v>
      </c>
      <c r="B471" s="3">
        <v>1</v>
      </c>
    </row>
    <row r="472" spans="1:2">
      <c r="A472" s="2" t="s">
        <v>1296</v>
      </c>
      <c r="B472" s="3">
        <v>1</v>
      </c>
    </row>
    <row r="473" spans="1:2">
      <c r="A473" s="2" t="s">
        <v>1302</v>
      </c>
      <c r="B473" s="3">
        <v>1</v>
      </c>
    </row>
    <row r="474" spans="1:2">
      <c r="A474" s="2" t="s">
        <v>1308</v>
      </c>
      <c r="B474" s="3">
        <v>1</v>
      </c>
    </row>
    <row r="475" spans="1:2">
      <c r="A475" s="2" t="s">
        <v>1320</v>
      </c>
      <c r="B475" s="3">
        <v>1</v>
      </c>
    </row>
    <row r="476" spans="1:2">
      <c r="A476" s="2" t="s">
        <v>1326</v>
      </c>
      <c r="B476" s="3">
        <v>1</v>
      </c>
    </row>
    <row r="477" spans="1:2">
      <c r="A477" s="2" t="s">
        <v>1338</v>
      </c>
      <c r="B477" s="3">
        <v>1</v>
      </c>
    </row>
    <row r="478" spans="1:2">
      <c r="A478" s="2" t="s">
        <v>1344</v>
      </c>
      <c r="B478" s="3">
        <v>1</v>
      </c>
    </row>
    <row r="479" spans="1:2">
      <c r="A479" s="2" t="s">
        <v>1359</v>
      </c>
      <c r="B479" s="3">
        <v>1</v>
      </c>
    </row>
    <row r="480" spans="1:2">
      <c r="A480" s="2" t="s">
        <v>1368</v>
      </c>
      <c r="B480" s="3">
        <v>1</v>
      </c>
    </row>
    <row r="481" spans="1:2">
      <c r="A481" s="2" t="s">
        <v>1380</v>
      </c>
      <c r="B481" s="3">
        <v>1</v>
      </c>
    </row>
    <row r="482" spans="1:2">
      <c r="A482" s="2" t="s">
        <v>1395</v>
      </c>
      <c r="B482" s="3">
        <v>1</v>
      </c>
    </row>
    <row r="483" spans="1:2">
      <c r="A483" s="2" t="s">
        <v>1398</v>
      </c>
      <c r="B483" s="3">
        <v>1</v>
      </c>
    </row>
    <row r="484" spans="1:2">
      <c r="A484" s="2" t="s">
        <v>1419</v>
      </c>
      <c r="B484" s="3">
        <v>1</v>
      </c>
    </row>
    <row r="485" spans="1:2">
      <c r="A485" s="2" t="s">
        <v>1425</v>
      </c>
      <c r="B485" s="3">
        <v>1</v>
      </c>
    </row>
    <row r="486" spans="1:2">
      <c r="A486" s="2" t="s">
        <v>1434</v>
      </c>
      <c r="B486" s="3">
        <v>1</v>
      </c>
    </row>
    <row r="487" spans="1:2">
      <c r="A487" s="2" t="s">
        <v>1440</v>
      </c>
      <c r="B487" s="3">
        <v>1</v>
      </c>
    </row>
    <row r="488" spans="1:2">
      <c r="A488" s="2" t="s">
        <v>1452</v>
      </c>
      <c r="B488" s="3">
        <v>1</v>
      </c>
    </row>
    <row r="489" spans="1:2">
      <c r="A489" s="2" t="s">
        <v>1461</v>
      </c>
      <c r="B489" s="3">
        <v>1</v>
      </c>
    </row>
    <row r="490" spans="1:2">
      <c r="A490" s="2" t="s">
        <v>1473</v>
      </c>
      <c r="B490" s="3">
        <v>1</v>
      </c>
    </row>
    <row r="491" spans="1:2">
      <c r="A491" s="2" t="s">
        <v>1479</v>
      </c>
      <c r="B491" s="3">
        <v>1</v>
      </c>
    </row>
    <row r="492" spans="1:2">
      <c r="A492" s="2" t="s">
        <v>1485</v>
      </c>
      <c r="B492" s="3">
        <v>1</v>
      </c>
    </row>
    <row r="493" spans="1:2">
      <c r="A493" s="2" t="s">
        <v>1497</v>
      </c>
      <c r="B493" s="3">
        <v>1</v>
      </c>
    </row>
    <row r="494" spans="1:2">
      <c r="A494" s="2" t="s">
        <v>1503</v>
      </c>
      <c r="B494" s="3">
        <v>1</v>
      </c>
    </row>
    <row r="495" spans="1:2">
      <c r="A495" s="2" t="s">
        <v>1518</v>
      </c>
      <c r="B495" s="3">
        <v>1</v>
      </c>
    </row>
    <row r="496" spans="1:2">
      <c r="A496" s="2" t="s">
        <v>1530</v>
      </c>
      <c r="B496" s="3">
        <v>1</v>
      </c>
    </row>
    <row r="497" spans="1:2">
      <c r="A497" s="2" t="s">
        <v>1545</v>
      </c>
      <c r="B497" s="3">
        <v>1</v>
      </c>
    </row>
    <row r="498" spans="1:2">
      <c r="A498" s="2" t="s">
        <v>1560</v>
      </c>
      <c r="B498" s="3">
        <v>1</v>
      </c>
    </row>
    <row r="499" spans="1:2">
      <c r="A499" s="2" t="s">
        <v>1566</v>
      </c>
      <c r="B499" s="3">
        <v>1</v>
      </c>
    </row>
    <row r="500" spans="1:2">
      <c r="A500" s="2" t="s">
        <v>1572</v>
      </c>
      <c r="B500" s="3">
        <v>1</v>
      </c>
    </row>
    <row r="501" spans="1:2">
      <c r="A501" s="2" t="s">
        <v>1575</v>
      </c>
      <c r="B501" s="3">
        <v>1</v>
      </c>
    </row>
    <row r="502" spans="1:2">
      <c r="A502" s="2" t="s">
        <v>1596</v>
      </c>
      <c r="B502" s="3">
        <v>1</v>
      </c>
    </row>
    <row r="503" spans="1:2">
      <c r="A503" s="2" t="s">
        <v>1602</v>
      </c>
      <c r="B503" s="3">
        <v>1</v>
      </c>
    </row>
    <row r="504" spans="1:2">
      <c r="A504" s="2" t="s">
        <v>1611</v>
      </c>
      <c r="B504" s="3">
        <v>1</v>
      </c>
    </row>
    <row r="505" spans="1:2">
      <c r="A505" s="2" t="s">
        <v>1617</v>
      </c>
      <c r="B505" s="3">
        <v>1</v>
      </c>
    </row>
    <row r="506" spans="1:2">
      <c r="A506" s="2" t="s">
        <v>1620</v>
      </c>
      <c r="B506" s="3">
        <v>1</v>
      </c>
    </row>
    <row r="507" spans="1:2">
      <c r="A507" s="2" t="s">
        <v>1632</v>
      </c>
      <c r="B507" s="3">
        <v>1</v>
      </c>
    </row>
    <row r="508" spans="1:2">
      <c r="A508" s="2" t="s">
        <v>1635</v>
      </c>
      <c r="B508" s="3">
        <v>1</v>
      </c>
    </row>
    <row r="509" spans="1:2">
      <c r="A509" s="2" t="s">
        <v>1650</v>
      </c>
      <c r="B509" s="3">
        <v>1</v>
      </c>
    </row>
    <row r="510" spans="1:2">
      <c r="A510" s="2" t="s">
        <v>1656</v>
      </c>
      <c r="B510" s="3">
        <v>1</v>
      </c>
    </row>
    <row r="511" spans="1:2">
      <c r="A511" s="2" t="s">
        <v>1662</v>
      </c>
      <c r="B511" s="3">
        <v>1</v>
      </c>
    </row>
    <row r="512" spans="1:2">
      <c r="A512" s="2" t="s">
        <v>1668</v>
      </c>
      <c r="B512" s="3">
        <v>1</v>
      </c>
    </row>
    <row r="513" spans="1:2">
      <c r="A513" s="2" t="s">
        <v>1671</v>
      </c>
      <c r="B513" s="3">
        <v>1</v>
      </c>
    </row>
    <row r="514" spans="1:2">
      <c r="A514" s="2" t="s">
        <v>1677</v>
      </c>
      <c r="B514" s="3">
        <v>1</v>
      </c>
    </row>
    <row r="515" spans="1:2">
      <c r="A515" s="2" t="s">
        <v>1698</v>
      </c>
      <c r="B515" s="3">
        <v>1</v>
      </c>
    </row>
    <row r="516" spans="1:2">
      <c r="A516" s="2" t="s">
        <v>1704</v>
      </c>
      <c r="B516" s="3">
        <v>1</v>
      </c>
    </row>
    <row r="517" spans="1:2">
      <c r="A517" s="2" t="s">
        <v>1716</v>
      </c>
      <c r="B517" s="3">
        <v>1</v>
      </c>
    </row>
    <row r="518" spans="1:2">
      <c r="A518" s="2" t="s">
        <v>1728</v>
      </c>
      <c r="B518" s="3">
        <v>1</v>
      </c>
    </row>
    <row r="519" spans="1:2">
      <c r="A519" s="2" t="s">
        <v>1734</v>
      </c>
      <c r="B519" s="3">
        <v>1</v>
      </c>
    </row>
    <row r="520" spans="1:2">
      <c r="A520" s="2" t="s">
        <v>1740</v>
      </c>
      <c r="B520" s="3">
        <v>1</v>
      </c>
    </row>
    <row r="521" spans="1:2">
      <c r="A521" s="2" t="s">
        <v>1755</v>
      </c>
      <c r="B521" s="3">
        <v>1</v>
      </c>
    </row>
    <row r="522" spans="1:2">
      <c r="A522" s="2" t="s">
        <v>1767</v>
      </c>
      <c r="B522" s="3">
        <v>1</v>
      </c>
    </row>
    <row r="523" spans="1:2">
      <c r="A523" s="2" t="s">
        <v>1770</v>
      </c>
      <c r="B523" s="3">
        <v>1</v>
      </c>
    </row>
    <row r="524" spans="1:2">
      <c r="A524" s="2" t="s">
        <v>1776</v>
      </c>
      <c r="B524" s="3">
        <v>1</v>
      </c>
    </row>
    <row r="525" spans="1:2">
      <c r="A525" s="2" t="s">
        <v>1323</v>
      </c>
      <c r="B525" s="3">
        <v>1</v>
      </c>
    </row>
    <row r="526" spans="1:2">
      <c r="A526" s="2" t="s">
        <v>1332</v>
      </c>
      <c r="B526" s="3">
        <v>1</v>
      </c>
    </row>
    <row r="527" spans="1:2">
      <c r="A527" s="2" t="s">
        <v>1341</v>
      </c>
      <c r="B527" s="3">
        <v>1</v>
      </c>
    </row>
    <row r="528" spans="1:2">
      <c r="A528" s="2" t="s">
        <v>1353</v>
      </c>
      <c r="B528" s="3">
        <v>1</v>
      </c>
    </row>
    <row r="529" spans="1:2">
      <c r="A529" s="2" t="s">
        <v>1362</v>
      </c>
      <c r="B529" s="3">
        <v>1</v>
      </c>
    </row>
    <row r="530" spans="1:2">
      <c r="A530" s="2" t="s">
        <v>1365</v>
      </c>
      <c r="B530" s="3">
        <v>1</v>
      </c>
    </row>
    <row r="531" spans="1:2">
      <c r="A531" s="2" t="s">
        <v>1377</v>
      </c>
      <c r="B531" s="3">
        <v>1</v>
      </c>
    </row>
    <row r="532" spans="1:2">
      <c r="A532" s="2" t="s">
        <v>1383</v>
      </c>
      <c r="B532" s="3">
        <v>1</v>
      </c>
    </row>
    <row r="533" spans="1:2">
      <c r="A533" s="2" t="s">
        <v>1389</v>
      </c>
      <c r="B533" s="3">
        <v>1</v>
      </c>
    </row>
    <row r="534" spans="1:2">
      <c r="A534" s="2" t="s">
        <v>1401</v>
      </c>
      <c r="B534" s="3">
        <v>1</v>
      </c>
    </row>
    <row r="535" spans="1:2">
      <c r="A535" s="2" t="s">
        <v>1410</v>
      </c>
      <c r="B535" s="3">
        <v>1</v>
      </c>
    </row>
    <row r="536" spans="1:2">
      <c r="A536" s="2" t="s">
        <v>1422</v>
      </c>
      <c r="B536" s="3">
        <v>1</v>
      </c>
    </row>
    <row r="537" spans="1:2">
      <c r="A537" s="2" t="s">
        <v>1431</v>
      </c>
      <c r="B537" s="3">
        <v>1</v>
      </c>
    </row>
    <row r="538" spans="1:2">
      <c r="A538" s="2" t="s">
        <v>1437</v>
      </c>
      <c r="B538" s="3">
        <v>1</v>
      </c>
    </row>
    <row r="539" spans="1:2">
      <c r="A539" s="2" t="s">
        <v>1446</v>
      </c>
      <c r="B539" s="3">
        <v>1</v>
      </c>
    </row>
    <row r="540" spans="1:2">
      <c r="A540" s="2" t="s">
        <v>1455</v>
      </c>
      <c r="B540" s="3">
        <v>1</v>
      </c>
    </row>
    <row r="541" spans="1:2">
      <c r="A541" s="2" t="s">
        <v>1458</v>
      </c>
      <c r="B541" s="3">
        <v>1</v>
      </c>
    </row>
    <row r="542" spans="1:2">
      <c r="A542" s="2" t="s">
        <v>1476</v>
      </c>
      <c r="B542" s="3">
        <v>1</v>
      </c>
    </row>
    <row r="543" spans="1:2">
      <c r="A543" s="2" t="s">
        <v>1482</v>
      </c>
      <c r="B543" s="3">
        <v>1</v>
      </c>
    </row>
    <row r="544" spans="1:2">
      <c r="A544" s="2" t="s">
        <v>1494</v>
      </c>
      <c r="B544" s="3">
        <v>1</v>
      </c>
    </row>
    <row r="545" spans="1:2">
      <c r="A545" s="2" t="s">
        <v>1500</v>
      </c>
      <c r="B545" s="3">
        <v>1</v>
      </c>
    </row>
    <row r="546" spans="1:2">
      <c r="A546" s="2" t="s">
        <v>1509</v>
      </c>
      <c r="B546" s="3">
        <v>1</v>
      </c>
    </row>
    <row r="547" spans="1:2">
      <c r="A547" s="2" t="s">
        <v>1515</v>
      </c>
      <c r="B547" s="3">
        <v>1</v>
      </c>
    </row>
    <row r="548" spans="1:2">
      <c r="A548" s="2" t="s">
        <v>1524</v>
      </c>
      <c r="B548" s="3">
        <v>1</v>
      </c>
    </row>
    <row r="549" spans="1:2">
      <c r="A549" s="2" t="s">
        <v>1527</v>
      </c>
      <c r="B549" s="3">
        <v>1</v>
      </c>
    </row>
    <row r="550" spans="1:2">
      <c r="A550" s="2" t="s">
        <v>1539</v>
      </c>
      <c r="B550" s="3">
        <v>1</v>
      </c>
    </row>
    <row r="551" spans="1:2">
      <c r="A551" s="2" t="s">
        <v>1548</v>
      </c>
      <c r="B551" s="3">
        <v>1</v>
      </c>
    </row>
    <row r="552" spans="1:2">
      <c r="A552" s="2" t="s">
        <v>1554</v>
      </c>
      <c r="B552" s="3">
        <v>1</v>
      </c>
    </row>
    <row r="553" spans="1:2">
      <c r="A553" s="2" t="s">
        <v>1563</v>
      </c>
      <c r="B553" s="3">
        <v>1</v>
      </c>
    </row>
    <row r="554" spans="1:2">
      <c r="A554" s="2" t="s">
        <v>1569</v>
      </c>
      <c r="B554" s="3">
        <v>1</v>
      </c>
    </row>
    <row r="555" spans="1:2">
      <c r="A555" s="2" t="s">
        <v>1584</v>
      </c>
      <c r="B555" s="3">
        <v>1</v>
      </c>
    </row>
    <row r="556" spans="1:2">
      <c r="A556" s="2" t="s">
        <v>1590</v>
      </c>
      <c r="B556" s="3">
        <v>1</v>
      </c>
    </row>
    <row r="557" spans="1:2">
      <c r="A557" s="2" t="s">
        <v>1599</v>
      </c>
      <c r="B557" s="3">
        <v>1</v>
      </c>
    </row>
    <row r="558" spans="1:2">
      <c r="A558" s="2" t="s">
        <v>1614</v>
      </c>
      <c r="B558" s="3">
        <v>1</v>
      </c>
    </row>
    <row r="559" spans="1:2">
      <c r="A559" s="2" t="s">
        <v>1626</v>
      </c>
      <c r="B559" s="3">
        <v>1</v>
      </c>
    </row>
    <row r="560" spans="1:2">
      <c r="A560" s="2" t="s">
        <v>1638</v>
      </c>
      <c r="B560" s="3">
        <v>1</v>
      </c>
    </row>
    <row r="561" spans="1:2">
      <c r="A561" s="2" t="s">
        <v>1644</v>
      </c>
      <c r="B561" s="3">
        <v>1</v>
      </c>
    </row>
    <row r="562" spans="1:2">
      <c r="A562" s="2" t="s">
        <v>1653</v>
      </c>
      <c r="B562" s="3">
        <v>1</v>
      </c>
    </row>
    <row r="563" spans="1:2">
      <c r="A563" s="2" t="s">
        <v>1659</v>
      </c>
      <c r="B563" s="3">
        <v>1</v>
      </c>
    </row>
    <row r="564" spans="1:2">
      <c r="A564" s="2" t="s">
        <v>1674</v>
      </c>
      <c r="B564" s="3">
        <v>1</v>
      </c>
    </row>
    <row r="565" spans="1:2">
      <c r="A565" s="2" t="s">
        <v>1683</v>
      </c>
      <c r="B565" s="3">
        <v>1</v>
      </c>
    </row>
    <row r="566" spans="1:2">
      <c r="A566" s="2" t="s">
        <v>1692</v>
      </c>
      <c r="B566" s="3">
        <v>1</v>
      </c>
    </row>
    <row r="567" spans="1:2">
      <c r="A567" s="2" t="s">
        <v>1701</v>
      </c>
      <c r="B567" s="3">
        <v>1</v>
      </c>
    </row>
    <row r="568" spans="1:2">
      <c r="A568" s="2" t="s">
        <v>1713</v>
      </c>
      <c r="B568" s="3">
        <v>1</v>
      </c>
    </row>
    <row r="569" spans="1:2">
      <c r="A569" s="2" t="s">
        <v>1719</v>
      </c>
      <c r="B569" s="3">
        <v>1</v>
      </c>
    </row>
    <row r="570" spans="1:2">
      <c r="A570" s="2" t="s">
        <v>1725</v>
      </c>
      <c r="B570" s="3">
        <v>1</v>
      </c>
    </row>
    <row r="571" spans="1:2">
      <c r="A571" s="2" t="s">
        <v>1731</v>
      </c>
      <c r="B571" s="3">
        <v>1</v>
      </c>
    </row>
    <row r="572" spans="1:2">
      <c r="A572" s="2" t="s">
        <v>1737</v>
      </c>
      <c r="B572" s="3">
        <v>1</v>
      </c>
    </row>
    <row r="573" spans="1:2">
      <c r="A573" s="2" t="s">
        <v>1746</v>
      </c>
      <c r="B573" s="3">
        <v>1</v>
      </c>
    </row>
    <row r="574" spans="1:2">
      <c r="A574" s="2" t="s">
        <v>1752</v>
      </c>
      <c r="B574" s="3">
        <v>1</v>
      </c>
    </row>
    <row r="575" spans="1:2">
      <c r="A575" s="2" t="s">
        <v>1761</v>
      </c>
      <c r="B575" s="3">
        <v>1</v>
      </c>
    </row>
    <row r="576" spans="1:2">
      <c r="A576" s="2" t="s">
        <v>1773</v>
      </c>
      <c r="B576" s="3">
        <v>1</v>
      </c>
    </row>
    <row r="577" spans="1:2">
      <c r="A577" s="2" t="s">
        <v>1782</v>
      </c>
      <c r="B577" s="3">
        <v>1</v>
      </c>
    </row>
    <row r="578" spans="1:2">
      <c r="A578" s="2" t="s">
        <v>1791</v>
      </c>
      <c r="B578" s="3">
        <v>1</v>
      </c>
    </row>
    <row r="579" spans="1:2">
      <c r="A579" s="2" t="s">
        <v>1797</v>
      </c>
      <c r="B579" s="3">
        <v>1</v>
      </c>
    </row>
    <row r="580" spans="1:2">
      <c r="A580" s="2" t="s">
        <v>1806</v>
      </c>
      <c r="B580" s="3">
        <v>1</v>
      </c>
    </row>
    <row r="581" spans="1:2">
      <c r="A581" s="2" t="s">
        <v>1815</v>
      </c>
      <c r="B581" s="3">
        <v>1</v>
      </c>
    </row>
    <row r="582" spans="1:2">
      <c r="A582" s="2" t="s">
        <v>1821</v>
      </c>
      <c r="B582" s="3">
        <v>1</v>
      </c>
    </row>
    <row r="583" spans="1:2">
      <c r="A583" s="2" t="s">
        <v>1833</v>
      </c>
      <c r="B583" s="3">
        <v>1</v>
      </c>
    </row>
    <row r="584" spans="1:2">
      <c r="A584" s="2" t="s">
        <v>1845</v>
      </c>
      <c r="B584" s="3">
        <v>1</v>
      </c>
    </row>
    <row r="585" spans="1:2">
      <c r="A585" s="2" t="s">
        <v>1854</v>
      </c>
      <c r="B585" s="3">
        <v>1</v>
      </c>
    </row>
    <row r="586" spans="1:2">
      <c r="A586" s="2" t="s">
        <v>1860</v>
      </c>
      <c r="B586" s="3">
        <v>1</v>
      </c>
    </row>
    <row r="587" spans="1:2">
      <c r="A587" s="2" t="s">
        <v>1869</v>
      </c>
      <c r="B587" s="3">
        <v>1</v>
      </c>
    </row>
    <row r="588" spans="1:2">
      <c r="A588" s="2" t="s">
        <v>1878</v>
      </c>
      <c r="B588" s="3">
        <v>1</v>
      </c>
    </row>
    <row r="589" spans="1:2">
      <c r="A589" s="2" t="s">
        <v>1887</v>
      </c>
      <c r="B589" s="3">
        <v>1</v>
      </c>
    </row>
    <row r="590" spans="1:2">
      <c r="A590" s="2" t="s">
        <v>1896</v>
      </c>
      <c r="B590" s="3">
        <v>1</v>
      </c>
    </row>
    <row r="591" spans="1:2">
      <c r="A591" s="2" t="s">
        <v>1905</v>
      </c>
      <c r="B591" s="3">
        <v>1</v>
      </c>
    </row>
    <row r="592" spans="1:2">
      <c r="A592" s="2" t="s">
        <v>1911</v>
      </c>
      <c r="B592" s="3">
        <v>1</v>
      </c>
    </row>
    <row r="593" spans="1:2">
      <c r="A593" s="2" t="s">
        <v>1920</v>
      </c>
      <c r="B593" s="3">
        <v>1</v>
      </c>
    </row>
    <row r="594" spans="1:2">
      <c r="A594" s="2" t="s">
        <v>1932</v>
      </c>
      <c r="B594" s="3">
        <v>1</v>
      </c>
    </row>
    <row r="595" spans="1:2">
      <c r="A595" s="2" t="s">
        <v>1941</v>
      </c>
      <c r="B595" s="3">
        <v>1</v>
      </c>
    </row>
    <row r="596" spans="1:2">
      <c r="A596" s="2" t="s">
        <v>1956</v>
      </c>
      <c r="B596" s="3">
        <v>1</v>
      </c>
    </row>
    <row r="597" spans="1:2">
      <c r="A597" s="2" t="s">
        <v>1965</v>
      </c>
      <c r="B597" s="3">
        <v>1</v>
      </c>
    </row>
    <row r="598" spans="1:2">
      <c r="A598" s="2" t="s">
        <v>1971</v>
      </c>
      <c r="B598" s="3">
        <v>1</v>
      </c>
    </row>
    <row r="599" spans="1:2">
      <c r="A599" s="2" t="s">
        <v>1983</v>
      </c>
      <c r="B599" s="3">
        <v>1</v>
      </c>
    </row>
    <row r="600" spans="1:2">
      <c r="A600" s="2" t="s">
        <v>1992</v>
      </c>
      <c r="B600" s="3">
        <v>1</v>
      </c>
    </row>
    <row r="601" spans="1:2">
      <c r="A601" s="2" t="s">
        <v>2001</v>
      </c>
      <c r="B601" s="3">
        <v>1</v>
      </c>
    </row>
    <row r="602" spans="1:2">
      <c r="A602" s="2" t="s">
        <v>2010</v>
      </c>
      <c r="B602" s="3">
        <v>1</v>
      </c>
    </row>
    <row r="603" spans="1:2">
      <c r="A603" s="2" t="s">
        <v>2022</v>
      </c>
      <c r="B603" s="3">
        <v>1</v>
      </c>
    </row>
    <row r="604" spans="1:2">
      <c r="A604" s="2" t="s">
        <v>2031</v>
      </c>
      <c r="B604" s="3">
        <v>1</v>
      </c>
    </row>
    <row r="605" spans="1:2">
      <c r="A605" s="2" t="s">
        <v>2040</v>
      </c>
      <c r="B605" s="3">
        <v>1</v>
      </c>
    </row>
    <row r="606" spans="1:2">
      <c r="A606" s="2" t="s">
        <v>2052</v>
      </c>
      <c r="B606" s="3">
        <v>1</v>
      </c>
    </row>
    <row r="607" spans="1:2">
      <c r="A607" s="2" t="s">
        <v>2058</v>
      </c>
      <c r="B607" s="3">
        <v>1</v>
      </c>
    </row>
    <row r="608" spans="1:2">
      <c r="A608" s="2" t="s">
        <v>2067</v>
      </c>
      <c r="B608" s="3">
        <v>1</v>
      </c>
    </row>
    <row r="609" spans="1:2">
      <c r="A609" s="2" t="s">
        <v>2070</v>
      </c>
      <c r="B609" s="3">
        <v>1</v>
      </c>
    </row>
    <row r="610" spans="1:2">
      <c r="A610" s="2" t="s">
        <v>2082</v>
      </c>
      <c r="B610" s="3">
        <v>1</v>
      </c>
    </row>
    <row r="611" spans="1:2">
      <c r="A611" s="2" t="s">
        <v>2088</v>
      </c>
      <c r="B611" s="3">
        <v>1</v>
      </c>
    </row>
    <row r="612" spans="1:2">
      <c r="A612" s="2" t="s">
        <v>2097</v>
      </c>
      <c r="B612" s="3">
        <v>1</v>
      </c>
    </row>
    <row r="613" spans="1:2">
      <c r="A613" s="2" t="s">
        <v>2106</v>
      </c>
      <c r="B613" s="3">
        <v>1</v>
      </c>
    </row>
    <row r="614" spans="1:2">
      <c r="A614" s="2" t="s">
        <v>2115</v>
      </c>
      <c r="B614" s="3">
        <v>1</v>
      </c>
    </row>
    <row r="615" spans="1:2">
      <c r="A615" s="2" t="s">
        <v>2127</v>
      </c>
      <c r="B615" s="3">
        <v>1</v>
      </c>
    </row>
    <row r="616" spans="1:2">
      <c r="A616" s="2" t="s">
        <v>2136</v>
      </c>
      <c r="B616" s="3">
        <v>1</v>
      </c>
    </row>
    <row r="617" spans="1:2">
      <c r="A617" s="2" t="s">
        <v>2142</v>
      </c>
      <c r="B617" s="3">
        <v>1</v>
      </c>
    </row>
    <row r="618" spans="1:2">
      <c r="A618" s="2" t="s">
        <v>2151</v>
      </c>
      <c r="B618" s="3">
        <v>1</v>
      </c>
    </row>
    <row r="619" spans="1:2">
      <c r="A619" s="2" t="s">
        <v>1710</v>
      </c>
      <c r="B619" s="3">
        <v>1</v>
      </c>
    </row>
    <row r="620" spans="1:2">
      <c r="A620" s="2" t="s">
        <v>1722</v>
      </c>
      <c r="B620" s="3">
        <v>1</v>
      </c>
    </row>
    <row r="621" spans="1:2">
      <c r="A621" s="2" t="s">
        <v>1743</v>
      </c>
      <c r="B621" s="3">
        <v>1</v>
      </c>
    </row>
    <row r="622" spans="1:2">
      <c r="A622" s="2" t="s">
        <v>1749</v>
      </c>
      <c r="B622" s="3">
        <v>1</v>
      </c>
    </row>
    <row r="623" spans="1:2">
      <c r="A623" s="2" t="s">
        <v>1758</v>
      </c>
      <c r="B623" s="3">
        <v>1</v>
      </c>
    </row>
    <row r="624" spans="1:2">
      <c r="A624" s="2" t="s">
        <v>1764</v>
      </c>
      <c r="B624" s="3">
        <v>1</v>
      </c>
    </row>
    <row r="625" spans="1:2">
      <c r="A625" s="2" t="s">
        <v>1779</v>
      </c>
      <c r="B625" s="3">
        <v>1</v>
      </c>
    </row>
    <row r="626" spans="1:2">
      <c r="A626" s="2" t="s">
        <v>1785</v>
      </c>
      <c r="B626" s="3">
        <v>1</v>
      </c>
    </row>
    <row r="627" spans="1:2">
      <c r="A627" s="2" t="s">
        <v>1794</v>
      </c>
      <c r="B627" s="3">
        <v>1</v>
      </c>
    </row>
    <row r="628" spans="1:2">
      <c r="A628" s="2" t="s">
        <v>1800</v>
      </c>
      <c r="B628" s="3">
        <v>1</v>
      </c>
    </row>
    <row r="629" spans="1:2">
      <c r="A629" s="2" t="s">
        <v>1812</v>
      </c>
      <c r="B629" s="3">
        <v>1</v>
      </c>
    </row>
    <row r="630" spans="1:2">
      <c r="A630" s="2" t="s">
        <v>1827</v>
      </c>
      <c r="B630" s="3">
        <v>1</v>
      </c>
    </row>
    <row r="631" spans="1:2">
      <c r="A631" s="2" t="s">
        <v>1830</v>
      </c>
      <c r="B631" s="3">
        <v>1</v>
      </c>
    </row>
    <row r="632" spans="1:2">
      <c r="A632" s="2" t="s">
        <v>1836</v>
      </c>
      <c r="B632" s="3">
        <v>1</v>
      </c>
    </row>
    <row r="633" spans="1:2">
      <c r="A633" s="2" t="s">
        <v>1851</v>
      </c>
      <c r="B633" s="3">
        <v>1</v>
      </c>
    </row>
    <row r="634" spans="1:2">
      <c r="A634" s="2" t="s">
        <v>1857</v>
      </c>
      <c r="B634" s="3">
        <v>1</v>
      </c>
    </row>
    <row r="635" spans="1:2">
      <c r="A635" s="2" t="s">
        <v>1863</v>
      </c>
      <c r="B635" s="3">
        <v>1</v>
      </c>
    </row>
    <row r="636" spans="1:2">
      <c r="A636" s="2" t="s">
        <v>1881</v>
      </c>
      <c r="B636" s="3">
        <v>1</v>
      </c>
    </row>
    <row r="637" spans="1:2">
      <c r="A637" s="2" t="s">
        <v>1893</v>
      </c>
      <c r="B637" s="3">
        <v>1</v>
      </c>
    </row>
    <row r="638" spans="1:2">
      <c r="A638" s="2" t="s">
        <v>1899</v>
      </c>
      <c r="B638" s="3">
        <v>1</v>
      </c>
    </row>
    <row r="639" spans="1:2">
      <c r="A639" s="2" t="s">
        <v>1908</v>
      </c>
      <c r="B639" s="3">
        <v>1</v>
      </c>
    </row>
    <row r="640" spans="1:2">
      <c r="A640" s="2" t="s">
        <v>1914</v>
      </c>
      <c r="B640" s="3">
        <v>1</v>
      </c>
    </row>
    <row r="641" spans="1:2">
      <c r="A641" s="2" t="s">
        <v>1926</v>
      </c>
      <c r="B641" s="3">
        <v>1</v>
      </c>
    </row>
    <row r="642" spans="1:2">
      <c r="A642" s="2" t="s">
        <v>1929</v>
      </c>
      <c r="B642" s="3">
        <v>1</v>
      </c>
    </row>
    <row r="643" spans="1:2">
      <c r="A643" s="2" t="s">
        <v>1935</v>
      </c>
      <c r="B643" s="3">
        <v>1</v>
      </c>
    </row>
    <row r="644" spans="1:2">
      <c r="A644" s="2" t="s">
        <v>1950</v>
      </c>
      <c r="B644" s="3">
        <v>1</v>
      </c>
    </row>
    <row r="645" spans="1:2">
      <c r="A645" s="2" t="s">
        <v>1953</v>
      </c>
      <c r="B645" s="3">
        <v>1</v>
      </c>
    </row>
    <row r="646" spans="1:2">
      <c r="A646" s="2" t="s">
        <v>1959</v>
      </c>
      <c r="B646" s="3">
        <v>1</v>
      </c>
    </row>
    <row r="647" spans="1:2">
      <c r="A647" s="2" t="s">
        <v>1968</v>
      </c>
      <c r="B647" s="3">
        <v>1</v>
      </c>
    </row>
    <row r="648" spans="1:2">
      <c r="A648" s="2" t="s">
        <v>1974</v>
      </c>
      <c r="B648" s="3">
        <v>1</v>
      </c>
    </row>
    <row r="649" spans="1:2">
      <c r="A649" s="2" t="s">
        <v>1989</v>
      </c>
      <c r="B649" s="3">
        <v>1</v>
      </c>
    </row>
    <row r="650" spans="1:2">
      <c r="A650" s="2" t="s">
        <v>1995</v>
      </c>
      <c r="B650" s="3">
        <v>1</v>
      </c>
    </row>
    <row r="651" spans="1:2">
      <c r="A651" s="2" t="s">
        <v>2007</v>
      </c>
      <c r="B651" s="3">
        <v>1</v>
      </c>
    </row>
    <row r="652" spans="1:2">
      <c r="A652" s="2" t="s">
        <v>2013</v>
      </c>
      <c r="B652" s="3">
        <v>1</v>
      </c>
    </row>
    <row r="653" spans="1:2">
      <c r="A653" s="2" t="s">
        <v>2028</v>
      </c>
      <c r="B653" s="3">
        <v>1</v>
      </c>
    </row>
    <row r="654" spans="1:2">
      <c r="A654" s="2" t="s">
        <v>2034</v>
      </c>
      <c r="B654" s="3">
        <v>1</v>
      </c>
    </row>
    <row r="655" spans="1:2">
      <c r="A655" s="2" t="s">
        <v>2046</v>
      </c>
      <c r="B655" s="3">
        <v>1</v>
      </c>
    </row>
    <row r="656" spans="1:2">
      <c r="A656" s="2" t="s">
        <v>2049</v>
      </c>
      <c r="B656" s="3">
        <v>1</v>
      </c>
    </row>
    <row r="657" spans="1:2">
      <c r="A657" s="2" t="s">
        <v>2064</v>
      </c>
      <c r="B657" s="3">
        <v>1</v>
      </c>
    </row>
    <row r="658" spans="1:2">
      <c r="A658" s="2" t="s">
        <v>2073</v>
      </c>
      <c r="B658" s="3">
        <v>1</v>
      </c>
    </row>
    <row r="659" spans="1:2">
      <c r="A659" s="2" t="s">
        <v>2085</v>
      </c>
      <c r="B659" s="3">
        <v>1</v>
      </c>
    </row>
    <row r="660" spans="1:2">
      <c r="A660" s="2" t="s">
        <v>2091</v>
      </c>
      <c r="B660" s="3">
        <v>1</v>
      </c>
    </row>
    <row r="661" spans="1:2">
      <c r="A661" s="2" t="s">
        <v>2103</v>
      </c>
      <c r="B661" s="3">
        <v>1</v>
      </c>
    </row>
    <row r="662" spans="1:2">
      <c r="A662" s="2" t="s">
        <v>2109</v>
      </c>
      <c r="B662" s="3">
        <v>1</v>
      </c>
    </row>
    <row r="663" spans="1:2">
      <c r="A663" s="2" t="s">
        <v>2124</v>
      </c>
      <c r="B663" s="3">
        <v>1</v>
      </c>
    </row>
    <row r="664" spans="1:2">
      <c r="A664" s="2" t="s">
        <v>2130</v>
      </c>
      <c r="B664" s="3">
        <v>1</v>
      </c>
    </row>
    <row r="665" spans="1:2">
      <c r="A665" s="2" t="s">
        <v>2139</v>
      </c>
      <c r="B665" s="3">
        <v>1</v>
      </c>
    </row>
    <row r="666" spans="1:2">
      <c r="A666" s="2" t="s">
        <v>2145</v>
      </c>
      <c r="B666" s="3">
        <v>1</v>
      </c>
    </row>
    <row r="667" spans="1:2">
      <c r="A667" s="2" t="s">
        <v>2163</v>
      </c>
      <c r="B667" s="3">
        <v>1</v>
      </c>
    </row>
    <row r="668" spans="1:2">
      <c r="A668" s="2" t="s">
        <v>2166</v>
      </c>
      <c r="B668" s="3">
        <v>1</v>
      </c>
    </row>
    <row r="669" spans="1:2">
      <c r="A669" s="2" t="s">
        <v>2172</v>
      </c>
      <c r="B669" s="3">
        <v>1</v>
      </c>
    </row>
    <row r="670" spans="1:2">
      <c r="A670" s="2" t="s">
        <v>2187</v>
      </c>
      <c r="B670" s="3">
        <v>1</v>
      </c>
    </row>
    <row r="671" spans="1:2">
      <c r="A671" s="2" t="s">
        <v>2193</v>
      </c>
      <c r="B671" s="3">
        <v>1</v>
      </c>
    </row>
    <row r="672" spans="1:2">
      <c r="A672" s="2" t="s">
        <v>2202</v>
      </c>
      <c r="B672" s="3">
        <v>1</v>
      </c>
    </row>
    <row r="673" spans="1:2">
      <c r="A673" s="2" t="s">
        <v>2217</v>
      </c>
      <c r="B673" s="3">
        <v>1</v>
      </c>
    </row>
    <row r="674" spans="1:2">
      <c r="A674" s="2" t="s">
        <v>2223</v>
      </c>
      <c r="B674" s="3">
        <v>1</v>
      </c>
    </row>
    <row r="675" spans="1:2">
      <c r="A675" s="2" t="s">
        <v>2226</v>
      </c>
      <c r="B675" s="3">
        <v>1</v>
      </c>
    </row>
    <row r="676" spans="1:2">
      <c r="A676" s="2" t="s">
        <v>2235</v>
      </c>
      <c r="B676" s="3">
        <v>1</v>
      </c>
    </row>
    <row r="677" spans="1:2">
      <c r="A677" s="2" t="s">
        <v>2241</v>
      </c>
      <c r="B677" s="3">
        <v>1</v>
      </c>
    </row>
    <row r="678" spans="1:2">
      <c r="A678" s="2" t="s">
        <v>2253</v>
      </c>
      <c r="B678" s="3">
        <v>1</v>
      </c>
    </row>
    <row r="679" spans="1:2">
      <c r="A679" s="2" t="s">
        <v>2262</v>
      </c>
      <c r="B679" s="3">
        <v>1</v>
      </c>
    </row>
    <row r="680" spans="1:2">
      <c r="A680" s="2" t="s">
        <v>2274</v>
      </c>
      <c r="B680" s="3">
        <v>1</v>
      </c>
    </row>
    <row r="681" spans="1:2">
      <c r="A681" s="2" t="s">
        <v>2280</v>
      </c>
      <c r="B681" s="3">
        <v>1</v>
      </c>
    </row>
    <row r="682" spans="1:2">
      <c r="A682" s="2" t="s">
        <v>2289</v>
      </c>
      <c r="B682" s="3">
        <v>1</v>
      </c>
    </row>
    <row r="683" spans="1:2">
      <c r="A683" s="2" t="s">
        <v>2304</v>
      </c>
      <c r="B683" s="3">
        <v>1</v>
      </c>
    </row>
    <row r="684" spans="1:2">
      <c r="A684" s="2" t="s">
        <v>2310</v>
      </c>
      <c r="B684" s="3">
        <v>1</v>
      </c>
    </row>
    <row r="685" spans="1:2">
      <c r="A685" s="2" t="s">
        <v>2319</v>
      </c>
      <c r="B685" s="3">
        <v>1</v>
      </c>
    </row>
    <row r="686" spans="1:2">
      <c r="A686" s="2" t="s">
        <v>2325</v>
      </c>
      <c r="B686" s="3">
        <v>1</v>
      </c>
    </row>
    <row r="687" spans="1:2">
      <c r="A687" s="2" t="s">
        <v>2337</v>
      </c>
      <c r="B687" s="3">
        <v>1</v>
      </c>
    </row>
    <row r="688" spans="1:2">
      <c r="A688" s="2" t="s">
        <v>2343</v>
      </c>
      <c r="B688" s="3">
        <v>1</v>
      </c>
    </row>
    <row r="689" spans="1:2">
      <c r="A689" s="2" t="s">
        <v>2358</v>
      </c>
      <c r="B689" s="3">
        <v>1</v>
      </c>
    </row>
    <row r="690" spans="1:2">
      <c r="A690" s="2" t="s">
        <v>2364</v>
      </c>
      <c r="B690" s="3">
        <v>1</v>
      </c>
    </row>
    <row r="691" spans="1:2">
      <c r="A691" s="2" t="s">
        <v>2379</v>
      </c>
      <c r="B691" s="3">
        <v>1</v>
      </c>
    </row>
    <row r="692" spans="1:2">
      <c r="A692" s="2" t="s">
        <v>2385</v>
      </c>
      <c r="B692" s="3">
        <v>1</v>
      </c>
    </row>
    <row r="693" spans="1:2">
      <c r="A693" s="2" t="s">
        <v>2397</v>
      </c>
      <c r="B693" s="3">
        <v>1</v>
      </c>
    </row>
    <row r="694" spans="1:2">
      <c r="A694" s="2" t="s">
        <v>2403</v>
      </c>
      <c r="B694" s="3">
        <v>1</v>
      </c>
    </row>
    <row r="695" spans="1:2">
      <c r="A695" s="2" t="s">
        <v>2406</v>
      </c>
      <c r="B695" s="3">
        <v>1</v>
      </c>
    </row>
    <row r="696" spans="1:2">
      <c r="A696" s="2" t="s">
        <v>2421</v>
      </c>
      <c r="B696" s="3">
        <v>1</v>
      </c>
    </row>
    <row r="697" spans="1:2">
      <c r="A697" s="2" t="s">
        <v>2427</v>
      </c>
      <c r="B697" s="3">
        <v>1</v>
      </c>
    </row>
    <row r="698" spans="1:2">
      <c r="A698" s="2" t="s">
        <v>2430</v>
      </c>
      <c r="B698" s="3">
        <v>1</v>
      </c>
    </row>
    <row r="699" spans="1:2">
      <c r="A699" s="2" t="s">
        <v>2442</v>
      </c>
      <c r="B699" s="3">
        <v>1</v>
      </c>
    </row>
    <row r="700" spans="1:2">
      <c r="A700" s="2" t="s">
        <v>2448</v>
      </c>
      <c r="B700" s="3">
        <v>1</v>
      </c>
    </row>
    <row r="701" spans="1:2">
      <c r="A701" s="2" t="s">
        <v>2460</v>
      </c>
      <c r="B701" s="3">
        <v>1</v>
      </c>
    </row>
    <row r="702" spans="1:2">
      <c r="A702" s="2" t="s">
        <v>2466</v>
      </c>
      <c r="B702" s="3">
        <v>1</v>
      </c>
    </row>
    <row r="703" spans="1:2">
      <c r="A703" s="2" t="s">
        <v>2481</v>
      </c>
      <c r="B703" s="3">
        <v>1</v>
      </c>
    </row>
    <row r="704" spans="1:2">
      <c r="A704" s="2" t="s">
        <v>2487</v>
      </c>
      <c r="B704" s="3">
        <v>1</v>
      </c>
    </row>
    <row r="705" spans="1:2">
      <c r="A705" s="2" t="s">
        <v>2499</v>
      </c>
      <c r="B705" s="3">
        <v>1</v>
      </c>
    </row>
    <row r="706" spans="1:2">
      <c r="A706" s="2" t="s">
        <v>2505</v>
      </c>
      <c r="B706" s="3">
        <v>1</v>
      </c>
    </row>
    <row r="707" spans="1:2">
      <c r="A707" s="2" t="s">
        <v>2517</v>
      </c>
      <c r="B707" s="3">
        <v>1</v>
      </c>
    </row>
    <row r="708" spans="1:2">
      <c r="A708" s="2" t="s">
        <v>2523</v>
      </c>
      <c r="B708" s="3">
        <v>1</v>
      </c>
    </row>
    <row r="709" spans="1:2">
      <c r="A709" s="2" t="s">
        <v>2529</v>
      </c>
      <c r="B709" s="3">
        <v>1</v>
      </c>
    </row>
    <row r="710" spans="1:2">
      <c r="A710" s="2" t="s">
        <v>2547</v>
      </c>
      <c r="B710" s="3">
        <v>1</v>
      </c>
    </row>
    <row r="711" spans="1:2">
      <c r="A711" s="2" t="s">
        <v>2553</v>
      </c>
      <c r="B711" s="3">
        <v>1</v>
      </c>
    </row>
    <row r="712" spans="1:2">
      <c r="A712" s="2" t="s">
        <v>2565</v>
      </c>
      <c r="B712" s="3">
        <v>1</v>
      </c>
    </row>
    <row r="713" spans="1:2">
      <c r="A713" s="2" t="s">
        <v>2571</v>
      </c>
      <c r="B713" s="3">
        <v>1</v>
      </c>
    </row>
    <row r="714" spans="1:2">
      <c r="A714" s="2" t="s">
        <v>1788</v>
      </c>
      <c r="B714" s="3">
        <v>1</v>
      </c>
    </row>
    <row r="715" spans="1:2">
      <c r="A715" s="2" t="s">
        <v>1803</v>
      </c>
      <c r="B715" s="3">
        <v>1</v>
      </c>
    </row>
    <row r="716" spans="1:2">
      <c r="A716" s="2" t="s">
        <v>1809</v>
      </c>
      <c r="B716" s="3">
        <v>1</v>
      </c>
    </row>
    <row r="717" spans="1:2">
      <c r="A717" s="2" t="s">
        <v>1818</v>
      </c>
      <c r="B717" s="3">
        <v>1</v>
      </c>
    </row>
    <row r="718" spans="1:2">
      <c r="A718" s="2" t="s">
        <v>1824</v>
      </c>
      <c r="B718" s="3">
        <v>1</v>
      </c>
    </row>
    <row r="719" spans="1:2">
      <c r="A719" s="2" t="s">
        <v>1839</v>
      </c>
      <c r="B719" s="3">
        <v>1</v>
      </c>
    </row>
    <row r="720" spans="1:2">
      <c r="A720" s="2" t="s">
        <v>1842</v>
      </c>
      <c r="B720" s="3">
        <v>1</v>
      </c>
    </row>
    <row r="721" spans="1:2">
      <c r="A721" s="2" t="s">
        <v>1848</v>
      </c>
      <c r="B721" s="3">
        <v>1</v>
      </c>
    </row>
    <row r="722" spans="1:2">
      <c r="A722" s="2" t="s">
        <v>1866</v>
      </c>
      <c r="B722" s="3">
        <v>1</v>
      </c>
    </row>
    <row r="723" spans="1:2">
      <c r="A723" s="2" t="s">
        <v>1872</v>
      </c>
      <c r="B723" s="3">
        <v>1</v>
      </c>
    </row>
    <row r="724" spans="1:2">
      <c r="A724" s="2" t="s">
        <v>1875</v>
      </c>
      <c r="B724" s="3">
        <v>1</v>
      </c>
    </row>
    <row r="725" spans="1:2">
      <c r="A725" s="2" t="s">
        <v>1884</v>
      </c>
      <c r="B725" s="3">
        <v>1</v>
      </c>
    </row>
    <row r="726" spans="1:2">
      <c r="A726" s="2" t="s">
        <v>1890</v>
      </c>
      <c r="B726" s="3">
        <v>1</v>
      </c>
    </row>
    <row r="727" spans="1:2">
      <c r="A727" s="2" t="s">
        <v>1902</v>
      </c>
      <c r="B727" s="3">
        <v>1</v>
      </c>
    </row>
    <row r="728" spans="1:2">
      <c r="A728" s="2" t="s">
        <v>1917</v>
      </c>
      <c r="B728" s="3">
        <v>1</v>
      </c>
    </row>
    <row r="729" spans="1:2">
      <c r="A729" s="2" t="s">
        <v>1923</v>
      </c>
      <c r="B729" s="3">
        <v>1</v>
      </c>
    </row>
    <row r="730" spans="1:2">
      <c r="A730" s="2" t="s">
        <v>1938</v>
      </c>
      <c r="B730" s="3">
        <v>1</v>
      </c>
    </row>
    <row r="731" spans="1:2">
      <c r="A731" s="2" t="s">
        <v>1944</v>
      </c>
      <c r="B731" s="3">
        <v>1</v>
      </c>
    </row>
    <row r="732" spans="1:2">
      <c r="A732" s="2" t="s">
        <v>1947</v>
      </c>
      <c r="B732" s="3">
        <v>1</v>
      </c>
    </row>
    <row r="733" spans="1:2">
      <c r="A733" s="2" t="s">
        <v>1962</v>
      </c>
      <c r="B733" s="3">
        <v>1</v>
      </c>
    </row>
    <row r="734" spans="1:2">
      <c r="A734" s="2" t="s">
        <v>1977</v>
      </c>
      <c r="B734" s="3">
        <v>1</v>
      </c>
    </row>
    <row r="735" spans="1:2">
      <c r="A735" s="2" t="s">
        <v>1980</v>
      </c>
      <c r="B735" s="3">
        <v>1</v>
      </c>
    </row>
    <row r="736" spans="1:2">
      <c r="A736" s="2" t="s">
        <v>1986</v>
      </c>
      <c r="B736" s="3">
        <v>1</v>
      </c>
    </row>
    <row r="737" spans="1:2">
      <c r="A737" s="2" t="s">
        <v>1998</v>
      </c>
      <c r="B737" s="3">
        <v>1</v>
      </c>
    </row>
    <row r="738" spans="1:2">
      <c r="A738" s="2" t="s">
        <v>2004</v>
      </c>
      <c r="B738" s="3">
        <v>1</v>
      </c>
    </row>
    <row r="739" spans="1:2">
      <c r="A739" s="2" t="s">
        <v>2016</v>
      </c>
      <c r="B739" s="3">
        <v>1</v>
      </c>
    </row>
    <row r="740" spans="1:2">
      <c r="A740" s="2" t="s">
        <v>2019</v>
      </c>
      <c r="B740" s="3">
        <v>1</v>
      </c>
    </row>
    <row r="741" spans="1:2">
      <c r="A741" s="2" t="s">
        <v>2025</v>
      </c>
      <c r="B741" s="3">
        <v>1</v>
      </c>
    </row>
    <row r="742" spans="1:2">
      <c r="A742" s="2" t="s">
        <v>2037</v>
      </c>
      <c r="B742" s="3">
        <v>1</v>
      </c>
    </row>
    <row r="743" spans="1:2">
      <c r="A743" s="2" t="s">
        <v>2043</v>
      </c>
      <c r="B743" s="3">
        <v>1</v>
      </c>
    </row>
    <row r="744" spans="1:2">
      <c r="A744" s="2" t="s">
        <v>2055</v>
      </c>
      <c r="B744" s="3">
        <v>1</v>
      </c>
    </row>
    <row r="745" spans="1:2">
      <c r="A745" s="2" t="s">
        <v>2061</v>
      </c>
      <c r="B745" s="3">
        <v>1</v>
      </c>
    </row>
    <row r="746" spans="1:2">
      <c r="A746" s="2" t="s">
        <v>2076</v>
      </c>
      <c r="B746" s="3">
        <v>1</v>
      </c>
    </row>
    <row r="747" spans="1:2">
      <c r="A747" s="2" t="s">
        <v>2079</v>
      </c>
      <c r="B747" s="3">
        <v>1</v>
      </c>
    </row>
    <row r="748" spans="1:2">
      <c r="A748" s="2" t="s">
        <v>2094</v>
      </c>
      <c r="B748" s="3">
        <v>1</v>
      </c>
    </row>
    <row r="749" spans="1:2">
      <c r="A749" s="2" t="s">
        <v>2100</v>
      </c>
      <c r="B749" s="3">
        <v>1</v>
      </c>
    </row>
    <row r="750" spans="1:2">
      <c r="A750" s="2" t="s">
        <v>2112</v>
      </c>
      <c r="B750" s="3">
        <v>1</v>
      </c>
    </row>
    <row r="751" spans="1:2">
      <c r="A751" s="2" t="s">
        <v>2118</v>
      </c>
      <c r="B751" s="3">
        <v>1</v>
      </c>
    </row>
    <row r="752" spans="1:2">
      <c r="A752" s="2" t="s">
        <v>2121</v>
      </c>
      <c r="B752" s="3">
        <v>1</v>
      </c>
    </row>
    <row r="753" spans="1:2">
      <c r="A753" s="2" t="s">
        <v>2133</v>
      </c>
      <c r="B753" s="3">
        <v>1</v>
      </c>
    </row>
    <row r="754" spans="1:2">
      <c r="A754" s="2" t="s">
        <v>2148</v>
      </c>
      <c r="B754" s="3">
        <v>1</v>
      </c>
    </row>
    <row r="755" spans="1:2">
      <c r="A755" s="2" t="s">
        <v>2154</v>
      </c>
      <c r="B755" s="3">
        <v>1</v>
      </c>
    </row>
    <row r="756" spans="1:2">
      <c r="A756" s="2" t="s">
        <v>2160</v>
      </c>
      <c r="B756" s="3">
        <v>1</v>
      </c>
    </row>
    <row r="757" spans="1:2">
      <c r="A757" s="2" t="s">
        <v>14541</v>
      </c>
      <c r="B757" s="3">
        <v>1</v>
      </c>
    </row>
    <row r="758" spans="1:2">
      <c r="A758" s="2" t="s">
        <v>2175</v>
      </c>
      <c r="B758" s="3">
        <v>1</v>
      </c>
    </row>
    <row r="759" spans="1:2">
      <c r="A759" s="2" t="s">
        <v>2178</v>
      </c>
      <c r="B759" s="3">
        <v>1</v>
      </c>
    </row>
    <row r="760" spans="1:2">
      <c r="A760" s="2" t="s">
        <v>2184</v>
      </c>
      <c r="B760" s="3">
        <v>1</v>
      </c>
    </row>
    <row r="761" spans="1:2">
      <c r="A761" s="2" t="s">
        <v>2196</v>
      </c>
      <c r="B761" s="3">
        <v>1</v>
      </c>
    </row>
    <row r="762" spans="1:2">
      <c r="A762" s="2" t="s">
        <v>2208</v>
      </c>
      <c r="B762" s="3">
        <v>1</v>
      </c>
    </row>
    <row r="763" spans="1:2">
      <c r="A763" s="2" t="s">
        <v>2214</v>
      </c>
      <c r="B763" s="3">
        <v>1</v>
      </c>
    </row>
    <row r="764" spans="1:2">
      <c r="A764" s="2" t="s">
        <v>2229</v>
      </c>
      <c r="B764" s="3">
        <v>1</v>
      </c>
    </row>
    <row r="765" spans="1:2">
      <c r="A765" s="2" t="s">
        <v>2244</v>
      </c>
      <c r="B765" s="3">
        <v>1</v>
      </c>
    </row>
    <row r="766" spans="1:2">
      <c r="A766" s="2" t="s">
        <v>2250</v>
      </c>
      <c r="B766" s="3">
        <v>1</v>
      </c>
    </row>
    <row r="767" spans="1:2">
      <c r="A767" s="2" t="s">
        <v>2265</v>
      </c>
      <c r="B767" s="3">
        <v>1</v>
      </c>
    </row>
    <row r="768" spans="1:2">
      <c r="A768" s="2" t="s">
        <v>2271</v>
      </c>
      <c r="B768" s="3">
        <v>1</v>
      </c>
    </row>
    <row r="769" spans="1:2">
      <c r="A769" s="2" t="s">
        <v>2286</v>
      </c>
      <c r="B769" s="3">
        <v>1</v>
      </c>
    </row>
    <row r="770" spans="1:2">
      <c r="A770" s="2" t="s">
        <v>2295</v>
      </c>
      <c r="B770" s="3">
        <v>1</v>
      </c>
    </row>
    <row r="771" spans="1:2">
      <c r="A771" s="2" t="s">
        <v>2301</v>
      </c>
      <c r="B771" s="3">
        <v>1</v>
      </c>
    </row>
    <row r="772" spans="1:2">
      <c r="A772" s="2" t="s">
        <v>2313</v>
      </c>
      <c r="B772" s="3">
        <v>1</v>
      </c>
    </row>
    <row r="773" spans="1:2">
      <c r="A773" s="2" t="s">
        <v>2328</v>
      </c>
      <c r="B773" s="3">
        <v>1</v>
      </c>
    </row>
    <row r="774" spans="1:2">
      <c r="A774" s="2" t="s">
        <v>2334</v>
      </c>
      <c r="B774" s="3">
        <v>1</v>
      </c>
    </row>
    <row r="775" spans="1:2">
      <c r="A775" s="2" t="s">
        <v>2346</v>
      </c>
      <c r="B775" s="3">
        <v>1</v>
      </c>
    </row>
    <row r="776" spans="1:2">
      <c r="A776" s="2" t="s">
        <v>2349</v>
      </c>
      <c r="B776" s="3">
        <v>1</v>
      </c>
    </row>
    <row r="777" spans="1:2">
      <c r="A777" s="2" t="s">
        <v>2355</v>
      </c>
      <c r="B777" s="3">
        <v>1</v>
      </c>
    </row>
    <row r="778" spans="1:2">
      <c r="A778" s="2" t="s">
        <v>2367</v>
      </c>
      <c r="B778" s="3">
        <v>1</v>
      </c>
    </row>
    <row r="779" spans="1:2">
      <c r="A779" s="2" t="s">
        <v>2373</v>
      </c>
      <c r="B779" s="3">
        <v>1</v>
      </c>
    </row>
    <row r="780" spans="1:2">
      <c r="A780" s="2" t="s">
        <v>2376</v>
      </c>
      <c r="B780" s="3">
        <v>1</v>
      </c>
    </row>
    <row r="781" spans="1:2">
      <c r="A781" s="2" t="s">
        <v>2388</v>
      </c>
      <c r="B781" s="3">
        <v>1</v>
      </c>
    </row>
    <row r="782" spans="1:2">
      <c r="A782" s="2" t="s">
        <v>2394</v>
      </c>
      <c r="B782" s="3">
        <v>1</v>
      </c>
    </row>
    <row r="783" spans="1:2">
      <c r="A783" s="2" t="s">
        <v>2412</v>
      </c>
      <c r="B783" s="3">
        <v>1</v>
      </c>
    </row>
    <row r="784" spans="1:2">
      <c r="A784" s="2" t="s">
        <v>2418</v>
      </c>
      <c r="B784" s="3">
        <v>1</v>
      </c>
    </row>
    <row r="785" spans="1:2">
      <c r="A785" s="2" t="s">
        <v>2439</v>
      </c>
      <c r="B785" s="3">
        <v>1</v>
      </c>
    </row>
    <row r="786" spans="1:2">
      <c r="A786" s="2" t="s">
        <v>2457</v>
      </c>
      <c r="B786" s="3">
        <v>1</v>
      </c>
    </row>
    <row r="787" spans="1:2">
      <c r="A787" s="2" t="s">
        <v>2469</v>
      </c>
      <c r="B787" s="3">
        <v>1</v>
      </c>
    </row>
    <row r="788" spans="1:2">
      <c r="A788" s="2" t="s">
        <v>2472</v>
      </c>
      <c r="B788" s="3">
        <v>1</v>
      </c>
    </row>
    <row r="789" spans="1:2">
      <c r="A789" s="2" t="s">
        <v>2478</v>
      </c>
      <c r="B789" s="3">
        <v>1</v>
      </c>
    </row>
    <row r="790" spans="1:2">
      <c r="A790" s="2" t="s">
        <v>2490</v>
      </c>
      <c r="B790" s="3">
        <v>1</v>
      </c>
    </row>
    <row r="791" spans="1:2">
      <c r="A791" s="2" t="s">
        <v>2496</v>
      </c>
      <c r="B791" s="3">
        <v>1</v>
      </c>
    </row>
    <row r="792" spans="1:2">
      <c r="A792" s="2" t="s">
        <v>2508</v>
      </c>
      <c r="B792" s="3">
        <v>1</v>
      </c>
    </row>
    <row r="793" spans="1:2">
      <c r="A793" s="2" t="s">
        <v>2514</v>
      </c>
      <c r="B793" s="3">
        <v>1</v>
      </c>
    </row>
    <row r="794" spans="1:2">
      <c r="A794" s="2" t="s">
        <v>2532</v>
      </c>
      <c r="B794" s="3">
        <v>1</v>
      </c>
    </row>
    <row r="795" spans="1:2">
      <c r="A795" s="2" t="s">
        <v>2538</v>
      </c>
      <c r="B795" s="3">
        <v>1</v>
      </c>
    </row>
    <row r="796" spans="1:2">
      <c r="A796" s="2" t="s">
        <v>2544</v>
      </c>
      <c r="B796" s="3">
        <v>1</v>
      </c>
    </row>
    <row r="797" spans="1:2">
      <c r="A797" s="2" t="s">
        <v>2556</v>
      </c>
      <c r="B797" s="3">
        <v>1</v>
      </c>
    </row>
    <row r="798" spans="1:2">
      <c r="A798" s="2" t="s">
        <v>2562</v>
      </c>
      <c r="B798" s="3">
        <v>1</v>
      </c>
    </row>
    <row r="799" spans="1:2">
      <c r="A799" s="2" t="s">
        <v>2574</v>
      </c>
      <c r="B799" s="3">
        <v>1</v>
      </c>
    </row>
    <row r="800" spans="1:2">
      <c r="A800" s="2" t="s">
        <v>2583</v>
      </c>
      <c r="B800" s="3">
        <v>1</v>
      </c>
    </row>
    <row r="801" spans="1:2">
      <c r="A801" s="2" t="s">
        <v>2592</v>
      </c>
      <c r="B801" s="3">
        <v>1</v>
      </c>
    </row>
    <row r="802" spans="1:2">
      <c r="A802" s="2" t="s">
        <v>2598</v>
      </c>
      <c r="B802" s="3">
        <v>1</v>
      </c>
    </row>
    <row r="803" spans="1:2">
      <c r="A803" s="2" t="s">
        <v>2607</v>
      </c>
      <c r="B803" s="3">
        <v>1</v>
      </c>
    </row>
    <row r="804" spans="1:2">
      <c r="A804" s="2" t="s">
        <v>2613</v>
      </c>
      <c r="B804" s="3">
        <v>1</v>
      </c>
    </row>
    <row r="805" spans="1:2">
      <c r="A805" s="2" t="s">
        <v>2625</v>
      </c>
      <c r="B805" s="3">
        <v>1</v>
      </c>
    </row>
    <row r="806" spans="1:2">
      <c r="A806" s="2" t="s">
        <v>2157</v>
      </c>
      <c r="B806" s="3">
        <v>1</v>
      </c>
    </row>
    <row r="807" spans="1:2">
      <c r="A807" s="2" t="s">
        <v>2169</v>
      </c>
      <c r="B807" s="3">
        <v>1</v>
      </c>
    </row>
    <row r="808" spans="1:2">
      <c r="A808" s="2" t="s">
        <v>2181</v>
      </c>
      <c r="B808" s="3">
        <v>1</v>
      </c>
    </row>
    <row r="809" spans="1:2">
      <c r="A809" s="2" t="s">
        <v>2190</v>
      </c>
      <c r="B809" s="3">
        <v>1</v>
      </c>
    </row>
    <row r="810" spans="1:2">
      <c r="A810" s="2" t="s">
        <v>2199</v>
      </c>
      <c r="B810" s="3">
        <v>1</v>
      </c>
    </row>
    <row r="811" spans="1:2">
      <c r="A811" s="2" t="s">
        <v>2205</v>
      </c>
      <c r="B811" s="3">
        <v>1</v>
      </c>
    </row>
    <row r="812" spans="1:2">
      <c r="A812" s="2" t="s">
        <v>2211</v>
      </c>
      <c r="B812" s="3">
        <v>1</v>
      </c>
    </row>
    <row r="813" spans="1:2">
      <c r="A813" s="2" t="s">
        <v>2220</v>
      </c>
      <c r="B813" s="3">
        <v>1</v>
      </c>
    </row>
    <row r="814" spans="1:2">
      <c r="A814" s="2" t="s">
        <v>2232</v>
      </c>
      <c r="B814" s="3">
        <v>1</v>
      </c>
    </row>
    <row r="815" spans="1:2">
      <c r="A815" s="2" t="s">
        <v>2238</v>
      </c>
      <c r="B815" s="3">
        <v>1</v>
      </c>
    </row>
    <row r="816" spans="1:2">
      <c r="A816" s="2" t="s">
        <v>2247</v>
      </c>
      <c r="B816" s="3">
        <v>1</v>
      </c>
    </row>
    <row r="817" spans="1:2">
      <c r="A817" s="2" t="s">
        <v>2256</v>
      </c>
      <c r="B817" s="3">
        <v>1</v>
      </c>
    </row>
    <row r="818" spans="1:2">
      <c r="A818" s="2" t="s">
        <v>2259</v>
      </c>
      <c r="B818" s="3">
        <v>1</v>
      </c>
    </row>
    <row r="819" spans="1:2">
      <c r="A819" s="2" t="s">
        <v>2268</v>
      </c>
      <c r="B819" s="3">
        <v>1</v>
      </c>
    </row>
    <row r="820" spans="1:2">
      <c r="A820" s="2" t="s">
        <v>2277</v>
      </c>
      <c r="B820" s="3">
        <v>1</v>
      </c>
    </row>
    <row r="821" spans="1:2">
      <c r="A821" s="2" t="s">
        <v>2283</v>
      </c>
      <c r="B821" s="3">
        <v>1</v>
      </c>
    </row>
    <row r="822" spans="1:2">
      <c r="A822" s="2" t="s">
        <v>2292</v>
      </c>
      <c r="B822" s="3">
        <v>1</v>
      </c>
    </row>
    <row r="823" spans="1:2">
      <c r="A823" s="2" t="s">
        <v>2298</v>
      </c>
      <c r="B823" s="3">
        <v>1</v>
      </c>
    </row>
    <row r="824" spans="1:2">
      <c r="A824" s="2" t="s">
        <v>2307</v>
      </c>
      <c r="B824" s="3">
        <v>1</v>
      </c>
    </row>
    <row r="825" spans="1:2">
      <c r="A825" s="2" t="s">
        <v>2316</v>
      </c>
      <c r="B825" s="3">
        <v>1</v>
      </c>
    </row>
    <row r="826" spans="1:2">
      <c r="A826" s="2" t="s">
        <v>2322</v>
      </c>
      <c r="B826" s="3">
        <v>1</v>
      </c>
    </row>
    <row r="827" spans="1:2">
      <c r="A827" s="2" t="s">
        <v>2331</v>
      </c>
      <c r="B827" s="3">
        <v>1</v>
      </c>
    </row>
    <row r="828" spans="1:2">
      <c r="A828" s="2" t="s">
        <v>2340</v>
      </c>
      <c r="B828" s="3">
        <v>1</v>
      </c>
    </row>
    <row r="829" spans="1:2">
      <c r="A829" s="2" t="s">
        <v>2352</v>
      </c>
      <c r="B829" s="3">
        <v>1</v>
      </c>
    </row>
    <row r="830" spans="1:2">
      <c r="A830" s="2" t="s">
        <v>2361</v>
      </c>
      <c r="B830" s="3">
        <v>1</v>
      </c>
    </row>
    <row r="831" spans="1:2">
      <c r="A831" s="2" t="s">
        <v>2370</v>
      </c>
      <c r="B831" s="3">
        <v>1</v>
      </c>
    </row>
    <row r="832" spans="1:2">
      <c r="A832" s="2" t="s">
        <v>2382</v>
      </c>
      <c r="B832" s="3">
        <v>1</v>
      </c>
    </row>
    <row r="833" spans="1:2">
      <c r="A833" s="2" t="s">
        <v>2391</v>
      </c>
      <c r="B833" s="3">
        <v>1</v>
      </c>
    </row>
    <row r="834" spans="1:2">
      <c r="A834" s="2" t="s">
        <v>2400</v>
      </c>
      <c r="B834" s="3">
        <v>1</v>
      </c>
    </row>
    <row r="835" spans="1:2">
      <c r="A835" s="2" t="s">
        <v>2409</v>
      </c>
      <c r="B835" s="3">
        <v>1</v>
      </c>
    </row>
    <row r="836" spans="1:2">
      <c r="A836" s="2" t="s">
        <v>2415</v>
      </c>
      <c r="B836" s="3">
        <v>1</v>
      </c>
    </row>
    <row r="837" spans="1:2">
      <c r="A837" s="2" t="s">
        <v>2424</v>
      </c>
      <c r="B837" s="3">
        <v>1</v>
      </c>
    </row>
    <row r="838" spans="1:2">
      <c r="A838" s="2" t="s">
        <v>2433</v>
      </c>
      <c r="B838" s="3">
        <v>1</v>
      </c>
    </row>
    <row r="839" spans="1:2">
      <c r="A839" s="2" t="s">
        <v>2436</v>
      </c>
      <c r="B839" s="3">
        <v>1</v>
      </c>
    </row>
    <row r="840" spans="1:2">
      <c r="A840" s="2" t="s">
        <v>2445</v>
      </c>
      <c r="B840" s="3">
        <v>1</v>
      </c>
    </row>
    <row r="841" spans="1:2">
      <c r="A841" s="2" t="s">
        <v>14544</v>
      </c>
      <c r="B841" s="3">
        <v>1</v>
      </c>
    </row>
    <row r="842" spans="1:2">
      <c r="A842" s="2" t="s">
        <v>2451</v>
      </c>
      <c r="B842" s="3">
        <v>1</v>
      </c>
    </row>
    <row r="843" spans="1:2">
      <c r="A843" s="2" t="s">
        <v>2454</v>
      </c>
      <c r="B843" s="3">
        <v>1</v>
      </c>
    </row>
    <row r="844" spans="1:2">
      <c r="A844" s="2" t="s">
        <v>2463</v>
      </c>
      <c r="B844" s="3">
        <v>1</v>
      </c>
    </row>
    <row r="845" spans="1:2">
      <c r="A845" s="2" t="s">
        <v>2475</v>
      </c>
      <c r="B845" s="3">
        <v>1</v>
      </c>
    </row>
    <row r="846" spans="1:2">
      <c r="A846" s="2" t="s">
        <v>2484</v>
      </c>
      <c r="B846" s="3">
        <v>1</v>
      </c>
    </row>
    <row r="847" spans="1:2">
      <c r="A847" s="2" t="s">
        <v>2493</v>
      </c>
      <c r="B847" s="3">
        <v>1</v>
      </c>
    </row>
    <row r="848" spans="1:2">
      <c r="A848" s="2" t="s">
        <v>2502</v>
      </c>
      <c r="B848" s="3">
        <v>1</v>
      </c>
    </row>
    <row r="849" spans="1:2">
      <c r="A849" s="2" t="s">
        <v>2511</v>
      </c>
      <c r="B849" s="3">
        <v>1</v>
      </c>
    </row>
    <row r="850" spans="1:2">
      <c r="A850" s="2" t="s">
        <v>2520</v>
      </c>
      <c r="B850" s="3">
        <v>1</v>
      </c>
    </row>
    <row r="851" spans="1:2">
      <c r="A851" s="2" t="s">
        <v>2526</v>
      </c>
      <c r="B851" s="3">
        <v>1</v>
      </c>
    </row>
    <row r="852" spans="1:2">
      <c r="A852" s="2" t="s">
        <v>2535</v>
      </c>
      <c r="B852" s="3">
        <v>1</v>
      </c>
    </row>
    <row r="853" spans="1:2">
      <c r="A853" s="2" t="s">
        <v>2541</v>
      </c>
      <c r="B853" s="3">
        <v>1</v>
      </c>
    </row>
    <row r="854" spans="1:2">
      <c r="A854" s="2" t="s">
        <v>2550</v>
      </c>
      <c r="B854" s="3">
        <v>1</v>
      </c>
    </row>
    <row r="855" spans="1:2">
      <c r="A855" s="2" t="s">
        <v>2559</v>
      </c>
      <c r="B855" s="3">
        <v>1</v>
      </c>
    </row>
    <row r="856" spans="1:2">
      <c r="A856" s="2" t="s">
        <v>2568</v>
      </c>
      <c r="B856" s="3">
        <v>1</v>
      </c>
    </row>
    <row r="857" spans="1:2">
      <c r="A857" s="2" t="s">
        <v>2577</v>
      </c>
      <c r="B857" s="3">
        <v>1</v>
      </c>
    </row>
    <row r="858" spans="1:2">
      <c r="A858" s="2" t="s">
        <v>2580</v>
      </c>
      <c r="B858" s="3">
        <v>1</v>
      </c>
    </row>
    <row r="859" spans="1:2">
      <c r="A859" s="2" t="s">
        <v>2589</v>
      </c>
      <c r="B859" s="3">
        <v>1</v>
      </c>
    </row>
    <row r="860" spans="1:2">
      <c r="A860" s="2" t="s">
        <v>2595</v>
      </c>
      <c r="B860" s="3">
        <v>1</v>
      </c>
    </row>
    <row r="861" spans="1:2">
      <c r="A861" s="2" t="s">
        <v>2610</v>
      </c>
      <c r="B861" s="3">
        <v>1</v>
      </c>
    </row>
    <row r="862" spans="1:2">
      <c r="A862" s="2" t="s">
        <v>2619</v>
      </c>
      <c r="B862" s="3">
        <v>1</v>
      </c>
    </row>
    <row r="863" spans="1:2">
      <c r="A863" s="2" t="s">
        <v>2628</v>
      </c>
      <c r="B863" s="3">
        <v>1</v>
      </c>
    </row>
    <row r="864" spans="1:2">
      <c r="A864" s="2" t="s">
        <v>2634</v>
      </c>
      <c r="B864" s="3">
        <v>1</v>
      </c>
    </row>
    <row r="865" spans="1:2">
      <c r="A865" s="2" t="s">
        <v>2643</v>
      </c>
      <c r="B865" s="3">
        <v>1</v>
      </c>
    </row>
    <row r="866" spans="1:2">
      <c r="A866" s="2" t="s">
        <v>2658</v>
      </c>
      <c r="B866" s="3">
        <v>1</v>
      </c>
    </row>
    <row r="867" spans="1:2">
      <c r="A867" s="2" t="s">
        <v>2670</v>
      </c>
      <c r="B867" s="3">
        <v>1</v>
      </c>
    </row>
    <row r="868" spans="1:2">
      <c r="A868" s="2" t="s">
        <v>2679</v>
      </c>
      <c r="B868" s="3">
        <v>1</v>
      </c>
    </row>
    <row r="869" spans="1:2">
      <c r="A869" s="2" t="s">
        <v>2685</v>
      </c>
      <c r="B869" s="3">
        <v>1</v>
      </c>
    </row>
    <row r="870" spans="1:2">
      <c r="A870" s="2" t="s">
        <v>2694</v>
      </c>
      <c r="B870" s="3">
        <v>1</v>
      </c>
    </row>
    <row r="871" spans="1:2">
      <c r="A871" s="2" t="s">
        <v>2700</v>
      </c>
      <c r="B871" s="3">
        <v>1</v>
      </c>
    </row>
    <row r="872" spans="1:2">
      <c r="A872" s="2" t="s">
        <v>2709</v>
      </c>
      <c r="B872" s="3">
        <v>1</v>
      </c>
    </row>
    <row r="873" spans="1:2">
      <c r="A873" s="2" t="s">
        <v>2718</v>
      </c>
      <c r="B873" s="3">
        <v>1</v>
      </c>
    </row>
    <row r="874" spans="1:2">
      <c r="A874" s="2" t="s">
        <v>2727</v>
      </c>
      <c r="B874" s="3">
        <v>1</v>
      </c>
    </row>
    <row r="875" spans="1:2">
      <c r="A875" s="2" t="s">
        <v>2736</v>
      </c>
      <c r="B875" s="3">
        <v>1</v>
      </c>
    </row>
    <row r="876" spans="1:2">
      <c r="A876" s="2" t="s">
        <v>2742</v>
      </c>
      <c r="B876" s="3">
        <v>1</v>
      </c>
    </row>
    <row r="877" spans="1:2">
      <c r="A877" s="2" t="s">
        <v>2751</v>
      </c>
      <c r="B877" s="3">
        <v>1</v>
      </c>
    </row>
    <row r="878" spans="1:2">
      <c r="A878" s="2" t="s">
        <v>2763</v>
      </c>
      <c r="B878" s="3">
        <v>1</v>
      </c>
    </row>
    <row r="879" spans="1:2">
      <c r="A879" s="2" t="s">
        <v>2772</v>
      </c>
      <c r="B879" s="3">
        <v>1</v>
      </c>
    </row>
    <row r="880" spans="1:2">
      <c r="A880" s="2" t="s">
        <v>2781</v>
      </c>
      <c r="B880" s="3">
        <v>1</v>
      </c>
    </row>
    <row r="881" spans="1:2">
      <c r="A881" s="2" t="s">
        <v>2790</v>
      </c>
      <c r="B881" s="3">
        <v>1</v>
      </c>
    </row>
    <row r="882" spans="1:2">
      <c r="A882" s="2" t="s">
        <v>2796</v>
      </c>
      <c r="B882" s="3">
        <v>1</v>
      </c>
    </row>
    <row r="883" spans="1:2">
      <c r="A883" s="2" t="s">
        <v>2805</v>
      </c>
      <c r="B883" s="3">
        <v>1</v>
      </c>
    </row>
    <row r="884" spans="1:2">
      <c r="A884" s="2" t="s">
        <v>2817</v>
      </c>
      <c r="B884" s="3">
        <v>1</v>
      </c>
    </row>
    <row r="885" spans="1:2">
      <c r="A885" s="2" t="s">
        <v>2826</v>
      </c>
      <c r="B885" s="3">
        <v>1</v>
      </c>
    </row>
    <row r="886" spans="1:2">
      <c r="A886" s="2" t="s">
        <v>2835</v>
      </c>
      <c r="B886" s="3">
        <v>1</v>
      </c>
    </row>
    <row r="887" spans="1:2">
      <c r="A887" s="2" t="s">
        <v>2844</v>
      </c>
      <c r="B887" s="3">
        <v>1</v>
      </c>
    </row>
    <row r="888" spans="1:2">
      <c r="A888" s="2" t="s">
        <v>2859</v>
      </c>
      <c r="B888" s="3">
        <v>1</v>
      </c>
    </row>
    <row r="889" spans="1:2">
      <c r="A889" s="2" t="s">
        <v>2871</v>
      </c>
      <c r="B889" s="3">
        <v>1</v>
      </c>
    </row>
    <row r="890" spans="1:2">
      <c r="A890" s="2" t="s">
        <v>2880</v>
      </c>
      <c r="B890" s="3">
        <v>1</v>
      </c>
    </row>
    <row r="891" spans="1:2">
      <c r="A891" s="2" t="s">
        <v>2889</v>
      </c>
      <c r="B891" s="3">
        <v>1</v>
      </c>
    </row>
    <row r="892" spans="1:2">
      <c r="A892" s="2" t="s">
        <v>2898</v>
      </c>
      <c r="B892" s="3">
        <v>1</v>
      </c>
    </row>
    <row r="893" spans="1:2">
      <c r="A893" s="2" t="s">
        <v>2907</v>
      </c>
      <c r="B893" s="3">
        <v>1</v>
      </c>
    </row>
    <row r="894" spans="1:2">
      <c r="A894" s="2" t="s">
        <v>2916</v>
      </c>
      <c r="B894" s="3">
        <v>1</v>
      </c>
    </row>
    <row r="895" spans="1:2">
      <c r="A895" s="2" t="s">
        <v>2925</v>
      </c>
      <c r="B895" s="3">
        <v>1</v>
      </c>
    </row>
    <row r="896" spans="1:2">
      <c r="A896" s="2" t="s">
        <v>2934</v>
      </c>
      <c r="B896" s="3">
        <v>1</v>
      </c>
    </row>
    <row r="897" spans="1:2">
      <c r="A897" s="2" t="s">
        <v>2943</v>
      </c>
      <c r="B897" s="3">
        <v>1</v>
      </c>
    </row>
    <row r="898" spans="1:2">
      <c r="A898" s="2" t="s">
        <v>2955</v>
      </c>
      <c r="B898" s="3">
        <v>1</v>
      </c>
    </row>
    <row r="899" spans="1:2">
      <c r="A899" s="2" t="s">
        <v>2964</v>
      </c>
      <c r="B899" s="3">
        <v>1</v>
      </c>
    </row>
    <row r="900" spans="1:2">
      <c r="A900" s="2" t="s">
        <v>2586</v>
      </c>
      <c r="B900" s="3">
        <v>1</v>
      </c>
    </row>
    <row r="901" spans="1:2">
      <c r="A901" s="2" t="s">
        <v>2601</v>
      </c>
      <c r="B901" s="3">
        <v>1</v>
      </c>
    </row>
    <row r="902" spans="1:2">
      <c r="A902" s="2" t="s">
        <v>2604</v>
      </c>
      <c r="B902" s="3">
        <v>1</v>
      </c>
    </row>
    <row r="903" spans="1:2">
      <c r="A903" s="2" t="s">
        <v>2616</v>
      </c>
      <c r="B903" s="3">
        <v>1</v>
      </c>
    </row>
    <row r="904" spans="1:2">
      <c r="A904" s="2" t="s">
        <v>2622</v>
      </c>
      <c r="B904" s="3">
        <v>1</v>
      </c>
    </row>
    <row r="905" spans="1:2">
      <c r="A905" s="2" t="s">
        <v>2631</v>
      </c>
      <c r="B905" s="3">
        <v>1</v>
      </c>
    </row>
    <row r="906" spans="1:2">
      <c r="A906" s="2" t="s">
        <v>2637</v>
      </c>
      <c r="B906" s="3">
        <v>1</v>
      </c>
    </row>
    <row r="907" spans="1:2">
      <c r="A907" s="2" t="s">
        <v>2652</v>
      </c>
      <c r="B907" s="3">
        <v>1</v>
      </c>
    </row>
    <row r="908" spans="1:2">
      <c r="A908" s="2" t="s">
        <v>2655</v>
      </c>
      <c r="B908" s="3">
        <v>1</v>
      </c>
    </row>
    <row r="909" spans="1:2">
      <c r="A909" s="2" t="s">
        <v>2661</v>
      </c>
      <c r="B909" s="3">
        <v>1</v>
      </c>
    </row>
    <row r="910" spans="1:2">
      <c r="A910" s="2" t="s">
        <v>2664</v>
      </c>
      <c r="B910" s="3">
        <v>1</v>
      </c>
    </row>
    <row r="911" spans="1:2">
      <c r="A911" s="2" t="s">
        <v>2676</v>
      </c>
      <c r="B911" s="3">
        <v>1</v>
      </c>
    </row>
    <row r="912" spans="1:2">
      <c r="A912" s="2" t="s">
        <v>2682</v>
      </c>
      <c r="B912" s="3">
        <v>1</v>
      </c>
    </row>
    <row r="913" spans="1:2">
      <c r="A913" s="2" t="s">
        <v>2688</v>
      </c>
      <c r="B913" s="3">
        <v>1</v>
      </c>
    </row>
    <row r="914" spans="1:2">
      <c r="A914" s="2" t="s">
        <v>2697</v>
      </c>
      <c r="B914" s="3">
        <v>1</v>
      </c>
    </row>
    <row r="915" spans="1:2">
      <c r="A915" s="2" t="s">
        <v>2703</v>
      </c>
      <c r="B915" s="3">
        <v>1</v>
      </c>
    </row>
    <row r="916" spans="1:2">
      <c r="A916" s="2" t="s">
        <v>2715</v>
      </c>
      <c r="B916" s="3">
        <v>1</v>
      </c>
    </row>
    <row r="917" spans="1:2">
      <c r="A917" s="2" t="s">
        <v>2721</v>
      </c>
      <c r="B917" s="3">
        <v>1</v>
      </c>
    </row>
    <row r="918" spans="1:2">
      <c r="A918" s="2" t="s">
        <v>2733</v>
      </c>
      <c r="B918" s="3">
        <v>1</v>
      </c>
    </row>
    <row r="919" spans="1:2">
      <c r="A919" s="2" t="s">
        <v>2739</v>
      </c>
      <c r="B919" s="3">
        <v>1</v>
      </c>
    </row>
    <row r="920" spans="1:2">
      <c r="A920" s="2" t="s">
        <v>2748</v>
      </c>
      <c r="B920" s="3">
        <v>1</v>
      </c>
    </row>
    <row r="921" spans="1:2">
      <c r="A921" s="2" t="s">
        <v>2754</v>
      </c>
      <c r="B921" s="3">
        <v>1</v>
      </c>
    </row>
    <row r="922" spans="1:2">
      <c r="A922" s="2" t="s">
        <v>2760</v>
      </c>
      <c r="B922" s="3">
        <v>1</v>
      </c>
    </row>
    <row r="923" spans="1:2">
      <c r="A923" s="2" t="s">
        <v>2766</v>
      </c>
      <c r="B923" s="3">
        <v>1</v>
      </c>
    </row>
    <row r="924" spans="1:2">
      <c r="A924" s="2" t="s">
        <v>2778</v>
      </c>
      <c r="B924" s="3">
        <v>1</v>
      </c>
    </row>
    <row r="925" spans="1:2">
      <c r="A925" s="2" t="s">
        <v>2784</v>
      </c>
      <c r="B925" s="3">
        <v>1</v>
      </c>
    </row>
    <row r="926" spans="1:2">
      <c r="A926" s="2" t="s">
        <v>2793</v>
      </c>
      <c r="B926" s="3">
        <v>1</v>
      </c>
    </row>
    <row r="927" spans="1:2">
      <c r="A927" s="2" t="s">
        <v>2799</v>
      </c>
      <c r="B927" s="3">
        <v>1</v>
      </c>
    </row>
    <row r="928" spans="1:2">
      <c r="A928" s="2" t="s">
        <v>2814</v>
      </c>
      <c r="B928" s="3">
        <v>1</v>
      </c>
    </row>
    <row r="929" spans="1:2">
      <c r="A929" s="2" t="s">
        <v>2820</v>
      </c>
      <c r="B929" s="3">
        <v>1</v>
      </c>
    </row>
    <row r="930" spans="1:2">
      <c r="A930" s="2" t="s">
        <v>2832</v>
      </c>
      <c r="B930" s="3">
        <v>1</v>
      </c>
    </row>
    <row r="931" spans="1:2">
      <c r="A931" s="2" t="s">
        <v>2838</v>
      </c>
      <c r="B931" s="3">
        <v>1</v>
      </c>
    </row>
    <row r="932" spans="1:2">
      <c r="A932" s="2" t="s">
        <v>2853</v>
      </c>
      <c r="B932" s="3">
        <v>1</v>
      </c>
    </row>
    <row r="933" spans="1:2">
      <c r="A933" s="2" t="s">
        <v>2856</v>
      </c>
      <c r="B933" s="3">
        <v>1</v>
      </c>
    </row>
    <row r="934" spans="1:2">
      <c r="A934" s="2" t="s">
        <v>2862</v>
      </c>
      <c r="B934" s="3">
        <v>1</v>
      </c>
    </row>
    <row r="935" spans="1:2">
      <c r="A935" s="2" t="s">
        <v>2865</v>
      </c>
      <c r="B935" s="3">
        <v>1</v>
      </c>
    </row>
    <row r="936" spans="1:2">
      <c r="A936" s="2" t="s">
        <v>2877</v>
      </c>
      <c r="B936" s="3">
        <v>1</v>
      </c>
    </row>
    <row r="937" spans="1:2">
      <c r="A937" s="2" t="s">
        <v>2883</v>
      </c>
      <c r="B937" s="3">
        <v>1</v>
      </c>
    </row>
    <row r="938" spans="1:2">
      <c r="A938" s="2" t="s">
        <v>2895</v>
      </c>
      <c r="B938" s="3">
        <v>1</v>
      </c>
    </row>
    <row r="939" spans="1:2">
      <c r="A939" s="2" t="s">
        <v>2901</v>
      </c>
      <c r="B939" s="3">
        <v>1</v>
      </c>
    </row>
    <row r="940" spans="1:2">
      <c r="A940" s="2" t="s">
        <v>2913</v>
      </c>
      <c r="B940" s="3">
        <v>1</v>
      </c>
    </row>
    <row r="941" spans="1:2">
      <c r="A941" s="2" t="s">
        <v>2919</v>
      </c>
      <c r="B941" s="3">
        <v>1</v>
      </c>
    </row>
    <row r="942" spans="1:2">
      <c r="A942" s="2" t="s">
        <v>2931</v>
      </c>
      <c r="B942" s="3">
        <v>1</v>
      </c>
    </row>
    <row r="943" spans="1:2">
      <c r="A943" s="2" t="s">
        <v>2937</v>
      </c>
      <c r="B943" s="3">
        <v>1</v>
      </c>
    </row>
    <row r="944" spans="1:2">
      <c r="A944" s="2" t="s">
        <v>2952</v>
      </c>
      <c r="B944" s="3">
        <v>1</v>
      </c>
    </row>
    <row r="945" spans="1:2">
      <c r="A945" s="2" t="s">
        <v>2958</v>
      </c>
      <c r="B945" s="3">
        <v>1</v>
      </c>
    </row>
    <row r="946" spans="1:2">
      <c r="A946" s="2" t="s">
        <v>2970</v>
      </c>
      <c r="B946" s="3">
        <v>1</v>
      </c>
    </row>
    <row r="947" spans="1:2">
      <c r="A947" s="2" t="s">
        <v>2973</v>
      </c>
      <c r="B947" s="3">
        <v>1</v>
      </c>
    </row>
    <row r="948" spans="1:2">
      <c r="A948" s="2" t="s">
        <v>2979</v>
      </c>
      <c r="B948" s="3">
        <v>1</v>
      </c>
    </row>
    <row r="949" spans="1:2">
      <c r="A949" s="2" t="s">
        <v>2997</v>
      </c>
      <c r="B949" s="3">
        <v>1</v>
      </c>
    </row>
    <row r="950" spans="1:2">
      <c r="A950" s="2" t="s">
        <v>3012</v>
      </c>
      <c r="B950" s="3">
        <v>1</v>
      </c>
    </row>
    <row r="951" spans="1:2">
      <c r="A951" s="2" t="s">
        <v>3018</v>
      </c>
      <c r="B951" s="3">
        <v>1</v>
      </c>
    </row>
    <row r="952" spans="1:2">
      <c r="A952" s="2" t="s">
        <v>3030</v>
      </c>
      <c r="B952" s="3">
        <v>1</v>
      </c>
    </row>
    <row r="953" spans="1:2">
      <c r="A953" s="2" t="s">
        <v>3036</v>
      </c>
      <c r="B953" s="3">
        <v>1</v>
      </c>
    </row>
    <row r="954" spans="1:2">
      <c r="A954" s="2" t="s">
        <v>3048</v>
      </c>
      <c r="B954" s="3">
        <v>1</v>
      </c>
    </row>
    <row r="955" spans="1:2">
      <c r="A955" s="2" t="s">
        <v>3066</v>
      </c>
      <c r="B955" s="3">
        <v>1</v>
      </c>
    </row>
    <row r="956" spans="1:2">
      <c r="A956" s="2" t="s">
        <v>3069</v>
      </c>
      <c r="B956" s="3">
        <v>1</v>
      </c>
    </row>
    <row r="957" spans="1:2">
      <c r="A957" s="2" t="s">
        <v>3075</v>
      </c>
      <c r="B957" s="3">
        <v>1</v>
      </c>
    </row>
    <row r="958" spans="1:2">
      <c r="A958" s="2" t="s">
        <v>3084</v>
      </c>
      <c r="B958" s="3">
        <v>1</v>
      </c>
    </row>
    <row r="959" spans="1:2">
      <c r="A959" s="2" t="s">
        <v>3090</v>
      </c>
      <c r="B959" s="3">
        <v>1</v>
      </c>
    </row>
    <row r="960" spans="1:2">
      <c r="A960" s="2" t="s">
        <v>3093</v>
      </c>
      <c r="B960" s="3">
        <v>1</v>
      </c>
    </row>
    <row r="961" spans="1:2">
      <c r="A961" s="2" t="s">
        <v>3108</v>
      </c>
      <c r="B961" s="3">
        <v>1</v>
      </c>
    </row>
    <row r="962" spans="1:2">
      <c r="A962" s="2" t="s">
        <v>3114</v>
      </c>
      <c r="B962" s="3">
        <v>1</v>
      </c>
    </row>
    <row r="963" spans="1:2">
      <c r="A963" s="2" t="s">
        <v>3117</v>
      </c>
      <c r="B963" s="3">
        <v>1</v>
      </c>
    </row>
    <row r="964" spans="1:2">
      <c r="A964" s="2" t="s">
        <v>3126</v>
      </c>
      <c r="B964" s="3">
        <v>1</v>
      </c>
    </row>
    <row r="965" spans="1:2">
      <c r="A965" s="2" t="s">
        <v>3132</v>
      </c>
      <c r="B965" s="3">
        <v>1</v>
      </c>
    </row>
    <row r="966" spans="1:2">
      <c r="A966" s="2" t="s">
        <v>3138</v>
      </c>
      <c r="B966" s="3">
        <v>1</v>
      </c>
    </row>
    <row r="967" spans="1:2">
      <c r="A967" s="2" t="s">
        <v>3150</v>
      </c>
      <c r="B967" s="3">
        <v>1</v>
      </c>
    </row>
    <row r="968" spans="1:2">
      <c r="A968" s="2" t="s">
        <v>3156</v>
      </c>
      <c r="B968" s="3">
        <v>1</v>
      </c>
    </row>
    <row r="969" spans="1:2">
      <c r="A969" s="2" t="s">
        <v>3168</v>
      </c>
      <c r="B969" s="3">
        <v>1</v>
      </c>
    </row>
    <row r="970" spans="1:2">
      <c r="A970" s="2" t="s">
        <v>3177</v>
      </c>
      <c r="B970" s="3">
        <v>1</v>
      </c>
    </row>
    <row r="971" spans="1:2">
      <c r="A971" s="2" t="s">
        <v>3189</v>
      </c>
      <c r="B971" s="3">
        <v>1</v>
      </c>
    </row>
    <row r="972" spans="1:2">
      <c r="A972" s="2" t="s">
        <v>3195</v>
      </c>
      <c r="B972" s="3">
        <v>1</v>
      </c>
    </row>
    <row r="973" spans="1:2">
      <c r="A973" s="2" t="s">
        <v>3210</v>
      </c>
      <c r="B973" s="3">
        <v>1</v>
      </c>
    </row>
    <row r="974" spans="1:2">
      <c r="A974" s="2" t="s">
        <v>3216</v>
      </c>
      <c r="B974" s="3">
        <v>1</v>
      </c>
    </row>
    <row r="975" spans="1:2">
      <c r="A975" s="2" t="s">
        <v>3222</v>
      </c>
      <c r="B975" s="3">
        <v>1</v>
      </c>
    </row>
    <row r="976" spans="1:2">
      <c r="A976" s="2" t="s">
        <v>3237</v>
      </c>
      <c r="B976" s="3">
        <v>1</v>
      </c>
    </row>
    <row r="977" spans="1:2">
      <c r="A977" s="2" t="s">
        <v>3240</v>
      </c>
      <c r="B977" s="3">
        <v>1</v>
      </c>
    </row>
    <row r="978" spans="1:2">
      <c r="A978" s="2" t="s">
        <v>3246</v>
      </c>
      <c r="B978" s="3">
        <v>1</v>
      </c>
    </row>
    <row r="979" spans="1:2">
      <c r="A979" s="2" t="s">
        <v>3252</v>
      </c>
      <c r="B979" s="3">
        <v>1</v>
      </c>
    </row>
    <row r="980" spans="1:2">
      <c r="A980" s="2" t="s">
        <v>3267</v>
      </c>
      <c r="B980" s="3">
        <v>1</v>
      </c>
    </row>
    <row r="981" spans="1:2">
      <c r="A981" s="2" t="s">
        <v>3273</v>
      </c>
      <c r="B981" s="3">
        <v>1</v>
      </c>
    </row>
    <row r="982" spans="1:2">
      <c r="A982" s="2" t="s">
        <v>3285</v>
      </c>
      <c r="B982" s="3">
        <v>1</v>
      </c>
    </row>
    <row r="983" spans="1:2">
      <c r="A983" s="2" t="s">
        <v>3303</v>
      </c>
      <c r="B983" s="3">
        <v>1</v>
      </c>
    </row>
    <row r="984" spans="1:2">
      <c r="A984" s="2" t="s">
        <v>3312</v>
      </c>
      <c r="B984" s="3">
        <v>1</v>
      </c>
    </row>
    <row r="985" spans="1:2">
      <c r="A985" s="2" t="s">
        <v>3324</v>
      </c>
      <c r="B985" s="3">
        <v>1</v>
      </c>
    </row>
    <row r="986" spans="1:2">
      <c r="A986" s="2" t="s">
        <v>3327</v>
      </c>
      <c r="B986" s="3">
        <v>1</v>
      </c>
    </row>
    <row r="987" spans="1:2">
      <c r="A987" s="2" t="s">
        <v>3333</v>
      </c>
      <c r="B987" s="3">
        <v>1</v>
      </c>
    </row>
    <row r="988" spans="1:2">
      <c r="A988" s="2" t="s">
        <v>3348</v>
      </c>
      <c r="B988" s="3">
        <v>1</v>
      </c>
    </row>
    <row r="989" spans="1:2">
      <c r="A989" s="2" t="s">
        <v>3354</v>
      </c>
      <c r="B989" s="3">
        <v>1</v>
      </c>
    </row>
    <row r="990" spans="1:2">
      <c r="A990" s="2" t="s">
        <v>3366</v>
      </c>
      <c r="B990" s="3">
        <v>1</v>
      </c>
    </row>
    <row r="991" spans="1:2">
      <c r="A991" s="2" t="s">
        <v>3372</v>
      </c>
      <c r="B991" s="3">
        <v>1</v>
      </c>
    </row>
    <row r="992" spans="1:2">
      <c r="A992" s="2" t="s">
        <v>3375</v>
      </c>
      <c r="B992" s="3">
        <v>1</v>
      </c>
    </row>
    <row r="993" spans="1:2">
      <c r="A993" s="2" t="s">
        <v>3390</v>
      </c>
      <c r="B993" s="3">
        <v>1</v>
      </c>
    </row>
    <row r="994" spans="1:2">
      <c r="A994" s="2" t="s">
        <v>3396</v>
      </c>
      <c r="B994" s="3">
        <v>1</v>
      </c>
    </row>
    <row r="995" spans="1:2">
      <c r="A995" s="2" t="s">
        <v>2640</v>
      </c>
      <c r="B995" s="3">
        <v>1</v>
      </c>
    </row>
    <row r="996" spans="1:2">
      <c r="A996" s="2" t="s">
        <v>2646</v>
      </c>
      <c r="B996" s="3">
        <v>1</v>
      </c>
    </row>
    <row r="997" spans="1:2">
      <c r="A997" s="2" t="s">
        <v>2649</v>
      </c>
      <c r="B997" s="3">
        <v>1</v>
      </c>
    </row>
    <row r="998" spans="1:2">
      <c r="A998" s="2" t="s">
        <v>2667</v>
      </c>
      <c r="B998" s="3">
        <v>1</v>
      </c>
    </row>
    <row r="999" spans="1:2">
      <c r="A999" s="2" t="s">
        <v>2673</v>
      </c>
      <c r="B999" s="3">
        <v>1</v>
      </c>
    </row>
    <row r="1000" spans="1:2">
      <c r="A1000" s="2" t="s">
        <v>2691</v>
      </c>
      <c r="B1000" s="3">
        <v>1</v>
      </c>
    </row>
    <row r="1001" spans="1:2">
      <c r="A1001" s="2" t="s">
        <v>2706</v>
      </c>
      <c r="B1001" s="3">
        <v>1</v>
      </c>
    </row>
    <row r="1002" spans="1:2">
      <c r="A1002" s="2" t="s">
        <v>2712</v>
      </c>
      <c r="B1002" s="3">
        <v>1</v>
      </c>
    </row>
    <row r="1003" spans="1:2">
      <c r="A1003" s="2" t="s">
        <v>2724</v>
      </c>
      <c r="B1003" s="3">
        <v>1</v>
      </c>
    </row>
    <row r="1004" spans="1:2">
      <c r="A1004" s="2" t="s">
        <v>2730</v>
      </c>
      <c r="B1004" s="3">
        <v>1</v>
      </c>
    </row>
    <row r="1005" spans="1:2">
      <c r="A1005" s="2" t="s">
        <v>2745</v>
      </c>
      <c r="B1005" s="3">
        <v>1</v>
      </c>
    </row>
    <row r="1006" spans="1:2">
      <c r="A1006" s="2" t="s">
        <v>2757</v>
      </c>
      <c r="B1006" s="3">
        <v>1</v>
      </c>
    </row>
    <row r="1007" spans="1:2">
      <c r="A1007" s="2" t="s">
        <v>2769</v>
      </c>
      <c r="B1007" s="3">
        <v>1</v>
      </c>
    </row>
    <row r="1008" spans="1:2">
      <c r="A1008" s="2" t="s">
        <v>2775</v>
      </c>
      <c r="B1008" s="3">
        <v>1</v>
      </c>
    </row>
    <row r="1009" spans="1:2">
      <c r="A1009" s="2" t="s">
        <v>2787</v>
      </c>
      <c r="B1009" s="3">
        <v>1</v>
      </c>
    </row>
    <row r="1010" spans="1:2">
      <c r="A1010" s="2" t="s">
        <v>2802</v>
      </c>
      <c r="B1010" s="3">
        <v>1</v>
      </c>
    </row>
    <row r="1011" spans="1:2">
      <c r="A1011" s="2" t="s">
        <v>2808</v>
      </c>
      <c r="B1011" s="3">
        <v>1</v>
      </c>
    </row>
    <row r="1012" spans="1:2">
      <c r="A1012" s="2" t="s">
        <v>2811</v>
      </c>
      <c r="B1012" s="3">
        <v>1</v>
      </c>
    </row>
    <row r="1013" spans="1:2">
      <c r="A1013" s="2" t="s">
        <v>2823</v>
      </c>
      <c r="B1013" s="3">
        <v>1</v>
      </c>
    </row>
    <row r="1014" spans="1:2">
      <c r="A1014" s="2" t="s">
        <v>2829</v>
      </c>
      <c r="B1014" s="3">
        <v>1</v>
      </c>
    </row>
    <row r="1015" spans="1:2">
      <c r="A1015" s="2" t="s">
        <v>2841</v>
      </c>
      <c r="B1015" s="3">
        <v>1</v>
      </c>
    </row>
    <row r="1016" spans="1:2">
      <c r="A1016" s="2" t="s">
        <v>2847</v>
      </c>
      <c r="B1016" s="3">
        <v>1</v>
      </c>
    </row>
    <row r="1017" spans="1:2">
      <c r="A1017" s="2" t="s">
        <v>2850</v>
      </c>
      <c r="B1017" s="3">
        <v>1</v>
      </c>
    </row>
    <row r="1018" spans="1:2">
      <c r="A1018" s="2" t="s">
        <v>2868</v>
      </c>
      <c r="B1018" s="3">
        <v>1</v>
      </c>
    </row>
    <row r="1019" spans="1:2">
      <c r="A1019" s="2" t="s">
        <v>2874</v>
      </c>
      <c r="B1019" s="3">
        <v>1</v>
      </c>
    </row>
    <row r="1020" spans="1:2">
      <c r="A1020" s="2" t="s">
        <v>2886</v>
      </c>
      <c r="B1020" s="3">
        <v>1</v>
      </c>
    </row>
    <row r="1021" spans="1:2">
      <c r="A1021" s="2" t="s">
        <v>2892</v>
      </c>
      <c r="B1021" s="3">
        <v>1</v>
      </c>
    </row>
    <row r="1022" spans="1:2">
      <c r="A1022" s="2" t="s">
        <v>2904</v>
      </c>
      <c r="B1022" s="3">
        <v>1</v>
      </c>
    </row>
    <row r="1023" spans="1:2">
      <c r="A1023" s="2" t="s">
        <v>2910</v>
      </c>
      <c r="B1023" s="3">
        <v>1</v>
      </c>
    </row>
    <row r="1024" spans="1:2">
      <c r="A1024" s="2" t="s">
        <v>2922</v>
      </c>
      <c r="B1024" s="3">
        <v>1</v>
      </c>
    </row>
    <row r="1025" spans="1:2">
      <c r="A1025" s="2" t="s">
        <v>2928</v>
      </c>
      <c r="B1025" s="3">
        <v>1</v>
      </c>
    </row>
    <row r="1026" spans="1:2">
      <c r="A1026" s="2" t="s">
        <v>2940</v>
      </c>
      <c r="B1026" s="3">
        <v>1</v>
      </c>
    </row>
    <row r="1027" spans="1:2">
      <c r="A1027" s="2" t="s">
        <v>2946</v>
      </c>
      <c r="B1027" s="3">
        <v>1</v>
      </c>
    </row>
    <row r="1028" spans="1:2">
      <c r="A1028" s="2" t="s">
        <v>2949</v>
      </c>
      <c r="B1028" s="3">
        <v>1</v>
      </c>
    </row>
    <row r="1029" spans="1:2">
      <c r="A1029" s="2" t="s">
        <v>2961</v>
      </c>
      <c r="B1029" s="3">
        <v>1</v>
      </c>
    </row>
    <row r="1030" spans="1:2">
      <c r="A1030" s="2" t="s">
        <v>2982</v>
      </c>
      <c r="B1030" s="3">
        <v>1</v>
      </c>
    </row>
    <row r="1031" spans="1:2">
      <c r="A1031" s="2" t="s">
        <v>2985</v>
      </c>
      <c r="B1031" s="3">
        <v>1</v>
      </c>
    </row>
    <row r="1032" spans="1:2">
      <c r="A1032" s="2" t="s">
        <v>2991</v>
      </c>
      <c r="B1032" s="3">
        <v>1</v>
      </c>
    </row>
    <row r="1033" spans="1:2">
      <c r="A1033" s="2" t="s">
        <v>3003</v>
      </c>
      <c r="B1033" s="3">
        <v>1</v>
      </c>
    </row>
    <row r="1034" spans="1:2">
      <c r="A1034" s="2" t="s">
        <v>3009</v>
      </c>
      <c r="B1034" s="3">
        <v>1</v>
      </c>
    </row>
    <row r="1035" spans="1:2">
      <c r="A1035" s="2" t="s">
        <v>3021</v>
      </c>
      <c r="B1035" s="3">
        <v>1</v>
      </c>
    </row>
    <row r="1036" spans="1:2">
      <c r="A1036" s="2" t="s">
        <v>3027</v>
      </c>
      <c r="B1036" s="3">
        <v>1</v>
      </c>
    </row>
    <row r="1037" spans="1:2">
      <c r="A1037" s="2" t="s">
        <v>3039</v>
      </c>
      <c r="B1037" s="3">
        <v>1</v>
      </c>
    </row>
    <row r="1038" spans="1:2">
      <c r="A1038" s="2" t="s">
        <v>3045</v>
      </c>
      <c r="B1038" s="3">
        <v>1</v>
      </c>
    </row>
    <row r="1039" spans="1:2">
      <c r="A1039" s="2" t="s">
        <v>3054</v>
      </c>
      <c r="B1039" s="3">
        <v>1</v>
      </c>
    </row>
    <row r="1040" spans="1:2">
      <c r="A1040" s="2" t="s">
        <v>3057</v>
      </c>
      <c r="B1040" s="3">
        <v>1</v>
      </c>
    </row>
    <row r="1041" spans="1:2">
      <c r="A1041" s="2" t="s">
        <v>3063</v>
      </c>
      <c r="B1041" s="3">
        <v>1</v>
      </c>
    </row>
    <row r="1042" spans="1:2">
      <c r="A1042" s="2" t="s">
        <v>3078</v>
      </c>
      <c r="B1042" s="3">
        <v>1</v>
      </c>
    </row>
    <row r="1043" spans="1:2">
      <c r="A1043" s="2" t="s">
        <v>3096</v>
      </c>
      <c r="B1043" s="3">
        <v>1</v>
      </c>
    </row>
    <row r="1044" spans="1:2">
      <c r="A1044" s="2" t="s">
        <v>3099</v>
      </c>
      <c r="B1044" s="3">
        <v>1</v>
      </c>
    </row>
    <row r="1045" spans="1:2">
      <c r="A1045" s="2" t="s">
        <v>3105</v>
      </c>
      <c r="B1045" s="3">
        <v>1</v>
      </c>
    </row>
    <row r="1046" spans="1:2">
      <c r="A1046" s="2" t="s">
        <v>3123</v>
      </c>
      <c r="B1046" s="3">
        <v>1</v>
      </c>
    </row>
    <row r="1047" spans="1:2">
      <c r="A1047" s="2" t="s">
        <v>3141</v>
      </c>
      <c r="B1047" s="3">
        <v>1</v>
      </c>
    </row>
    <row r="1048" spans="1:2">
      <c r="A1048" s="2" t="s">
        <v>3147</v>
      </c>
      <c r="B1048" s="3">
        <v>1</v>
      </c>
    </row>
    <row r="1049" spans="1:2">
      <c r="A1049" s="2" t="s">
        <v>3159</v>
      </c>
      <c r="B1049" s="3">
        <v>1</v>
      </c>
    </row>
    <row r="1050" spans="1:2">
      <c r="A1050" s="2" t="s">
        <v>3165</v>
      </c>
      <c r="B1050" s="3">
        <v>1</v>
      </c>
    </row>
    <row r="1051" spans="1:2">
      <c r="A1051" s="2" t="s">
        <v>3180</v>
      </c>
      <c r="B1051" s="3">
        <v>1</v>
      </c>
    </row>
    <row r="1052" spans="1:2">
      <c r="A1052" s="2" t="s">
        <v>3186</v>
      </c>
      <c r="B1052" s="3">
        <v>1</v>
      </c>
    </row>
    <row r="1053" spans="1:2">
      <c r="A1053" s="2" t="s">
        <v>3198</v>
      </c>
      <c r="B1053" s="3">
        <v>1</v>
      </c>
    </row>
    <row r="1054" spans="1:2">
      <c r="A1054" s="2" t="s">
        <v>3204</v>
      </c>
      <c r="B1054" s="3">
        <v>1</v>
      </c>
    </row>
    <row r="1055" spans="1:2">
      <c r="A1055" s="2" t="s">
        <v>3207</v>
      </c>
      <c r="B1055" s="3">
        <v>1</v>
      </c>
    </row>
    <row r="1056" spans="1:2">
      <c r="A1056" s="2" t="s">
        <v>3225</v>
      </c>
      <c r="B1056" s="3">
        <v>1</v>
      </c>
    </row>
    <row r="1057" spans="1:2">
      <c r="A1057" s="2" t="s">
        <v>3231</v>
      </c>
      <c r="B1057" s="3">
        <v>1</v>
      </c>
    </row>
    <row r="1058" spans="1:2">
      <c r="A1058" s="2" t="s">
        <v>3234</v>
      </c>
      <c r="B1058" s="3">
        <v>1</v>
      </c>
    </row>
    <row r="1059" spans="1:2">
      <c r="A1059" s="2" t="s">
        <v>3255</v>
      </c>
      <c r="B1059" s="3">
        <v>1</v>
      </c>
    </row>
    <row r="1060" spans="1:2">
      <c r="A1060" s="2" t="s">
        <v>3258</v>
      </c>
      <c r="B1060" s="3">
        <v>1</v>
      </c>
    </row>
    <row r="1061" spans="1:2">
      <c r="A1061" s="2" t="s">
        <v>3264</v>
      </c>
      <c r="B1061" s="3">
        <v>1</v>
      </c>
    </row>
    <row r="1062" spans="1:2">
      <c r="A1062" s="2" t="s">
        <v>3279</v>
      </c>
      <c r="B1062" s="3">
        <v>1</v>
      </c>
    </row>
    <row r="1063" spans="1:2">
      <c r="A1063" s="2" t="s">
        <v>3294</v>
      </c>
      <c r="B1063" s="3">
        <v>1</v>
      </c>
    </row>
    <row r="1064" spans="1:2">
      <c r="A1064" s="2" t="s">
        <v>3300</v>
      </c>
      <c r="B1064" s="3">
        <v>1</v>
      </c>
    </row>
    <row r="1065" spans="1:2">
      <c r="A1065" s="2" t="s">
        <v>3315</v>
      </c>
      <c r="B1065" s="3">
        <v>1</v>
      </c>
    </row>
    <row r="1066" spans="1:2">
      <c r="A1066" s="2" t="s">
        <v>3321</v>
      </c>
      <c r="B1066" s="3">
        <v>1</v>
      </c>
    </row>
    <row r="1067" spans="1:2">
      <c r="A1067" s="2" t="s">
        <v>3336</v>
      </c>
      <c r="B1067" s="3">
        <v>1</v>
      </c>
    </row>
    <row r="1068" spans="1:2">
      <c r="A1068" s="2" t="s">
        <v>3339</v>
      </c>
      <c r="B1068" s="3">
        <v>1</v>
      </c>
    </row>
    <row r="1069" spans="1:2">
      <c r="A1069" s="2" t="s">
        <v>3345</v>
      </c>
      <c r="B1069" s="3">
        <v>1</v>
      </c>
    </row>
    <row r="1070" spans="1:2">
      <c r="A1070" s="2" t="s">
        <v>3357</v>
      </c>
      <c r="B1070" s="3">
        <v>1</v>
      </c>
    </row>
    <row r="1071" spans="1:2">
      <c r="A1071" s="2" t="s">
        <v>3363</v>
      </c>
      <c r="B1071" s="3">
        <v>1</v>
      </c>
    </row>
    <row r="1072" spans="1:2">
      <c r="A1072" s="2" t="s">
        <v>3378</v>
      </c>
      <c r="B1072" s="3">
        <v>1</v>
      </c>
    </row>
    <row r="1073" spans="1:2">
      <c r="A1073" s="2" t="s">
        <v>3381</v>
      </c>
      <c r="B1073" s="3">
        <v>1</v>
      </c>
    </row>
    <row r="1074" spans="1:2">
      <c r="A1074" s="2" t="s">
        <v>3387</v>
      </c>
      <c r="B1074" s="3">
        <v>1</v>
      </c>
    </row>
    <row r="1075" spans="1:2">
      <c r="A1075" s="2" t="s">
        <v>3399</v>
      </c>
      <c r="B1075" s="3">
        <v>1</v>
      </c>
    </row>
    <row r="1076" spans="1:2">
      <c r="A1076" s="2" t="s">
        <v>3414</v>
      </c>
      <c r="B1076" s="3">
        <v>1</v>
      </c>
    </row>
    <row r="1077" spans="1:2">
      <c r="A1077" s="2" t="s">
        <v>3420</v>
      </c>
      <c r="B1077" s="3">
        <v>1</v>
      </c>
    </row>
    <row r="1078" spans="1:2">
      <c r="A1078" s="2" t="s">
        <v>3435</v>
      </c>
      <c r="B1078" s="3">
        <v>1</v>
      </c>
    </row>
    <row r="1079" spans="1:2">
      <c r="A1079" s="2" t="s">
        <v>3441</v>
      </c>
      <c r="B1079" s="3">
        <v>1</v>
      </c>
    </row>
    <row r="1080" spans="1:2">
      <c r="A1080" s="2" t="s">
        <v>3453</v>
      </c>
      <c r="B1080" s="3">
        <v>1</v>
      </c>
    </row>
    <row r="1081" spans="1:2">
      <c r="A1081" s="2" t="s">
        <v>3459</v>
      </c>
      <c r="B1081" s="3">
        <v>1</v>
      </c>
    </row>
    <row r="1082" spans="1:2">
      <c r="A1082" s="2" t="s">
        <v>3474</v>
      </c>
      <c r="B1082" s="3">
        <v>1</v>
      </c>
    </row>
    <row r="1083" spans="1:2">
      <c r="A1083" s="2" t="s">
        <v>3480</v>
      </c>
      <c r="B1083" s="3">
        <v>1</v>
      </c>
    </row>
    <row r="1084" spans="1:2">
      <c r="A1084" s="2" t="s">
        <v>3495</v>
      </c>
      <c r="B1084" s="3">
        <v>1</v>
      </c>
    </row>
    <row r="1085" spans="1:2">
      <c r="A1085" s="2" t="s">
        <v>2967</v>
      </c>
      <c r="B1085" s="3">
        <v>1</v>
      </c>
    </row>
    <row r="1086" spans="1:2">
      <c r="A1086" s="2" t="s">
        <v>2976</v>
      </c>
      <c r="B1086" s="3">
        <v>1</v>
      </c>
    </row>
    <row r="1087" spans="1:2">
      <c r="A1087" s="2" t="s">
        <v>2988</v>
      </c>
      <c r="B1087" s="3">
        <v>1</v>
      </c>
    </row>
    <row r="1088" spans="1:2">
      <c r="A1088" s="2" t="s">
        <v>2994</v>
      </c>
      <c r="B1088" s="3">
        <v>1</v>
      </c>
    </row>
    <row r="1089" spans="1:2">
      <c r="A1089" s="2" t="s">
        <v>3000</v>
      </c>
      <c r="B1089" s="3">
        <v>1</v>
      </c>
    </row>
    <row r="1090" spans="1:2">
      <c r="A1090" s="2" t="s">
        <v>3006</v>
      </c>
      <c r="B1090" s="3">
        <v>1</v>
      </c>
    </row>
    <row r="1091" spans="1:2">
      <c r="A1091" s="2" t="s">
        <v>3015</v>
      </c>
      <c r="B1091" s="3">
        <v>1</v>
      </c>
    </row>
    <row r="1092" spans="1:2">
      <c r="A1092" s="2" t="s">
        <v>3024</v>
      </c>
      <c r="B1092" s="3">
        <v>1</v>
      </c>
    </row>
    <row r="1093" spans="1:2">
      <c r="A1093" s="2" t="s">
        <v>3033</v>
      </c>
      <c r="B1093" s="3">
        <v>1</v>
      </c>
    </row>
    <row r="1094" spans="1:2">
      <c r="A1094" s="2" t="s">
        <v>3042</v>
      </c>
      <c r="B1094" s="3">
        <v>1</v>
      </c>
    </row>
    <row r="1095" spans="1:2">
      <c r="A1095" s="2" t="s">
        <v>3051</v>
      </c>
      <c r="B1095" s="3">
        <v>1</v>
      </c>
    </row>
    <row r="1096" spans="1:2">
      <c r="A1096" s="2" t="s">
        <v>3060</v>
      </c>
      <c r="B1096" s="3">
        <v>1</v>
      </c>
    </row>
    <row r="1097" spans="1:2">
      <c r="A1097" s="2" t="s">
        <v>3072</v>
      </c>
      <c r="B1097" s="3">
        <v>1</v>
      </c>
    </row>
    <row r="1098" spans="1:2">
      <c r="A1098" s="2" t="s">
        <v>3081</v>
      </c>
      <c r="B1098" s="3">
        <v>1</v>
      </c>
    </row>
    <row r="1099" spans="1:2">
      <c r="A1099" s="2" t="s">
        <v>3087</v>
      </c>
      <c r="B1099" s="3">
        <v>1</v>
      </c>
    </row>
    <row r="1100" spans="1:2">
      <c r="A1100" s="2" t="s">
        <v>3102</v>
      </c>
      <c r="B1100" s="3">
        <v>1</v>
      </c>
    </row>
    <row r="1101" spans="1:2">
      <c r="A1101" s="2" t="s">
        <v>3111</v>
      </c>
      <c r="B1101" s="3">
        <v>1</v>
      </c>
    </row>
    <row r="1102" spans="1:2">
      <c r="A1102" s="2" t="s">
        <v>3120</v>
      </c>
      <c r="B1102" s="3">
        <v>1</v>
      </c>
    </row>
    <row r="1103" spans="1:2">
      <c r="A1103" s="2" t="s">
        <v>3129</v>
      </c>
      <c r="B1103" s="3">
        <v>1</v>
      </c>
    </row>
    <row r="1104" spans="1:2">
      <c r="A1104" s="2" t="s">
        <v>3135</v>
      </c>
      <c r="B1104" s="3">
        <v>1</v>
      </c>
    </row>
    <row r="1105" spans="1:2">
      <c r="A1105" s="2" t="s">
        <v>3144</v>
      </c>
      <c r="B1105" s="3">
        <v>1</v>
      </c>
    </row>
    <row r="1106" spans="1:2">
      <c r="A1106" s="2" t="s">
        <v>3153</v>
      </c>
      <c r="B1106" s="3">
        <v>1</v>
      </c>
    </row>
    <row r="1107" spans="1:2">
      <c r="A1107" s="2" t="s">
        <v>3162</v>
      </c>
      <c r="B1107" s="3">
        <v>1</v>
      </c>
    </row>
    <row r="1108" spans="1:2">
      <c r="A1108" s="2" t="s">
        <v>3171</v>
      </c>
      <c r="B1108" s="3">
        <v>1</v>
      </c>
    </row>
    <row r="1109" spans="1:2">
      <c r="A1109" s="2" t="s">
        <v>3174</v>
      </c>
      <c r="B1109" s="3">
        <v>1</v>
      </c>
    </row>
    <row r="1110" spans="1:2">
      <c r="A1110" s="2" t="s">
        <v>3183</v>
      </c>
      <c r="B1110" s="3">
        <v>1</v>
      </c>
    </row>
    <row r="1111" spans="1:2">
      <c r="A1111" s="2" t="s">
        <v>3192</v>
      </c>
      <c r="B1111" s="3">
        <v>1</v>
      </c>
    </row>
    <row r="1112" spans="1:2">
      <c r="A1112" s="2" t="s">
        <v>3201</v>
      </c>
      <c r="B1112" s="3">
        <v>1</v>
      </c>
    </row>
    <row r="1113" spans="1:2">
      <c r="A1113" s="2" t="s">
        <v>3213</v>
      </c>
      <c r="B1113" s="3">
        <v>1</v>
      </c>
    </row>
    <row r="1114" spans="1:2">
      <c r="A1114" s="2" t="s">
        <v>3219</v>
      </c>
      <c r="B1114" s="3">
        <v>1</v>
      </c>
    </row>
    <row r="1115" spans="1:2">
      <c r="A1115" s="2" t="s">
        <v>3228</v>
      </c>
      <c r="B1115" s="3">
        <v>1</v>
      </c>
    </row>
    <row r="1116" spans="1:2">
      <c r="A1116" s="2" t="s">
        <v>3243</v>
      </c>
      <c r="B1116" s="3">
        <v>1</v>
      </c>
    </row>
    <row r="1117" spans="1:2">
      <c r="A1117" s="2" t="s">
        <v>3249</v>
      </c>
      <c r="B1117" s="3">
        <v>1</v>
      </c>
    </row>
    <row r="1118" spans="1:2">
      <c r="A1118" s="2" t="s">
        <v>3261</v>
      </c>
      <c r="B1118" s="3">
        <v>1</v>
      </c>
    </row>
    <row r="1119" spans="1:2">
      <c r="A1119" s="2" t="s">
        <v>3270</v>
      </c>
      <c r="B1119" s="3">
        <v>1</v>
      </c>
    </row>
    <row r="1120" spans="1:2">
      <c r="A1120" s="2" t="s">
        <v>3276</v>
      </c>
      <c r="B1120" s="3">
        <v>1</v>
      </c>
    </row>
    <row r="1121" spans="1:2">
      <c r="A1121" s="2" t="s">
        <v>3282</v>
      </c>
      <c r="B1121" s="3">
        <v>1</v>
      </c>
    </row>
    <row r="1122" spans="1:2">
      <c r="A1122" s="2" t="s">
        <v>3288</v>
      </c>
      <c r="B1122" s="3">
        <v>1</v>
      </c>
    </row>
    <row r="1123" spans="1:2">
      <c r="A1123" s="2" t="s">
        <v>3291</v>
      </c>
      <c r="B1123" s="3">
        <v>1</v>
      </c>
    </row>
    <row r="1124" spans="1:2">
      <c r="A1124" s="2" t="s">
        <v>3297</v>
      </c>
      <c r="B1124" s="3">
        <v>1</v>
      </c>
    </row>
    <row r="1125" spans="1:2">
      <c r="A1125" s="2" t="s">
        <v>3306</v>
      </c>
      <c r="B1125" s="3">
        <v>1</v>
      </c>
    </row>
    <row r="1126" spans="1:2">
      <c r="A1126" s="2" t="s">
        <v>3309</v>
      </c>
      <c r="B1126" s="3">
        <v>1</v>
      </c>
    </row>
    <row r="1127" spans="1:2">
      <c r="A1127" s="2" t="s">
        <v>3318</v>
      </c>
      <c r="B1127" s="3">
        <v>1</v>
      </c>
    </row>
    <row r="1128" spans="1:2">
      <c r="A1128" s="2" t="s">
        <v>3330</v>
      </c>
      <c r="B1128" s="3">
        <v>1</v>
      </c>
    </row>
    <row r="1129" spans="1:2">
      <c r="A1129" s="2" t="s">
        <v>3342</v>
      </c>
      <c r="B1129" s="3">
        <v>1</v>
      </c>
    </row>
    <row r="1130" spans="1:2">
      <c r="A1130" s="2" t="s">
        <v>3351</v>
      </c>
      <c r="B1130" s="3">
        <v>1</v>
      </c>
    </row>
    <row r="1131" spans="1:2">
      <c r="A1131" s="2" t="s">
        <v>3360</v>
      </c>
      <c r="B1131" s="3">
        <v>1</v>
      </c>
    </row>
    <row r="1132" spans="1:2">
      <c r="A1132" s="2" t="s">
        <v>3369</v>
      </c>
      <c r="B1132" s="3">
        <v>1</v>
      </c>
    </row>
    <row r="1133" spans="1:2">
      <c r="A1133" s="2" t="s">
        <v>3384</v>
      </c>
      <c r="B1133" s="3">
        <v>1</v>
      </c>
    </row>
    <row r="1134" spans="1:2">
      <c r="A1134" s="2" t="s">
        <v>3393</v>
      </c>
      <c r="B1134" s="3">
        <v>1</v>
      </c>
    </row>
    <row r="1135" spans="1:2">
      <c r="A1135" s="2" t="s">
        <v>3402</v>
      </c>
      <c r="B1135" s="3">
        <v>1</v>
      </c>
    </row>
    <row r="1136" spans="1:2">
      <c r="A1136" s="2" t="s">
        <v>3408</v>
      </c>
      <c r="B1136" s="3">
        <v>1</v>
      </c>
    </row>
    <row r="1137" spans="1:2">
      <c r="A1137" s="2" t="s">
        <v>3417</v>
      </c>
      <c r="B1137" s="3">
        <v>1</v>
      </c>
    </row>
    <row r="1138" spans="1:2">
      <c r="A1138" s="2" t="s">
        <v>3429</v>
      </c>
      <c r="B1138" s="3">
        <v>1</v>
      </c>
    </row>
    <row r="1139" spans="1:2">
      <c r="A1139" s="2" t="s">
        <v>3438</v>
      </c>
      <c r="B1139" s="3">
        <v>1</v>
      </c>
    </row>
    <row r="1140" spans="1:2">
      <c r="A1140" s="2" t="s">
        <v>3447</v>
      </c>
      <c r="B1140" s="3">
        <v>1</v>
      </c>
    </row>
    <row r="1141" spans="1:2">
      <c r="A1141" s="2" t="s">
        <v>3456</v>
      </c>
      <c r="B1141" s="3">
        <v>1</v>
      </c>
    </row>
    <row r="1142" spans="1:2">
      <c r="A1142" s="2" t="s">
        <v>3465</v>
      </c>
      <c r="B1142" s="3">
        <v>1</v>
      </c>
    </row>
    <row r="1143" spans="1:2">
      <c r="A1143" s="2" t="s">
        <v>3468</v>
      </c>
      <c r="B1143" s="3">
        <v>1</v>
      </c>
    </row>
    <row r="1144" spans="1:2">
      <c r="A1144" s="2" t="s">
        <v>3477</v>
      </c>
      <c r="B1144" s="3">
        <v>1</v>
      </c>
    </row>
    <row r="1145" spans="1:2">
      <c r="A1145" s="2" t="s">
        <v>3489</v>
      </c>
      <c r="B1145" s="3">
        <v>1</v>
      </c>
    </row>
    <row r="1146" spans="1:2">
      <c r="A1146" s="2" t="s">
        <v>3498</v>
      </c>
      <c r="B1146" s="3">
        <v>1</v>
      </c>
    </row>
    <row r="1147" spans="1:2">
      <c r="A1147" s="2" t="s">
        <v>3504</v>
      </c>
      <c r="B1147" s="3">
        <v>1</v>
      </c>
    </row>
    <row r="1148" spans="1:2">
      <c r="A1148" s="2" t="s">
        <v>3513</v>
      </c>
      <c r="B1148" s="3">
        <v>1</v>
      </c>
    </row>
    <row r="1149" spans="1:2">
      <c r="A1149" s="2" t="s">
        <v>3516</v>
      </c>
      <c r="B1149" s="3">
        <v>1</v>
      </c>
    </row>
    <row r="1150" spans="1:2">
      <c r="A1150" s="2" t="s">
        <v>3525</v>
      </c>
      <c r="B1150" s="3">
        <v>1</v>
      </c>
    </row>
    <row r="1151" spans="1:2">
      <c r="A1151" s="2" t="s">
        <v>3534</v>
      </c>
      <c r="B1151" s="3">
        <v>1</v>
      </c>
    </row>
    <row r="1152" spans="1:2">
      <c r="A1152" s="2" t="s">
        <v>3540</v>
      </c>
      <c r="B1152" s="3">
        <v>1</v>
      </c>
    </row>
    <row r="1153" spans="1:2">
      <c r="A1153" s="2" t="s">
        <v>3549</v>
      </c>
      <c r="B1153" s="3">
        <v>1</v>
      </c>
    </row>
    <row r="1154" spans="1:2">
      <c r="A1154" s="2" t="s">
        <v>3558</v>
      </c>
      <c r="B1154" s="3">
        <v>1</v>
      </c>
    </row>
    <row r="1155" spans="1:2">
      <c r="A1155" s="2" t="s">
        <v>3567</v>
      </c>
      <c r="B1155" s="3">
        <v>1</v>
      </c>
    </row>
    <row r="1156" spans="1:2">
      <c r="A1156" s="2" t="s">
        <v>3573</v>
      </c>
      <c r="B1156" s="3">
        <v>1</v>
      </c>
    </row>
    <row r="1157" spans="1:2">
      <c r="A1157" s="2" t="s">
        <v>3582</v>
      </c>
      <c r="B1157" s="3">
        <v>1</v>
      </c>
    </row>
    <row r="1158" spans="1:2">
      <c r="A1158" s="2" t="s">
        <v>3591</v>
      </c>
      <c r="B1158" s="3">
        <v>1</v>
      </c>
    </row>
    <row r="1159" spans="1:2">
      <c r="A1159" s="2" t="s">
        <v>3597</v>
      </c>
      <c r="B1159" s="3">
        <v>1</v>
      </c>
    </row>
    <row r="1160" spans="1:2">
      <c r="A1160" s="2" t="s">
        <v>3606</v>
      </c>
      <c r="B1160" s="3">
        <v>1</v>
      </c>
    </row>
    <row r="1161" spans="1:2">
      <c r="A1161" s="2" t="s">
        <v>3609</v>
      </c>
      <c r="B1161" s="3">
        <v>1</v>
      </c>
    </row>
    <row r="1162" spans="1:2">
      <c r="A1162" s="2" t="s">
        <v>3618</v>
      </c>
      <c r="B1162" s="3">
        <v>1</v>
      </c>
    </row>
    <row r="1163" spans="1:2">
      <c r="A1163" s="2" t="s">
        <v>3630</v>
      </c>
      <c r="B1163" s="3">
        <v>1</v>
      </c>
    </row>
    <row r="1164" spans="1:2">
      <c r="A1164" s="2" t="s">
        <v>3639</v>
      </c>
      <c r="B1164" s="3">
        <v>1</v>
      </c>
    </row>
    <row r="1165" spans="1:2">
      <c r="A1165" s="2" t="s">
        <v>3648</v>
      </c>
      <c r="B1165" s="3">
        <v>1</v>
      </c>
    </row>
    <row r="1166" spans="1:2">
      <c r="A1166" s="2" t="s">
        <v>3657</v>
      </c>
      <c r="B1166" s="3">
        <v>1</v>
      </c>
    </row>
    <row r="1167" spans="1:2">
      <c r="A1167" s="2" t="s">
        <v>3666</v>
      </c>
      <c r="B1167" s="3">
        <v>1</v>
      </c>
    </row>
    <row r="1168" spans="1:2">
      <c r="A1168" s="2" t="s">
        <v>3675</v>
      </c>
      <c r="B1168" s="3">
        <v>1</v>
      </c>
    </row>
    <row r="1169" spans="1:2">
      <c r="A1169" s="2" t="s">
        <v>3678</v>
      </c>
      <c r="B1169" s="3">
        <v>1</v>
      </c>
    </row>
    <row r="1170" spans="1:2">
      <c r="A1170" s="2" t="s">
        <v>3687</v>
      </c>
      <c r="B1170" s="3">
        <v>1</v>
      </c>
    </row>
    <row r="1171" spans="1:2">
      <c r="A1171" s="2" t="s">
        <v>3693</v>
      </c>
      <c r="B1171" s="3">
        <v>1</v>
      </c>
    </row>
    <row r="1172" spans="1:2">
      <c r="A1172" s="2" t="s">
        <v>3705</v>
      </c>
      <c r="B1172" s="3">
        <v>1</v>
      </c>
    </row>
    <row r="1173" spans="1:2">
      <c r="A1173" s="2" t="s">
        <v>3711</v>
      </c>
      <c r="B1173" s="3">
        <v>1</v>
      </c>
    </row>
    <row r="1174" spans="1:2">
      <c r="A1174" s="2" t="s">
        <v>3723</v>
      </c>
      <c r="B1174" s="3">
        <v>1</v>
      </c>
    </row>
    <row r="1175" spans="1:2">
      <c r="A1175" s="2" t="s">
        <v>3729</v>
      </c>
      <c r="B1175" s="3">
        <v>1</v>
      </c>
    </row>
    <row r="1176" spans="1:2">
      <c r="A1176" s="2" t="s">
        <v>3741</v>
      </c>
      <c r="B1176" s="3">
        <v>1</v>
      </c>
    </row>
    <row r="1177" spans="1:2">
      <c r="A1177" s="2" t="s">
        <v>3750</v>
      </c>
      <c r="B1177" s="3">
        <v>1</v>
      </c>
    </row>
    <row r="1178" spans="1:2">
      <c r="A1178" s="2" t="s">
        <v>3759</v>
      </c>
      <c r="B1178" s="3">
        <v>1</v>
      </c>
    </row>
    <row r="1179" spans="1:2">
      <c r="A1179" s="2" t="s">
        <v>3768</v>
      </c>
      <c r="B1179" s="3">
        <v>1</v>
      </c>
    </row>
    <row r="1180" spans="1:2">
      <c r="A1180" s="2" t="s">
        <v>3405</v>
      </c>
      <c r="B1180" s="3">
        <v>1</v>
      </c>
    </row>
    <row r="1181" spans="1:2">
      <c r="A1181" s="2" t="s">
        <v>3411</v>
      </c>
      <c r="B1181" s="3">
        <v>1</v>
      </c>
    </row>
    <row r="1182" spans="1:2">
      <c r="A1182" s="2" t="s">
        <v>3423</v>
      </c>
      <c r="B1182" s="3">
        <v>1</v>
      </c>
    </row>
    <row r="1183" spans="1:2">
      <c r="A1183" s="2" t="s">
        <v>3426</v>
      </c>
      <c r="B1183" s="3">
        <v>1</v>
      </c>
    </row>
    <row r="1184" spans="1:2">
      <c r="A1184" s="2" t="s">
        <v>3432</v>
      </c>
      <c r="B1184" s="3">
        <v>1</v>
      </c>
    </row>
    <row r="1185" spans="1:2">
      <c r="A1185" s="2" t="s">
        <v>3444</v>
      </c>
      <c r="B1185" s="3">
        <v>1</v>
      </c>
    </row>
    <row r="1186" spans="1:2">
      <c r="A1186" s="2" t="s">
        <v>3450</v>
      </c>
      <c r="B1186" s="3">
        <v>1</v>
      </c>
    </row>
    <row r="1187" spans="1:2">
      <c r="A1187" s="2" t="s">
        <v>3462</v>
      </c>
      <c r="B1187" s="3">
        <v>1</v>
      </c>
    </row>
    <row r="1188" spans="1:2">
      <c r="A1188" s="2" t="s">
        <v>3471</v>
      </c>
      <c r="B1188" s="3">
        <v>1</v>
      </c>
    </row>
    <row r="1189" spans="1:2">
      <c r="A1189" s="2" t="s">
        <v>3483</v>
      </c>
      <c r="B1189" s="3">
        <v>1</v>
      </c>
    </row>
    <row r="1190" spans="1:2">
      <c r="A1190" s="2" t="s">
        <v>3486</v>
      </c>
      <c r="B1190" s="3">
        <v>1</v>
      </c>
    </row>
    <row r="1191" spans="1:2">
      <c r="A1191" s="2" t="s">
        <v>3492</v>
      </c>
      <c r="B1191" s="3">
        <v>1</v>
      </c>
    </row>
    <row r="1192" spans="1:2">
      <c r="A1192" s="2" t="s">
        <v>3501</v>
      </c>
      <c r="B1192" s="3">
        <v>1</v>
      </c>
    </row>
    <row r="1193" spans="1:2">
      <c r="A1193" s="2" t="s">
        <v>3507</v>
      </c>
      <c r="B1193" s="3">
        <v>1</v>
      </c>
    </row>
    <row r="1194" spans="1:2">
      <c r="A1194" s="2" t="s">
        <v>3522</v>
      </c>
      <c r="B1194" s="3">
        <v>1</v>
      </c>
    </row>
    <row r="1195" spans="1:2">
      <c r="A1195" s="2" t="s">
        <v>3528</v>
      </c>
      <c r="B1195" s="3">
        <v>1</v>
      </c>
    </row>
    <row r="1196" spans="1:2">
      <c r="A1196" s="2" t="s">
        <v>3537</v>
      </c>
      <c r="B1196" s="3">
        <v>1</v>
      </c>
    </row>
    <row r="1197" spans="1:2">
      <c r="A1197" s="2" t="s">
        <v>3543</v>
      </c>
      <c r="B1197" s="3">
        <v>1</v>
      </c>
    </row>
    <row r="1198" spans="1:2">
      <c r="A1198" s="2" t="s">
        <v>3555</v>
      </c>
      <c r="B1198" s="3">
        <v>1</v>
      </c>
    </row>
    <row r="1199" spans="1:2">
      <c r="A1199" s="2" t="s">
        <v>3561</v>
      </c>
      <c r="B1199" s="3">
        <v>1</v>
      </c>
    </row>
    <row r="1200" spans="1:2">
      <c r="A1200" s="2" t="s">
        <v>3579</v>
      </c>
      <c r="B1200" s="3">
        <v>1</v>
      </c>
    </row>
    <row r="1201" spans="1:2">
      <c r="A1201" s="2" t="s">
        <v>3585</v>
      </c>
      <c r="B1201" s="3">
        <v>1</v>
      </c>
    </row>
    <row r="1202" spans="1:2">
      <c r="A1202" s="2" t="s">
        <v>3594</v>
      </c>
      <c r="B1202" s="3">
        <v>1</v>
      </c>
    </row>
    <row r="1203" spans="1:2">
      <c r="A1203" s="2" t="s">
        <v>3600</v>
      </c>
      <c r="B1203" s="3">
        <v>1</v>
      </c>
    </row>
    <row r="1204" spans="1:2">
      <c r="A1204" s="2" t="s">
        <v>3615</v>
      </c>
      <c r="B1204" s="3">
        <v>1</v>
      </c>
    </row>
    <row r="1205" spans="1:2">
      <c r="A1205" s="2" t="s">
        <v>3621</v>
      </c>
      <c r="B1205" s="3">
        <v>1</v>
      </c>
    </row>
    <row r="1206" spans="1:2">
      <c r="A1206" s="2" t="s">
        <v>3624</v>
      </c>
      <c r="B1206" s="3">
        <v>1</v>
      </c>
    </row>
    <row r="1207" spans="1:2">
      <c r="A1207" s="2" t="s">
        <v>3636</v>
      </c>
      <c r="B1207" s="3">
        <v>1</v>
      </c>
    </row>
    <row r="1208" spans="1:2">
      <c r="A1208" s="2" t="s">
        <v>3642</v>
      </c>
      <c r="B1208" s="3">
        <v>1</v>
      </c>
    </row>
    <row r="1209" spans="1:2">
      <c r="A1209" s="2" t="s">
        <v>3654</v>
      </c>
      <c r="B1209" s="3">
        <v>1</v>
      </c>
    </row>
    <row r="1210" spans="1:2">
      <c r="A1210" s="2" t="s">
        <v>3660</v>
      </c>
      <c r="B1210" s="3">
        <v>1</v>
      </c>
    </row>
    <row r="1211" spans="1:2">
      <c r="A1211" s="2" t="s">
        <v>3672</v>
      </c>
      <c r="B1211" s="3">
        <v>1</v>
      </c>
    </row>
    <row r="1212" spans="1:2">
      <c r="A1212" s="2" t="s">
        <v>3681</v>
      </c>
      <c r="B1212" s="3">
        <v>1</v>
      </c>
    </row>
    <row r="1213" spans="1:2">
      <c r="A1213" s="2" t="s">
        <v>3690</v>
      </c>
      <c r="B1213" s="3">
        <v>1</v>
      </c>
    </row>
    <row r="1214" spans="1:2">
      <c r="A1214" s="2" t="s">
        <v>3696</v>
      </c>
      <c r="B1214" s="3">
        <v>1</v>
      </c>
    </row>
    <row r="1215" spans="1:2">
      <c r="A1215" s="2" t="s">
        <v>3708</v>
      </c>
      <c r="B1215" s="3">
        <v>1</v>
      </c>
    </row>
    <row r="1216" spans="1:2">
      <c r="A1216" s="2" t="s">
        <v>3714</v>
      </c>
      <c r="B1216" s="3">
        <v>1</v>
      </c>
    </row>
    <row r="1217" spans="1:2">
      <c r="A1217" s="2" t="s">
        <v>3735</v>
      </c>
      <c r="B1217" s="3">
        <v>1</v>
      </c>
    </row>
    <row r="1218" spans="1:2">
      <c r="A1218" s="2" t="s">
        <v>3738</v>
      </c>
      <c r="B1218" s="3">
        <v>1</v>
      </c>
    </row>
    <row r="1219" spans="1:2">
      <c r="A1219" s="2" t="s">
        <v>3744</v>
      </c>
      <c r="B1219" s="3">
        <v>1</v>
      </c>
    </row>
    <row r="1220" spans="1:2">
      <c r="A1220" s="2" t="s">
        <v>3756</v>
      </c>
      <c r="B1220" s="3">
        <v>1</v>
      </c>
    </row>
    <row r="1221" spans="1:2">
      <c r="A1221" s="2" t="s">
        <v>3762</v>
      </c>
      <c r="B1221" s="3">
        <v>1</v>
      </c>
    </row>
    <row r="1222" spans="1:2">
      <c r="A1222" s="2" t="s">
        <v>3774</v>
      </c>
      <c r="B1222" s="3">
        <v>1</v>
      </c>
    </row>
    <row r="1223" spans="1:2">
      <c r="A1223" s="2" t="s">
        <v>3789</v>
      </c>
      <c r="B1223" s="3">
        <v>1</v>
      </c>
    </row>
    <row r="1224" spans="1:2">
      <c r="A1224" s="2" t="s">
        <v>3795</v>
      </c>
      <c r="B1224" s="3">
        <v>1</v>
      </c>
    </row>
    <row r="1225" spans="1:2">
      <c r="A1225" s="2" t="s">
        <v>3807</v>
      </c>
      <c r="B1225" s="3">
        <v>1</v>
      </c>
    </row>
    <row r="1226" spans="1:2">
      <c r="A1226" s="2" t="s">
        <v>3813</v>
      </c>
      <c r="B1226" s="3">
        <v>1</v>
      </c>
    </row>
    <row r="1227" spans="1:2">
      <c r="A1227" s="2" t="s">
        <v>3822</v>
      </c>
      <c r="B1227" s="3">
        <v>1</v>
      </c>
    </row>
    <row r="1228" spans="1:2">
      <c r="A1228" s="2" t="s">
        <v>3828</v>
      </c>
      <c r="B1228" s="3">
        <v>1</v>
      </c>
    </row>
    <row r="1229" spans="1:2">
      <c r="A1229" s="2" t="s">
        <v>3837</v>
      </c>
      <c r="B1229" s="3">
        <v>1</v>
      </c>
    </row>
    <row r="1230" spans="1:2">
      <c r="A1230" s="2" t="s">
        <v>3843</v>
      </c>
      <c r="B1230" s="3">
        <v>1</v>
      </c>
    </row>
    <row r="1231" spans="1:2">
      <c r="A1231" s="2" t="s">
        <v>3846</v>
      </c>
      <c r="B1231" s="3">
        <v>1</v>
      </c>
    </row>
    <row r="1232" spans="1:2">
      <c r="A1232" s="2" t="s">
        <v>3849</v>
      </c>
      <c r="B1232" s="3">
        <v>1</v>
      </c>
    </row>
    <row r="1233" spans="1:2">
      <c r="A1233" s="2" t="s">
        <v>3864</v>
      </c>
      <c r="B1233" s="3">
        <v>1</v>
      </c>
    </row>
    <row r="1234" spans="1:2">
      <c r="A1234" s="2" t="s">
        <v>3870</v>
      </c>
      <c r="B1234" s="3">
        <v>1</v>
      </c>
    </row>
    <row r="1235" spans="1:2">
      <c r="A1235" s="2" t="s">
        <v>3873</v>
      </c>
      <c r="B1235" s="3">
        <v>1</v>
      </c>
    </row>
    <row r="1236" spans="1:2">
      <c r="A1236" s="2" t="s">
        <v>3885</v>
      </c>
      <c r="B1236" s="3">
        <v>1</v>
      </c>
    </row>
    <row r="1237" spans="1:2">
      <c r="A1237" s="2" t="s">
        <v>3888</v>
      </c>
      <c r="B1237" s="3">
        <v>1</v>
      </c>
    </row>
    <row r="1238" spans="1:2">
      <c r="A1238" s="2" t="s">
        <v>3897</v>
      </c>
      <c r="B1238" s="3">
        <v>1</v>
      </c>
    </row>
    <row r="1239" spans="1:2">
      <c r="A1239" s="2" t="s">
        <v>3909</v>
      </c>
      <c r="B1239" s="3">
        <v>1</v>
      </c>
    </row>
    <row r="1240" spans="1:2">
      <c r="A1240" s="2" t="s">
        <v>3915</v>
      </c>
      <c r="B1240" s="3">
        <v>1</v>
      </c>
    </row>
    <row r="1241" spans="1:2">
      <c r="A1241" s="2" t="s">
        <v>3927</v>
      </c>
      <c r="B1241" s="3">
        <v>1</v>
      </c>
    </row>
    <row r="1242" spans="1:2">
      <c r="A1242" s="2" t="s">
        <v>3933</v>
      </c>
      <c r="B1242" s="3">
        <v>1</v>
      </c>
    </row>
    <row r="1243" spans="1:2">
      <c r="A1243" s="2" t="s">
        <v>3948</v>
      </c>
      <c r="B1243" s="3">
        <v>1</v>
      </c>
    </row>
    <row r="1244" spans="1:2">
      <c r="A1244" s="2" t="s">
        <v>3963</v>
      </c>
      <c r="B1244" s="3">
        <v>1</v>
      </c>
    </row>
    <row r="1245" spans="1:2">
      <c r="A1245" s="2" t="s">
        <v>3972</v>
      </c>
      <c r="B1245" s="3">
        <v>1</v>
      </c>
    </row>
    <row r="1246" spans="1:2">
      <c r="A1246" s="2" t="s">
        <v>3987</v>
      </c>
      <c r="B1246" s="3">
        <v>1</v>
      </c>
    </row>
    <row r="1247" spans="1:2">
      <c r="A1247" s="2" t="s">
        <v>3993</v>
      </c>
      <c r="B1247" s="3">
        <v>1</v>
      </c>
    </row>
    <row r="1248" spans="1:2">
      <c r="A1248" s="2" t="s">
        <v>3999</v>
      </c>
      <c r="B1248" s="3">
        <v>1</v>
      </c>
    </row>
    <row r="1249" spans="1:2">
      <c r="A1249" s="2" t="s">
        <v>4014</v>
      </c>
      <c r="B1249" s="3">
        <v>1</v>
      </c>
    </row>
    <row r="1250" spans="1:2">
      <c r="A1250" s="2" t="s">
        <v>4020</v>
      </c>
      <c r="B1250" s="3">
        <v>1</v>
      </c>
    </row>
    <row r="1251" spans="1:2">
      <c r="A1251" s="2" t="s">
        <v>4032</v>
      </c>
      <c r="B1251" s="3">
        <v>1</v>
      </c>
    </row>
    <row r="1252" spans="1:2">
      <c r="A1252" s="2" t="s">
        <v>4038</v>
      </c>
      <c r="B1252" s="3">
        <v>1</v>
      </c>
    </row>
    <row r="1253" spans="1:2">
      <c r="A1253" s="2" t="s">
        <v>4050</v>
      </c>
      <c r="B1253" s="3">
        <v>1</v>
      </c>
    </row>
    <row r="1254" spans="1:2">
      <c r="A1254" s="2" t="s">
        <v>4056</v>
      </c>
      <c r="B1254" s="3">
        <v>1</v>
      </c>
    </row>
    <row r="1255" spans="1:2">
      <c r="A1255" s="2" t="s">
        <v>4068</v>
      </c>
      <c r="B1255" s="3">
        <v>1</v>
      </c>
    </row>
    <row r="1256" spans="1:2">
      <c r="A1256" s="2" t="s">
        <v>4074</v>
      </c>
      <c r="B1256" s="3">
        <v>1</v>
      </c>
    </row>
    <row r="1257" spans="1:2">
      <c r="A1257" s="2" t="s">
        <v>4089</v>
      </c>
      <c r="B1257" s="3">
        <v>1</v>
      </c>
    </row>
    <row r="1258" spans="1:2">
      <c r="A1258" s="2" t="s">
        <v>4095</v>
      </c>
      <c r="B1258" s="3">
        <v>1</v>
      </c>
    </row>
    <row r="1259" spans="1:2">
      <c r="A1259" s="2" t="s">
        <v>4098</v>
      </c>
      <c r="B1259" s="3">
        <v>1</v>
      </c>
    </row>
    <row r="1260" spans="1:2">
      <c r="A1260" s="2" t="s">
        <v>4110</v>
      </c>
      <c r="B1260" s="3">
        <v>1</v>
      </c>
    </row>
    <row r="1261" spans="1:2">
      <c r="A1261" s="2" t="s">
        <v>4116</v>
      </c>
      <c r="B1261" s="3">
        <v>1</v>
      </c>
    </row>
    <row r="1262" spans="1:2">
      <c r="A1262" s="2" t="s">
        <v>4119</v>
      </c>
      <c r="B1262" s="3">
        <v>1</v>
      </c>
    </row>
    <row r="1263" spans="1:2">
      <c r="A1263" s="2" t="s">
        <v>4131</v>
      </c>
      <c r="B1263" s="3">
        <v>1</v>
      </c>
    </row>
    <row r="1264" spans="1:2">
      <c r="A1264" s="2" t="s">
        <v>4137</v>
      </c>
      <c r="B1264" s="3">
        <v>1</v>
      </c>
    </row>
    <row r="1265" spans="1:2">
      <c r="A1265" s="2" t="s">
        <v>4149</v>
      </c>
      <c r="B1265" s="3">
        <v>1</v>
      </c>
    </row>
    <row r="1266" spans="1:2">
      <c r="A1266" s="2" t="s">
        <v>4155</v>
      </c>
      <c r="B1266" s="3">
        <v>1</v>
      </c>
    </row>
    <row r="1267" spans="1:2">
      <c r="A1267" s="2" t="s">
        <v>4164</v>
      </c>
      <c r="B1267" s="3">
        <v>1</v>
      </c>
    </row>
    <row r="1268" spans="1:2">
      <c r="A1268" s="2" t="s">
        <v>4173</v>
      </c>
      <c r="B1268" s="3">
        <v>1</v>
      </c>
    </row>
    <row r="1269" spans="1:2">
      <c r="A1269" s="2" t="s">
        <v>4185</v>
      </c>
      <c r="B1269" s="3">
        <v>1</v>
      </c>
    </row>
    <row r="1270" spans="1:2">
      <c r="A1270" s="2" t="s">
        <v>4188</v>
      </c>
      <c r="B1270" s="3">
        <v>1</v>
      </c>
    </row>
    <row r="1271" spans="1:2">
      <c r="A1271" s="2" t="s">
        <v>4203</v>
      </c>
      <c r="B1271" s="3">
        <v>1</v>
      </c>
    </row>
    <row r="1272" spans="1:2">
      <c r="A1272" s="2" t="s">
        <v>4209</v>
      </c>
      <c r="B1272" s="3">
        <v>1</v>
      </c>
    </row>
    <row r="1273" spans="1:2">
      <c r="A1273" s="2" t="s">
        <v>4221</v>
      </c>
      <c r="B1273" s="3">
        <v>1</v>
      </c>
    </row>
    <row r="1274" spans="1:2">
      <c r="A1274" s="2" t="s">
        <v>3510</v>
      </c>
      <c r="B1274" s="3">
        <v>1</v>
      </c>
    </row>
    <row r="1275" spans="1:2">
      <c r="A1275" s="2" t="s">
        <v>3519</v>
      </c>
      <c r="B1275" s="3">
        <v>1</v>
      </c>
    </row>
    <row r="1276" spans="1:2">
      <c r="A1276" s="2" t="s">
        <v>3531</v>
      </c>
      <c r="B1276" s="3">
        <v>1</v>
      </c>
    </row>
    <row r="1277" spans="1:2">
      <c r="A1277" s="2" t="s">
        <v>3546</v>
      </c>
      <c r="B1277" s="3">
        <v>1</v>
      </c>
    </row>
    <row r="1278" spans="1:2">
      <c r="A1278" s="2" t="s">
        <v>3552</v>
      </c>
      <c r="B1278" s="3">
        <v>1</v>
      </c>
    </row>
    <row r="1279" spans="1:2">
      <c r="A1279" s="2" t="s">
        <v>3564</v>
      </c>
      <c r="B1279" s="3">
        <v>1</v>
      </c>
    </row>
    <row r="1280" spans="1:2">
      <c r="A1280" s="2" t="s">
        <v>3570</v>
      </c>
      <c r="B1280" s="3">
        <v>1</v>
      </c>
    </row>
    <row r="1281" spans="1:2">
      <c r="A1281" s="2" t="s">
        <v>3576</v>
      </c>
      <c r="B1281" s="3">
        <v>1</v>
      </c>
    </row>
    <row r="1282" spans="1:2">
      <c r="A1282" s="2" t="s">
        <v>3588</v>
      </c>
      <c r="B1282" s="3">
        <v>1</v>
      </c>
    </row>
    <row r="1283" spans="1:2">
      <c r="A1283" s="2" t="s">
        <v>3603</v>
      </c>
      <c r="B1283" s="3">
        <v>1</v>
      </c>
    </row>
    <row r="1284" spans="1:2">
      <c r="A1284" s="2" t="s">
        <v>3612</v>
      </c>
      <c r="B1284" s="3">
        <v>1</v>
      </c>
    </row>
    <row r="1285" spans="1:2">
      <c r="A1285" s="2" t="s">
        <v>3627</v>
      </c>
      <c r="B1285" s="3">
        <v>1</v>
      </c>
    </row>
    <row r="1286" spans="1:2">
      <c r="A1286" s="2" t="s">
        <v>3633</v>
      </c>
      <c r="B1286" s="3">
        <v>1</v>
      </c>
    </row>
    <row r="1287" spans="1:2">
      <c r="A1287" s="2" t="s">
        <v>3645</v>
      </c>
      <c r="B1287" s="3">
        <v>1</v>
      </c>
    </row>
    <row r="1288" spans="1:2">
      <c r="A1288" s="2" t="s">
        <v>3651</v>
      </c>
      <c r="B1288" s="3">
        <v>1</v>
      </c>
    </row>
    <row r="1289" spans="1:2">
      <c r="A1289" s="2" t="s">
        <v>3663</v>
      </c>
      <c r="B1289" s="3">
        <v>1</v>
      </c>
    </row>
    <row r="1290" spans="1:2">
      <c r="A1290" s="2" t="s">
        <v>3669</v>
      </c>
      <c r="B1290" s="3">
        <v>1</v>
      </c>
    </row>
    <row r="1291" spans="1:2">
      <c r="A1291" s="2" t="s">
        <v>3684</v>
      </c>
      <c r="B1291" s="3">
        <v>1</v>
      </c>
    </row>
    <row r="1292" spans="1:2">
      <c r="A1292" s="2" t="s">
        <v>3699</v>
      </c>
      <c r="B1292" s="3">
        <v>1</v>
      </c>
    </row>
    <row r="1293" spans="1:2">
      <c r="A1293" s="2" t="s">
        <v>3702</v>
      </c>
      <c r="B1293" s="3">
        <v>1</v>
      </c>
    </row>
    <row r="1294" spans="1:2">
      <c r="A1294" s="2" t="s">
        <v>3717</v>
      </c>
      <c r="B1294" s="3">
        <v>1</v>
      </c>
    </row>
    <row r="1295" spans="1:2">
      <c r="A1295" s="2" t="s">
        <v>3720</v>
      </c>
      <c r="B1295" s="3">
        <v>1</v>
      </c>
    </row>
    <row r="1296" spans="1:2">
      <c r="A1296" s="2" t="s">
        <v>3726</v>
      </c>
      <c r="B1296" s="3">
        <v>1</v>
      </c>
    </row>
    <row r="1297" spans="1:2">
      <c r="A1297" s="2" t="s">
        <v>3732</v>
      </c>
      <c r="B1297" s="3">
        <v>1</v>
      </c>
    </row>
    <row r="1298" spans="1:2">
      <c r="A1298" s="2" t="s">
        <v>3747</v>
      </c>
      <c r="B1298" s="3">
        <v>1</v>
      </c>
    </row>
    <row r="1299" spans="1:2">
      <c r="A1299" s="2" t="s">
        <v>3753</v>
      </c>
      <c r="B1299" s="3">
        <v>1</v>
      </c>
    </row>
    <row r="1300" spans="1:2">
      <c r="A1300" s="2" t="s">
        <v>3765</v>
      </c>
      <c r="B1300" s="3">
        <v>1</v>
      </c>
    </row>
    <row r="1301" spans="1:2">
      <c r="A1301" s="2" t="s">
        <v>3771</v>
      </c>
      <c r="B1301" s="3">
        <v>1</v>
      </c>
    </row>
    <row r="1302" spans="1:2">
      <c r="A1302" s="2" t="s">
        <v>3780</v>
      </c>
      <c r="B1302" s="3">
        <v>1</v>
      </c>
    </row>
    <row r="1303" spans="1:2">
      <c r="A1303" s="2" t="s">
        <v>3786</v>
      </c>
      <c r="B1303" s="3">
        <v>1</v>
      </c>
    </row>
    <row r="1304" spans="1:2">
      <c r="A1304" s="2" t="s">
        <v>3798</v>
      </c>
      <c r="B1304" s="3">
        <v>1</v>
      </c>
    </row>
    <row r="1305" spans="1:2">
      <c r="A1305" s="2" t="s">
        <v>3804</v>
      </c>
      <c r="B1305" s="3">
        <v>1</v>
      </c>
    </row>
    <row r="1306" spans="1:2">
      <c r="A1306" s="2" t="s">
        <v>3816</v>
      </c>
      <c r="B1306" s="3">
        <v>1</v>
      </c>
    </row>
    <row r="1307" spans="1:2">
      <c r="A1307" s="2" t="s">
        <v>3834</v>
      </c>
      <c r="B1307" s="3">
        <v>1</v>
      </c>
    </row>
    <row r="1308" spans="1:2">
      <c r="A1308" s="2" t="s">
        <v>3852</v>
      </c>
      <c r="B1308" s="3">
        <v>1</v>
      </c>
    </row>
    <row r="1309" spans="1:2">
      <c r="A1309" s="2" t="s">
        <v>3855</v>
      </c>
      <c r="B1309" s="3">
        <v>1</v>
      </c>
    </row>
    <row r="1310" spans="1:2">
      <c r="A1310" s="2" t="s">
        <v>3861</v>
      </c>
      <c r="B1310" s="3">
        <v>1</v>
      </c>
    </row>
    <row r="1311" spans="1:2">
      <c r="A1311" s="2" t="s">
        <v>3876</v>
      </c>
      <c r="B1311" s="3">
        <v>1</v>
      </c>
    </row>
    <row r="1312" spans="1:2">
      <c r="A1312" s="2" t="s">
        <v>3879</v>
      </c>
      <c r="B1312" s="3">
        <v>1</v>
      </c>
    </row>
    <row r="1313" spans="1:2">
      <c r="A1313" s="2" t="s">
        <v>3882</v>
      </c>
      <c r="B1313" s="3">
        <v>1</v>
      </c>
    </row>
    <row r="1314" spans="1:2">
      <c r="A1314" s="2" t="s">
        <v>3900</v>
      </c>
      <c r="B1314" s="3">
        <v>1</v>
      </c>
    </row>
    <row r="1315" spans="1:2">
      <c r="A1315" s="2" t="s">
        <v>3906</v>
      </c>
      <c r="B1315" s="3">
        <v>1</v>
      </c>
    </row>
    <row r="1316" spans="1:2">
      <c r="A1316" s="2" t="s">
        <v>3918</v>
      </c>
      <c r="B1316" s="3">
        <v>1</v>
      </c>
    </row>
    <row r="1317" spans="1:2">
      <c r="A1317" s="2" t="s">
        <v>3924</v>
      </c>
      <c r="B1317" s="3">
        <v>1</v>
      </c>
    </row>
    <row r="1318" spans="1:2">
      <c r="A1318" s="2" t="s">
        <v>3936</v>
      </c>
      <c r="B1318" s="3">
        <v>1</v>
      </c>
    </row>
    <row r="1319" spans="1:2">
      <c r="A1319" s="2" t="s">
        <v>3939</v>
      </c>
      <c r="B1319" s="3">
        <v>1</v>
      </c>
    </row>
    <row r="1320" spans="1:2">
      <c r="A1320" s="2" t="s">
        <v>3945</v>
      </c>
      <c r="B1320" s="3">
        <v>1</v>
      </c>
    </row>
    <row r="1321" spans="1:2">
      <c r="A1321" s="2" t="s">
        <v>3954</v>
      </c>
      <c r="B1321" s="3">
        <v>1</v>
      </c>
    </row>
    <row r="1322" spans="1:2">
      <c r="A1322" s="2" t="s">
        <v>3960</v>
      </c>
      <c r="B1322" s="3">
        <v>1</v>
      </c>
    </row>
    <row r="1323" spans="1:2">
      <c r="A1323" s="2" t="s">
        <v>3975</v>
      </c>
      <c r="B1323" s="3">
        <v>1</v>
      </c>
    </row>
    <row r="1324" spans="1:2">
      <c r="A1324" s="2" t="s">
        <v>3981</v>
      </c>
      <c r="B1324" s="3">
        <v>1</v>
      </c>
    </row>
    <row r="1325" spans="1:2">
      <c r="A1325" s="2" t="s">
        <v>3984</v>
      </c>
      <c r="B1325" s="3">
        <v>1</v>
      </c>
    </row>
    <row r="1326" spans="1:2">
      <c r="A1326" s="2" t="s">
        <v>4002</v>
      </c>
      <c r="B1326" s="3">
        <v>1</v>
      </c>
    </row>
    <row r="1327" spans="1:2">
      <c r="A1327" s="2" t="s">
        <v>4005</v>
      </c>
      <c r="B1327" s="3">
        <v>1</v>
      </c>
    </row>
    <row r="1328" spans="1:2">
      <c r="A1328" s="2" t="s">
        <v>4011</v>
      </c>
      <c r="B1328" s="3">
        <v>1</v>
      </c>
    </row>
    <row r="1329" spans="1:2">
      <c r="A1329" s="2" t="s">
        <v>4023</v>
      </c>
      <c r="B1329" s="3">
        <v>1</v>
      </c>
    </row>
    <row r="1330" spans="1:2">
      <c r="A1330" s="2" t="s">
        <v>4029</v>
      </c>
      <c r="B1330" s="3">
        <v>1</v>
      </c>
    </row>
    <row r="1331" spans="1:2">
      <c r="A1331" s="2" t="s">
        <v>4041</v>
      </c>
      <c r="B1331" s="3">
        <v>1</v>
      </c>
    </row>
    <row r="1332" spans="1:2">
      <c r="A1332" s="2" t="s">
        <v>4047</v>
      </c>
      <c r="B1332" s="3">
        <v>1</v>
      </c>
    </row>
    <row r="1333" spans="1:2">
      <c r="A1333" s="2" t="s">
        <v>4059</v>
      </c>
      <c r="B1333" s="3">
        <v>1</v>
      </c>
    </row>
    <row r="1334" spans="1:2">
      <c r="A1334" s="2" t="s">
        <v>4065</v>
      </c>
      <c r="B1334" s="3">
        <v>1</v>
      </c>
    </row>
    <row r="1335" spans="1:2">
      <c r="A1335" s="2" t="s">
        <v>4077</v>
      </c>
      <c r="B1335" s="3">
        <v>1</v>
      </c>
    </row>
    <row r="1336" spans="1:2">
      <c r="A1336" s="2" t="s">
        <v>4083</v>
      </c>
      <c r="B1336" s="3">
        <v>1</v>
      </c>
    </row>
    <row r="1337" spans="1:2">
      <c r="A1337" s="2" t="s">
        <v>4086</v>
      </c>
      <c r="B1337" s="3">
        <v>1</v>
      </c>
    </row>
    <row r="1338" spans="1:2">
      <c r="A1338" s="2" t="s">
        <v>4101</v>
      </c>
      <c r="B1338" s="3">
        <v>1</v>
      </c>
    </row>
    <row r="1339" spans="1:2">
      <c r="A1339" s="2" t="s">
        <v>4107</v>
      </c>
      <c r="B1339" s="3">
        <v>1</v>
      </c>
    </row>
    <row r="1340" spans="1:2">
      <c r="A1340" s="2" t="s">
        <v>4122</v>
      </c>
      <c r="B1340" s="3">
        <v>1</v>
      </c>
    </row>
    <row r="1341" spans="1:2">
      <c r="A1341" s="2" t="s">
        <v>4128</v>
      </c>
      <c r="B1341" s="3">
        <v>1</v>
      </c>
    </row>
    <row r="1342" spans="1:2">
      <c r="A1342" s="2" t="s">
        <v>4140</v>
      </c>
      <c r="B1342" s="3">
        <v>1</v>
      </c>
    </row>
    <row r="1343" spans="1:2">
      <c r="A1343" s="2" t="s">
        <v>4146</v>
      </c>
      <c r="B1343" s="3">
        <v>1</v>
      </c>
    </row>
    <row r="1344" spans="1:2">
      <c r="A1344" s="2" t="s">
        <v>4158</v>
      </c>
      <c r="B1344" s="3">
        <v>1</v>
      </c>
    </row>
    <row r="1345" spans="1:2">
      <c r="A1345" s="2" t="s">
        <v>4161</v>
      </c>
      <c r="B1345" s="3">
        <v>1</v>
      </c>
    </row>
    <row r="1346" spans="1:2">
      <c r="A1346" s="2" t="s">
        <v>4176</v>
      </c>
      <c r="B1346" s="3">
        <v>1</v>
      </c>
    </row>
    <row r="1347" spans="1:2">
      <c r="A1347" s="2" t="s">
        <v>4182</v>
      </c>
      <c r="B1347" s="3">
        <v>1</v>
      </c>
    </row>
    <row r="1348" spans="1:2">
      <c r="A1348" s="2" t="s">
        <v>4194</v>
      </c>
      <c r="B1348" s="3">
        <v>1</v>
      </c>
    </row>
    <row r="1349" spans="1:2">
      <c r="A1349" s="2" t="s">
        <v>4200</v>
      </c>
      <c r="B1349" s="3">
        <v>1</v>
      </c>
    </row>
    <row r="1350" spans="1:2">
      <c r="A1350" s="2" t="s">
        <v>4212</v>
      </c>
      <c r="B1350" s="3">
        <v>1</v>
      </c>
    </row>
    <row r="1351" spans="1:2">
      <c r="A1351" s="2" t="s">
        <v>4218</v>
      </c>
      <c r="B1351" s="3">
        <v>1</v>
      </c>
    </row>
    <row r="1352" spans="1:2">
      <c r="A1352" s="2" t="s">
        <v>4230</v>
      </c>
      <c r="B1352" s="3">
        <v>1</v>
      </c>
    </row>
    <row r="1353" spans="1:2">
      <c r="A1353" s="2" t="s">
        <v>4236</v>
      </c>
      <c r="B1353" s="3">
        <v>1</v>
      </c>
    </row>
    <row r="1354" spans="1:2">
      <c r="A1354" s="2" t="s">
        <v>4239</v>
      </c>
      <c r="B1354" s="3">
        <v>1</v>
      </c>
    </row>
    <row r="1355" spans="1:2">
      <c r="A1355" s="2" t="s">
        <v>4254</v>
      </c>
      <c r="B1355" s="3">
        <v>1</v>
      </c>
    </row>
    <row r="1356" spans="1:2">
      <c r="A1356" s="2" t="s">
        <v>4260</v>
      </c>
      <c r="B1356" s="3">
        <v>1</v>
      </c>
    </row>
    <row r="1357" spans="1:2">
      <c r="A1357" s="2" t="s">
        <v>4272</v>
      </c>
      <c r="B1357" s="3">
        <v>1</v>
      </c>
    </row>
    <row r="1358" spans="1:2">
      <c r="A1358" s="2" t="s">
        <v>4278</v>
      </c>
      <c r="B1358" s="3">
        <v>1</v>
      </c>
    </row>
    <row r="1359" spans="1:2">
      <c r="A1359" s="2" t="s">
        <v>4296</v>
      </c>
      <c r="B1359" s="3">
        <v>1</v>
      </c>
    </row>
    <row r="1360" spans="1:2">
      <c r="A1360" s="2" t="s">
        <v>4305</v>
      </c>
      <c r="B1360" s="3">
        <v>1</v>
      </c>
    </row>
    <row r="1361" spans="1:2">
      <c r="A1361" s="2" t="s">
        <v>4311</v>
      </c>
      <c r="B1361" s="3">
        <v>1</v>
      </c>
    </row>
    <row r="1362" spans="1:2">
      <c r="A1362" s="2" t="s">
        <v>4326</v>
      </c>
      <c r="B1362" s="3">
        <v>1</v>
      </c>
    </row>
    <row r="1363" spans="1:2">
      <c r="A1363" s="2" t="s">
        <v>4341</v>
      </c>
      <c r="B1363" s="3">
        <v>1</v>
      </c>
    </row>
    <row r="1364" spans="1:2">
      <c r="A1364" s="2" t="s">
        <v>4344</v>
      </c>
      <c r="B1364" s="3">
        <v>1</v>
      </c>
    </row>
    <row r="1365" spans="1:2">
      <c r="A1365" s="2" t="s">
        <v>4350</v>
      </c>
      <c r="B1365" s="3">
        <v>1</v>
      </c>
    </row>
    <row r="1366" spans="1:2">
      <c r="A1366" s="2" t="s">
        <v>4368</v>
      </c>
      <c r="B1366" s="3">
        <v>1</v>
      </c>
    </row>
    <row r="1367" spans="1:2">
      <c r="A1367" s="2" t="s">
        <v>3777</v>
      </c>
      <c r="B1367" s="3">
        <v>1</v>
      </c>
    </row>
    <row r="1368" spans="1:2">
      <c r="A1368" s="2" t="s">
        <v>3783</v>
      </c>
      <c r="B1368" s="3">
        <v>1</v>
      </c>
    </row>
    <row r="1369" spans="1:2">
      <c r="A1369" s="2" t="s">
        <v>3792</v>
      </c>
      <c r="B1369" s="3">
        <v>1</v>
      </c>
    </row>
    <row r="1370" spans="1:2">
      <c r="A1370" s="2" t="s">
        <v>3801</v>
      </c>
      <c r="B1370" s="3">
        <v>1</v>
      </c>
    </row>
    <row r="1371" spans="1:2">
      <c r="A1371" s="2" t="s">
        <v>3810</v>
      </c>
      <c r="B1371" s="3">
        <v>1</v>
      </c>
    </row>
    <row r="1372" spans="1:2">
      <c r="A1372" s="2" t="s">
        <v>3819</v>
      </c>
      <c r="B1372" s="3">
        <v>1</v>
      </c>
    </row>
    <row r="1373" spans="1:2">
      <c r="A1373" s="2" t="s">
        <v>3825</v>
      </c>
      <c r="B1373" s="3">
        <v>1</v>
      </c>
    </row>
    <row r="1374" spans="1:2">
      <c r="A1374" s="2" t="s">
        <v>3831</v>
      </c>
      <c r="B1374" s="3">
        <v>1</v>
      </c>
    </row>
    <row r="1375" spans="1:2">
      <c r="A1375" s="2" t="s">
        <v>3840</v>
      </c>
      <c r="B1375" s="3">
        <v>1</v>
      </c>
    </row>
    <row r="1376" spans="1:2">
      <c r="A1376" s="2" t="s">
        <v>3858</v>
      </c>
      <c r="B1376" s="3">
        <v>1</v>
      </c>
    </row>
    <row r="1377" spans="1:2">
      <c r="A1377" s="2" t="s">
        <v>3867</v>
      </c>
      <c r="B1377" s="3">
        <v>1</v>
      </c>
    </row>
    <row r="1378" spans="1:2">
      <c r="A1378" s="2" t="s">
        <v>3891</v>
      </c>
      <c r="B1378" s="3">
        <v>1</v>
      </c>
    </row>
    <row r="1379" spans="1:2">
      <c r="A1379" s="2" t="s">
        <v>3894</v>
      </c>
      <c r="B1379" s="3">
        <v>1</v>
      </c>
    </row>
    <row r="1380" spans="1:2">
      <c r="A1380" s="2" t="s">
        <v>3903</v>
      </c>
      <c r="B1380" s="3">
        <v>1</v>
      </c>
    </row>
    <row r="1381" spans="1:2">
      <c r="A1381" s="2" t="s">
        <v>3912</v>
      </c>
      <c r="B1381" s="3">
        <v>1</v>
      </c>
    </row>
    <row r="1382" spans="1:2">
      <c r="A1382" s="2" t="s">
        <v>3921</v>
      </c>
      <c r="B1382" s="3">
        <v>1</v>
      </c>
    </row>
    <row r="1383" spans="1:2">
      <c r="A1383" s="2" t="s">
        <v>3930</v>
      </c>
      <c r="B1383" s="3">
        <v>1</v>
      </c>
    </row>
    <row r="1384" spans="1:2">
      <c r="A1384" s="2" t="s">
        <v>3942</v>
      </c>
      <c r="B1384" s="3">
        <v>1</v>
      </c>
    </row>
    <row r="1385" spans="1:2">
      <c r="A1385" s="2" t="s">
        <v>3951</v>
      </c>
      <c r="B1385" s="3">
        <v>1</v>
      </c>
    </row>
    <row r="1386" spans="1:2">
      <c r="A1386" s="2" t="s">
        <v>3957</v>
      </c>
      <c r="B1386" s="3">
        <v>1</v>
      </c>
    </row>
    <row r="1387" spans="1:2">
      <c r="A1387" s="2" t="s">
        <v>3966</v>
      </c>
      <c r="B1387" s="3">
        <v>1</v>
      </c>
    </row>
    <row r="1388" spans="1:2">
      <c r="A1388" s="2" t="s">
        <v>3969</v>
      </c>
      <c r="B1388" s="3">
        <v>1</v>
      </c>
    </row>
    <row r="1389" spans="1:2">
      <c r="A1389" s="2" t="s">
        <v>3978</v>
      </c>
      <c r="B1389" s="3">
        <v>1</v>
      </c>
    </row>
    <row r="1390" spans="1:2">
      <c r="A1390" s="2" t="s">
        <v>3990</v>
      </c>
      <c r="B1390" s="3">
        <v>1</v>
      </c>
    </row>
    <row r="1391" spans="1:2">
      <c r="A1391" s="2" t="s">
        <v>3996</v>
      </c>
      <c r="B1391" s="3">
        <v>1</v>
      </c>
    </row>
    <row r="1392" spans="1:2">
      <c r="A1392" s="2" t="s">
        <v>4008</v>
      </c>
      <c r="B1392" s="3">
        <v>1</v>
      </c>
    </row>
    <row r="1393" spans="1:2">
      <c r="A1393" s="2" t="s">
        <v>4017</v>
      </c>
      <c r="B1393" s="3">
        <v>1</v>
      </c>
    </row>
    <row r="1394" spans="1:2">
      <c r="A1394" s="2" t="s">
        <v>4026</v>
      </c>
      <c r="B1394" s="3">
        <v>1</v>
      </c>
    </row>
    <row r="1395" spans="1:2">
      <c r="A1395" s="2" t="s">
        <v>4035</v>
      </c>
      <c r="B1395" s="3">
        <v>1</v>
      </c>
    </row>
    <row r="1396" spans="1:2">
      <c r="A1396" s="2" t="s">
        <v>4044</v>
      </c>
      <c r="B1396" s="3">
        <v>1</v>
      </c>
    </row>
    <row r="1397" spans="1:2">
      <c r="A1397" s="2" t="s">
        <v>4053</v>
      </c>
      <c r="B1397" s="3">
        <v>1</v>
      </c>
    </row>
    <row r="1398" spans="1:2">
      <c r="A1398" s="2" t="s">
        <v>4062</v>
      </c>
      <c r="B1398" s="3">
        <v>1</v>
      </c>
    </row>
    <row r="1399" spans="1:2">
      <c r="A1399" s="2" t="s">
        <v>4071</v>
      </c>
      <c r="B1399" s="3">
        <v>1</v>
      </c>
    </row>
    <row r="1400" spans="1:2">
      <c r="A1400" s="2" t="s">
        <v>4080</v>
      </c>
      <c r="B1400" s="3">
        <v>1</v>
      </c>
    </row>
    <row r="1401" spans="1:2">
      <c r="A1401" s="2" t="s">
        <v>4092</v>
      </c>
      <c r="B1401" s="3">
        <v>1</v>
      </c>
    </row>
    <row r="1402" spans="1:2">
      <c r="A1402" s="2" t="s">
        <v>4104</v>
      </c>
      <c r="B1402" s="3">
        <v>1</v>
      </c>
    </row>
    <row r="1403" spans="1:2">
      <c r="A1403" s="2" t="s">
        <v>4113</v>
      </c>
      <c r="B1403" s="3">
        <v>1</v>
      </c>
    </row>
    <row r="1404" spans="1:2">
      <c r="A1404" s="2" t="s">
        <v>4125</v>
      </c>
      <c r="B1404" s="3">
        <v>1</v>
      </c>
    </row>
    <row r="1405" spans="1:2">
      <c r="A1405" s="2" t="s">
        <v>4134</v>
      </c>
      <c r="B1405" s="3">
        <v>1</v>
      </c>
    </row>
    <row r="1406" spans="1:2">
      <c r="A1406" s="2" t="s">
        <v>4143</v>
      </c>
      <c r="B1406" s="3">
        <v>1</v>
      </c>
    </row>
    <row r="1407" spans="1:2">
      <c r="A1407" s="2" t="s">
        <v>4152</v>
      </c>
      <c r="B1407" s="3">
        <v>1</v>
      </c>
    </row>
    <row r="1408" spans="1:2">
      <c r="A1408" s="2" t="s">
        <v>4167</v>
      </c>
      <c r="B1408" s="3">
        <v>1</v>
      </c>
    </row>
    <row r="1409" spans="1:2">
      <c r="A1409" s="2" t="s">
        <v>4170</v>
      </c>
      <c r="B1409" s="3">
        <v>1</v>
      </c>
    </row>
    <row r="1410" spans="1:2">
      <c r="A1410" s="2" t="s">
        <v>4179</v>
      </c>
      <c r="B1410" s="3">
        <v>1</v>
      </c>
    </row>
    <row r="1411" spans="1:2">
      <c r="A1411" s="2" t="s">
        <v>4191</v>
      </c>
      <c r="B1411" s="3">
        <v>1</v>
      </c>
    </row>
    <row r="1412" spans="1:2">
      <c r="A1412" s="2" t="s">
        <v>4197</v>
      </c>
      <c r="B1412" s="3">
        <v>1</v>
      </c>
    </row>
    <row r="1413" spans="1:2">
      <c r="A1413" s="2" t="s">
        <v>4206</v>
      </c>
      <c r="B1413" s="3">
        <v>1</v>
      </c>
    </row>
    <row r="1414" spans="1:2">
      <c r="A1414" s="2" t="s">
        <v>4215</v>
      </c>
      <c r="B1414" s="3">
        <v>1</v>
      </c>
    </row>
    <row r="1415" spans="1:2">
      <c r="A1415" s="2" t="s">
        <v>4224</v>
      </c>
      <c r="B1415" s="3">
        <v>1</v>
      </c>
    </row>
    <row r="1416" spans="1:2">
      <c r="A1416" s="2" t="s">
        <v>4233</v>
      </c>
      <c r="B1416" s="3">
        <v>1</v>
      </c>
    </row>
    <row r="1417" spans="1:2">
      <c r="A1417" s="2" t="s">
        <v>4245</v>
      </c>
      <c r="B1417" s="3">
        <v>1</v>
      </c>
    </row>
    <row r="1418" spans="1:2">
      <c r="A1418" s="2" t="s">
        <v>4257</v>
      </c>
      <c r="B1418" s="3">
        <v>1</v>
      </c>
    </row>
    <row r="1419" spans="1:2">
      <c r="A1419" s="2" t="s">
        <v>4266</v>
      </c>
      <c r="B1419" s="3">
        <v>1</v>
      </c>
    </row>
    <row r="1420" spans="1:2">
      <c r="A1420" s="2" t="s">
        <v>4275</v>
      </c>
      <c r="B1420" s="3">
        <v>1</v>
      </c>
    </row>
    <row r="1421" spans="1:2">
      <c r="A1421" s="2" t="s">
        <v>4287</v>
      </c>
      <c r="B1421" s="3">
        <v>1</v>
      </c>
    </row>
    <row r="1422" spans="1:2">
      <c r="A1422" s="2" t="s">
        <v>4293</v>
      </c>
      <c r="B1422" s="3">
        <v>1</v>
      </c>
    </row>
    <row r="1423" spans="1:2">
      <c r="A1423" s="2" t="s">
        <v>4299</v>
      </c>
      <c r="B1423" s="3">
        <v>1</v>
      </c>
    </row>
    <row r="1424" spans="1:2">
      <c r="A1424" s="2" t="s">
        <v>4308</v>
      </c>
      <c r="B1424" s="3">
        <v>1</v>
      </c>
    </row>
    <row r="1425" spans="1:2">
      <c r="A1425" s="2" t="s">
        <v>4317</v>
      </c>
      <c r="B1425" s="3">
        <v>1</v>
      </c>
    </row>
    <row r="1426" spans="1:2">
      <c r="A1426" s="2" t="s">
        <v>4323</v>
      </c>
      <c r="B1426" s="3">
        <v>1</v>
      </c>
    </row>
    <row r="1427" spans="1:2">
      <c r="A1427" s="2" t="s">
        <v>4329</v>
      </c>
      <c r="B1427" s="3">
        <v>1</v>
      </c>
    </row>
    <row r="1428" spans="1:2">
      <c r="A1428" s="2" t="s">
        <v>4335</v>
      </c>
      <c r="B1428" s="3">
        <v>1</v>
      </c>
    </row>
    <row r="1429" spans="1:2">
      <c r="A1429" s="2" t="s">
        <v>4347</v>
      </c>
      <c r="B1429" s="3">
        <v>1</v>
      </c>
    </row>
    <row r="1430" spans="1:2">
      <c r="A1430" s="2" t="s">
        <v>4356</v>
      </c>
      <c r="B1430" s="3">
        <v>1</v>
      </c>
    </row>
    <row r="1431" spans="1:2">
      <c r="A1431" s="2" t="s">
        <v>4362</v>
      </c>
      <c r="B1431" s="3">
        <v>1</v>
      </c>
    </row>
    <row r="1432" spans="1:2">
      <c r="A1432" s="2" t="s">
        <v>4374</v>
      </c>
      <c r="B1432" s="3">
        <v>1</v>
      </c>
    </row>
    <row r="1433" spans="1:2">
      <c r="A1433" s="2" t="s">
        <v>4380</v>
      </c>
      <c r="B1433" s="3">
        <v>1</v>
      </c>
    </row>
    <row r="1434" spans="1:2">
      <c r="A1434" s="2" t="s">
        <v>4383</v>
      </c>
      <c r="B1434" s="3">
        <v>1</v>
      </c>
    </row>
    <row r="1435" spans="1:2">
      <c r="A1435" s="2" t="s">
        <v>4395</v>
      </c>
      <c r="B1435" s="3">
        <v>1</v>
      </c>
    </row>
    <row r="1436" spans="1:2">
      <c r="A1436" s="2" t="s">
        <v>4401</v>
      </c>
      <c r="B1436" s="3">
        <v>1</v>
      </c>
    </row>
    <row r="1437" spans="1:2">
      <c r="A1437" s="2" t="s">
        <v>4410</v>
      </c>
      <c r="B1437" s="3">
        <v>1</v>
      </c>
    </row>
    <row r="1438" spans="1:2">
      <c r="A1438" s="2" t="s">
        <v>4419</v>
      </c>
      <c r="B1438" s="3">
        <v>1</v>
      </c>
    </row>
    <row r="1439" spans="1:2">
      <c r="A1439" s="2" t="s">
        <v>4428</v>
      </c>
      <c r="B1439" s="3">
        <v>1</v>
      </c>
    </row>
    <row r="1440" spans="1:2">
      <c r="A1440" s="2" t="s">
        <v>4437</v>
      </c>
      <c r="B1440" s="3">
        <v>1</v>
      </c>
    </row>
    <row r="1441" spans="1:2">
      <c r="A1441" s="2" t="s">
        <v>4443</v>
      </c>
      <c r="B1441" s="3">
        <v>1</v>
      </c>
    </row>
    <row r="1442" spans="1:2">
      <c r="A1442" s="2" t="s">
        <v>4455</v>
      </c>
      <c r="B1442" s="3">
        <v>1</v>
      </c>
    </row>
    <row r="1443" spans="1:2">
      <c r="A1443" s="2" t="s">
        <v>4461</v>
      </c>
      <c r="B1443" s="3">
        <v>1</v>
      </c>
    </row>
    <row r="1444" spans="1:2">
      <c r="A1444" s="2" t="s">
        <v>4470</v>
      </c>
      <c r="B1444" s="3">
        <v>1</v>
      </c>
    </row>
    <row r="1445" spans="1:2">
      <c r="A1445" s="2" t="s">
        <v>4479</v>
      </c>
      <c r="B1445" s="3">
        <v>1</v>
      </c>
    </row>
    <row r="1446" spans="1:2">
      <c r="A1446" s="2" t="s">
        <v>4488</v>
      </c>
      <c r="B1446" s="3">
        <v>1</v>
      </c>
    </row>
    <row r="1447" spans="1:2">
      <c r="A1447" s="2" t="s">
        <v>4500</v>
      </c>
      <c r="B1447" s="3">
        <v>1</v>
      </c>
    </row>
    <row r="1448" spans="1:2">
      <c r="A1448" s="2" t="s">
        <v>4506</v>
      </c>
      <c r="B1448" s="3">
        <v>1</v>
      </c>
    </row>
    <row r="1449" spans="1:2">
      <c r="A1449" s="2" t="s">
        <v>4518</v>
      </c>
      <c r="B1449" s="3">
        <v>1</v>
      </c>
    </row>
    <row r="1450" spans="1:2">
      <c r="A1450" s="2" t="s">
        <v>4527</v>
      </c>
      <c r="B1450" s="3">
        <v>1</v>
      </c>
    </row>
    <row r="1451" spans="1:2">
      <c r="A1451" s="2" t="s">
        <v>4533</v>
      </c>
      <c r="B1451" s="3">
        <v>1</v>
      </c>
    </row>
    <row r="1452" spans="1:2">
      <c r="A1452" s="2" t="s">
        <v>4545</v>
      </c>
      <c r="B1452" s="3">
        <v>1</v>
      </c>
    </row>
    <row r="1453" spans="1:2">
      <c r="A1453" s="2" t="s">
        <v>4554</v>
      </c>
      <c r="B1453" s="3">
        <v>1</v>
      </c>
    </row>
    <row r="1454" spans="1:2">
      <c r="A1454" s="2" t="s">
        <v>4566</v>
      </c>
      <c r="B1454" s="3">
        <v>1</v>
      </c>
    </row>
    <row r="1455" spans="1:2">
      <c r="A1455" s="2" t="s">
        <v>4575</v>
      </c>
      <c r="B1455" s="3">
        <v>1</v>
      </c>
    </row>
    <row r="1456" spans="1:2">
      <c r="A1456" s="2" t="s">
        <v>4581</v>
      </c>
      <c r="B1456" s="3">
        <v>1</v>
      </c>
    </row>
    <row r="1457" spans="1:2">
      <c r="A1457" s="2" t="s">
        <v>4593</v>
      </c>
      <c r="B1457" s="3">
        <v>1</v>
      </c>
    </row>
    <row r="1458" spans="1:2">
      <c r="A1458" s="2" t="s">
        <v>4602</v>
      </c>
      <c r="B1458" s="3">
        <v>1</v>
      </c>
    </row>
    <row r="1459" spans="1:2">
      <c r="A1459" s="2" t="s">
        <v>4611</v>
      </c>
      <c r="B1459" s="3">
        <v>1</v>
      </c>
    </row>
    <row r="1460" spans="1:2">
      <c r="A1460" s="2" t="s">
        <v>4227</v>
      </c>
      <c r="B1460" s="3">
        <v>1</v>
      </c>
    </row>
    <row r="1461" spans="1:2">
      <c r="A1461" s="2" t="s">
        <v>4242</v>
      </c>
      <c r="B1461" s="3">
        <v>1</v>
      </c>
    </row>
    <row r="1462" spans="1:2">
      <c r="A1462" s="2" t="s">
        <v>4248</v>
      </c>
      <c r="B1462" s="3">
        <v>1</v>
      </c>
    </row>
    <row r="1463" spans="1:2">
      <c r="A1463" s="2" t="s">
        <v>4251</v>
      </c>
      <c r="B1463" s="3">
        <v>1</v>
      </c>
    </row>
    <row r="1464" spans="1:2">
      <c r="A1464" s="2" t="s">
        <v>4263</v>
      </c>
      <c r="B1464" s="3">
        <v>1</v>
      </c>
    </row>
    <row r="1465" spans="1:2">
      <c r="A1465" s="2" t="s">
        <v>4269</v>
      </c>
      <c r="B1465" s="3">
        <v>1</v>
      </c>
    </row>
    <row r="1466" spans="1:2">
      <c r="A1466" s="2" t="s">
        <v>4281</v>
      </c>
      <c r="B1466" s="3">
        <v>1</v>
      </c>
    </row>
    <row r="1467" spans="1:2">
      <c r="A1467" s="2" t="s">
        <v>4284</v>
      </c>
      <c r="B1467" s="3">
        <v>1</v>
      </c>
    </row>
    <row r="1468" spans="1:2">
      <c r="A1468" s="2" t="s">
        <v>4290</v>
      </c>
      <c r="B1468" s="3">
        <v>1</v>
      </c>
    </row>
    <row r="1469" spans="1:2">
      <c r="A1469" s="2" t="s">
        <v>4302</v>
      </c>
      <c r="B1469" s="3">
        <v>1</v>
      </c>
    </row>
    <row r="1470" spans="1:2">
      <c r="A1470" s="2" t="s">
        <v>4314</v>
      </c>
      <c r="B1470" s="3">
        <v>1</v>
      </c>
    </row>
    <row r="1471" spans="1:2">
      <c r="A1471" s="2" t="s">
        <v>4320</v>
      </c>
      <c r="B1471" s="3">
        <v>1</v>
      </c>
    </row>
    <row r="1472" spans="1:2">
      <c r="A1472" s="2" t="s">
        <v>4332</v>
      </c>
      <c r="B1472" s="3">
        <v>1</v>
      </c>
    </row>
    <row r="1473" spans="1:2">
      <c r="A1473" s="2" t="s">
        <v>4338</v>
      </c>
      <c r="B1473" s="3">
        <v>1</v>
      </c>
    </row>
    <row r="1474" spans="1:2">
      <c r="A1474" s="2" t="s">
        <v>4353</v>
      </c>
      <c r="B1474" s="3">
        <v>1</v>
      </c>
    </row>
    <row r="1475" spans="1:2">
      <c r="A1475" s="2" t="s">
        <v>4359</v>
      </c>
      <c r="B1475" s="3">
        <v>1</v>
      </c>
    </row>
    <row r="1476" spans="1:2">
      <c r="A1476" s="2" t="s">
        <v>4365</v>
      </c>
      <c r="B1476" s="3">
        <v>1</v>
      </c>
    </row>
    <row r="1477" spans="1:2">
      <c r="A1477" s="2" t="s">
        <v>4389</v>
      </c>
      <c r="B1477" s="3">
        <v>1</v>
      </c>
    </row>
    <row r="1478" spans="1:2">
      <c r="A1478" s="2" t="s">
        <v>4392</v>
      </c>
      <c r="B1478" s="3">
        <v>1</v>
      </c>
    </row>
    <row r="1479" spans="1:2">
      <c r="A1479" s="2" t="s">
        <v>4407</v>
      </c>
      <c r="B1479" s="3">
        <v>1</v>
      </c>
    </row>
    <row r="1480" spans="1:2">
      <c r="A1480" s="2" t="s">
        <v>4413</v>
      </c>
      <c r="B1480" s="3">
        <v>1</v>
      </c>
    </row>
    <row r="1481" spans="1:2">
      <c r="A1481" s="2" t="s">
        <v>4425</v>
      </c>
      <c r="B1481" s="3">
        <v>1</v>
      </c>
    </row>
    <row r="1482" spans="1:2">
      <c r="A1482" s="2" t="s">
        <v>4431</v>
      </c>
      <c r="B1482" s="3">
        <v>1</v>
      </c>
    </row>
    <row r="1483" spans="1:2">
      <c r="A1483" s="2" t="s">
        <v>4449</v>
      </c>
      <c r="B1483" s="3">
        <v>1</v>
      </c>
    </row>
    <row r="1484" spans="1:2">
      <c r="A1484" s="2" t="s">
        <v>4452</v>
      </c>
      <c r="B1484" s="3">
        <v>1</v>
      </c>
    </row>
    <row r="1485" spans="1:2">
      <c r="A1485" s="2" t="s">
        <v>4464</v>
      </c>
      <c r="B1485" s="3">
        <v>1</v>
      </c>
    </row>
    <row r="1486" spans="1:2">
      <c r="A1486" s="2" t="s">
        <v>4467</v>
      </c>
      <c r="B1486" s="3">
        <v>1</v>
      </c>
    </row>
    <row r="1487" spans="1:2">
      <c r="A1487" s="2" t="s">
        <v>4473</v>
      </c>
      <c r="B1487" s="3">
        <v>1</v>
      </c>
    </row>
    <row r="1488" spans="1:2">
      <c r="A1488" s="2" t="s">
        <v>4494</v>
      </c>
      <c r="B1488" s="3">
        <v>1</v>
      </c>
    </row>
    <row r="1489" spans="1:2">
      <c r="A1489" s="2" t="s">
        <v>4497</v>
      </c>
      <c r="B1489" s="3">
        <v>1</v>
      </c>
    </row>
    <row r="1490" spans="1:2">
      <c r="A1490" s="2" t="s">
        <v>4512</v>
      </c>
      <c r="B1490" s="3">
        <v>1</v>
      </c>
    </row>
    <row r="1491" spans="1:2">
      <c r="A1491" s="2" t="s">
        <v>4515</v>
      </c>
      <c r="B1491" s="3">
        <v>1</v>
      </c>
    </row>
    <row r="1492" spans="1:2">
      <c r="A1492" s="2" t="s">
        <v>4530</v>
      </c>
      <c r="B1492" s="3">
        <v>1</v>
      </c>
    </row>
    <row r="1493" spans="1:2">
      <c r="A1493" s="2" t="s">
        <v>4536</v>
      </c>
      <c r="B1493" s="3">
        <v>1</v>
      </c>
    </row>
    <row r="1494" spans="1:2">
      <c r="A1494" s="2" t="s">
        <v>4551</v>
      </c>
      <c r="B1494" s="3">
        <v>1</v>
      </c>
    </row>
    <row r="1495" spans="1:2">
      <c r="A1495" s="2" t="s">
        <v>4557</v>
      </c>
      <c r="B1495" s="3">
        <v>1</v>
      </c>
    </row>
    <row r="1496" spans="1:2">
      <c r="A1496" s="2" t="s">
        <v>4560</v>
      </c>
      <c r="B1496" s="3">
        <v>1</v>
      </c>
    </row>
    <row r="1497" spans="1:2">
      <c r="A1497" s="2" t="s">
        <v>4572</v>
      </c>
      <c r="B1497" s="3">
        <v>1</v>
      </c>
    </row>
    <row r="1498" spans="1:2">
      <c r="A1498" s="2" t="s">
        <v>4587</v>
      </c>
      <c r="B1498" s="3">
        <v>1</v>
      </c>
    </row>
    <row r="1499" spans="1:2">
      <c r="A1499" s="2" t="s">
        <v>4590</v>
      </c>
      <c r="B1499" s="3">
        <v>1</v>
      </c>
    </row>
    <row r="1500" spans="1:2">
      <c r="A1500" s="2" t="s">
        <v>4596</v>
      </c>
      <c r="B1500" s="3">
        <v>1</v>
      </c>
    </row>
    <row r="1501" spans="1:2">
      <c r="A1501" s="2" t="s">
        <v>4608</v>
      </c>
      <c r="B1501" s="3">
        <v>1</v>
      </c>
    </row>
    <row r="1502" spans="1:2">
      <c r="A1502" s="2" t="s">
        <v>4614</v>
      </c>
      <c r="B1502" s="3">
        <v>1</v>
      </c>
    </row>
    <row r="1503" spans="1:2">
      <c r="A1503" s="2" t="s">
        <v>4623</v>
      </c>
      <c r="B1503" s="3">
        <v>1</v>
      </c>
    </row>
    <row r="1504" spans="1:2">
      <c r="A1504" s="2" t="s">
        <v>4629</v>
      </c>
      <c r="B1504" s="3">
        <v>1</v>
      </c>
    </row>
    <row r="1505" spans="1:2">
      <c r="A1505" s="2" t="s">
        <v>4638</v>
      </c>
      <c r="B1505" s="3">
        <v>1</v>
      </c>
    </row>
    <row r="1506" spans="1:2">
      <c r="A1506" s="2" t="s">
        <v>4644</v>
      </c>
      <c r="B1506" s="3">
        <v>1</v>
      </c>
    </row>
    <row r="1507" spans="1:2">
      <c r="A1507" s="2" t="s">
        <v>4659</v>
      </c>
      <c r="B1507" s="3">
        <v>1</v>
      </c>
    </row>
    <row r="1508" spans="1:2">
      <c r="A1508" s="2" t="s">
        <v>4665</v>
      </c>
      <c r="B1508" s="3">
        <v>1</v>
      </c>
    </row>
    <row r="1509" spans="1:2">
      <c r="A1509" s="2" t="s">
        <v>4668</v>
      </c>
      <c r="B1509" s="3">
        <v>1</v>
      </c>
    </row>
    <row r="1510" spans="1:2">
      <c r="A1510" s="2" t="s">
        <v>4671</v>
      </c>
      <c r="B1510" s="3">
        <v>1</v>
      </c>
    </row>
    <row r="1511" spans="1:2">
      <c r="A1511" s="2" t="s">
        <v>4686</v>
      </c>
      <c r="B1511" s="3">
        <v>1</v>
      </c>
    </row>
    <row r="1512" spans="1:2">
      <c r="A1512" s="2" t="s">
        <v>4692</v>
      </c>
      <c r="B1512" s="3">
        <v>1</v>
      </c>
    </row>
    <row r="1513" spans="1:2">
      <c r="A1513" s="2" t="s">
        <v>4707</v>
      </c>
      <c r="B1513" s="3">
        <v>1</v>
      </c>
    </row>
    <row r="1514" spans="1:2">
      <c r="A1514" s="2" t="s">
        <v>4713</v>
      </c>
      <c r="B1514" s="3">
        <v>1</v>
      </c>
    </row>
    <row r="1515" spans="1:2">
      <c r="A1515" s="2" t="s">
        <v>4719</v>
      </c>
      <c r="B1515" s="3">
        <v>1</v>
      </c>
    </row>
    <row r="1516" spans="1:2">
      <c r="A1516" s="2" t="s">
        <v>4731</v>
      </c>
      <c r="B1516" s="3">
        <v>1</v>
      </c>
    </row>
    <row r="1517" spans="1:2">
      <c r="A1517" s="2" t="s">
        <v>4746</v>
      </c>
      <c r="B1517" s="3">
        <v>1</v>
      </c>
    </row>
    <row r="1518" spans="1:2">
      <c r="A1518" s="2" t="s">
        <v>4755</v>
      </c>
      <c r="B1518" s="3">
        <v>1</v>
      </c>
    </row>
    <row r="1519" spans="1:2">
      <c r="A1519" s="2" t="s">
        <v>4767</v>
      </c>
      <c r="B1519" s="3">
        <v>1</v>
      </c>
    </row>
    <row r="1520" spans="1:2">
      <c r="A1520" s="2" t="s">
        <v>4773</v>
      </c>
      <c r="B1520" s="3">
        <v>1</v>
      </c>
    </row>
    <row r="1521" spans="1:2">
      <c r="A1521" s="2" t="s">
        <v>4776</v>
      </c>
      <c r="B1521" s="3">
        <v>1</v>
      </c>
    </row>
    <row r="1522" spans="1:2">
      <c r="A1522" s="2" t="s">
        <v>4788</v>
      </c>
      <c r="B1522" s="3">
        <v>1</v>
      </c>
    </row>
    <row r="1523" spans="1:2">
      <c r="A1523" s="2" t="s">
        <v>4794</v>
      </c>
      <c r="B1523" s="3">
        <v>1</v>
      </c>
    </row>
    <row r="1524" spans="1:2">
      <c r="A1524" s="2" t="s">
        <v>4803</v>
      </c>
      <c r="B1524" s="3">
        <v>1</v>
      </c>
    </row>
    <row r="1525" spans="1:2">
      <c r="A1525" s="2" t="s">
        <v>4809</v>
      </c>
      <c r="B1525" s="3">
        <v>1</v>
      </c>
    </row>
    <row r="1526" spans="1:2">
      <c r="A1526" s="2" t="s">
        <v>4821</v>
      </c>
      <c r="B1526" s="3">
        <v>1</v>
      </c>
    </row>
    <row r="1527" spans="1:2">
      <c r="A1527" s="2" t="s">
        <v>4827</v>
      </c>
      <c r="B1527" s="3">
        <v>1</v>
      </c>
    </row>
    <row r="1528" spans="1:2">
      <c r="A1528" s="2" t="s">
        <v>4833</v>
      </c>
      <c r="B1528" s="3">
        <v>1</v>
      </c>
    </row>
    <row r="1529" spans="1:2">
      <c r="A1529" s="2" t="s">
        <v>4848</v>
      </c>
      <c r="B1529" s="3">
        <v>1</v>
      </c>
    </row>
    <row r="1530" spans="1:2">
      <c r="A1530" s="2" t="s">
        <v>4857</v>
      </c>
      <c r="B1530" s="3">
        <v>1</v>
      </c>
    </row>
    <row r="1531" spans="1:2">
      <c r="A1531" s="2" t="s">
        <v>4872</v>
      </c>
      <c r="B1531" s="3">
        <v>1</v>
      </c>
    </row>
    <row r="1532" spans="1:2">
      <c r="A1532" s="2" t="s">
        <v>4878</v>
      </c>
      <c r="B1532" s="3">
        <v>1</v>
      </c>
    </row>
    <row r="1533" spans="1:2">
      <c r="A1533" s="2" t="s">
        <v>4881</v>
      </c>
      <c r="B1533" s="3">
        <v>1</v>
      </c>
    </row>
    <row r="1534" spans="1:2">
      <c r="A1534" s="2" t="s">
        <v>4893</v>
      </c>
      <c r="B1534" s="3">
        <v>1</v>
      </c>
    </row>
    <row r="1535" spans="1:2">
      <c r="A1535" s="2" t="s">
        <v>4899</v>
      </c>
      <c r="B1535" s="3">
        <v>1</v>
      </c>
    </row>
    <row r="1536" spans="1:2">
      <c r="A1536" s="2" t="s">
        <v>4905</v>
      </c>
      <c r="B1536" s="3">
        <v>1</v>
      </c>
    </row>
    <row r="1537" spans="1:2">
      <c r="A1537" s="2" t="s">
        <v>4920</v>
      </c>
      <c r="B1537" s="3">
        <v>1</v>
      </c>
    </row>
    <row r="1538" spans="1:2">
      <c r="A1538" s="2" t="s">
        <v>4926</v>
      </c>
      <c r="B1538" s="3">
        <v>1</v>
      </c>
    </row>
    <row r="1539" spans="1:2">
      <c r="A1539" s="2" t="s">
        <v>4938</v>
      </c>
      <c r="B1539" s="3">
        <v>1</v>
      </c>
    </row>
    <row r="1540" spans="1:2">
      <c r="A1540" s="2" t="s">
        <v>4941</v>
      </c>
      <c r="B1540" s="3">
        <v>1</v>
      </c>
    </row>
    <row r="1541" spans="1:2">
      <c r="A1541" s="2" t="s">
        <v>4950</v>
      </c>
      <c r="B1541" s="3">
        <v>1</v>
      </c>
    </row>
    <row r="1542" spans="1:2">
      <c r="A1542" s="2" t="s">
        <v>4962</v>
      </c>
      <c r="B1542" s="3">
        <v>1</v>
      </c>
    </row>
    <row r="1543" spans="1:2">
      <c r="A1543" s="2" t="s">
        <v>4971</v>
      </c>
      <c r="B1543" s="3">
        <v>1</v>
      </c>
    </row>
    <row r="1544" spans="1:2">
      <c r="A1544" s="2" t="s">
        <v>4980</v>
      </c>
      <c r="B1544" s="3">
        <v>1</v>
      </c>
    </row>
    <row r="1545" spans="1:2">
      <c r="A1545" s="2" t="s">
        <v>4986</v>
      </c>
      <c r="B1545" s="3">
        <v>1</v>
      </c>
    </row>
    <row r="1546" spans="1:2">
      <c r="A1546" s="2" t="s">
        <v>4998</v>
      </c>
      <c r="B1546" s="3">
        <v>1</v>
      </c>
    </row>
    <row r="1547" spans="1:2">
      <c r="A1547" s="2" t="s">
        <v>5004</v>
      </c>
      <c r="B1547" s="3">
        <v>1</v>
      </c>
    </row>
    <row r="1548" spans="1:2">
      <c r="A1548" s="2" t="s">
        <v>5010</v>
      </c>
      <c r="B1548" s="3">
        <v>1</v>
      </c>
    </row>
    <row r="1549" spans="1:2">
      <c r="A1549" s="2" t="s">
        <v>5025</v>
      </c>
      <c r="B1549" s="3">
        <v>1</v>
      </c>
    </row>
    <row r="1550" spans="1:2">
      <c r="A1550" s="2" t="s">
        <v>5031</v>
      </c>
      <c r="B1550" s="3">
        <v>1</v>
      </c>
    </row>
    <row r="1551" spans="1:2">
      <c r="A1551" s="2" t="s">
        <v>5034</v>
      </c>
      <c r="B1551" s="3">
        <v>1</v>
      </c>
    </row>
    <row r="1552" spans="1:2">
      <c r="A1552" s="2" t="s">
        <v>5046</v>
      </c>
      <c r="B1552" s="3">
        <v>1</v>
      </c>
    </row>
    <row r="1553" spans="1:2">
      <c r="A1553" s="2" t="s">
        <v>5055</v>
      </c>
      <c r="B1553" s="3">
        <v>1</v>
      </c>
    </row>
    <row r="1554" spans="1:2">
      <c r="A1554" s="2" t="s">
        <v>5061</v>
      </c>
      <c r="B1554" s="3">
        <v>1</v>
      </c>
    </row>
    <row r="1555" spans="1:2">
      <c r="A1555" s="2" t="s">
        <v>4371</v>
      </c>
      <c r="B1555" s="3">
        <v>1</v>
      </c>
    </row>
    <row r="1556" spans="1:2">
      <c r="A1556" s="2" t="s">
        <v>4377</v>
      </c>
      <c r="B1556" s="3">
        <v>1</v>
      </c>
    </row>
    <row r="1557" spans="1:2">
      <c r="A1557" s="2" t="s">
        <v>4386</v>
      </c>
      <c r="B1557" s="3">
        <v>1</v>
      </c>
    </row>
    <row r="1558" spans="1:2">
      <c r="A1558" s="2" t="s">
        <v>4398</v>
      </c>
      <c r="B1558" s="3">
        <v>1</v>
      </c>
    </row>
    <row r="1559" spans="1:2">
      <c r="A1559" s="2" t="s">
        <v>4404</v>
      </c>
      <c r="B1559" s="3">
        <v>1</v>
      </c>
    </row>
    <row r="1560" spans="1:2">
      <c r="A1560" s="2" t="s">
        <v>4416</v>
      </c>
      <c r="B1560" s="3">
        <v>1</v>
      </c>
    </row>
    <row r="1561" spans="1:2">
      <c r="A1561" s="2" t="s">
        <v>4422</v>
      </c>
      <c r="B1561" s="3">
        <v>1</v>
      </c>
    </row>
    <row r="1562" spans="1:2">
      <c r="A1562" s="2" t="s">
        <v>4434</v>
      </c>
      <c r="B1562" s="3">
        <v>1</v>
      </c>
    </row>
    <row r="1563" spans="1:2">
      <c r="A1563" s="2" t="s">
        <v>4440</v>
      </c>
      <c r="B1563" s="3">
        <v>1</v>
      </c>
    </row>
    <row r="1564" spans="1:2">
      <c r="A1564" s="2" t="s">
        <v>4446</v>
      </c>
      <c r="B1564" s="3">
        <v>1</v>
      </c>
    </row>
    <row r="1565" spans="1:2">
      <c r="A1565" s="2" t="s">
        <v>4458</v>
      </c>
      <c r="B1565" s="3">
        <v>1</v>
      </c>
    </row>
    <row r="1566" spans="1:2">
      <c r="A1566" s="2" t="s">
        <v>4476</v>
      </c>
      <c r="B1566" s="3">
        <v>1</v>
      </c>
    </row>
    <row r="1567" spans="1:2">
      <c r="A1567" s="2" t="s">
        <v>4482</v>
      </c>
      <c r="B1567" s="3">
        <v>1</v>
      </c>
    </row>
    <row r="1568" spans="1:2">
      <c r="A1568" s="2" t="s">
        <v>4485</v>
      </c>
      <c r="B1568" s="3">
        <v>1</v>
      </c>
    </row>
    <row r="1569" spans="1:2">
      <c r="A1569" s="2" t="s">
        <v>4491</v>
      </c>
      <c r="B1569" s="3">
        <v>1</v>
      </c>
    </row>
    <row r="1570" spans="1:2">
      <c r="A1570" s="2" t="s">
        <v>4503</v>
      </c>
      <c r="B1570" s="3">
        <v>1</v>
      </c>
    </row>
    <row r="1571" spans="1:2">
      <c r="A1571" s="2" t="s">
        <v>4509</v>
      </c>
      <c r="B1571" s="3">
        <v>1</v>
      </c>
    </row>
    <row r="1572" spans="1:2">
      <c r="A1572" s="2" t="s">
        <v>4521</v>
      </c>
      <c r="B1572" s="3">
        <v>1</v>
      </c>
    </row>
    <row r="1573" spans="1:2">
      <c r="A1573" s="2" t="s">
        <v>4524</v>
      </c>
      <c r="B1573" s="3">
        <v>1</v>
      </c>
    </row>
    <row r="1574" spans="1:2">
      <c r="A1574" s="2" t="s">
        <v>4539</v>
      </c>
      <c r="B1574" s="3">
        <v>1</v>
      </c>
    </row>
    <row r="1575" spans="1:2">
      <c r="A1575" s="2" t="s">
        <v>4542</v>
      </c>
      <c r="B1575" s="3">
        <v>1</v>
      </c>
    </row>
    <row r="1576" spans="1:2">
      <c r="A1576" s="2" t="s">
        <v>4548</v>
      </c>
      <c r="B1576" s="3">
        <v>1</v>
      </c>
    </row>
    <row r="1577" spans="1:2">
      <c r="A1577" s="2" t="s">
        <v>4563</v>
      </c>
      <c r="B1577" s="3">
        <v>1</v>
      </c>
    </row>
    <row r="1578" spans="1:2">
      <c r="A1578" s="2" t="s">
        <v>4569</v>
      </c>
      <c r="B1578" s="3">
        <v>1</v>
      </c>
    </row>
    <row r="1579" spans="1:2">
      <c r="A1579" s="2" t="s">
        <v>4578</v>
      </c>
      <c r="B1579" s="3">
        <v>1</v>
      </c>
    </row>
    <row r="1580" spans="1:2">
      <c r="A1580" s="2" t="s">
        <v>4584</v>
      </c>
      <c r="B1580" s="3">
        <v>1</v>
      </c>
    </row>
    <row r="1581" spans="1:2">
      <c r="A1581" s="2" t="s">
        <v>4599</v>
      </c>
      <c r="B1581" s="3">
        <v>1</v>
      </c>
    </row>
    <row r="1582" spans="1:2">
      <c r="A1582" s="2" t="s">
        <v>4605</v>
      </c>
      <c r="B1582" s="3">
        <v>1</v>
      </c>
    </row>
    <row r="1583" spans="1:2">
      <c r="A1583" s="2" t="s">
        <v>4617</v>
      </c>
      <c r="B1583" s="3">
        <v>1</v>
      </c>
    </row>
    <row r="1584" spans="1:2">
      <c r="A1584" s="2" t="s">
        <v>4632</v>
      </c>
      <c r="B1584" s="3">
        <v>1</v>
      </c>
    </row>
    <row r="1585" spans="1:2">
      <c r="A1585" s="2" t="s">
        <v>4635</v>
      </c>
      <c r="B1585" s="3">
        <v>1</v>
      </c>
    </row>
    <row r="1586" spans="1:2">
      <c r="A1586" s="2" t="s">
        <v>4647</v>
      </c>
      <c r="B1586" s="3">
        <v>1</v>
      </c>
    </row>
    <row r="1587" spans="1:2">
      <c r="A1587" s="2" t="s">
        <v>4650</v>
      </c>
      <c r="B1587" s="3">
        <v>1</v>
      </c>
    </row>
    <row r="1588" spans="1:2">
      <c r="A1588" s="2" t="s">
        <v>4656</v>
      </c>
      <c r="B1588" s="3">
        <v>1</v>
      </c>
    </row>
    <row r="1589" spans="1:2">
      <c r="A1589" s="2" t="s">
        <v>4674</v>
      </c>
      <c r="B1589" s="3">
        <v>1</v>
      </c>
    </row>
    <row r="1590" spans="1:2">
      <c r="A1590" s="2" t="s">
        <v>4677</v>
      </c>
      <c r="B1590" s="3">
        <v>1</v>
      </c>
    </row>
    <row r="1591" spans="1:2">
      <c r="A1591" s="2" t="s">
        <v>4683</v>
      </c>
      <c r="B1591" s="3">
        <v>1</v>
      </c>
    </row>
    <row r="1592" spans="1:2">
      <c r="A1592" s="2" t="s">
        <v>4695</v>
      </c>
      <c r="B1592" s="3">
        <v>1</v>
      </c>
    </row>
    <row r="1593" spans="1:2">
      <c r="A1593" s="2" t="s">
        <v>4698</v>
      </c>
      <c r="B1593" s="3">
        <v>1</v>
      </c>
    </row>
    <row r="1594" spans="1:2">
      <c r="A1594" s="2" t="s">
        <v>4704</v>
      </c>
      <c r="B1594" s="3">
        <v>1</v>
      </c>
    </row>
    <row r="1595" spans="1:2">
      <c r="A1595" s="2" t="s">
        <v>4722</v>
      </c>
      <c r="B1595" s="3">
        <v>1</v>
      </c>
    </row>
    <row r="1596" spans="1:2">
      <c r="A1596" s="2" t="s">
        <v>4728</v>
      </c>
      <c r="B1596" s="3">
        <v>1</v>
      </c>
    </row>
    <row r="1597" spans="1:2">
      <c r="A1597" s="2" t="s">
        <v>4737</v>
      </c>
      <c r="B1597" s="3">
        <v>1</v>
      </c>
    </row>
    <row r="1598" spans="1:2">
      <c r="A1598" s="2" t="s">
        <v>4743</v>
      </c>
      <c r="B1598" s="3">
        <v>1</v>
      </c>
    </row>
    <row r="1599" spans="1:2">
      <c r="A1599" s="2" t="s">
        <v>4758</v>
      </c>
      <c r="B1599" s="3">
        <v>1</v>
      </c>
    </row>
    <row r="1600" spans="1:2">
      <c r="A1600" s="2" t="s">
        <v>4764</v>
      </c>
      <c r="B1600" s="3">
        <v>1</v>
      </c>
    </row>
    <row r="1601" spans="1:2">
      <c r="A1601" s="2" t="s">
        <v>4779</v>
      </c>
      <c r="B1601" s="3">
        <v>1</v>
      </c>
    </row>
    <row r="1602" spans="1:2">
      <c r="A1602" s="2" t="s">
        <v>4785</v>
      </c>
      <c r="B1602" s="3">
        <v>1</v>
      </c>
    </row>
    <row r="1603" spans="1:2">
      <c r="A1603" s="2" t="s">
        <v>4797</v>
      </c>
      <c r="B1603" s="3">
        <v>1</v>
      </c>
    </row>
    <row r="1604" spans="1:2">
      <c r="A1604" s="2" t="s">
        <v>4812</v>
      </c>
      <c r="B1604" s="3">
        <v>1</v>
      </c>
    </row>
    <row r="1605" spans="1:2">
      <c r="A1605" s="2" t="s">
        <v>4818</v>
      </c>
      <c r="B1605" s="3">
        <v>1</v>
      </c>
    </row>
    <row r="1606" spans="1:2">
      <c r="A1606" s="2" t="s">
        <v>4836</v>
      </c>
      <c r="B1606" s="3">
        <v>1</v>
      </c>
    </row>
    <row r="1607" spans="1:2">
      <c r="A1607" s="2" t="s">
        <v>4842</v>
      </c>
      <c r="B1607" s="3">
        <v>1</v>
      </c>
    </row>
    <row r="1608" spans="1:2">
      <c r="A1608" s="2" t="s">
        <v>4845</v>
      </c>
      <c r="B1608" s="3">
        <v>1</v>
      </c>
    </row>
    <row r="1609" spans="1:2">
      <c r="A1609" s="2" t="s">
        <v>4860</v>
      </c>
      <c r="B1609" s="3">
        <v>1</v>
      </c>
    </row>
    <row r="1610" spans="1:2">
      <c r="A1610" s="2" t="s">
        <v>4866</v>
      </c>
      <c r="B1610" s="3">
        <v>1</v>
      </c>
    </row>
    <row r="1611" spans="1:2">
      <c r="A1611" s="2" t="s">
        <v>4869</v>
      </c>
      <c r="B1611" s="3">
        <v>1</v>
      </c>
    </row>
    <row r="1612" spans="1:2">
      <c r="A1612" s="2" t="s">
        <v>4884</v>
      </c>
      <c r="B1612" s="3">
        <v>1</v>
      </c>
    </row>
    <row r="1613" spans="1:2">
      <c r="A1613" s="2" t="s">
        <v>4890</v>
      </c>
      <c r="B1613" s="3">
        <v>1</v>
      </c>
    </row>
    <row r="1614" spans="1:2">
      <c r="A1614" s="2" t="s">
        <v>4908</v>
      </c>
      <c r="B1614" s="3">
        <v>1</v>
      </c>
    </row>
    <row r="1615" spans="1:2">
      <c r="A1615" s="2" t="s">
        <v>4914</v>
      </c>
      <c r="B1615" s="3">
        <v>1</v>
      </c>
    </row>
    <row r="1616" spans="1:2">
      <c r="A1616" s="2" t="s">
        <v>4917</v>
      </c>
      <c r="B1616" s="3">
        <v>1</v>
      </c>
    </row>
    <row r="1617" spans="1:2">
      <c r="A1617" s="2" t="s">
        <v>4929</v>
      </c>
      <c r="B1617" s="3">
        <v>1</v>
      </c>
    </row>
    <row r="1618" spans="1:2">
      <c r="A1618" s="2" t="s">
        <v>4935</v>
      </c>
      <c r="B1618" s="3">
        <v>1</v>
      </c>
    </row>
    <row r="1619" spans="1:2">
      <c r="A1619" s="2" t="s">
        <v>4953</v>
      </c>
      <c r="B1619" s="3">
        <v>1</v>
      </c>
    </row>
    <row r="1620" spans="1:2">
      <c r="A1620" s="2" t="s">
        <v>4959</v>
      </c>
      <c r="B1620" s="3">
        <v>1</v>
      </c>
    </row>
    <row r="1621" spans="1:2">
      <c r="A1621" s="2" t="s">
        <v>4974</v>
      </c>
      <c r="B1621" s="3">
        <v>1</v>
      </c>
    </row>
    <row r="1622" spans="1:2">
      <c r="A1622" s="2" t="s">
        <v>4989</v>
      </c>
      <c r="B1622" s="3">
        <v>1</v>
      </c>
    </row>
    <row r="1623" spans="1:2">
      <c r="A1623" s="2" t="s">
        <v>4995</v>
      </c>
      <c r="B1623" s="3">
        <v>1</v>
      </c>
    </row>
    <row r="1624" spans="1:2">
      <c r="A1624" s="2" t="s">
        <v>5013</v>
      </c>
      <c r="B1624" s="3">
        <v>1</v>
      </c>
    </row>
    <row r="1625" spans="1:2">
      <c r="A1625" s="2" t="s">
        <v>5016</v>
      </c>
      <c r="B1625" s="3">
        <v>1</v>
      </c>
    </row>
    <row r="1626" spans="1:2">
      <c r="A1626" s="2" t="s">
        <v>5022</v>
      </c>
      <c r="B1626" s="3">
        <v>1</v>
      </c>
    </row>
    <row r="1627" spans="1:2">
      <c r="A1627" s="2" t="s">
        <v>5037</v>
      </c>
      <c r="B1627" s="3">
        <v>1</v>
      </c>
    </row>
    <row r="1628" spans="1:2">
      <c r="A1628" s="2" t="s">
        <v>5043</v>
      </c>
      <c r="B1628" s="3">
        <v>1</v>
      </c>
    </row>
    <row r="1629" spans="1:2">
      <c r="A1629" s="2" t="s">
        <v>5064</v>
      </c>
      <c r="B1629" s="3">
        <v>1</v>
      </c>
    </row>
    <row r="1630" spans="1:2">
      <c r="A1630" s="2" t="s">
        <v>5070</v>
      </c>
      <c r="B1630" s="3">
        <v>1</v>
      </c>
    </row>
    <row r="1631" spans="1:2">
      <c r="A1631" s="2" t="s">
        <v>5073</v>
      </c>
      <c r="B1631" s="3">
        <v>1</v>
      </c>
    </row>
    <row r="1632" spans="1:2">
      <c r="A1632" s="2" t="s">
        <v>5076</v>
      </c>
      <c r="B1632" s="3">
        <v>1</v>
      </c>
    </row>
    <row r="1633" spans="1:2">
      <c r="A1633" s="2" t="s">
        <v>5088</v>
      </c>
      <c r="B1633" s="3">
        <v>1</v>
      </c>
    </row>
    <row r="1634" spans="1:2">
      <c r="A1634" s="2" t="s">
        <v>5094</v>
      </c>
      <c r="B1634" s="3">
        <v>1</v>
      </c>
    </row>
    <row r="1635" spans="1:2">
      <c r="A1635" s="2" t="s">
        <v>5106</v>
      </c>
      <c r="B1635" s="3">
        <v>1</v>
      </c>
    </row>
    <row r="1636" spans="1:2">
      <c r="A1636" s="2" t="s">
        <v>5112</v>
      </c>
      <c r="B1636" s="3">
        <v>1</v>
      </c>
    </row>
    <row r="1637" spans="1:2">
      <c r="A1637" s="2" t="s">
        <v>5121</v>
      </c>
      <c r="B1637" s="3">
        <v>1</v>
      </c>
    </row>
    <row r="1638" spans="1:2">
      <c r="A1638" s="2" t="s">
        <v>5127</v>
      </c>
      <c r="B1638" s="3">
        <v>1</v>
      </c>
    </row>
    <row r="1639" spans="1:2">
      <c r="A1639" s="2" t="s">
        <v>5142</v>
      </c>
      <c r="B1639" s="3">
        <v>1</v>
      </c>
    </row>
    <row r="1640" spans="1:2">
      <c r="A1640" s="2" t="s">
        <v>5145</v>
      </c>
      <c r="B1640" s="3">
        <v>1</v>
      </c>
    </row>
    <row r="1641" spans="1:2">
      <c r="A1641" s="2" t="s">
        <v>5160</v>
      </c>
      <c r="B1641" s="3">
        <v>1</v>
      </c>
    </row>
    <row r="1642" spans="1:2">
      <c r="A1642" s="2" t="s">
        <v>5166</v>
      </c>
      <c r="B1642" s="3">
        <v>1</v>
      </c>
    </row>
    <row r="1643" spans="1:2">
      <c r="A1643" s="2" t="s">
        <v>5169</v>
      </c>
      <c r="B1643" s="3">
        <v>1</v>
      </c>
    </row>
    <row r="1644" spans="1:2">
      <c r="A1644" s="2" t="s">
        <v>5184</v>
      </c>
      <c r="B1644" s="3">
        <v>1</v>
      </c>
    </row>
    <row r="1645" spans="1:2">
      <c r="A1645" s="2" t="s">
        <v>5190</v>
      </c>
      <c r="B1645" s="3">
        <v>1</v>
      </c>
    </row>
    <row r="1646" spans="1:2">
      <c r="A1646" s="2" t="s">
        <v>5199</v>
      </c>
      <c r="B1646" s="3">
        <v>1</v>
      </c>
    </row>
    <row r="1647" spans="1:2">
      <c r="A1647" s="2" t="s">
        <v>5214</v>
      </c>
      <c r="B1647" s="3">
        <v>1</v>
      </c>
    </row>
    <row r="1648" spans="1:2">
      <c r="A1648" s="2" t="s">
        <v>5220</v>
      </c>
      <c r="B1648" s="3">
        <v>1</v>
      </c>
    </row>
    <row r="1649" spans="1:2">
      <c r="A1649" s="2" t="s">
        <v>5232</v>
      </c>
      <c r="B1649" s="3">
        <v>1</v>
      </c>
    </row>
    <row r="1650" spans="1:2">
      <c r="A1650" s="2" t="s">
        <v>4620</v>
      </c>
      <c r="B1650" s="3">
        <v>1</v>
      </c>
    </row>
    <row r="1651" spans="1:2">
      <c r="A1651" s="2" t="s">
        <v>4626</v>
      </c>
      <c r="B1651" s="3">
        <v>1</v>
      </c>
    </row>
    <row r="1652" spans="1:2">
      <c r="A1652" s="2" t="s">
        <v>4641</v>
      </c>
      <c r="B1652" s="3">
        <v>1</v>
      </c>
    </row>
    <row r="1653" spans="1:2">
      <c r="A1653" s="2" t="s">
        <v>4653</v>
      </c>
      <c r="B1653" s="3">
        <v>1</v>
      </c>
    </row>
    <row r="1654" spans="1:2">
      <c r="A1654" s="2" t="s">
        <v>4662</v>
      </c>
      <c r="B1654" s="3">
        <v>1</v>
      </c>
    </row>
    <row r="1655" spans="1:2">
      <c r="A1655" s="2" t="s">
        <v>4680</v>
      </c>
      <c r="B1655" s="3">
        <v>1</v>
      </c>
    </row>
    <row r="1656" spans="1:2">
      <c r="A1656" s="2" t="s">
        <v>4689</v>
      </c>
      <c r="B1656" s="3">
        <v>1</v>
      </c>
    </row>
    <row r="1657" spans="1:2">
      <c r="A1657" s="2" t="s">
        <v>4701</v>
      </c>
      <c r="B1657" s="3">
        <v>1</v>
      </c>
    </row>
    <row r="1658" spans="1:2">
      <c r="A1658" s="2" t="s">
        <v>4710</v>
      </c>
      <c r="B1658" s="3">
        <v>1</v>
      </c>
    </row>
    <row r="1659" spans="1:2">
      <c r="A1659" s="2" t="s">
        <v>4716</v>
      </c>
      <c r="B1659" s="3">
        <v>1</v>
      </c>
    </row>
    <row r="1660" spans="1:2">
      <c r="A1660" s="2" t="s">
        <v>4725</v>
      </c>
      <c r="B1660" s="3">
        <v>1</v>
      </c>
    </row>
    <row r="1661" spans="1:2">
      <c r="A1661" s="2" t="s">
        <v>4734</v>
      </c>
      <c r="B1661" s="3">
        <v>1</v>
      </c>
    </row>
    <row r="1662" spans="1:2">
      <c r="A1662" s="2" t="s">
        <v>4740</v>
      </c>
      <c r="B1662" s="3">
        <v>1</v>
      </c>
    </row>
    <row r="1663" spans="1:2">
      <c r="A1663" s="2" t="s">
        <v>4749</v>
      </c>
      <c r="B1663" s="3">
        <v>1</v>
      </c>
    </row>
    <row r="1664" spans="1:2">
      <c r="A1664" s="2" t="s">
        <v>4752</v>
      </c>
      <c r="B1664" s="3">
        <v>1</v>
      </c>
    </row>
    <row r="1665" spans="1:2">
      <c r="A1665" s="2" t="s">
        <v>4761</v>
      </c>
      <c r="B1665" s="3">
        <v>1</v>
      </c>
    </row>
    <row r="1666" spans="1:2">
      <c r="A1666" s="2" t="s">
        <v>4770</v>
      </c>
      <c r="B1666" s="3">
        <v>1</v>
      </c>
    </row>
    <row r="1667" spans="1:2">
      <c r="A1667" s="2" t="s">
        <v>4782</v>
      </c>
      <c r="B1667" s="3">
        <v>1</v>
      </c>
    </row>
    <row r="1668" spans="1:2">
      <c r="A1668" s="2" t="s">
        <v>4791</v>
      </c>
      <c r="B1668" s="3">
        <v>1</v>
      </c>
    </row>
    <row r="1669" spans="1:2">
      <c r="A1669" s="2" t="s">
        <v>4800</v>
      </c>
      <c r="B1669" s="3">
        <v>1</v>
      </c>
    </row>
    <row r="1670" spans="1:2">
      <c r="A1670" s="2" t="s">
        <v>4806</v>
      </c>
      <c r="B1670" s="3">
        <v>1</v>
      </c>
    </row>
    <row r="1671" spans="1:2">
      <c r="A1671" s="2" t="s">
        <v>4815</v>
      </c>
      <c r="B1671" s="3">
        <v>1</v>
      </c>
    </row>
    <row r="1672" spans="1:2">
      <c r="A1672" s="2" t="s">
        <v>4824</v>
      </c>
      <c r="B1672" s="3">
        <v>1</v>
      </c>
    </row>
    <row r="1673" spans="1:2">
      <c r="A1673" s="2" t="s">
        <v>4830</v>
      </c>
      <c r="B1673" s="3">
        <v>1</v>
      </c>
    </row>
    <row r="1674" spans="1:2">
      <c r="A1674" s="2" t="s">
        <v>4839</v>
      </c>
      <c r="B1674" s="3">
        <v>1</v>
      </c>
    </row>
    <row r="1675" spans="1:2">
      <c r="A1675" s="2" t="s">
        <v>4851</v>
      </c>
      <c r="B1675" s="3">
        <v>1</v>
      </c>
    </row>
    <row r="1676" spans="1:2">
      <c r="A1676" s="2" t="s">
        <v>4854</v>
      </c>
      <c r="B1676" s="3">
        <v>1</v>
      </c>
    </row>
    <row r="1677" spans="1:2">
      <c r="A1677" s="2" t="s">
        <v>4863</v>
      </c>
      <c r="B1677" s="3">
        <v>1</v>
      </c>
    </row>
    <row r="1678" spans="1:2">
      <c r="A1678" s="2" t="s">
        <v>4875</v>
      </c>
      <c r="B1678" s="3">
        <v>1</v>
      </c>
    </row>
    <row r="1679" spans="1:2">
      <c r="A1679" s="2" t="s">
        <v>4887</v>
      </c>
      <c r="B1679" s="3">
        <v>1</v>
      </c>
    </row>
    <row r="1680" spans="1:2">
      <c r="A1680" s="2" t="s">
        <v>4896</v>
      </c>
      <c r="B1680" s="3">
        <v>1</v>
      </c>
    </row>
    <row r="1681" spans="1:2">
      <c r="A1681" s="2" t="s">
        <v>4902</v>
      </c>
      <c r="B1681" s="3">
        <v>1</v>
      </c>
    </row>
    <row r="1682" spans="1:2">
      <c r="A1682" s="2" t="s">
        <v>4911</v>
      </c>
      <c r="B1682" s="3">
        <v>1</v>
      </c>
    </row>
    <row r="1683" spans="1:2">
      <c r="A1683" s="2" t="s">
        <v>4923</v>
      </c>
      <c r="B1683" s="3">
        <v>1</v>
      </c>
    </row>
    <row r="1684" spans="1:2">
      <c r="A1684" s="2" t="s">
        <v>4932</v>
      </c>
      <c r="B1684" s="3">
        <v>1</v>
      </c>
    </row>
    <row r="1685" spans="1:2">
      <c r="A1685" s="2" t="s">
        <v>4944</v>
      </c>
      <c r="B1685" s="3">
        <v>1</v>
      </c>
    </row>
    <row r="1686" spans="1:2">
      <c r="A1686" s="2" t="s">
        <v>4947</v>
      </c>
      <c r="B1686" s="3">
        <v>1</v>
      </c>
    </row>
    <row r="1687" spans="1:2">
      <c r="A1687" s="2" t="s">
        <v>4956</v>
      </c>
      <c r="B1687" s="3">
        <v>1</v>
      </c>
    </row>
    <row r="1688" spans="1:2">
      <c r="A1688" s="2" t="s">
        <v>4965</v>
      </c>
      <c r="B1688" s="3">
        <v>1</v>
      </c>
    </row>
    <row r="1689" spans="1:2">
      <c r="A1689" s="2" t="s">
        <v>4968</v>
      </c>
      <c r="B1689" s="3">
        <v>1</v>
      </c>
    </row>
    <row r="1690" spans="1:2">
      <c r="A1690" s="2" t="s">
        <v>4977</v>
      </c>
      <c r="B1690" s="3">
        <v>1</v>
      </c>
    </row>
    <row r="1691" spans="1:2">
      <c r="A1691" s="2" t="s">
        <v>4983</v>
      </c>
      <c r="B1691" s="3">
        <v>1</v>
      </c>
    </row>
    <row r="1692" spans="1:2">
      <c r="A1692" s="2" t="s">
        <v>4992</v>
      </c>
      <c r="B1692" s="3">
        <v>1</v>
      </c>
    </row>
    <row r="1693" spans="1:2">
      <c r="A1693" s="2" t="s">
        <v>5001</v>
      </c>
      <c r="B1693" s="3">
        <v>1</v>
      </c>
    </row>
    <row r="1694" spans="1:2">
      <c r="A1694" s="2" t="s">
        <v>5007</v>
      </c>
      <c r="B1694" s="3">
        <v>1</v>
      </c>
    </row>
    <row r="1695" spans="1:2">
      <c r="A1695" s="2" t="s">
        <v>5019</v>
      </c>
      <c r="B1695" s="3">
        <v>1</v>
      </c>
    </row>
    <row r="1696" spans="1:2">
      <c r="A1696" s="2" t="s">
        <v>5028</v>
      </c>
      <c r="B1696" s="3">
        <v>1</v>
      </c>
    </row>
    <row r="1697" spans="1:2">
      <c r="A1697" s="2" t="s">
        <v>5040</v>
      </c>
      <c r="B1697" s="3">
        <v>1</v>
      </c>
    </row>
    <row r="1698" spans="1:2">
      <c r="A1698" s="2" t="s">
        <v>5049</v>
      </c>
      <c r="B1698" s="3">
        <v>1</v>
      </c>
    </row>
    <row r="1699" spans="1:2">
      <c r="A1699" s="2" t="s">
        <v>5052</v>
      </c>
      <c r="B1699" s="3">
        <v>1</v>
      </c>
    </row>
    <row r="1700" spans="1:2">
      <c r="A1700" s="2" t="s">
        <v>5058</v>
      </c>
      <c r="B1700" s="3">
        <v>1</v>
      </c>
    </row>
    <row r="1701" spans="1:2">
      <c r="A1701" s="2" t="s">
        <v>5067</v>
      </c>
      <c r="B1701" s="3">
        <v>1</v>
      </c>
    </row>
    <row r="1702" spans="1:2">
      <c r="A1702" s="2" t="s">
        <v>5091</v>
      </c>
      <c r="B1702" s="3">
        <v>1</v>
      </c>
    </row>
    <row r="1703" spans="1:2">
      <c r="A1703" s="2" t="s">
        <v>5100</v>
      </c>
      <c r="B1703" s="3">
        <v>1</v>
      </c>
    </row>
    <row r="1704" spans="1:2">
      <c r="A1704" s="2" t="s">
        <v>5109</v>
      </c>
      <c r="B1704" s="3">
        <v>1</v>
      </c>
    </row>
    <row r="1705" spans="1:2">
      <c r="A1705" s="2" t="s">
        <v>5118</v>
      </c>
      <c r="B1705" s="3">
        <v>1</v>
      </c>
    </row>
    <row r="1706" spans="1:2">
      <c r="A1706" s="2" t="s">
        <v>5124</v>
      </c>
      <c r="B1706" s="3">
        <v>1</v>
      </c>
    </row>
    <row r="1707" spans="1:2">
      <c r="A1707" s="2" t="s">
        <v>5136</v>
      </c>
      <c r="B1707" s="3">
        <v>1</v>
      </c>
    </row>
    <row r="1708" spans="1:2">
      <c r="A1708" s="2" t="s">
        <v>5148</v>
      </c>
      <c r="B1708" s="3">
        <v>1</v>
      </c>
    </row>
    <row r="1709" spans="1:2">
      <c r="A1709" s="2" t="s">
        <v>5154</v>
      </c>
      <c r="B1709" s="3">
        <v>1</v>
      </c>
    </row>
    <row r="1710" spans="1:2">
      <c r="A1710" s="2" t="s">
        <v>5163</v>
      </c>
      <c r="B1710" s="3">
        <v>1</v>
      </c>
    </row>
    <row r="1711" spans="1:2">
      <c r="A1711" s="2" t="s">
        <v>5178</v>
      </c>
      <c r="B1711" s="3">
        <v>1</v>
      </c>
    </row>
    <row r="1712" spans="1:2">
      <c r="A1712" s="2" t="s">
        <v>5187</v>
      </c>
      <c r="B1712" s="3">
        <v>1</v>
      </c>
    </row>
    <row r="1713" spans="1:2">
      <c r="A1713" s="2" t="s">
        <v>5196</v>
      </c>
      <c r="B1713" s="3">
        <v>1</v>
      </c>
    </row>
    <row r="1714" spans="1:2">
      <c r="A1714" s="2" t="s">
        <v>5202</v>
      </c>
      <c r="B1714" s="3">
        <v>1</v>
      </c>
    </row>
    <row r="1715" spans="1:2">
      <c r="A1715" s="2" t="s">
        <v>5208</v>
      </c>
      <c r="B1715" s="3">
        <v>1</v>
      </c>
    </row>
    <row r="1716" spans="1:2">
      <c r="A1716" s="2" t="s">
        <v>5217</v>
      </c>
      <c r="B1716" s="3">
        <v>1</v>
      </c>
    </row>
    <row r="1717" spans="1:2">
      <c r="A1717" s="2" t="s">
        <v>5226</v>
      </c>
      <c r="B1717" s="3">
        <v>1</v>
      </c>
    </row>
    <row r="1718" spans="1:2">
      <c r="A1718" s="2" t="s">
        <v>5235</v>
      </c>
      <c r="B1718" s="3">
        <v>1</v>
      </c>
    </row>
    <row r="1719" spans="1:2">
      <c r="A1719" s="2" t="s">
        <v>5244</v>
      </c>
      <c r="B1719" s="3">
        <v>1</v>
      </c>
    </row>
    <row r="1720" spans="1:2">
      <c r="A1720" s="2" t="s">
        <v>5247</v>
      </c>
      <c r="B1720" s="3">
        <v>1</v>
      </c>
    </row>
    <row r="1721" spans="1:2">
      <c r="A1721" s="2" t="s">
        <v>5259</v>
      </c>
      <c r="B1721" s="3">
        <v>1</v>
      </c>
    </row>
    <row r="1722" spans="1:2">
      <c r="A1722" s="2" t="s">
        <v>5262</v>
      </c>
      <c r="B1722" s="3">
        <v>1</v>
      </c>
    </row>
    <row r="1723" spans="1:2">
      <c r="A1723" s="2" t="s">
        <v>5271</v>
      </c>
      <c r="B1723" s="3">
        <v>1</v>
      </c>
    </row>
    <row r="1724" spans="1:2">
      <c r="A1724" s="2" t="s">
        <v>5280</v>
      </c>
      <c r="B1724" s="3">
        <v>1</v>
      </c>
    </row>
    <row r="1725" spans="1:2">
      <c r="A1725" s="2" t="s">
        <v>5286</v>
      </c>
      <c r="B1725" s="3">
        <v>1</v>
      </c>
    </row>
    <row r="1726" spans="1:2">
      <c r="A1726" s="2" t="s">
        <v>5292</v>
      </c>
      <c r="B1726" s="3">
        <v>1</v>
      </c>
    </row>
    <row r="1727" spans="1:2">
      <c r="A1727" s="2" t="s">
        <v>5304</v>
      </c>
      <c r="B1727" s="3">
        <v>1</v>
      </c>
    </row>
    <row r="1728" spans="1:2">
      <c r="A1728" s="2" t="s">
        <v>5310</v>
      </c>
      <c r="B1728" s="3">
        <v>1</v>
      </c>
    </row>
    <row r="1729" spans="1:2">
      <c r="A1729" s="2" t="s">
        <v>5316</v>
      </c>
      <c r="B1729" s="3">
        <v>1</v>
      </c>
    </row>
    <row r="1730" spans="1:2">
      <c r="A1730" s="2" t="s">
        <v>5322</v>
      </c>
      <c r="B1730" s="3">
        <v>1</v>
      </c>
    </row>
    <row r="1731" spans="1:2">
      <c r="A1731" s="2" t="s">
        <v>5325</v>
      </c>
      <c r="B1731" s="3">
        <v>1</v>
      </c>
    </row>
    <row r="1732" spans="1:2">
      <c r="A1732" s="2" t="s">
        <v>5337</v>
      </c>
      <c r="B1732" s="3">
        <v>1</v>
      </c>
    </row>
    <row r="1733" spans="1:2">
      <c r="A1733" s="2" t="s">
        <v>5346</v>
      </c>
      <c r="B1733" s="3">
        <v>1</v>
      </c>
    </row>
    <row r="1734" spans="1:2">
      <c r="A1734" s="2" t="s">
        <v>5358</v>
      </c>
      <c r="B1734" s="3">
        <v>1</v>
      </c>
    </row>
    <row r="1735" spans="1:2">
      <c r="A1735" s="2" t="s">
        <v>5367</v>
      </c>
      <c r="B1735" s="3">
        <v>1</v>
      </c>
    </row>
    <row r="1736" spans="1:2">
      <c r="A1736" s="2" t="s">
        <v>5373</v>
      </c>
      <c r="B1736" s="3">
        <v>1</v>
      </c>
    </row>
    <row r="1737" spans="1:2">
      <c r="A1737" s="2" t="s">
        <v>5379</v>
      </c>
      <c r="B1737" s="3">
        <v>1</v>
      </c>
    </row>
    <row r="1738" spans="1:2">
      <c r="A1738" s="2" t="s">
        <v>5388</v>
      </c>
      <c r="B1738" s="3">
        <v>1</v>
      </c>
    </row>
    <row r="1739" spans="1:2">
      <c r="A1739" s="2" t="s">
        <v>5397</v>
      </c>
      <c r="B1739" s="3">
        <v>1</v>
      </c>
    </row>
    <row r="1740" spans="1:2">
      <c r="A1740" s="2" t="s">
        <v>5406</v>
      </c>
      <c r="B1740" s="3">
        <v>1</v>
      </c>
    </row>
    <row r="1741" spans="1:2">
      <c r="A1741" s="2" t="s">
        <v>5409</v>
      </c>
      <c r="B1741" s="3">
        <v>1</v>
      </c>
    </row>
    <row r="1742" spans="1:2">
      <c r="A1742" s="2" t="s">
        <v>5418</v>
      </c>
      <c r="B1742" s="3">
        <v>1</v>
      </c>
    </row>
    <row r="1743" spans="1:2">
      <c r="A1743" s="2" t="s">
        <v>5079</v>
      </c>
      <c r="B1743" s="3">
        <v>1</v>
      </c>
    </row>
    <row r="1744" spans="1:2">
      <c r="A1744" s="2" t="s">
        <v>5082</v>
      </c>
      <c r="B1744" s="3">
        <v>1</v>
      </c>
    </row>
    <row r="1745" spans="1:2">
      <c r="A1745" s="2" t="s">
        <v>5085</v>
      </c>
      <c r="B1745" s="3">
        <v>1</v>
      </c>
    </row>
    <row r="1746" spans="1:2">
      <c r="A1746" s="2" t="s">
        <v>5097</v>
      </c>
      <c r="B1746" s="3">
        <v>1</v>
      </c>
    </row>
    <row r="1747" spans="1:2">
      <c r="A1747" s="2" t="s">
        <v>5103</v>
      </c>
      <c r="B1747" s="3">
        <v>1</v>
      </c>
    </row>
    <row r="1748" spans="1:2">
      <c r="A1748" s="2" t="s">
        <v>5115</v>
      </c>
      <c r="B1748" s="3">
        <v>1</v>
      </c>
    </row>
    <row r="1749" spans="1:2">
      <c r="A1749" s="2" t="s">
        <v>5130</v>
      </c>
      <c r="B1749" s="3">
        <v>1</v>
      </c>
    </row>
    <row r="1750" spans="1:2">
      <c r="A1750" s="2" t="s">
        <v>5133</v>
      </c>
      <c r="B1750" s="3">
        <v>1</v>
      </c>
    </row>
    <row r="1751" spans="1:2">
      <c r="A1751" s="2" t="s">
        <v>5139</v>
      </c>
      <c r="B1751" s="3">
        <v>1</v>
      </c>
    </row>
    <row r="1752" spans="1:2">
      <c r="A1752" s="2" t="s">
        <v>5151</v>
      </c>
      <c r="B1752" s="3">
        <v>1</v>
      </c>
    </row>
    <row r="1753" spans="1:2">
      <c r="A1753" s="2" t="s">
        <v>5157</v>
      </c>
      <c r="B1753" s="3">
        <v>1</v>
      </c>
    </row>
    <row r="1754" spans="1:2">
      <c r="A1754" s="2" t="s">
        <v>5172</v>
      </c>
      <c r="B1754" s="3">
        <v>1</v>
      </c>
    </row>
    <row r="1755" spans="1:2">
      <c r="A1755" s="2" t="s">
        <v>5175</v>
      </c>
      <c r="B1755" s="3">
        <v>1</v>
      </c>
    </row>
    <row r="1756" spans="1:2">
      <c r="A1756" s="2" t="s">
        <v>5181</v>
      </c>
      <c r="B1756" s="3">
        <v>1</v>
      </c>
    </row>
    <row r="1757" spans="1:2">
      <c r="A1757" s="2" t="s">
        <v>5193</v>
      </c>
      <c r="B1757" s="3">
        <v>1</v>
      </c>
    </row>
    <row r="1758" spans="1:2">
      <c r="A1758" s="2" t="s">
        <v>5205</v>
      </c>
      <c r="B1758" s="3">
        <v>1</v>
      </c>
    </row>
    <row r="1759" spans="1:2">
      <c r="A1759" s="2" t="s">
        <v>5211</v>
      </c>
      <c r="B1759" s="3">
        <v>1</v>
      </c>
    </row>
    <row r="1760" spans="1:2">
      <c r="A1760" s="2" t="s">
        <v>5223</v>
      </c>
      <c r="B1760" s="3">
        <v>1</v>
      </c>
    </row>
    <row r="1761" spans="1:2">
      <c r="A1761" s="2" t="s">
        <v>5229</v>
      </c>
      <c r="B1761" s="3">
        <v>1</v>
      </c>
    </row>
    <row r="1762" spans="1:2">
      <c r="A1762" s="2" t="s">
        <v>5241</v>
      </c>
      <c r="B1762" s="3">
        <v>1</v>
      </c>
    </row>
    <row r="1763" spans="1:2">
      <c r="A1763" s="2" t="s">
        <v>5250</v>
      </c>
      <c r="B1763" s="3">
        <v>1</v>
      </c>
    </row>
    <row r="1764" spans="1:2">
      <c r="A1764" s="2" t="s">
        <v>5253</v>
      </c>
      <c r="B1764" s="3">
        <v>1</v>
      </c>
    </row>
    <row r="1765" spans="1:2">
      <c r="A1765" s="2" t="s">
        <v>5268</v>
      </c>
      <c r="B1765" s="3">
        <v>1</v>
      </c>
    </row>
    <row r="1766" spans="1:2">
      <c r="A1766" s="2" t="s">
        <v>5274</v>
      </c>
      <c r="B1766" s="3">
        <v>1</v>
      </c>
    </row>
    <row r="1767" spans="1:2">
      <c r="A1767" s="2" t="s">
        <v>5289</v>
      </c>
      <c r="B1767" s="3">
        <v>1</v>
      </c>
    </row>
    <row r="1768" spans="1:2">
      <c r="A1768" s="2" t="s">
        <v>5295</v>
      </c>
      <c r="B1768" s="3">
        <v>1</v>
      </c>
    </row>
    <row r="1769" spans="1:2">
      <c r="A1769" s="2" t="s">
        <v>5298</v>
      </c>
      <c r="B1769" s="3">
        <v>1</v>
      </c>
    </row>
    <row r="1770" spans="1:2">
      <c r="A1770" s="2" t="s">
        <v>5313</v>
      </c>
      <c r="B1770" s="3">
        <v>1</v>
      </c>
    </row>
    <row r="1771" spans="1:2">
      <c r="A1771" s="2" t="s">
        <v>5319</v>
      </c>
      <c r="B1771" s="3">
        <v>1</v>
      </c>
    </row>
    <row r="1772" spans="1:2">
      <c r="A1772" s="2" t="s">
        <v>5328</v>
      </c>
      <c r="B1772" s="3">
        <v>1</v>
      </c>
    </row>
    <row r="1773" spans="1:2">
      <c r="A1773" s="2" t="s">
        <v>5331</v>
      </c>
      <c r="B1773" s="3">
        <v>1</v>
      </c>
    </row>
    <row r="1774" spans="1:2">
      <c r="A1774" s="2" t="s">
        <v>5352</v>
      </c>
      <c r="B1774" s="3">
        <v>1</v>
      </c>
    </row>
    <row r="1775" spans="1:2">
      <c r="A1775" s="2" t="s">
        <v>5355</v>
      </c>
      <c r="B1775" s="3">
        <v>1</v>
      </c>
    </row>
    <row r="1776" spans="1:2">
      <c r="A1776" s="2" t="s">
        <v>5361</v>
      </c>
      <c r="B1776" s="3">
        <v>1</v>
      </c>
    </row>
    <row r="1777" spans="1:2">
      <c r="A1777" s="2" t="s">
        <v>5376</v>
      </c>
      <c r="B1777" s="3">
        <v>1</v>
      </c>
    </row>
    <row r="1778" spans="1:2">
      <c r="A1778" s="2" t="s">
        <v>5382</v>
      </c>
      <c r="B1778" s="3">
        <v>1</v>
      </c>
    </row>
    <row r="1779" spans="1:2">
      <c r="A1779" s="2" t="s">
        <v>5394</v>
      </c>
      <c r="B1779" s="3">
        <v>1</v>
      </c>
    </row>
    <row r="1780" spans="1:2">
      <c r="A1780" s="2" t="s">
        <v>5400</v>
      </c>
      <c r="B1780" s="3">
        <v>1</v>
      </c>
    </row>
    <row r="1781" spans="1:2">
      <c r="A1781" s="2" t="s">
        <v>5415</v>
      </c>
      <c r="B1781" s="3">
        <v>1</v>
      </c>
    </row>
    <row r="1782" spans="1:2">
      <c r="A1782" s="2" t="s">
        <v>5421</v>
      </c>
      <c r="B1782" s="3">
        <v>1</v>
      </c>
    </row>
    <row r="1783" spans="1:2">
      <c r="A1783" s="2" t="s">
        <v>5433</v>
      </c>
      <c r="B1783" s="3">
        <v>1</v>
      </c>
    </row>
    <row r="1784" spans="1:2">
      <c r="A1784" s="2" t="s">
        <v>5436</v>
      </c>
      <c r="B1784" s="3">
        <v>1</v>
      </c>
    </row>
    <row r="1785" spans="1:2">
      <c r="A1785" s="2" t="s">
        <v>5442</v>
      </c>
      <c r="B1785" s="3">
        <v>1</v>
      </c>
    </row>
    <row r="1786" spans="1:2">
      <c r="A1786" s="2" t="s">
        <v>5460</v>
      </c>
      <c r="B1786" s="3">
        <v>1</v>
      </c>
    </row>
    <row r="1787" spans="1:2">
      <c r="A1787" s="2" t="s">
        <v>5466</v>
      </c>
      <c r="B1787" s="3">
        <v>1</v>
      </c>
    </row>
    <row r="1788" spans="1:2">
      <c r="A1788" s="2" t="s">
        <v>5478</v>
      </c>
      <c r="B1788" s="3">
        <v>1</v>
      </c>
    </row>
    <row r="1789" spans="1:2">
      <c r="A1789" s="2" t="s">
        <v>5484</v>
      </c>
      <c r="B1789" s="3">
        <v>1</v>
      </c>
    </row>
    <row r="1790" spans="1:2">
      <c r="A1790" s="2" t="s">
        <v>5496</v>
      </c>
      <c r="B1790" s="3">
        <v>1</v>
      </c>
    </row>
    <row r="1791" spans="1:2">
      <c r="A1791" s="2" t="s">
        <v>5511</v>
      </c>
      <c r="B1791" s="3">
        <v>1</v>
      </c>
    </row>
    <row r="1792" spans="1:2">
      <c r="A1792" s="2" t="s">
        <v>5517</v>
      </c>
      <c r="B1792" s="3">
        <v>1</v>
      </c>
    </row>
    <row r="1793" spans="1:2">
      <c r="A1793" s="2" t="s">
        <v>5526</v>
      </c>
      <c r="B1793" s="3">
        <v>1</v>
      </c>
    </row>
    <row r="1794" spans="1:2">
      <c r="A1794" s="2" t="s">
        <v>5532</v>
      </c>
      <c r="B1794" s="3">
        <v>1</v>
      </c>
    </row>
    <row r="1795" spans="1:2">
      <c r="A1795" s="2" t="s">
        <v>5535</v>
      </c>
      <c r="B1795" s="3">
        <v>1</v>
      </c>
    </row>
    <row r="1796" spans="1:2">
      <c r="A1796" s="2" t="s">
        <v>5547</v>
      </c>
      <c r="B1796" s="3">
        <v>1</v>
      </c>
    </row>
    <row r="1797" spans="1:2">
      <c r="A1797" s="2" t="s">
        <v>5553</v>
      </c>
      <c r="B1797" s="3">
        <v>1</v>
      </c>
    </row>
    <row r="1798" spans="1:2">
      <c r="A1798" s="2" t="s">
        <v>5565</v>
      </c>
      <c r="B1798" s="3">
        <v>1</v>
      </c>
    </row>
    <row r="1799" spans="1:2">
      <c r="A1799" s="2" t="s">
        <v>5571</v>
      </c>
      <c r="B1799" s="3">
        <v>1</v>
      </c>
    </row>
    <row r="1800" spans="1:2">
      <c r="A1800" s="2" t="s">
        <v>5586</v>
      </c>
      <c r="B1800" s="3">
        <v>1</v>
      </c>
    </row>
    <row r="1801" spans="1:2">
      <c r="A1801" s="2" t="s">
        <v>5589</v>
      </c>
      <c r="B1801" s="3">
        <v>1</v>
      </c>
    </row>
    <row r="1802" spans="1:2">
      <c r="A1802" s="2" t="s">
        <v>5595</v>
      </c>
      <c r="B1802" s="3">
        <v>1</v>
      </c>
    </row>
    <row r="1803" spans="1:2">
      <c r="A1803" s="2" t="s">
        <v>5607</v>
      </c>
      <c r="B1803" s="3">
        <v>1</v>
      </c>
    </row>
    <row r="1804" spans="1:2">
      <c r="A1804" s="2" t="s">
        <v>5613</v>
      </c>
      <c r="B1804" s="3">
        <v>1</v>
      </c>
    </row>
    <row r="1805" spans="1:2">
      <c r="A1805" s="2" t="s">
        <v>5616</v>
      </c>
      <c r="B1805" s="3">
        <v>1</v>
      </c>
    </row>
    <row r="1806" spans="1:2">
      <c r="A1806" s="2" t="s">
        <v>5628</v>
      </c>
      <c r="B1806" s="3">
        <v>1</v>
      </c>
    </row>
    <row r="1807" spans="1:2">
      <c r="A1807" s="2" t="s">
        <v>5637</v>
      </c>
      <c r="B1807" s="3">
        <v>1</v>
      </c>
    </row>
    <row r="1808" spans="1:2">
      <c r="A1808" s="2" t="s">
        <v>5649</v>
      </c>
      <c r="B1808" s="3">
        <v>1</v>
      </c>
    </row>
    <row r="1809" spans="1:2">
      <c r="A1809" s="2" t="s">
        <v>5664</v>
      </c>
      <c r="B1809" s="3">
        <v>1</v>
      </c>
    </row>
    <row r="1810" spans="1:2">
      <c r="A1810" s="2" t="s">
        <v>5670</v>
      </c>
      <c r="B1810" s="3">
        <v>1</v>
      </c>
    </row>
    <row r="1811" spans="1:2">
      <c r="A1811" s="2" t="s">
        <v>5682</v>
      </c>
      <c r="B1811" s="3">
        <v>1</v>
      </c>
    </row>
    <row r="1812" spans="1:2">
      <c r="A1812" s="2" t="s">
        <v>5688</v>
      </c>
      <c r="B1812" s="3">
        <v>1</v>
      </c>
    </row>
    <row r="1813" spans="1:2">
      <c r="A1813" s="2" t="s">
        <v>5700</v>
      </c>
      <c r="B1813" s="3">
        <v>1</v>
      </c>
    </row>
    <row r="1814" spans="1:2">
      <c r="A1814" s="2" t="s">
        <v>5706</v>
      </c>
      <c r="B1814" s="3">
        <v>1</v>
      </c>
    </row>
    <row r="1815" spans="1:2">
      <c r="A1815" s="2" t="s">
        <v>5712</v>
      </c>
      <c r="B1815" s="3">
        <v>1</v>
      </c>
    </row>
    <row r="1816" spans="1:2">
      <c r="A1816" s="2" t="s">
        <v>5727</v>
      </c>
      <c r="B1816" s="3">
        <v>1</v>
      </c>
    </row>
    <row r="1817" spans="1:2">
      <c r="A1817" s="2" t="s">
        <v>5733</v>
      </c>
      <c r="B1817" s="3">
        <v>1</v>
      </c>
    </row>
    <row r="1818" spans="1:2">
      <c r="A1818" s="2" t="s">
        <v>5745</v>
      </c>
      <c r="B1818" s="3">
        <v>1</v>
      </c>
    </row>
    <row r="1819" spans="1:2">
      <c r="A1819" s="2" t="s">
        <v>5751</v>
      </c>
      <c r="B1819" s="3">
        <v>1</v>
      </c>
    </row>
    <row r="1820" spans="1:2">
      <c r="A1820" s="2" t="s">
        <v>5775</v>
      </c>
      <c r="B1820" s="3">
        <v>1</v>
      </c>
    </row>
    <row r="1821" spans="1:2">
      <c r="A1821" s="2" t="s">
        <v>5787</v>
      </c>
      <c r="B1821" s="3">
        <v>1</v>
      </c>
    </row>
    <row r="1822" spans="1:2">
      <c r="A1822" s="2" t="s">
        <v>5793</v>
      </c>
      <c r="B1822" s="3">
        <v>1</v>
      </c>
    </row>
    <row r="1823" spans="1:2">
      <c r="A1823" s="2" t="s">
        <v>5796</v>
      </c>
      <c r="B1823" s="3">
        <v>1</v>
      </c>
    </row>
    <row r="1824" spans="1:2">
      <c r="A1824" s="2" t="s">
        <v>5811</v>
      </c>
      <c r="B1824" s="3">
        <v>1</v>
      </c>
    </row>
    <row r="1825" spans="1:2">
      <c r="A1825" s="2" t="s">
        <v>5817</v>
      </c>
      <c r="B1825" s="3">
        <v>1</v>
      </c>
    </row>
    <row r="1826" spans="1:2">
      <c r="A1826" s="2" t="s">
        <v>5820</v>
      </c>
      <c r="B1826" s="3">
        <v>1</v>
      </c>
    </row>
    <row r="1827" spans="1:2">
      <c r="A1827" s="2" t="s">
        <v>5826</v>
      </c>
      <c r="B1827" s="3">
        <v>1</v>
      </c>
    </row>
    <row r="1828" spans="1:2">
      <c r="A1828" s="2" t="s">
        <v>5838</v>
      </c>
      <c r="B1828" s="3">
        <v>1</v>
      </c>
    </row>
    <row r="1829" spans="1:2">
      <c r="A1829" s="2" t="s">
        <v>5844</v>
      </c>
      <c r="B1829" s="3">
        <v>1</v>
      </c>
    </row>
    <row r="1830" spans="1:2">
      <c r="A1830" s="2" t="s">
        <v>5853</v>
      </c>
      <c r="B1830" s="3">
        <v>1</v>
      </c>
    </row>
    <row r="1831" spans="1:2">
      <c r="A1831" s="2" t="s">
        <v>5859</v>
      </c>
      <c r="B1831" s="3">
        <v>1</v>
      </c>
    </row>
    <row r="1832" spans="1:2">
      <c r="A1832" s="2" t="s">
        <v>5871</v>
      </c>
      <c r="B1832" s="3">
        <v>1</v>
      </c>
    </row>
    <row r="1833" spans="1:2">
      <c r="A1833" s="2" t="s">
        <v>5886</v>
      </c>
      <c r="B1833" s="3">
        <v>1</v>
      </c>
    </row>
    <row r="1834" spans="1:2">
      <c r="A1834" s="2" t="s">
        <v>5889</v>
      </c>
      <c r="B1834" s="3">
        <v>1</v>
      </c>
    </row>
    <row r="1835" spans="1:2">
      <c r="A1835" s="2" t="s">
        <v>5895</v>
      </c>
      <c r="B1835" s="3">
        <v>1</v>
      </c>
    </row>
    <row r="1836" spans="1:2">
      <c r="A1836" s="2" t="s">
        <v>5238</v>
      </c>
      <c r="B1836" s="3">
        <v>1</v>
      </c>
    </row>
    <row r="1837" spans="1:2">
      <c r="A1837" s="2" t="s">
        <v>5256</v>
      </c>
      <c r="B1837" s="3">
        <v>1</v>
      </c>
    </row>
    <row r="1838" spans="1:2">
      <c r="A1838" s="2" t="s">
        <v>5265</v>
      </c>
      <c r="B1838" s="3">
        <v>1</v>
      </c>
    </row>
    <row r="1839" spans="1:2">
      <c r="A1839" s="2" t="s">
        <v>5277</v>
      </c>
      <c r="B1839" s="3">
        <v>1</v>
      </c>
    </row>
    <row r="1840" spans="1:2">
      <c r="A1840" s="2" t="s">
        <v>5283</v>
      </c>
      <c r="B1840" s="3">
        <v>1</v>
      </c>
    </row>
    <row r="1841" spans="1:2">
      <c r="A1841" s="2" t="s">
        <v>5301</v>
      </c>
      <c r="B1841" s="3">
        <v>1</v>
      </c>
    </row>
    <row r="1842" spans="1:2">
      <c r="A1842" s="2" t="s">
        <v>5307</v>
      </c>
      <c r="B1842" s="3">
        <v>1</v>
      </c>
    </row>
    <row r="1843" spans="1:2">
      <c r="A1843" s="2" t="s">
        <v>5334</v>
      </c>
      <c r="B1843" s="3">
        <v>1</v>
      </c>
    </row>
    <row r="1844" spans="1:2">
      <c r="A1844" s="2" t="s">
        <v>5340</v>
      </c>
      <c r="B1844" s="3">
        <v>1</v>
      </c>
    </row>
    <row r="1845" spans="1:2">
      <c r="A1845" s="2" t="s">
        <v>5343</v>
      </c>
      <c r="B1845" s="3">
        <v>1</v>
      </c>
    </row>
    <row r="1846" spans="1:2">
      <c r="A1846" s="2" t="s">
        <v>5349</v>
      </c>
      <c r="B1846" s="3">
        <v>1</v>
      </c>
    </row>
    <row r="1847" spans="1:2">
      <c r="A1847" s="2" t="s">
        <v>5364</v>
      </c>
      <c r="B1847" s="3">
        <v>1</v>
      </c>
    </row>
    <row r="1848" spans="1:2">
      <c r="A1848" s="2" t="s">
        <v>5370</v>
      </c>
      <c r="B1848" s="3">
        <v>1</v>
      </c>
    </row>
    <row r="1849" spans="1:2">
      <c r="A1849" s="2" t="s">
        <v>5385</v>
      </c>
      <c r="B1849" s="3">
        <v>1</v>
      </c>
    </row>
    <row r="1850" spans="1:2">
      <c r="A1850" s="2" t="s">
        <v>5391</v>
      </c>
      <c r="B1850" s="3">
        <v>1</v>
      </c>
    </row>
    <row r="1851" spans="1:2">
      <c r="A1851" s="2" t="s">
        <v>5403</v>
      </c>
      <c r="B1851" s="3">
        <v>1</v>
      </c>
    </row>
    <row r="1852" spans="1:2">
      <c r="A1852" s="2" t="s">
        <v>5412</v>
      </c>
      <c r="B1852" s="3">
        <v>1</v>
      </c>
    </row>
    <row r="1853" spans="1:2">
      <c r="A1853" s="2" t="s">
        <v>5424</v>
      </c>
      <c r="B1853" s="3">
        <v>1</v>
      </c>
    </row>
    <row r="1854" spans="1:2">
      <c r="A1854" s="2" t="s">
        <v>5430</v>
      </c>
      <c r="B1854" s="3">
        <v>1</v>
      </c>
    </row>
    <row r="1855" spans="1:2">
      <c r="A1855" s="2" t="s">
        <v>5445</v>
      </c>
      <c r="B1855" s="3">
        <v>1</v>
      </c>
    </row>
    <row r="1856" spans="1:2">
      <c r="A1856" s="2" t="s">
        <v>5448</v>
      </c>
      <c r="B1856" s="3">
        <v>1</v>
      </c>
    </row>
    <row r="1857" spans="1:2">
      <c r="A1857" s="2" t="s">
        <v>5457</v>
      </c>
      <c r="B1857" s="3">
        <v>1</v>
      </c>
    </row>
    <row r="1858" spans="1:2">
      <c r="A1858" s="2" t="s">
        <v>5469</v>
      </c>
      <c r="B1858" s="3">
        <v>1</v>
      </c>
    </row>
    <row r="1859" spans="1:2">
      <c r="A1859" s="2" t="s">
        <v>5475</v>
      </c>
      <c r="B1859" s="3">
        <v>1</v>
      </c>
    </row>
    <row r="1860" spans="1:2">
      <c r="A1860" s="2" t="s">
        <v>5487</v>
      </c>
      <c r="B1860" s="3">
        <v>1</v>
      </c>
    </row>
    <row r="1861" spans="1:2">
      <c r="A1861" s="2" t="s">
        <v>5493</v>
      </c>
      <c r="B1861" s="3">
        <v>1</v>
      </c>
    </row>
    <row r="1862" spans="1:2">
      <c r="A1862" s="2" t="s">
        <v>5502</v>
      </c>
      <c r="B1862" s="3">
        <v>1</v>
      </c>
    </row>
    <row r="1863" spans="1:2">
      <c r="A1863" s="2" t="s">
        <v>5508</v>
      </c>
      <c r="B1863" s="3">
        <v>1</v>
      </c>
    </row>
    <row r="1864" spans="1:2">
      <c r="A1864" s="2" t="s">
        <v>5520</v>
      </c>
      <c r="B1864" s="3">
        <v>1</v>
      </c>
    </row>
    <row r="1865" spans="1:2">
      <c r="A1865" s="2" t="s">
        <v>5538</v>
      </c>
      <c r="B1865" s="3">
        <v>1</v>
      </c>
    </row>
    <row r="1866" spans="1:2">
      <c r="A1866" s="2" t="s">
        <v>5544</v>
      </c>
      <c r="B1866" s="3">
        <v>1</v>
      </c>
    </row>
    <row r="1867" spans="1:2">
      <c r="A1867" s="2" t="s">
        <v>5556</v>
      </c>
      <c r="B1867" s="3">
        <v>1</v>
      </c>
    </row>
    <row r="1868" spans="1:2">
      <c r="A1868" s="2" t="s">
        <v>5562</v>
      </c>
      <c r="B1868" s="3">
        <v>1</v>
      </c>
    </row>
    <row r="1869" spans="1:2">
      <c r="A1869" s="2" t="s">
        <v>5574</v>
      </c>
      <c r="B1869" s="3">
        <v>1</v>
      </c>
    </row>
    <row r="1870" spans="1:2">
      <c r="A1870" s="2" t="s">
        <v>5577</v>
      </c>
      <c r="B1870" s="3">
        <v>1</v>
      </c>
    </row>
    <row r="1871" spans="1:2">
      <c r="A1871" s="2" t="s">
        <v>5583</v>
      </c>
      <c r="B1871" s="3">
        <v>1</v>
      </c>
    </row>
    <row r="1872" spans="1:2">
      <c r="A1872" s="2" t="s">
        <v>5598</v>
      </c>
      <c r="B1872" s="3">
        <v>1</v>
      </c>
    </row>
    <row r="1873" spans="1:2">
      <c r="A1873" s="2" t="s">
        <v>5604</v>
      </c>
      <c r="B1873" s="3">
        <v>1</v>
      </c>
    </row>
    <row r="1874" spans="1:2">
      <c r="A1874" s="2" t="s">
        <v>5619</v>
      </c>
      <c r="B1874" s="3">
        <v>1</v>
      </c>
    </row>
    <row r="1875" spans="1:2">
      <c r="A1875" s="2" t="s">
        <v>5625</v>
      </c>
      <c r="B1875" s="3">
        <v>1</v>
      </c>
    </row>
    <row r="1876" spans="1:2">
      <c r="A1876" s="2" t="s">
        <v>5640</v>
      </c>
      <c r="B1876" s="3">
        <v>1</v>
      </c>
    </row>
    <row r="1877" spans="1:2">
      <c r="A1877" s="2" t="s">
        <v>5646</v>
      </c>
      <c r="B1877" s="3">
        <v>1</v>
      </c>
    </row>
    <row r="1878" spans="1:2">
      <c r="A1878" s="2" t="s">
        <v>5655</v>
      </c>
      <c r="B1878" s="3">
        <v>1</v>
      </c>
    </row>
    <row r="1879" spans="1:2">
      <c r="A1879" s="2" t="s">
        <v>5661</v>
      </c>
      <c r="B1879" s="3">
        <v>1</v>
      </c>
    </row>
    <row r="1880" spans="1:2">
      <c r="A1880" s="2" t="s">
        <v>5673</v>
      </c>
      <c r="B1880" s="3">
        <v>1</v>
      </c>
    </row>
    <row r="1881" spans="1:2">
      <c r="A1881" s="2" t="s">
        <v>5679</v>
      </c>
      <c r="B1881" s="3">
        <v>1</v>
      </c>
    </row>
    <row r="1882" spans="1:2">
      <c r="A1882" s="2" t="s">
        <v>5691</v>
      </c>
      <c r="B1882" s="3">
        <v>1</v>
      </c>
    </row>
    <row r="1883" spans="1:2">
      <c r="A1883" s="2" t="s">
        <v>5694</v>
      </c>
      <c r="B1883" s="3">
        <v>1</v>
      </c>
    </row>
    <row r="1884" spans="1:2">
      <c r="A1884" s="2" t="s">
        <v>5715</v>
      </c>
      <c r="B1884" s="3">
        <v>1</v>
      </c>
    </row>
    <row r="1885" spans="1:2">
      <c r="A1885" s="2" t="s">
        <v>5721</v>
      </c>
      <c r="B1885" s="3">
        <v>1</v>
      </c>
    </row>
    <row r="1886" spans="1:2">
      <c r="A1886" s="2" t="s">
        <v>5724</v>
      </c>
      <c r="B1886" s="3">
        <v>1</v>
      </c>
    </row>
    <row r="1887" spans="1:2">
      <c r="A1887" s="2" t="s">
        <v>5736</v>
      </c>
      <c r="B1887" s="3">
        <v>1</v>
      </c>
    </row>
    <row r="1888" spans="1:2">
      <c r="A1888" s="2" t="s">
        <v>5742</v>
      </c>
      <c r="B1888" s="3">
        <v>1</v>
      </c>
    </row>
    <row r="1889" spans="1:2">
      <c r="A1889" s="2" t="s">
        <v>5757</v>
      </c>
      <c r="B1889" s="3">
        <v>1</v>
      </c>
    </row>
    <row r="1890" spans="1:2">
      <c r="A1890" s="2" t="s">
        <v>5763</v>
      </c>
      <c r="B1890" s="3">
        <v>1</v>
      </c>
    </row>
    <row r="1891" spans="1:2">
      <c r="A1891" s="2" t="s">
        <v>5766</v>
      </c>
      <c r="B1891" s="3">
        <v>1</v>
      </c>
    </row>
    <row r="1892" spans="1:2">
      <c r="A1892" s="2" t="s">
        <v>5769</v>
      </c>
      <c r="B1892" s="3">
        <v>1</v>
      </c>
    </row>
    <row r="1893" spans="1:2">
      <c r="A1893" s="2" t="s">
        <v>5778</v>
      </c>
      <c r="B1893" s="3">
        <v>1</v>
      </c>
    </row>
    <row r="1894" spans="1:2">
      <c r="A1894" s="2" t="s">
        <v>5784</v>
      </c>
      <c r="B1894" s="3">
        <v>1</v>
      </c>
    </row>
    <row r="1895" spans="1:2">
      <c r="A1895" s="2" t="s">
        <v>5799</v>
      </c>
      <c r="B1895" s="3">
        <v>1</v>
      </c>
    </row>
    <row r="1896" spans="1:2">
      <c r="A1896" s="2" t="s">
        <v>5802</v>
      </c>
      <c r="B1896" s="3">
        <v>1</v>
      </c>
    </row>
    <row r="1897" spans="1:2">
      <c r="A1897" s="2" t="s">
        <v>5808</v>
      </c>
      <c r="B1897" s="3">
        <v>1</v>
      </c>
    </row>
    <row r="1898" spans="1:2">
      <c r="A1898" s="2" t="s">
        <v>5829</v>
      </c>
      <c r="B1898" s="3">
        <v>1</v>
      </c>
    </row>
    <row r="1899" spans="1:2">
      <c r="A1899" s="2" t="s">
        <v>5835</v>
      </c>
      <c r="B1899" s="3">
        <v>1</v>
      </c>
    </row>
    <row r="1900" spans="1:2">
      <c r="A1900" s="2" t="s">
        <v>5847</v>
      </c>
      <c r="B1900" s="3">
        <v>1</v>
      </c>
    </row>
    <row r="1901" spans="1:2">
      <c r="A1901" s="2" t="s">
        <v>5862</v>
      </c>
      <c r="B1901" s="3">
        <v>1</v>
      </c>
    </row>
    <row r="1902" spans="1:2">
      <c r="A1902" s="2" t="s">
        <v>5868</v>
      </c>
      <c r="B1902" s="3">
        <v>1</v>
      </c>
    </row>
    <row r="1903" spans="1:2">
      <c r="A1903" s="2" t="s">
        <v>5877</v>
      </c>
      <c r="B1903" s="3">
        <v>1</v>
      </c>
    </row>
    <row r="1904" spans="1:2">
      <c r="A1904" s="2" t="s">
        <v>5883</v>
      </c>
      <c r="B1904" s="3">
        <v>1</v>
      </c>
    </row>
    <row r="1905" spans="1:2">
      <c r="A1905" s="2" t="s">
        <v>5898</v>
      </c>
      <c r="B1905" s="3">
        <v>1</v>
      </c>
    </row>
    <row r="1906" spans="1:2">
      <c r="A1906" s="2" t="s">
        <v>5913</v>
      </c>
      <c r="B1906" s="3">
        <v>1</v>
      </c>
    </row>
    <row r="1907" spans="1:2">
      <c r="A1907" s="2" t="s">
        <v>5916</v>
      </c>
      <c r="B1907" s="3">
        <v>1</v>
      </c>
    </row>
    <row r="1908" spans="1:2">
      <c r="A1908" s="2" t="s">
        <v>5922</v>
      </c>
      <c r="B1908" s="3">
        <v>1</v>
      </c>
    </row>
    <row r="1909" spans="1:2">
      <c r="A1909" s="2" t="s">
        <v>5934</v>
      </c>
      <c r="B1909" s="3">
        <v>1</v>
      </c>
    </row>
    <row r="1910" spans="1:2">
      <c r="A1910" s="2" t="s">
        <v>5940</v>
      </c>
      <c r="B1910" s="3">
        <v>1</v>
      </c>
    </row>
    <row r="1911" spans="1:2">
      <c r="A1911" s="2" t="s">
        <v>5952</v>
      </c>
      <c r="B1911" s="3">
        <v>1</v>
      </c>
    </row>
    <row r="1912" spans="1:2">
      <c r="A1912" s="2" t="s">
        <v>5958</v>
      </c>
      <c r="B1912" s="3">
        <v>1</v>
      </c>
    </row>
    <row r="1913" spans="1:2">
      <c r="A1913" s="2" t="s">
        <v>5973</v>
      </c>
      <c r="B1913" s="3">
        <v>1</v>
      </c>
    </row>
    <row r="1914" spans="1:2">
      <c r="A1914" s="2" t="s">
        <v>5979</v>
      </c>
      <c r="B1914" s="3">
        <v>1</v>
      </c>
    </row>
    <row r="1915" spans="1:2">
      <c r="A1915" s="2" t="s">
        <v>5991</v>
      </c>
      <c r="B1915" s="3">
        <v>1</v>
      </c>
    </row>
    <row r="1916" spans="1:2">
      <c r="A1916" s="2" t="s">
        <v>5997</v>
      </c>
      <c r="B1916" s="3">
        <v>1</v>
      </c>
    </row>
    <row r="1917" spans="1:2">
      <c r="A1917" s="2" t="s">
        <v>6009</v>
      </c>
      <c r="B1917" s="3">
        <v>1</v>
      </c>
    </row>
    <row r="1918" spans="1:2">
      <c r="A1918" s="2" t="s">
        <v>6015</v>
      </c>
      <c r="B1918" s="3">
        <v>1</v>
      </c>
    </row>
    <row r="1919" spans="1:2">
      <c r="A1919" s="2" t="s">
        <v>6024</v>
      </c>
      <c r="B1919" s="3">
        <v>1</v>
      </c>
    </row>
    <row r="1920" spans="1:2">
      <c r="A1920" s="2" t="s">
        <v>6027</v>
      </c>
      <c r="B1920" s="3">
        <v>1</v>
      </c>
    </row>
    <row r="1921" spans="1:2">
      <c r="A1921" s="2" t="s">
        <v>6042</v>
      </c>
      <c r="B1921" s="3">
        <v>1</v>
      </c>
    </row>
    <row r="1922" spans="1:2">
      <c r="A1922" s="2" t="s">
        <v>6048</v>
      </c>
      <c r="B1922" s="3">
        <v>1</v>
      </c>
    </row>
    <row r="1923" spans="1:2">
      <c r="A1923" s="2" t="s">
        <v>6060</v>
      </c>
      <c r="B1923" s="3">
        <v>1</v>
      </c>
    </row>
    <row r="1924" spans="1:2">
      <c r="A1924" s="2" t="s">
        <v>6066</v>
      </c>
      <c r="B1924" s="3">
        <v>1</v>
      </c>
    </row>
    <row r="1925" spans="1:2">
      <c r="A1925" s="2" t="s">
        <v>6075</v>
      </c>
      <c r="B1925" s="3">
        <v>1</v>
      </c>
    </row>
    <row r="1926" spans="1:2">
      <c r="A1926" s="2" t="s">
        <v>6090</v>
      </c>
      <c r="B1926" s="3">
        <v>1</v>
      </c>
    </row>
    <row r="1927" spans="1:2">
      <c r="A1927" s="2" t="s">
        <v>6093</v>
      </c>
      <c r="B1927" s="3">
        <v>1</v>
      </c>
    </row>
    <row r="1928" spans="1:2">
      <c r="A1928" s="2" t="s">
        <v>5427</v>
      </c>
      <c r="B1928" s="3">
        <v>1</v>
      </c>
    </row>
    <row r="1929" spans="1:2">
      <c r="A1929" s="2" t="s">
        <v>5439</v>
      </c>
      <c r="B1929" s="3">
        <v>1</v>
      </c>
    </row>
    <row r="1930" spans="1:2">
      <c r="A1930" s="2" t="s">
        <v>5451</v>
      </c>
      <c r="B1930" s="3">
        <v>1</v>
      </c>
    </row>
    <row r="1931" spans="1:2">
      <c r="A1931" s="2" t="s">
        <v>5454</v>
      </c>
      <c r="B1931" s="3">
        <v>1</v>
      </c>
    </row>
    <row r="1932" spans="1:2">
      <c r="A1932" s="2" t="s">
        <v>5463</v>
      </c>
      <c r="B1932" s="3">
        <v>1</v>
      </c>
    </row>
    <row r="1933" spans="1:2">
      <c r="A1933" s="2" t="s">
        <v>5472</v>
      </c>
      <c r="B1933" s="3">
        <v>1</v>
      </c>
    </row>
    <row r="1934" spans="1:2">
      <c r="A1934" s="2" t="s">
        <v>5481</v>
      </c>
      <c r="B1934" s="3">
        <v>1</v>
      </c>
    </row>
    <row r="1935" spans="1:2">
      <c r="A1935" s="2" t="s">
        <v>5490</v>
      </c>
      <c r="B1935" s="3">
        <v>1</v>
      </c>
    </row>
    <row r="1936" spans="1:2">
      <c r="A1936" s="2" t="s">
        <v>5499</v>
      </c>
      <c r="B1936" s="3">
        <v>1</v>
      </c>
    </row>
    <row r="1937" spans="1:2">
      <c r="A1937" s="2" t="s">
        <v>5505</v>
      </c>
      <c r="B1937" s="3">
        <v>1</v>
      </c>
    </row>
    <row r="1938" spans="1:2">
      <c r="A1938" s="2" t="s">
        <v>5514</v>
      </c>
      <c r="B1938" s="3">
        <v>1</v>
      </c>
    </row>
    <row r="1939" spans="1:2">
      <c r="A1939" s="2" t="s">
        <v>5523</v>
      </c>
      <c r="B1939" s="3">
        <v>1</v>
      </c>
    </row>
    <row r="1940" spans="1:2">
      <c r="A1940" s="2" t="s">
        <v>5529</v>
      </c>
      <c r="B1940" s="3">
        <v>1</v>
      </c>
    </row>
    <row r="1941" spans="1:2">
      <c r="A1941" s="2" t="s">
        <v>5541</v>
      </c>
      <c r="B1941" s="3">
        <v>1</v>
      </c>
    </row>
    <row r="1942" spans="1:2">
      <c r="A1942" s="2" t="s">
        <v>5550</v>
      </c>
      <c r="B1942" s="3">
        <v>1</v>
      </c>
    </row>
    <row r="1943" spans="1:2">
      <c r="A1943" s="2" t="s">
        <v>5559</v>
      </c>
      <c r="B1943" s="3">
        <v>1</v>
      </c>
    </row>
    <row r="1944" spans="1:2">
      <c r="A1944" s="2" t="s">
        <v>5568</v>
      </c>
      <c r="B1944" s="3">
        <v>1</v>
      </c>
    </row>
    <row r="1945" spans="1:2">
      <c r="A1945" s="2" t="s">
        <v>5580</v>
      </c>
      <c r="B1945" s="3">
        <v>1</v>
      </c>
    </row>
    <row r="1946" spans="1:2">
      <c r="A1946" s="2" t="s">
        <v>5592</v>
      </c>
      <c r="B1946" s="3">
        <v>1</v>
      </c>
    </row>
    <row r="1947" spans="1:2">
      <c r="A1947" s="2" t="s">
        <v>5601</v>
      </c>
      <c r="B1947" s="3">
        <v>1</v>
      </c>
    </row>
    <row r="1948" spans="1:2">
      <c r="A1948" s="2" t="s">
        <v>5610</v>
      </c>
      <c r="B1948" s="3">
        <v>1</v>
      </c>
    </row>
    <row r="1949" spans="1:2">
      <c r="A1949" s="2" t="s">
        <v>5622</v>
      </c>
      <c r="B1949" s="3">
        <v>1</v>
      </c>
    </row>
    <row r="1950" spans="1:2">
      <c r="A1950" s="2" t="s">
        <v>5631</v>
      </c>
      <c r="B1950" s="3">
        <v>1</v>
      </c>
    </row>
    <row r="1951" spans="1:2">
      <c r="A1951" s="2" t="s">
        <v>5634</v>
      </c>
      <c r="B1951" s="3">
        <v>1</v>
      </c>
    </row>
    <row r="1952" spans="1:2">
      <c r="A1952" s="2" t="s">
        <v>5643</v>
      </c>
      <c r="B1952" s="3">
        <v>1</v>
      </c>
    </row>
    <row r="1953" spans="1:2">
      <c r="A1953" s="2" t="s">
        <v>5652</v>
      </c>
      <c r="B1953" s="3">
        <v>1</v>
      </c>
    </row>
    <row r="1954" spans="1:2">
      <c r="A1954" s="2" t="s">
        <v>5658</v>
      </c>
      <c r="B1954" s="3">
        <v>1</v>
      </c>
    </row>
    <row r="1955" spans="1:2">
      <c r="A1955" s="2" t="s">
        <v>5667</v>
      </c>
      <c r="B1955" s="3">
        <v>1</v>
      </c>
    </row>
    <row r="1956" spans="1:2">
      <c r="A1956" s="2" t="s">
        <v>5676</v>
      </c>
      <c r="B1956" s="3">
        <v>1</v>
      </c>
    </row>
    <row r="1957" spans="1:2">
      <c r="A1957" s="2" t="s">
        <v>5685</v>
      </c>
      <c r="B1957" s="3">
        <v>1</v>
      </c>
    </row>
    <row r="1958" spans="1:2">
      <c r="A1958" s="2" t="s">
        <v>5697</v>
      </c>
      <c r="B1958" s="3">
        <v>1</v>
      </c>
    </row>
    <row r="1959" spans="1:2">
      <c r="A1959" s="2" t="s">
        <v>5703</v>
      </c>
      <c r="B1959" s="3">
        <v>1</v>
      </c>
    </row>
    <row r="1960" spans="1:2">
      <c r="A1960" s="2" t="s">
        <v>5709</v>
      </c>
      <c r="B1960" s="3">
        <v>1</v>
      </c>
    </row>
    <row r="1961" spans="1:2">
      <c r="A1961" s="2" t="s">
        <v>5718</v>
      </c>
      <c r="B1961" s="3">
        <v>1</v>
      </c>
    </row>
    <row r="1962" spans="1:2">
      <c r="A1962" s="2" t="s">
        <v>5730</v>
      </c>
      <c r="B1962" s="3">
        <v>1</v>
      </c>
    </row>
    <row r="1963" spans="1:2">
      <c r="A1963" s="2" t="s">
        <v>5739</v>
      </c>
      <c r="B1963" s="3">
        <v>1</v>
      </c>
    </row>
    <row r="1964" spans="1:2">
      <c r="A1964" s="2" t="s">
        <v>5748</v>
      </c>
      <c r="B1964" s="3">
        <v>1</v>
      </c>
    </row>
    <row r="1965" spans="1:2">
      <c r="A1965" s="2" t="s">
        <v>5754</v>
      </c>
      <c r="B1965" s="3">
        <v>1</v>
      </c>
    </row>
    <row r="1966" spans="1:2">
      <c r="A1966" s="2" t="s">
        <v>5760</v>
      </c>
      <c r="B1966" s="3">
        <v>1</v>
      </c>
    </row>
    <row r="1967" spans="1:2">
      <c r="A1967" s="2" t="s">
        <v>5772</v>
      </c>
      <c r="B1967" s="3">
        <v>1</v>
      </c>
    </row>
    <row r="1968" spans="1:2">
      <c r="A1968" s="2" t="s">
        <v>5781</v>
      </c>
      <c r="B1968" s="3">
        <v>1</v>
      </c>
    </row>
    <row r="1969" spans="1:2">
      <c r="A1969" s="2" t="s">
        <v>5790</v>
      </c>
      <c r="B1969" s="3">
        <v>1</v>
      </c>
    </row>
    <row r="1970" spans="1:2">
      <c r="A1970" s="2" t="s">
        <v>5805</v>
      </c>
      <c r="B1970" s="3">
        <v>1</v>
      </c>
    </row>
    <row r="1971" spans="1:2">
      <c r="A1971" s="2" t="s">
        <v>5814</v>
      </c>
      <c r="B1971" s="3">
        <v>1</v>
      </c>
    </row>
    <row r="1972" spans="1:2">
      <c r="A1972" s="2" t="s">
        <v>5823</v>
      </c>
      <c r="B1972" s="3">
        <v>1</v>
      </c>
    </row>
    <row r="1973" spans="1:2">
      <c r="A1973" s="2" t="s">
        <v>5832</v>
      </c>
      <c r="B1973" s="3">
        <v>1</v>
      </c>
    </row>
    <row r="1974" spans="1:2">
      <c r="A1974" s="2" t="s">
        <v>5841</v>
      </c>
      <c r="B1974" s="3">
        <v>1</v>
      </c>
    </row>
    <row r="1975" spans="1:2">
      <c r="A1975" s="2" t="s">
        <v>5850</v>
      </c>
      <c r="B1975" s="3">
        <v>1</v>
      </c>
    </row>
    <row r="1976" spans="1:2">
      <c r="A1976" s="2" t="s">
        <v>5856</v>
      </c>
      <c r="B1976" s="3">
        <v>1</v>
      </c>
    </row>
    <row r="1977" spans="1:2">
      <c r="A1977" s="2" t="s">
        <v>5865</v>
      </c>
      <c r="B1977" s="3">
        <v>1</v>
      </c>
    </row>
    <row r="1978" spans="1:2">
      <c r="A1978" s="2" t="s">
        <v>5874</v>
      </c>
      <c r="B1978" s="3">
        <v>1</v>
      </c>
    </row>
    <row r="1979" spans="1:2">
      <c r="A1979" s="2" t="s">
        <v>5880</v>
      </c>
      <c r="B1979" s="3">
        <v>1</v>
      </c>
    </row>
    <row r="1980" spans="1:2">
      <c r="A1980" s="2" t="s">
        <v>5892</v>
      </c>
      <c r="B1980" s="3">
        <v>1</v>
      </c>
    </row>
    <row r="1981" spans="1:2">
      <c r="A1981" s="2" t="s">
        <v>5901</v>
      </c>
      <c r="B1981" s="3">
        <v>1</v>
      </c>
    </row>
    <row r="1982" spans="1:2">
      <c r="A1982" s="2" t="s">
        <v>5907</v>
      </c>
      <c r="B1982" s="3">
        <v>1</v>
      </c>
    </row>
    <row r="1983" spans="1:2">
      <c r="A1983" s="2" t="s">
        <v>5919</v>
      </c>
      <c r="B1983" s="3">
        <v>1</v>
      </c>
    </row>
    <row r="1984" spans="1:2">
      <c r="A1984" s="2" t="s">
        <v>5928</v>
      </c>
      <c r="B1984" s="3">
        <v>1</v>
      </c>
    </row>
    <row r="1985" spans="1:2">
      <c r="A1985" s="2" t="s">
        <v>5937</v>
      </c>
      <c r="B1985" s="3">
        <v>1</v>
      </c>
    </row>
    <row r="1986" spans="1:2">
      <c r="A1986" s="2" t="s">
        <v>5946</v>
      </c>
      <c r="B1986" s="3">
        <v>1</v>
      </c>
    </row>
    <row r="1987" spans="1:2">
      <c r="A1987" s="2" t="s">
        <v>5955</v>
      </c>
      <c r="B1987" s="3">
        <v>1</v>
      </c>
    </row>
    <row r="1988" spans="1:2">
      <c r="A1988" s="2" t="s">
        <v>5964</v>
      </c>
      <c r="B1988" s="3">
        <v>1</v>
      </c>
    </row>
    <row r="1989" spans="1:2">
      <c r="A1989" s="2" t="s">
        <v>5967</v>
      </c>
      <c r="B1989" s="3">
        <v>1</v>
      </c>
    </row>
    <row r="1990" spans="1:2">
      <c r="A1990" s="2" t="s">
        <v>5976</v>
      </c>
      <c r="B1990" s="3">
        <v>1</v>
      </c>
    </row>
    <row r="1991" spans="1:2">
      <c r="A1991" s="2" t="s">
        <v>5985</v>
      </c>
      <c r="B1991" s="3">
        <v>1</v>
      </c>
    </row>
    <row r="1992" spans="1:2">
      <c r="A1992" s="2" t="s">
        <v>5994</v>
      </c>
      <c r="B1992" s="3">
        <v>1</v>
      </c>
    </row>
    <row r="1993" spans="1:2">
      <c r="A1993" s="2" t="s">
        <v>6003</v>
      </c>
      <c r="B1993" s="3">
        <v>1</v>
      </c>
    </row>
    <row r="1994" spans="1:2">
      <c r="A1994" s="2" t="s">
        <v>6012</v>
      </c>
      <c r="B1994" s="3">
        <v>1</v>
      </c>
    </row>
    <row r="1995" spans="1:2">
      <c r="A1995" s="2" t="s">
        <v>6030</v>
      </c>
      <c r="B1995" s="3">
        <v>1</v>
      </c>
    </row>
    <row r="1996" spans="1:2">
      <c r="A1996" s="2" t="s">
        <v>6036</v>
      </c>
      <c r="B1996" s="3">
        <v>1</v>
      </c>
    </row>
    <row r="1997" spans="1:2">
      <c r="A1997" s="2" t="s">
        <v>6045</v>
      </c>
      <c r="B1997" s="3">
        <v>1</v>
      </c>
    </row>
    <row r="1998" spans="1:2">
      <c r="A1998" s="2" t="s">
        <v>6054</v>
      </c>
      <c r="B1998" s="3">
        <v>1</v>
      </c>
    </row>
    <row r="1999" spans="1:2">
      <c r="A1999" s="2" t="s">
        <v>6063</v>
      </c>
      <c r="B1999" s="3">
        <v>1</v>
      </c>
    </row>
    <row r="2000" spans="1:2">
      <c r="A2000" s="2" t="s">
        <v>6072</v>
      </c>
      <c r="B2000" s="3">
        <v>1</v>
      </c>
    </row>
    <row r="2001" spans="1:2">
      <c r="A2001" s="2" t="s">
        <v>6084</v>
      </c>
      <c r="B2001" s="3">
        <v>1</v>
      </c>
    </row>
    <row r="2002" spans="1:2">
      <c r="A2002" s="2" t="s">
        <v>6096</v>
      </c>
      <c r="B2002" s="3">
        <v>1</v>
      </c>
    </row>
    <row r="2003" spans="1:2">
      <c r="A2003" s="2" t="s">
        <v>6108</v>
      </c>
      <c r="B2003" s="3">
        <v>1</v>
      </c>
    </row>
    <row r="2004" spans="1:2">
      <c r="A2004" s="2" t="s">
        <v>6117</v>
      </c>
      <c r="B2004" s="3">
        <v>1</v>
      </c>
    </row>
    <row r="2005" spans="1:2">
      <c r="A2005" s="2" t="s">
        <v>6126</v>
      </c>
      <c r="B2005" s="3">
        <v>1</v>
      </c>
    </row>
    <row r="2006" spans="1:2">
      <c r="A2006" s="2" t="s">
        <v>6135</v>
      </c>
      <c r="B2006" s="3">
        <v>1</v>
      </c>
    </row>
    <row r="2007" spans="1:2">
      <c r="A2007" s="2" t="s">
        <v>6144</v>
      </c>
      <c r="B2007" s="3">
        <v>1</v>
      </c>
    </row>
    <row r="2008" spans="1:2">
      <c r="A2008" s="2" t="s">
        <v>6168</v>
      </c>
      <c r="B2008" s="3">
        <v>1</v>
      </c>
    </row>
    <row r="2009" spans="1:2">
      <c r="A2009" s="2" t="s">
        <v>6174</v>
      </c>
      <c r="B2009" s="3">
        <v>1</v>
      </c>
    </row>
    <row r="2010" spans="1:2">
      <c r="A2010" s="2" t="s">
        <v>6186</v>
      </c>
      <c r="B2010" s="3">
        <v>1</v>
      </c>
    </row>
    <row r="2011" spans="1:2">
      <c r="A2011" s="2" t="s">
        <v>6198</v>
      </c>
      <c r="B2011" s="3">
        <v>1</v>
      </c>
    </row>
    <row r="2012" spans="1:2">
      <c r="A2012" s="2" t="s">
        <v>6204</v>
      </c>
      <c r="B2012" s="3">
        <v>1</v>
      </c>
    </row>
    <row r="2013" spans="1:2">
      <c r="A2013" s="2" t="s">
        <v>6213</v>
      </c>
      <c r="B2013" s="3">
        <v>1</v>
      </c>
    </row>
    <row r="2014" spans="1:2">
      <c r="A2014" s="2" t="s">
        <v>6222</v>
      </c>
      <c r="B2014" s="3">
        <v>1</v>
      </c>
    </row>
    <row r="2015" spans="1:2">
      <c r="A2015" s="2" t="s">
        <v>6231</v>
      </c>
      <c r="B2015" s="3">
        <v>1</v>
      </c>
    </row>
    <row r="2016" spans="1:2">
      <c r="A2016" s="2" t="s">
        <v>6249</v>
      </c>
      <c r="B2016" s="3">
        <v>1</v>
      </c>
    </row>
    <row r="2017" spans="1:2">
      <c r="A2017" s="2" t="s">
        <v>6258</v>
      </c>
      <c r="B2017" s="3">
        <v>1</v>
      </c>
    </row>
    <row r="2018" spans="1:2">
      <c r="A2018" s="2" t="s">
        <v>5904</v>
      </c>
      <c r="B2018" s="3">
        <v>1</v>
      </c>
    </row>
    <row r="2019" spans="1:2">
      <c r="A2019" s="2" t="s">
        <v>5910</v>
      </c>
      <c r="B2019" s="3">
        <v>1</v>
      </c>
    </row>
    <row r="2020" spans="1:2">
      <c r="A2020" s="2" t="s">
        <v>5925</v>
      </c>
      <c r="B2020" s="3">
        <v>1</v>
      </c>
    </row>
    <row r="2021" spans="1:2">
      <c r="A2021" s="2" t="s">
        <v>5931</v>
      </c>
      <c r="B2021" s="3">
        <v>1</v>
      </c>
    </row>
    <row r="2022" spans="1:2">
      <c r="A2022" s="2" t="s">
        <v>5943</v>
      </c>
      <c r="B2022" s="3">
        <v>1</v>
      </c>
    </row>
    <row r="2023" spans="1:2">
      <c r="A2023" s="2" t="s">
        <v>5949</v>
      </c>
      <c r="B2023" s="3">
        <v>1</v>
      </c>
    </row>
    <row r="2024" spans="1:2">
      <c r="A2024" s="2" t="s">
        <v>5961</v>
      </c>
      <c r="B2024" s="3">
        <v>1</v>
      </c>
    </row>
    <row r="2025" spans="1:2">
      <c r="A2025" s="2" t="s">
        <v>5970</v>
      </c>
      <c r="B2025" s="3">
        <v>1</v>
      </c>
    </row>
    <row r="2026" spans="1:2">
      <c r="A2026" s="2" t="s">
        <v>5982</v>
      </c>
      <c r="B2026" s="3">
        <v>1</v>
      </c>
    </row>
    <row r="2027" spans="1:2">
      <c r="A2027" s="2" t="s">
        <v>5988</v>
      </c>
      <c r="B2027" s="3">
        <v>1</v>
      </c>
    </row>
    <row r="2028" spans="1:2">
      <c r="A2028" s="2" t="s">
        <v>6000</v>
      </c>
      <c r="B2028" s="3">
        <v>1</v>
      </c>
    </row>
    <row r="2029" spans="1:2">
      <c r="A2029" s="2" t="s">
        <v>6006</v>
      </c>
      <c r="B2029" s="3">
        <v>1</v>
      </c>
    </row>
    <row r="2030" spans="1:2">
      <c r="A2030" s="2" t="s">
        <v>6018</v>
      </c>
      <c r="B2030" s="3">
        <v>1</v>
      </c>
    </row>
    <row r="2031" spans="1:2">
      <c r="A2031" s="2" t="s">
        <v>6021</v>
      </c>
      <c r="B2031" s="3">
        <v>1</v>
      </c>
    </row>
    <row r="2032" spans="1:2">
      <c r="A2032" s="2" t="s">
        <v>6033</v>
      </c>
      <c r="B2032" s="3">
        <v>1</v>
      </c>
    </row>
    <row r="2033" spans="1:2">
      <c r="A2033" s="2" t="s">
        <v>6039</v>
      </c>
      <c r="B2033" s="3">
        <v>1</v>
      </c>
    </row>
    <row r="2034" spans="1:2">
      <c r="A2034" s="2" t="s">
        <v>6051</v>
      </c>
      <c r="B2034" s="3">
        <v>1</v>
      </c>
    </row>
    <row r="2035" spans="1:2">
      <c r="A2035" s="2" t="s">
        <v>6057</v>
      </c>
      <c r="B2035" s="3">
        <v>1</v>
      </c>
    </row>
    <row r="2036" spans="1:2">
      <c r="A2036" s="2" t="s">
        <v>6069</v>
      </c>
      <c r="B2036" s="3">
        <v>1</v>
      </c>
    </row>
    <row r="2037" spans="1:2">
      <c r="A2037" s="2" t="s">
        <v>6078</v>
      </c>
      <c r="B2037" s="3">
        <v>1</v>
      </c>
    </row>
    <row r="2038" spans="1:2">
      <c r="A2038" s="2" t="s">
        <v>6081</v>
      </c>
      <c r="B2038" s="3">
        <v>1</v>
      </c>
    </row>
    <row r="2039" spans="1:2">
      <c r="A2039" s="2" t="s">
        <v>6087</v>
      </c>
      <c r="B2039" s="3">
        <v>1</v>
      </c>
    </row>
    <row r="2040" spans="1:2">
      <c r="A2040" s="2" t="s">
        <v>6102</v>
      </c>
      <c r="B2040" s="3">
        <v>1</v>
      </c>
    </row>
    <row r="2041" spans="1:2">
      <c r="A2041" s="2" t="s">
        <v>6105</v>
      </c>
      <c r="B2041" s="3">
        <v>1</v>
      </c>
    </row>
    <row r="2042" spans="1:2">
      <c r="A2042" s="2" t="s">
        <v>6123</v>
      </c>
      <c r="B2042" s="3">
        <v>1</v>
      </c>
    </row>
    <row r="2043" spans="1:2">
      <c r="A2043" s="2" t="s">
        <v>6129</v>
      </c>
      <c r="B2043" s="3">
        <v>1</v>
      </c>
    </row>
    <row r="2044" spans="1:2">
      <c r="A2044" s="2" t="s">
        <v>6141</v>
      </c>
      <c r="B2044" s="3">
        <v>1</v>
      </c>
    </row>
    <row r="2045" spans="1:2">
      <c r="A2045" s="2" t="s">
        <v>6147</v>
      </c>
      <c r="B2045" s="3">
        <v>1</v>
      </c>
    </row>
    <row r="2046" spans="1:2">
      <c r="A2046" s="2" t="s">
        <v>6156</v>
      </c>
      <c r="B2046" s="3">
        <v>1</v>
      </c>
    </row>
    <row r="2047" spans="1:2">
      <c r="A2047" s="2" t="s">
        <v>6159</v>
      </c>
      <c r="B2047" s="3">
        <v>1</v>
      </c>
    </row>
    <row r="2048" spans="1:2">
      <c r="A2048" s="2" t="s">
        <v>6162</v>
      </c>
      <c r="B2048" s="3">
        <v>1</v>
      </c>
    </row>
    <row r="2049" spans="1:2">
      <c r="A2049" s="2" t="s">
        <v>6171</v>
      </c>
      <c r="B2049" s="3">
        <v>1</v>
      </c>
    </row>
    <row r="2050" spans="1:2">
      <c r="A2050" s="2" t="s">
        <v>6177</v>
      </c>
      <c r="B2050" s="3">
        <v>1</v>
      </c>
    </row>
    <row r="2051" spans="1:2">
      <c r="A2051" s="2" t="s">
        <v>6195</v>
      </c>
      <c r="B2051" s="3">
        <v>1</v>
      </c>
    </row>
    <row r="2052" spans="1:2">
      <c r="A2052" s="2" t="s">
        <v>6201</v>
      </c>
      <c r="B2052" s="3">
        <v>1</v>
      </c>
    </row>
    <row r="2053" spans="1:2">
      <c r="A2053" s="2" t="s">
        <v>6207</v>
      </c>
      <c r="B2053" s="3">
        <v>1</v>
      </c>
    </row>
    <row r="2054" spans="1:2">
      <c r="A2054" s="2" t="s">
        <v>6219</v>
      </c>
      <c r="B2054" s="3">
        <v>1</v>
      </c>
    </row>
    <row r="2055" spans="1:2">
      <c r="A2055" s="2" t="s">
        <v>6225</v>
      </c>
      <c r="B2055" s="3">
        <v>1</v>
      </c>
    </row>
    <row r="2056" spans="1:2">
      <c r="A2056" s="2" t="s">
        <v>6237</v>
      </c>
      <c r="B2056" s="3">
        <v>1</v>
      </c>
    </row>
    <row r="2057" spans="1:2">
      <c r="A2057" s="2" t="s">
        <v>6240</v>
      </c>
      <c r="B2057" s="3">
        <v>1</v>
      </c>
    </row>
    <row r="2058" spans="1:2">
      <c r="A2058" s="2" t="s">
        <v>6243</v>
      </c>
      <c r="B2058" s="3">
        <v>1</v>
      </c>
    </row>
    <row r="2059" spans="1:2">
      <c r="A2059" s="2" t="s">
        <v>6255</v>
      </c>
      <c r="B2059" s="3">
        <v>1</v>
      </c>
    </row>
    <row r="2060" spans="1:2">
      <c r="A2060" s="2" t="s">
        <v>6261</v>
      </c>
      <c r="B2060" s="3">
        <v>1</v>
      </c>
    </row>
    <row r="2061" spans="1:2">
      <c r="A2061" s="2" t="s">
        <v>6273</v>
      </c>
      <c r="B2061" s="3">
        <v>1</v>
      </c>
    </row>
    <row r="2062" spans="1:2">
      <c r="A2062" s="2" t="s">
        <v>6279</v>
      </c>
      <c r="B2062" s="3">
        <v>1</v>
      </c>
    </row>
    <row r="2063" spans="1:2">
      <c r="A2063" s="2" t="s">
        <v>6294</v>
      </c>
      <c r="B2063" s="3">
        <v>1</v>
      </c>
    </row>
    <row r="2064" spans="1:2">
      <c r="A2064" s="2" t="s">
        <v>6300</v>
      </c>
      <c r="B2064" s="3">
        <v>1</v>
      </c>
    </row>
    <row r="2065" spans="1:2">
      <c r="A2065" s="2" t="s">
        <v>6315</v>
      </c>
      <c r="B2065" s="3">
        <v>1</v>
      </c>
    </row>
    <row r="2066" spans="1:2">
      <c r="A2066" s="2" t="s">
        <v>6318</v>
      </c>
      <c r="B2066" s="3">
        <v>1</v>
      </c>
    </row>
    <row r="2067" spans="1:2">
      <c r="A2067" s="2" t="s">
        <v>6324</v>
      </c>
      <c r="B2067" s="3">
        <v>1</v>
      </c>
    </row>
    <row r="2068" spans="1:2">
      <c r="A2068" s="2" t="s">
        <v>6336</v>
      </c>
      <c r="B2068" s="3">
        <v>1</v>
      </c>
    </row>
    <row r="2069" spans="1:2">
      <c r="A2069" s="2" t="s">
        <v>6342</v>
      </c>
      <c r="B2069" s="3">
        <v>1</v>
      </c>
    </row>
    <row r="2070" spans="1:2">
      <c r="A2070" s="2" t="s">
        <v>6354</v>
      </c>
      <c r="B2070" s="3">
        <v>1</v>
      </c>
    </row>
    <row r="2071" spans="1:2">
      <c r="A2071" s="2" t="s">
        <v>6360</v>
      </c>
      <c r="B2071" s="3">
        <v>1</v>
      </c>
    </row>
    <row r="2072" spans="1:2">
      <c r="A2072" s="2" t="s">
        <v>6375</v>
      </c>
      <c r="B2072" s="3">
        <v>1</v>
      </c>
    </row>
    <row r="2073" spans="1:2">
      <c r="A2073" s="2" t="s">
        <v>6381</v>
      </c>
      <c r="B2073" s="3">
        <v>1</v>
      </c>
    </row>
    <row r="2074" spans="1:2">
      <c r="A2074" s="2" t="s">
        <v>6393</v>
      </c>
      <c r="B2074" s="3">
        <v>1</v>
      </c>
    </row>
    <row r="2075" spans="1:2">
      <c r="A2075" s="2" t="s">
        <v>6399</v>
      </c>
      <c r="B2075" s="3">
        <v>1</v>
      </c>
    </row>
    <row r="2076" spans="1:2">
      <c r="A2076" s="2" t="s">
        <v>6414</v>
      </c>
      <c r="B2076" s="3">
        <v>1</v>
      </c>
    </row>
    <row r="2077" spans="1:2">
      <c r="A2077" s="2" t="s">
        <v>6423</v>
      </c>
      <c r="B2077" s="3">
        <v>1</v>
      </c>
    </row>
    <row r="2078" spans="1:2">
      <c r="A2078" s="2" t="s">
        <v>6438</v>
      </c>
      <c r="B2078" s="3">
        <v>1</v>
      </c>
    </row>
    <row r="2079" spans="1:2">
      <c r="A2079" s="2" t="s">
        <v>6444</v>
      </c>
      <c r="B2079" s="3">
        <v>1</v>
      </c>
    </row>
    <row r="2080" spans="1:2">
      <c r="A2080" s="2" t="s">
        <v>6450</v>
      </c>
      <c r="B2080" s="3">
        <v>1</v>
      </c>
    </row>
    <row r="2081" spans="1:2">
      <c r="A2081" s="2" t="s">
        <v>6462</v>
      </c>
      <c r="B2081" s="3">
        <v>1</v>
      </c>
    </row>
    <row r="2082" spans="1:2">
      <c r="A2082" s="2" t="s">
        <v>6468</v>
      </c>
      <c r="B2082" s="3">
        <v>1</v>
      </c>
    </row>
    <row r="2083" spans="1:2">
      <c r="A2083" s="2" t="s">
        <v>6480</v>
      </c>
      <c r="B2083" s="3">
        <v>1</v>
      </c>
    </row>
    <row r="2084" spans="1:2">
      <c r="A2084" s="2" t="s">
        <v>6486</v>
      </c>
      <c r="B2084" s="3">
        <v>1</v>
      </c>
    </row>
    <row r="2085" spans="1:2">
      <c r="A2085" s="2" t="s">
        <v>6498</v>
      </c>
      <c r="B2085" s="3">
        <v>1</v>
      </c>
    </row>
    <row r="2086" spans="1:2">
      <c r="A2086" s="2" t="s">
        <v>6513</v>
      </c>
      <c r="B2086" s="3">
        <v>1</v>
      </c>
    </row>
    <row r="2087" spans="1:2">
      <c r="A2087" s="2" t="s">
        <v>6516</v>
      </c>
      <c r="B2087" s="3">
        <v>1</v>
      </c>
    </row>
    <row r="2088" spans="1:2">
      <c r="A2088" s="2" t="s">
        <v>6522</v>
      </c>
      <c r="B2088" s="3">
        <v>1</v>
      </c>
    </row>
    <row r="2089" spans="1:2">
      <c r="A2089" s="2" t="s">
        <v>6537</v>
      </c>
      <c r="B2089" s="3">
        <v>1</v>
      </c>
    </row>
    <row r="2090" spans="1:2">
      <c r="A2090" s="2" t="s">
        <v>6546</v>
      </c>
      <c r="B2090" s="3">
        <v>1</v>
      </c>
    </row>
    <row r="2091" spans="1:2">
      <c r="A2091" s="2" t="s">
        <v>6561</v>
      </c>
      <c r="B2091" s="3">
        <v>1</v>
      </c>
    </row>
    <row r="2092" spans="1:2">
      <c r="A2092" s="2" t="s">
        <v>6567</v>
      </c>
      <c r="B2092" s="3">
        <v>1</v>
      </c>
    </row>
    <row r="2093" spans="1:2">
      <c r="A2093" s="2" t="s">
        <v>6579</v>
      </c>
      <c r="B2093" s="3">
        <v>1</v>
      </c>
    </row>
    <row r="2094" spans="1:2">
      <c r="A2094" s="2" t="s">
        <v>6594</v>
      </c>
      <c r="B2094" s="3">
        <v>1</v>
      </c>
    </row>
    <row r="2095" spans="1:2">
      <c r="A2095" s="2" t="s">
        <v>6600</v>
      </c>
      <c r="B2095" s="3">
        <v>1</v>
      </c>
    </row>
    <row r="2096" spans="1:2">
      <c r="A2096" s="2" t="s">
        <v>6612</v>
      </c>
      <c r="B2096" s="3">
        <v>1</v>
      </c>
    </row>
    <row r="2097" spans="1:2">
      <c r="A2097" s="2" t="s">
        <v>6627</v>
      </c>
      <c r="B2097" s="3">
        <v>1</v>
      </c>
    </row>
    <row r="2098" spans="1:2">
      <c r="A2098" s="2" t="s">
        <v>6633</v>
      </c>
      <c r="B2098" s="3">
        <v>1</v>
      </c>
    </row>
    <row r="2099" spans="1:2">
      <c r="A2099" s="2" t="s">
        <v>6636</v>
      </c>
      <c r="B2099" s="3">
        <v>1</v>
      </c>
    </row>
    <row r="2100" spans="1:2">
      <c r="A2100" s="2" t="s">
        <v>6654</v>
      </c>
      <c r="B2100" s="3">
        <v>1</v>
      </c>
    </row>
    <row r="2101" spans="1:2">
      <c r="A2101" s="2" t="s">
        <v>6660</v>
      </c>
      <c r="B2101" s="3">
        <v>1</v>
      </c>
    </row>
    <row r="2102" spans="1:2">
      <c r="A2102" s="2" t="s">
        <v>6672</v>
      </c>
      <c r="B2102" s="3">
        <v>1</v>
      </c>
    </row>
    <row r="2103" spans="1:2">
      <c r="A2103" s="2" t="s">
        <v>6678</v>
      </c>
      <c r="B2103" s="3">
        <v>1</v>
      </c>
    </row>
    <row r="2104" spans="1:2">
      <c r="A2104" s="2" t="s">
        <v>6687</v>
      </c>
      <c r="B2104" s="3">
        <v>1</v>
      </c>
    </row>
    <row r="2105" spans="1:2">
      <c r="A2105" s="2" t="s">
        <v>6693</v>
      </c>
      <c r="B2105" s="3">
        <v>1</v>
      </c>
    </row>
    <row r="2106" spans="1:2">
      <c r="A2106" s="2" t="s">
        <v>6705</v>
      </c>
      <c r="B2106" s="3">
        <v>1</v>
      </c>
    </row>
    <row r="2107" spans="1:2">
      <c r="A2107" s="2" t="s">
        <v>6711</v>
      </c>
      <c r="B2107" s="3">
        <v>1</v>
      </c>
    </row>
    <row r="2108" spans="1:2">
      <c r="A2108" s="2" t="s">
        <v>6723</v>
      </c>
      <c r="B2108" s="3">
        <v>1</v>
      </c>
    </row>
    <row r="2109" spans="1:2">
      <c r="A2109" s="2" t="s">
        <v>6729</v>
      </c>
      <c r="B2109" s="3">
        <v>1</v>
      </c>
    </row>
    <row r="2110" spans="1:2">
      <c r="A2110" s="2" t="s">
        <v>6738</v>
      </c>
      <c r="B2110" s="3">
        <v>1</v>
      </c>
    </row>
    <row r="2111" spans="1:2">
      <c r="A2111" s="2" t="s">
        <v>6744</v>
      </c>
      <c r="B2111" s="3">
        <v>1</v>
      </c>
    </row>
    <row r="2112" spans="1:2">
      <c r="A2112" s="2" t="s">
        <v>6756</v>
      </c>
      <c r="B2112" s="3">
        <v>1</v>
      </c>
    </row>
    <row r="2113" spans="1:2">
      <c r="A2113" s="2" t="s">
        <v>6762</v>
      </c>
      <c r="B2113" s="3">
        <v>1</v>
      </c>
    </row>
    <row r="2114" spans="1:2">
      <c r="A2114" s="2" t="s">
        <v>6780</v>
      </c>
      <c r="B2114" s="3">
        <v>1</v>
      </c>
    </row>
    <row r="2115" spans="1:2">
      <c r="A2115" s="2" t="s">
        <v>6099</v>
      </c>
      <c r="B2115" s="3">
        <v>1</v>
      </c>
    </row>
    <row r="2116" spans="1:2">
      <c r="A2116" s="2" t="s">
        <v>6111</v>
      </c>
      <c r="B2116" s="3">
        <v>1</v>
      </c>
    </row>
    <row r="2117" spans="1:2">
      <c r="A2117" s="2" t="s">
        <v>6114</v>
      </c>
      <c r="B2117" s="3">
        <v>1</v>
      </c>
    </row>
    <row r="2118" spans="1:2">
      <c r="A2118" s="2" t="s">
        <v>6120</v>
      </c>
      <c r="B2118" s="3">
        <v>1</v>
      </c>
    </row>
    <row r="2119" spans="1:2">
      <c r="A2119" s="2" t="s">
        <v>6132</v>
      </c>
      <c r="B2119" s="3">
        <v>1</v>
      </c>
    </row>
    <row r="2120" spans="1:2">
      <c r="A2120" s="2" t="s">
        <v>6138</v>
      </c>
      <c r="B2120" s="3">
        <v>1</v>
      </c>
    </row>
    <row r="2121" spans="1:2">
      <c r="A2121" s="2" t="s">
        <v>6150</v>
      </c>
      <c r="B2121" s="3">
        <v>1</v>
      </c>
    </row>
    <row r="2122" spans="1:2">
      <c r="A2122" s="2" t="s">
        <v>6153</v>
      </c>
      <c r="B2122" s="3">
        <v>1</v>
      </c>
    </row>
    <row r="2123" spans="1:2">
      <c r="A2123" s="2" t="s">
        <v>6165</v>
      </c>
      <c r="B2123" s="3">
        <v>1</v>
      </c>
    </row>
    <row r="2124" spans="1:2">
      <c r="A2124" s="2" t="s">
        <v>6180</v>
      </c>
      <c r="B2124" s="3">
        <v>1</v>
      </c>
    </row>
    <row r="2125" spans="1:2">
      <c r="A2125" s="2" t="s">
        <v>6183</v>
      </c>
      <c r="B2125" s="3">
        <v>1</v>
      </c>
    </row>
    <row r="2126" spans="1:2">
      <c r="A2126" s="2" t="s">
        <v>6189</v>
      </c>
      <c r="B2126" s="3">
        <v>1</v>
      </c>
    </row>
    <row r="2127" spans="1:2">
      <c r="A2127" s="2" t="s">
        <v>6192</v>
      </c>
      <c r="B2127" s="3">
        <v>1</v>
      </c>
    </row>
    <row r="2128" spans="1:2">
      <c r="A2128" s="2" t="s">
        <v>6210</v>
      </c>
      <c r="B2128" s="3">
        <v>1</v>
      </c>
    </row>
    <row r="2129" spans="1:2">
      <c r="A2129" s="2" t="s">
        <v>6216</v>
      </c>
      <c r="B2129" s="3">
        <v>1</v>
      </c>
    </row>
    <row r="2130" spans="1:2">
      <c r="A2130" s="2" t="s">
        <v>6228</v>
      </c>
      <c r="B2130" s="3">
        <v>1</v>
      </c>
    </row>
    <row r="2131" spans="1:2">
      <c r="A2131" s="2" t="s">
        <v>6234</v>
      </c>
      <c r="B2131" s="3">
        <v>1</v>
      </c>
    </row>
    <row r="2132" spans="1:2">
      <c r="A2132" s="2" t="s">
        <v>6246</v>
      </c>
      <c r="B2132" s="3">
        <v>1</v>
      </c>
    </row>
    <row r="2133" spans="1:2">
      <c r="A2133" s="2" t="s">
        <v>6252</v>
      </c>
      <c r="B2133" s="3">
        <v>1</v>
      </c>
    </row>
    <row r="2134" spans="1:2">
      <c r="A2134" s="2" t="s">
        <v>6264</v>
      </c>
      <c r="B2134" s="3">
        <v>1</v>
      </c>
    </row>
    <row r="2135" spans="1:2">
      <c r="A2135" s="2" t="s">
        <v>6270</v>
      </c>
      <c r="B2135" s="3">
        <v>1</v>
      </c>
    </row>
    <row r="2136" spans="1:2">
      <c r="A2136" s="2" t="s">
        <v>6282</v>
      </c>
      <c r="B2136" s="3">
        <v>1</v>
      </c>
    </row>
    <row r="2137" spans="1:2">
      <c r="A2137" s="2" t="s">
        <v>6285</v>
      </c>
      <c r="B2137" s="3">
        <v>1</v>
      </c>
    </row>
    <row r="2138" spans="1:2">
      <c r="A2138" s="2" t="s">
        <v>6291</v>
      </c>
      <c r="B2138" s="3">
        <v>1</v>
      </c>
    </row>
    <row r="2139" spans="1:2">
      <c r="A2139" s="2" t="s">
        <v>6303</v>
      </c>
      <c r="B2139" s="3">
        <v>1</v>
      </c>
    </row>
    <row r="2140" spans="1:2">
      <c r="A2140" s="2" t="s">
        <v>6306</v>
      </c>
      <c r="B2140" s="3">
        <v>1</v>
      </c>
    </row>
    <row r="2141" spans="1:2">
      <c r="A2141" s="2" t="s">
        <v>6309</v>
      </c>
      <c r="B2141" s="3">
        <v>1</v>
      </c>
    </row>
    <row r="2142" spans="1:2">
      <c r="A2142" s="2" t="s">
        <v>6312</v>
      </c>
      <c r="B2142" s="3">
        <v>1</v>
      </c>
    </row>
    <row r="2143" spans="1:2">
      <c r="A2143" s="2" t="s">
        <v>6327</v>
      </c>
      <c r="B2143" s="3">
        <v>1</v>
      </c>
    </row>
    <row r="2144" spans="1:2">
      <c r="A2144" s="2" t="s">
        <v>6333</v>
      </c>
      <c r="B2144" s="3">
        <v>1</v>
      </c>
    </row>
    <row r="2145" spans="1:2">
      <c r="A2145" s="2" t="s">
        <v>6345</v>
      </c>
      <c r="B2145" s="3">
        <v>1</v>
      </c>
    </row>
    <row r="2146" spans="1:2">
      <c r="A2146" s="2" t="s">
        <v>6351</v>
      </c>
      <c r="B2146" s="3">
        <v>1</v>
      </c>
    </row>
    <row r="2147" spans="1:2">
      <c r="A2147" s="2" t="s">
        <v>6363</v>
      </c>
      <c r="B2147" s="3">
        <v>1</v>
      </c>
    </row>
    <row r="2148" spans="1:2">
      <c r="A2148" s="2" t="s">
        <v>6366</v>
      </c>
      <c r="B2148" s="3">
        <v>1</v>
      </c>
    </row>
    <row r="2149" spans="1:2">
      <c r="A2149" s="2" t="s">
        <v>6372</v>
      </c>
      <c r="B2149" s="3">
        <v>1</v>
      </c>
    </row>
    <row r="2150" spans="1:2">
      <c r="A2150" s="2" t="s">
        <v>6384</v>
      </c>
      <c r="B2150" s="3">
        <v>1</v>
      </c>
    </row>
    <row r="2151" spans="1:2">
      <c r="A2151" s="2" t="s">
        <v>6390</v>
      </c>
      <c r="B2151" s="3">
        <v>1</v>
      </c>
    </row>
    <row r="2152" spans="1:2">
      <c r="A2152" s="2" t="s">
        <v>6402</v>
      </c>
      <c r="B2152" s="3">
        <v>1</v>
      </c>
    </row>
    <row r="2153" spans="1:2">
      <c r="A2153" s="2" t="s">
        <v>6408</v>
      </c>
      <c r="B2153" s="3">
        <v>1</v>
      </c>
    </row>
    <row r="2154" spans="1:2">
      <c r="A2154" s="2" t="s">
        <v>6411</v>
      </c>
      <c r="B2154" s="3">
        <v>1</v>
      </c>
    </row>
    <row r="2155" spans="1:2">
      <c r="A2155" s="2" t="s">
        <v>6426</v>
      </c>
      <c r="B2155" s="3">
        <v>1</v>
      </c>
    </row>
    <row r="2156" spans="1:2">
      <c r="A2156" s="2" t="s">
        <v>6429</v>
      </c>
      <c r="B2156" s="3">
        <v>1</v>
      </c>
    </row>
    <row r="2157" spans="1:2">
      <c r="A2157" s="2" t="s">
        <v>6435</v>
      </c>
      <c r="B2157" s="3">
        <v>1</v>
      </c>
    </row>
    <row r="2158" spans="1:2">
      <c r="A2158" s="2" t="s">
        <v>6453</v>
      </c>
      <c r="B2158" s="3">
        <v>1</v>
      </c>
    </row>
    <row r="2159" spans="1:2">
      <c r="A2159" s="2" t="s">
        <v>6459</v>
      </c>
      <c r="B2159" s="3">
        <v>1</v>
      </c>
    </row>
    <row r="2160" spans="1:2">
      <c r="A2160" s="2" t="s">
        <v>6471</v>
      </c>
      <c r="B2160" s="3">
        <v>1</v>
      </c>
    </row>
    <row r="2161" spans="1:2">
      <c r="A2161" s="2" t="s">
        <v>6477</v>
      </c>
      <c r="B2161" s="3">
        <v>1</v>
      </c>
    </row>
    <row r="2162" spans="1:2">
      <c r="A2162" s="2" t="s">
        <v>6489</v>
      </c>
      <c r="B2162" s="3">
        <v>1</v>
      </c>
    </row>
    <row r="2163" spans="1:2">
      <c r="A2163" s="2" t="s">
        <v>6495</v>
      </c>
      <c r="B2163" s="3">
        <v>1</v>
      </c>
    </row>
    <row r="2164" spans="1:2">
      <c r="A2164" s="2" t="s">
        <v>6504</v>
      </c>
      <c r="B2164" s="3">
        <v>1</v>
      </c>
    </row>
    <row r="2165" spans="1:2">
      <c r="A2165" s="2" t="s">
        <v>6510</v>
      </c>
      <c r="B2165" s="3">
        <v>1</v>
      </c>
    </row>
    <row r="2166" spans="1:2">
      <c r="A2166" s="2" t="s">
        <v>6525</v>
      </c>
      <c r="B2166" s="3">
        <v>1</v>
      </c>
    </row>
    <row r="2167" spans="1:2">
      <c r="A2167" s="2" t="s">
        <v>6528</v>
      </c>
      <c r="B2167" s="3">
        <v>1</v>
      </c>
    </row>
    <row r="2168" spans="1:2">
      <c r="A2168" s="2" t="s">
        <v>6534</v>
      </c>
      <c r="B2168" s="3">
        <v>1</v>
      </c>
    </row>
    <row r="2169" spans="1:2">
      <c r="A2169" s="2" t="s">
        <v>6549</v>
      </c>
      <c r="B2169" s="3">
        <v>1</v>
      </c>
    </row>
    <row r="2170" spans="1:2">
      <c r="A2170" s="2" t="s">
        <v>6555</v>
      </c>
      <c r="B2170" s="3">
        <v>1</v>
      </c>
    </row>
    <row r="2171" spans="1:2">
      <c r="A2171" s="2" t="s">
        <v>6558</v>
      </c>
      <c r="B2171" s="3">
        <v>1</v>
      </c>
    </row>
    <row r="2172" spans="1:2">
      <c r="A2172" s="2" t="s">
        <v>6570</v>
      </c>
      <c r="B2172" s="3">
        <v>1</v>
      </c>
    </row>
    <row r="2173" spans="1:2">
      <c r="A2173" s="2" t="s">
        <v>6585</v>
      </c>
      <c r="B2173" s="3">
        <v>1</v>
      </c>
    </row>
    <row r="2174" spans="1:2">
      <c r="A2174" s="2" t="s">
        <v>6591</v>
      </c>
      <c r="B2174" s="3">
        <v>1</v>
      </c>
    </row>
    <row r="2175" spans="1:2">
      <c r="A2175" s="2" t="s">
        <v>6603</v>
      </c>
      <c r="B2175" s="3">
        <v>1</v>
      </c>
    </row>
    <row r="2176" spans="1:2">
      <c r="A2176" s="2" t="s">
        <v>6606</v>
      </c>
      <c r="B2176" s="3">
        <v>1</v>
      </c>
    </row>
    <row r="2177" spans="1:2">
      <c r="A2177" s="2" t="s">
        <v>6618</v>
      </c>
      <c r="B2177" s="3">
        <v>1</v>
      </c>
    </row>
    <row r="2178" spans="1:2">
      <c r="A2178" s="2" t="s">
        <v>6624</v>
      </c>
      <c r="B2178" s="3">
        <v>1</v>
      </c>
    </row>
    <row r="2179" spans="1:2">
      <c r="A2179" s="2" t="s">
        <v>6639</v>
      </c>
      <c r="B2179" s="3">
        <v>1</v>
      </c>
    </row>
    <row r="2180" spans="1:2">
      <c r="A2180" s="2" t="s">
        <v>6645</v>
      </c>
      <c r="B2180" s="3">
        <v>1</v>
      </c>
    </row>
    <row r="2181" spans="1:2">
      <c r="A2181" s="2" t="s">
        <v>6651</v>
      </c>
      <c r="B2181" s="3">
        <v>1</v>
      </c>
    </row>
    <row r="2182" spans="1:2">
      <c r="A2182" s="2" t="s">
        <v>6663</v>
      </c>
      <c r="B2182" s="3">
        <v>1</v>
      </c>
    </row>
    <row r="2183" spans="1:2">
      <c r="A2183" s="2" t="s">
        <v>6669</v>
      </c>
      <c r="B2183" s="3">
        <v>1</v>
      </c>
    </row>
    <row r="2184" spans="1:2">
      <c r="A2184" s="2" t="s">
        <v>6681</v>
      </c>
      <c r="B2184" s="3">
        <v>1</v>
      </c>
    </row>
    <row r="2185" spans="1:2">
      <c r="A2185" s="2" t="s">
        <v>6696</v>
      </c>
      <c r="B2185" s="3">
        <v>1</v>
      </c>
    </row>
    <row r="2186" spans="1:2">
      <c r="A2186" s="2" t="s">
        <v>6702</v>
      </c>
      <c r="B2186" s="3">
        <v>1</v>
      </c>
    </row>
    <row r="2187" spans="1:2">
      <c r="A2187" s="2" t="s">
        <v>6714</v>
      </c>
      <c r="B2187" s="3">
        <v>1</v>
      </c>
    </row>
    <row r="2188" spans="1:2">
      <c r="A2188" s="2" t="s">
        <v>6717</v>
      </c>
      <c r="B2188" s="3">
        <v>1</v>
      </c>
    </row>
    <row r="2189" spans="1:2">
      <c r="A2189" s="2" t="s">
        <v>6720</v>
      </c>
      <c r="B2189" s="3">
        <v>1</v>
      </c>
    </row>
    <row r="2190" spans="1:2">
      <c r="A2190" s="2" t="s">
        <v>6732</v>
      </c>
      <c r="B2190" s="3">
        <v>1</v>
      </c>
    </row>
    <row r="2191" spans="1:2">
      <c r="A2191" s="2" t="s">
        <v>6747</v>
      </c>
      <c r="B2191" s="3">
        <v>1</v>
      </c>
    </row>
    <row r="2192" spans="1:2">
      <c r="A2192" s="2" t="s">
        <v>6753</v>
      </c>
      <c r="B2192" s="3">
        <v>1</v>
      </c>
    </row>
    <row r="2193" spans="1:2">
      <c r="A2193" s="2" t="s">
        <v>6765</v>
      </c>
      <c r="B2193" s="3">
        <v>1</v>
      </c>
    </row>
    <row r="2194" spans="1:2">
      <c r="A2194" s="2" t="s">
        <v>6771</v>
      </c>
      <c r="B2194" s="3">
        <v>1</v>
      </c>
    </row>
    <row r="2195" spans="1:2">
      <c r="A2195" s="2" t="s">
        <v>6777</v>
      </c>
      <c r="B2195" s="3">
        <v>1</v>
      </c>
    </row>
    <row r="2196" spans="1:2">
      <c r="A2196" s="2" t="s">
        <v>6789</v>
      </c>
      <c r="B2196" s="3">
        <v>1</v>
      </c>
    </row>
    <row r="2197" spans="1:2">
      <c r="A2197" s="2" t="s">
        <v>6792</v>
      </c>
      <c r="B2197" s="3">
        <v>1</v>
      </c>
    </row>
    <row r="2198" spans="1:2">
      <c r="A2198" s="2" t="s">
        <v>6798</v>
      </c>
      <c r="B2198" s="3">
        <v>1</v>
      </c>
    </row>
    <row r="2199" spans="1:2">
      <c r="A2199" s="2" t="s">
        <v>6810</v>
      </c>
      <c r="B2199" s="3">
        <v>1</v>
      </c>
    </row>
    <row r="2200" spans="1:2">
      <c r="A2200" s="2" t="s">
        <v>6816</v>
      </c>
      <c r="B2200" s="3">
        <v>1</v>
      </c>
    </row>
    <row r="2201" spans="1:2">
      <c r="A2201" s="2" t="s">
        <v>6828</v>
      </c>
      <c r="B2201" s="3">
        <v>1</v>
      </c>
    </row>
    <row r="2202" spans="1:2">
      <c r="A2202" s="2" t="s">
        <v>6843</v>
      </c>
      <c r="B2202" s="3">
        <v>1</v>
      </c>
    </row>
    <row r="2203" spans="1:2">
      <c r="A2203" s="2" t="s">
        <v>6849</v>
      </c>
      <c r="B2203" s="3">
        <v>1</v>
      </c>
    </row>
    <row r="2204" spans="1:2">
      <c r="A2204" s="2" t="s">
        <v>6852</v>
      </c>
      <c r="B2204" s="3">
        <v>1</v>
      </c>
    </row>
    <row r="2205" spans="1:2">
      <c r="A2205" s="2" t="s">
        <v>6864</v>
      </c>
      <c r="B2205" s="3">
        <v>1</v>
      </c>
    </row>
    <row r="2206" spans="1:2">
      <c r="A2206" s="2" t="s">
        <v>6870</v>
      </c>
      <c r="B2206" s="3">
        <v>1</v>
      </c>
    </row>
    <row r="2207" spans="1:2">
      <c r="A2207" s="2" t="s">
        <v>6882</v>
      </c>
      <c r="B2207" s="3">
        <v>1</v>
      </c>
    </row>
    <row r="2208" spans="1:2">
      <c r="A2208" s="2" t="s">
        <v>6888</v>
      </c>
      <c r="B2208" s="3">
        <v>1</v>
      </c>
    </row>
    <row r="2209" spans="1:2">
      <c r="A2209" s="2" t="s">
        <v>6900</v>
      </c>
      <c r="B2209" s="3">
        <v>1</v>
      </c>
    </row>
    <row r="2210" spans="1:2">
      <c r="A2210" s="2" t="s">
        <v>6909</v>
      </c>
      <c r="B2210" s="3">
        <v>1</v>
      </c>
    </row>
    <row r="2211" spans="1:2">
      <c r="A2211" s="2" t="s">
        <v>6912</v>
      </c>
      <c r="B2211" s="3">
        <v>1</v>
      </c>
    </row>
    <row r="2212" spans="1:2">
      <c r="A2212" s="2" t="s">
        <v>6267</v>
      </c>
      <c r="B2212" s="3">
        <v>1</v>
      </c>
    </row>
    <row r="2213" spans="1:2">
      <c r="A2213" s="2" t="s">
        <v>6276</v>
      </c>
      <c r="B2213" s="3">
        <v>1</v>
      </c>
    </row>
    <row r="2214" spans="1:2">
      <c r="A2214" s="2" t="s">
        <v>6288</v>
      </c>
      <c r="B2214" s="3">
        <v>1</v>
      </c>
    </row>
    <row r="2215" spans="1:2">
      <c r="A2215" s="2" t="s">
        <v>6297</v>
      </c>
      <c r="B2215" s="3">
        <v>1</v>
      </c>
    </row>
    <row r="2216" spans="1:2">
      <c r="A2216" s="2" t="s">
        <v>6321</v>
      </c>
      <c r="B2216" s="3">
        <v>1</v>
      </c>
    </row>
    <row r="2217" spans="1:2">
      <c r="A2217" s="2" t="s">
        <v>6330</v>
      </c>
      <c r="B2217" s="3">
        <v>1</v>
      </c>
    </row>
    <row r="2218" spans="1:2">
      <c r="A2218" s="2" t="s">
        <v>6339</v>
      </c>
      <c r="B2218" s="3">
        <v>1</v>
      </c>
    </row>
    <row r="2219" spans="1:2">
      <c r="A2219" s="2" t="s">
        <v>6348</v>
      </c>
      <c r="B2219" s="3">
        <v>1</v>
      </c>
    </row>
    <row r="2220" spans="1:2">
      <c r="A2220" s="2" t="s">
        <v>6357</v>
      </c>
      <c r="B2220" s="3">
        <v>1</v>
      </c>
    </row>
    <row r="2221" spans="1:2">
      <c r="A2221" s="2" t="s">
        <v>6369</v>
      </c>
      <c r="B2221" s="3">
        <v>1</v>
      </c>
    </row>
    <row r="2222" spans="1:2">
      <c r="A2222" s="2" t="s">
        <v>6378</v>
      </c>
      <c r="B2222" s="3">
        <v>1</v>
      </c>
    </row>
    <row r="2223" spans="1:2">
      <c r="A2223" s="2" t="s">
        <v>6387</v>
      </c>
      <c r="B2223" s="3">
        <v>1</v>
      </c>
    </row>
    <row r="2224" spans="1:2">
      <c r="A2224" s="2" t="s">
        <v>6396</v>
      </c>
      <c r="B2224" s="3">
        <v>1</v>
      </c>
    </row>
    <row r="2225" spans="1:2">
      <c r="A2225" s="2" t="s">
        <v>6405</v>
      </c>
      <c r="B2225" s="3">
        <v>1</v>
      </c>
    </row>
    <row r="2226" spans="1:2">
      <c r="A2226" s="2" t="s">
        <v>6417</v>
      </c>
      <c r="B2226" s="3">
        <v>1</v>
      </c>
    </row>
    <row r="2227" spans="1:2">
      <c r="A2227" s="2" t="s">
        <v>6420</v>
      </c>
      <c r="B2227" s="3">
        <v>1</v>
      </c>
    </row>
    <row r="2228" spans="1:2">
      <c r="A2228" s="2" t="s">
        <v>6432</v>
      </c>
      <c r="B2228" s="3">
        <v>1</v>
      </c>
    </row>
    <row r="2229" spans="1:2">
      <c r="A2229" s="2" t="s">
        <v>6441</v>
      </c>
      <c r="B2229" s="3">
        <v>1</v>
      </c>
    </row>
    <row r="2230" spans="1:2">
      <c r="A2230" s="2" t="s">
        <v>6447</v>
      </c>
      <c r="B2230" s="3">
        <v>1</v>
      </c>
    </row>
    <row r="2231" spans="1:2">
      <c r="A2231" s="2" t="s">
        <v>6456</v>
      </c>
      <c r="B2231" s="3">
        <v>1</v>
      </c>
    </row>
    <row r="2232" spans="1:2">
      <c r="A2232" s="2" t="s">
        <v>6465</v>
      </c>
      <c r="B2232" s="3">
        <v>1</v>
      </c>
    </row>
    <row r="2233" spans="1:2">
      <c r="A2233" s="2" t="s">
        <v>6474</v>
      </c>
      <c r="B2233" s="3">
        <v>1</v>
      </c>
    </row>
    <row r="2234" spans="1:2">
      <c r="A2234" s="2" t="s">
        <v>6483</v>
      </c>
      <c r="B2234" s="3">
        <v>1</v>
      </c>
    </row>
    <row r="2235" spans="1:2">
      <c r="A2235" s="2" t="s">
        <v>6492</v>
      </c>
      <c r="B2235" s="3">
        <v>1</v>
      </c>
    </row>
    <row r="2236" spans="1:2">
      <c r="A2236" s="2" t="s">
        <v>6501</v>
      </c>
      <c r="B2236" s="3">
        <v>1</v>
      </c>
    </row>
    <row r="2237" spans="1:2">
      <c r="A2237" s="2" t="s">
        <v>6507</v>
      </c>
      <c r="B2237" s="3">
        <v>1</v>
      </c>
    </row>
    <row r="2238" spans="1:2">
      <c r="A2238" s="2" t="s">
        <v>6519</v>
      </c>
      <c r="B2238" s="3">
        <v>1</v>
      </c>
    </row>
    <row r="2239" spans="1:2">
      <c r="A2239" s="2" t="s">
        <v>6531</v>
      </c>
      <c r="B2239" s="3">
        <v>1</v>
      </c>
    </row>
    <row r="2240" spans="1:2">
      <c r="A2240" s="2" t="s">
        <v>6540</v>
      </c>
      <c r="B2240" s="3">
        <v>1</v>
      </c>
    </row>
    <row r="2241" spans="1:2">
      <c r="A2241" s="2" t="s">
        <v>6543</v>
      </c>
      <c r="B2241" s="3">
        <v>1</v>
      </c>
    </row>
    <row r="2242" spans="1:2">
      <c r="A2242" s="2" t="s">
        <v>6552</v>
      </c>
      <c r="B2242" s="3">
        <v>1</v>
      </c>
    </row>
    <row r="2243" spans="1:2">
      <c r="A2243" s="2" t="s">
        <v>6564</v>
      </c>
      <c r="B2243" s="3">
        <v>1</v>
      </c>
    </row>
    <row r="2244" spans="1:2">
      <c r="A2244" s="2" t="s">
        <v>6573</v>
      </c>
      <c r="B2244" s="3">
        <v>1</v>
      </c>
    </row>
    <row r="2245" spans="1:2">
      <c r="A2245" s="2" t="s">
        <v>6576</v>
      </c>
      <c r="B2245" s="3">
        <v>1</v>
      </c>
    </row>
    <row r="2246" spans="1:2">
      <c r="A2246" s="2" t="s">
        <v>6582</v>
      </c>
      <c r="B2246" s="3">
        <v>1</v>
      </c>
    </row>
    <row r="2247" spans="1:2">
      <c r="A2247" s="2" t="s">
        <v>6588</v>
      </c>
      <c r="B2247" s="3">
        <v>1</v>
      </c>
    </row>
    <row r="2248" spans="1:2">
      <c r="A2248" s="2" t="s">
        <v>6597</v>
      </c>
      <c r="B2248" s="3">
        <v>1</v>
      </c>
    </row>
    <row r="2249" spans="1:2">
      <c r="A2249" s="2" t="s">
        <v>6609</v>
      </c>
      <c r="B2249" s="3">
        <v>1</v>
      </c>
    </row>
    <row r="2250" spans="1:2">
      <c r="A2250" s="2" t="s">
        <v>6615</v>
      </c>
      <c r="B2250" s="3">
        <v>1</v>
      </c>
    </row>
    <row r="2251" spans="1:2">
      <c r="A2251" s="2" t="s">
        <v>6621</v>
      </c>
      <c r="B2251" s="3">
        <v>1</v>
      </c>
    </row>
    <row r="2252" spans="1:2">
      <c r="A2252" s="2" t="s">
        <v>6630</v>
      </c>
      <c r="B2252" s="3">
        <v>1</v>
      </c>
    </row>
    <row r="2253" spans="1:2">
      <c r="A2253" s="2" t="s">
        <v>6642</v>
      </c>
      <c r="B2253" s="3">
        <v>1</v>
      </c>
    </row>
    <row r="2254" spans="1:2">
      <c r="A2254" s="2" t="s">
        <v>6648</v>
      </c>
      <c r="B2254" s="3">
        <v>1</v>
      </c>
    </row>
    <row r="2255" spans="1:2">
      <c r="A2255" s="2" t="s">
        <v>6657</v>
      </c>
      <c r="B2255" s="3">
        <v>1</v>
      </c>
    </row>
    <row r="2256" spans="1:2">
      <c r="A2256" s="2" t="s">
        <v>6666</v>
      </c>
      <c r="B2256" s="3">
        <v>1</v>
      </c>
    </row>
    <row r="2257" spans="1:2">
      <c r="A2257" s="2" t="s">
        <v>6675</v>
      </c>
      <c r="B2257" s="3">
        <v>1</v>
      </c>
    </row>
    <row r="2258" spans="1:2">
      <c r="A2258" s="2" t="s">
        <v>6684</v>
      </c>
      <c r="B2258" s="3">
        <v>1</v>
      </c>
    </row>
    <row r="2259" spans="1:2">
      <c r="A2259" s="2" t="s">
        <v>6690</v>
      </c>
      <c r="B2259" s="3">
        <v>1</v>
      </c>
    </row>
    <row r="2260" spans="1:2">
      <c r="A2260" s="2" t="s">
        <v>6699</v>
      </c>
      <c r="B2260" s="3">
        <v>1</v>
      </c>
    </row>
    <row r="2261" spans="1:2">
      <c r="A2261" s="2" t="s">
        <v>6708</v>
      </c>
      <c r="B2261" s="3">
        <v>1</v>
      </c>
    </row>
    <row r="2262" spans="1:2">
      <c r="A2262" s="2" t="s">
        <v>6726</v>
      </c>
      <c r="B2262" s="3">
        <v>1</v>
      </c>
    </row>
    <row r="2263" spans="1:2">
      <c r="A2263" s="2" t="s">
        <v>6735</v>
      </c>
      <c r="B2263" s="3">
        <v>1</v>
      </c>
    </row>
    <row r="2264" spans="1:2">
      <c r="A2264" s="2" t="s">
        <v>6741</v>
      </c>
      <c r="B2264" s="3">
        <v>1</v>
      </c>
    </row>
    <row r="2265" spans="1:2">
      <c r="A2265" s="2" t="s">
        <v>6750</v>
      </c>
      <c r="B2265" s="3">
        <v>1</v>
      </c>
    </row>
    <row r="2266" spans="1:2">
      <c r="A2266" s="2" t="s">
        <v>6759</v>
      </c>
      <c r="B2266" s="3">
        <v>1</v>
      </c>
    </row>
    <row r="2267" spans="1:2">
      <c r="A2267" s="2" t="s">
        <v>6768</v>
      </c>
      <c r="B2267" s="3">
        <v>1</v>
      </c>
    </row>
    <row r="2268" spans="1:2">
      <c r="A2268" s="2" t="s">
        <v>6774</v>
      </c>
      <c r="B2268" s="3">
        <v>1</v>
      </c>
    </row>
    <row r="2269" spans="1:2">
      <c r="A2269" s="2" t="s">
        <v>6783</v>
      </c>
      <c r="B2269" s="3">
        <v>1</v>
      </c>
    </row>
    <row r="2270" spans="1:2">
      <c r="A2270" s="2" t="s">
        <v>6795</v>
      </c>
      <c r="B2270" s="3">
        <v>1</v>
      </c>
    </row>
    <row r="2271" spans="1:2">
      <c r="A2271" s="2" t="s">
        <v>6804</v>
      </c>
      <c r="B2271" s="3">
        <v>1</v>
      </c>
    </row>
    <row r="2272" spans="1:2">
      <c r="A2272" s="2" t="s">
        <v>6813</v>
      </c>
      <c r="B2272" s="3">
        <v>1</v>
      </c>
    </row>
    <row r="2273" spans="1:2">
      <c r="A2273" s="2" t="s">
        <v>6822</v>
      </c>
      <c r="B2273" s="3">
        <v>1</v>
      </c>
    </row>
    <row r="2274" spans="1:2">
      <c r="A2274" s="2" t="s">
        <v>6831</v>
      </c>
      <c r="B2274" s="3">
        <v>1</v>
      </c>
    </row>
    <row r="2275" spans="1:2">
      <c r="A2275" s="2" t="s">
        <v>6837</v>
      </c>
      <c r="B2275" s="3">
        <v>1</v>
      </c>
    </row>
    <row r="2276" spans="1:2">
      <c r="A2276" s="2" t="s">
        <v>6846</v>
      </c>
      <c r="B2276" s="3">
        <v>1</v>
      </c>
    </row>
    <row r="2277" spans="1:2">
      <c r="A2277" s="2" t="s">
        <v>6861</v>
      </c>
      <c r="B2277" s="3">
        <v>1</v>
      </c>
    </row>
    <row r="2278" spans="1:2">
      <c r="A2278" s="2" t="s">
        <v>6867</v>
      </c>
      <c r="B2278" s="3">
        <v>1</v>
      </c>
    </row>
    <row r="2279" spans="1:2">
      <c r="A2279" s="2" t="s">
        <v>6876</v>
      </c>
      <c r="B2279" s="3">
        <v>1</v>
      </c>
    </row>
    <row r="2280" spans="1:2">
      <c r="A2280" s="2" t="s">
        <v>6885</v>
      </c>
      <c r="B2280" s="3">
        <v>1</v>
      </c>
    </row>
    <row r="2281" spans="1:2">
      <c r="A2281" s="2" t="s">
        <v>6894</v>
      </c>
      <c r="B2281" s="3">
        <v>1</v>
      </c>
    </row>
    <row r="2282" spans="1:2">
      <c r="A2282" s="2" t="s">
        <v>6903</v>
      </c>
      <c r="B2282" s="3">
        <v>1</v>
      </c>
    </row>
    <row r="2283" spans="1:2">
      <c r="A2283" s="2" t="s">
        <v>6906</v>
      </c>
      <c r="B2283" s="3">
        <v>1</v>
      </c>
    </row>
    <row r="2284" spans="1:2">
      <c r="A2284" s="2" t="s">
        <v>6918</v>
      </c>
      <c r="B2284" s="3">
        <v>1</v>
      </c>
    </row>
    <row r="2285" spans="1:2">
      <c r="A2285" s="2" t="s">
        <v>6924</v>
      </c>
      <c r="B2285" s="3">
        <v>1</v>
      </c>
    </row>
    <row r="2286" spans="1:2">
      <c r="A2286" s="2" t="s">
        <v>6933</v>
      </c>
      <c r="B2286" s="3">
        <v>1</v>
      </c>
    </row>
    <row r="2287" spans="1:2">
      <c r="A2287" s="2" t="s">
        <v>6939</v>
      </c>
      <c r="B2287" s="3">
        <v>1</v>
      </c>
    </row>
    <row r="2288" spans="1:2">
      <c r="A2288" s="2" t="s">
        <v>6954</v>
      </c>
      <c r="B2288" s="3">
        <v>1</v>
      </c>
    </row>
    <row r="2289" spans="1:2">
      <c r="A2289" s="2" t="s">
        <v>6963</v>
      </c>
      <c r="B2289" s="3">
        <v>1</v>
      </c>
    </row>
    <row r="2290" spans="1:2">
      <c r="A2290" s="2" t="s">
        <v>6972</v>
      </c>
      <c r="B2290" s="3">
        <v>1</v>
      </c>
    </row>
    <row r="2291" spans="1:2">
      <c r="A2291" s="2" t="s">
        <v>6984</v>
      </c>
      <c r="B2291" s="3">
        <v>1</v>
      </c>
    </row>
    <row r="2292" spans="1:2">
      <c r="A2292" s="2" t="s">
        <v>6993</v>
      </c>
      <c r="B2292" s="3">
        <v>1</v>
      </c>
    </row>
    <row r="2293" spans="1:2">
      <c r="A2293" s="2" t="s">
        <v>7002</v>
      </c>
      <c r="B2293" s="3">
        <v>1</v>
      </c>
    </row>
    <row r="2294" spans="1:2">
      <c r="A2294" s="2" t="s">
        <v>7011</v>
      </c>
      <c r="B2294" s="3">
        <v>1</v>
      </c>
    </row>
    <row r="2295" spans="1:2">
      <c r="A2295" s="2" t="s">
        <v>7020</v>
      </c>
      <c r="B2295" s="3">
        <v>1</v>
      </c>
    </row>
    <row r="2296" spans="1:2">
      <c r="A2296" s="2" t="s">
        <v>7032</v>
      </c>
      <c r="B2296" s="3">
        <v>1</v>
      </c>
    </row>
    <row r="2297" spans="1:2">
      <c r="A2297" s="2" t="s">
        <v>7050</v>
      </c>
      <c r="B2297" s="3">
        <v>1</v>
      </c>
    </row>
    <row r="2298" spans="1:2">
      <c r="A2298" s="2" t="s">
        <v>7056</v>
      </c>
      <c r="B2298" s="3">
        <v>1</v>
      </c>
    </row>
    <row r="2299" spans="1:2">
      <c r="A2299" s="2" t="s">
        <v>7065</v>
      </c>
      <c r="B2299" s="3">
        <v>1</v>
      </c>
    </row>
    <row r="2300" spans="1:2">
      <c r="A2300" s="2" t="s">
        <v>7074</v>
      </c>
      <c r="B2300" s="3">
        <v>1</v>
      </c>
    </row>
    <row r="2301" spans="1:2">
      <c r="A2301" s="2" t="s">
        <v>7083</v>
      </c>
      <c r="B2301" s="3">
        <v>1</v>
      </c>
    </row>
    <row r="2302" spans="1:2">
      <c r="A2302" s="2" t="s">
        <v>7086</v>
      </c>
      <c r="B2302" s="3">
        <v>1</v>
      </c>
    </row>
    <row r="2303" spans="1:2">
      <c r="A2303" s="2" t="s">
        <v>6786</v>
      </c>
      <c r="B2303" s="3">
        <v>1</v>
      </c>
    </row>
    <row r="2304" spans="1:2">
      <c r="A2304" s="2" t="s">
        <v>6801</v>
      </c>
      <c r="B2304" s="3">
        <v>1</v>
      </c>
    </row>
    <row r="2305" spans="1:2">
      <c r="A2305" s="2" t="s">
        <v>6807</v>
      </c>
      <c r="B2305" s="3">
        <v>1</v>
      </c>
    </row>
    <row r="2306" spans="1:2">
      <c r="A2306" s="2" t="s">
        <v>6819</v>
      </c>
      <c r="B2306" s="3">
        <v>1</v>
      </c>
    </row>
    <row r="2307" spans="1:2">
      <c r="A2307" s="2" t="s">
        <v>6825</v>
      </c>
      <c r="B2307" s="3">
        <v>1</v>
      </c>
    </row>
    <row r="2308" spans="1:2">
      <c r="A2308" s="2" t="s">
        <v>6834</v>
      </c>
      <c r="B2308" s="3">
        <v>1</v>
      </c>
    </row>
    <row r="2309" spans="1:2">
      <c r="A2309" s="2" t="s">
        <v>6840</v>
      </c>
      <c r="B2309" s="3">
        <v>1</v>
      </c>
    </row>
    <row r="2310" spans="1:2">
      <c r="A2310" s="2" t="s">
        <v>6855</v>
      </c>
      <c r="B2310" s="3">
        <v>1</v>
      </c>
    </row>
    <row r="2311" spans="1:2">
      <c r="A2311" s="2" t="s">
        <v>6858</v>
      </c>
      <c r="B2311" s="3">
        <v>1</v>
      </c>
    </row>
    <row r="2312" spans="1:2">
      <c r="A2312" s="2" t="s">
        <v>6873</v>
      </c>
      <c r="B2312" s="3">
        <v>1</v>
      </c>
    </row>
    <row r="2313" spans="1:2">
      <c r="A2313" s="2" t="s">
        <v>6879</v>
      </c>
      <c r="B2313" s="3">
        <v>1</v>
      </c>
    </row>
    <row r="2314" spans="1:2">
      <c r="A2314" s="2" t="s">
        <v>6891</v>
      </c>
      <c r="B2314" s="3">
        <v>1</v>
      </c>
    </row>
    <row r="2315" spans="1:2">
      <c r="A2315" s="2" t="s">
        <v>6897</v>
      </c>
      <c r="B2315" s="3">
        <v>1</v>
      </c>
    </row>
    <row r="2316" spans="1:2">
      <c r="A2316" s="2" t="s">
        <v>6915</v>
      </c>
      <c r="B2316" s="3">
        <v>1</v>
      </c>
    </row>
    <row r="2317" spans="1:2">
      <c r="A2317" s="2" t="s">
        <v>6921</v>
      </c>
      <c r="B2317" s="3">
        <v>1</v>
      </c>
    </row>
    <row r="2318" spans="1:2">
      <c r="A2318" s="2" t="s">
        <v>6930</v>
      </c>
      <c r="B2318" s="3">
        <v>1</v>
      </c>
    </row>
    <row r="2319" spans="1:2">
      <c r="A2319" s="2" t="s">
        <v>6936</v>
      </c>
      <c r="B2319" s="3">
        <v>1</v>
      </c>
    </row>
    <row r="2320" spans="1:2">
      <c r="A2320" s="2" t="s">
        <v>6942</v>
      </c>
      <c r="B2320" s="3">
        <v>1</v>
      </c>
    </row>
    <row r="2321" spans="1:2">
      <c r="A2321" s="2" t="s">
        <v>6951</v>
      </c>
      <c r="B2321" s="3">
        <v>1</v>
      </c>
    </row>
    <row r="2322" spans="1:2">
      <c r="A2322" s="2" t="s">
        <v>6969</v>
      </c>
      <c r="B2322" s="3">
        <v>1</v>
      </c>
    </row>
    <row r="2323" spans="1:2">
      <c r="A2323" s="2" t="s">
        <v>6975</v>
      </c>
      <c r="B2323" s="3">
        <v>1</v>
      </c>
    </row>
    <row r="2324" spans="1:2">
      <c r="A2324" s="2" t="s">
        <v>6978</v>
      </c>
      <c r="B2324" s="3">
        <v>1</v>
      </c>
    </row>
    <row r="2325" spans="1:2">
      <c r="A2325" s="2" t="s">
        <v>6990</v>
      </c>
      <c r="B2325" s="3">
        <v>1</v>
      </c>
    </row>
    <row r="2326" spans="1:2">
      <c r="A2326" s="2" t="s">
        <v>6996</v>
      </c>
      <c r="B2326" s="3">
        <v>1</v>
      </c>
    </row>
    <row r="2327" spans="1:2">
      <c r="A2327" s="2" t="s">
        <v>7008</v>
      </c>
      <c r="B2327" s="3">
        <v>1</v>
      </c>
    </row>
    <row r="2328" spans="1:2">
      <c r="A2328" s="2" t="s">
        <v>7014</v>
      </c>
      <c r="B2328" s="3">
        <v>1</v>
      </c>
    </row>
    <row r="2329" spans="1:2">
      <c r="A2329" s="2" t="s">
        <v>7026</v>
      </c>
      <c r="B2329" s="3">
        <v>1</v>
      </c>
    </row>
    <row r="2330" spans="1:2">
      <c r="A2330" s="2" t="s">
        <v>7029</v>
      </c>
      <c r="B2330" s="3">
        <v>1</v>
      </c>
    </row>
    <row r="2331" spans="1:2">
      <c r="A2331" s="2" t="s">
        <v>7035</v>
      </c>
      <c r="B2331" s="3">
        <v>1</v>
      </c>
    </row>
    <row r="2332" spans="1:2">
      <c r="A2332" s="2" t="s">
        <v>7038</v>
      </c>
      <c r="B2332" s="3">
        <v>1</v>
      </c>
    </row>
    <row r="2333" spans="1:2">
      <c r="A2333" s="2" t="s">
        <v>7047</v>
      </c>
      <c r="B2333" s="3">
        <v>1</v>
      </c>
    </row>
    <row r="2334" spans="1:2">
      <c r="A2334" s="2" t="s">
        <v>7062</v>
      </c>
      <c r="B2334" s="3">
        <v>1</v>
      </c>
    </row>
    <row r="2335" spans="1:2">
      <c r="A2335" s="2" t="s">
        <v>7068</v>
      </c>
      <c r="B2335" s="3">
        <v>1</v>
      </c>
    </row>
    <row r="2336" spans="1:2">
      <c r="A2336" s="2" t="s">
        <v>7080</v>
      </c>
      <c r="B2336" s="3">
        <v>1</v>
      </c>
    </row>
    <row r="2337" spans="1:2">
      <c r="A2337" s="2" t="s">
        <v>7092</v>
      </c>
      <c r="B2337" s="3">
        <v>1</v>
      </c>
    </row>
    <row r="2338" spans="1:2">
      <c r="A2338" s="2" t="s">
        <v>7098</v>
      </c>
      <c r="B2338" s="3">
        <v>1</v>
      </c>
    </row>
    <row r="2339" spans="1:2">
      <c r="A2339" s="2" t="s">
        <v>7110</v>
      </c>
      <c r="B2339" s="3">
        <v>1</v>
      </c>
    </row>
    <row r="2340" spans="1:2">
      <c r="A2340" s="2" t="s">
        <v>7116</v>
      </c>
      <c r="B2340" s="3">
        <v>1</v>
      </c>
    </row>
    <row r="2341" spans="1:2">
      <c r="A2341" s="2" t="s">
        <v>7128</v>
      </c>
      <c r="B2341" s="3">
        <v>1</v>
      </c>
    </row>
    <row r="2342" spans="1:2">
      <c r="A2342" s="2" t="s">
        <v>7134</v>
      </c>
      <c r="B2342" s="3">
        <v>1</v>
      </c>
    </row>
    <row r="2343" spans="1:2">
      <c r="A2343" s="2" t="s">
        <v>7143</v>
      </c>
      <c r="B2343" s="3">
        <v>1</v>
      </c>
    </row>
    <row r="2344" spans="1:2">
      <c r="A2344" s="2" t="s">
        <v>7149</v>
      </c>
      <c r="B2344" s="3">
        <v>1</v>
      </c>
    </row>
    <row r="2345" spans="1:2">
      <c r="A2345" s="2" t="s">
        <v>7164</v>
      </c>
      <c r="B2345" s="3">
        <v>1</v>
      </c>
    </row>
    <row r="2346" spans="1:2">
      <c r="A2346" s="2" t="s">
        <v>7179</v>
      </c>
      <c r="B2346" s="3">
        <v>1</v>
      </c>
    </row>
    <row r="2347" spans="1:2">
      <c r="A2347" s="2" t="s">
        <v>7182</v>
      </c>
      <c r="B2347" s="3">
        <v>1</v>
      </c>
    </row>
    <row r="2348" spans="1:2">
      <c r="A2348" s="2" t="s">
        <v>7188</v>
      </c>
      <c r="B2348" s="3">
        <v>1</v>
      </c>
    </row>
    <row r="2349" spans="1:2">
      <c r="A2349" s="2" t="s">
        <v>7200</v>
      </c>
      <c r="B2349" s="3">
        <v>1</v>
      </c>
    </row>
    <row r="2350" spans="1:2">
      <c r="A2350" s="2" t="s">
        <v>7203</v>
      </c>
      <c r="B2350" s="3">
        <v>1</v>
      </c>
    </row>
    <row r="2351" spans="1:2">
      <c r="A2351" s="2" t="s">
        <v>7209</v>
      </c>
      <c r="B2351" s="3">
        <v>1</v>
      </c>
    </row>
    <row r="2352" spans="1:2">
      <c r="A2352" s="2" t="s">
        <v>7212</v>
      </c>
      <c r="B2352" s="3">
        <v>1</v>
      </c>
    </row>
    <row r="2353" spans="1:2">
      <c r="A2353" s="2" t="s">
        <v>7221</v>
      </c>
      <c r="B2353" s="3">
        <v>1</v>
      </c>
    </row>
    <row r="2354" spans="1:2">
      <c r="A2354" s="2" t="s">
        <v>7227</v>
      </c>
      <c r="B2354" s="3">
        <v>1</v>
      </c>
    </row>
    <row r="2355" spans="1:2">
      <c r="A2355" s="2" t="s">
        <v>7239</v>
      </c>
      <c r="B2355" s="3">
        <v>1</v>
      </c>
    </row>
    <row r="2356" spans="1:2">
      <c r="A2356" s="2" t="s">
        <v>7245</v>
      </c>
      <c r="B2356" s="3">
        <v>1</v>
      </c>
    </row>
    <row r="2357" spans="1:2">
      <c r="A2357" s="2" t="s">
        <v>7260</v>
      </c>
      <c r="B2357" s="3">
        <v>1</v>
      </c>
    </row>
    <row r="2358" spans="1:2">
      <c r="A2358" s="2" t="s">
        <v>7263</v>
      </c>
      <c r="B2358" s="3">
        <v>1</v>
      </c>
    </row>
    <row r="2359" spans="1:2">
      <c r="A2359" s="2" t="s">
        <v>7269</v>
      </c>
      <c r="B2359" s="3">
        <v>1</v>
      </c>
    </row>
    <row r="2360" spans="1:2">
      <c r="A2360" s="2" t="s">
        <v>7287</v>
      </c>
      <c r="B2360" s="3">
        <v>1</v>
      </c>
    </row>
    <row r="2361" spans="1:2">
      <c r="A2361" s="2" t="s">
        <v>7293</v>
      </c>
      <c r="B2361" s="3">
        <v>1</v>
      </c>
    </row>
    <row r="2362" spans="1:2">
      <c r="A2362" s="2" t="s">
        <v>7308</v>
      </c>
      <c r="B2362" s="3">
        <v>1</v>
      </c>
    </row>
    <row r="2363" spans="1:2">
      <c r="A2363" s="2" t="s">
        <v>7311</v>
      </c>
      <c r="B2363" s="3">
        <v>1</v>
      </c>
    </row>
    <row r="2364" spans="1:2">
      <c r="A2364" s="2" t="s">
        <v>7320</v>
      </c>
      <c r="B2364" s="3">
        <v>1</v>
      </c>
    </row>
    <row r="2365" spans="1:2">
      <c r="A2365" s="2" t="s">
        <v>7332</v>
      </c>
      <c r="B2365" s="3">
        <v>1</v>
      </c>
    </row>
    <row r="2366" spans="1:2">
      <c r="A2366" s="2" t="s">
        <v>7338</v>
      </c>
      <c r="B2366" s="3">
        <v>1</v>
      </c>
    </row>
    <row r="2367" spans="1:2">
      <c r="A2367" s="2" t="s">
        <v>7353</v>
      </c>
      <c r="B2367" s="3">
        <v>1</v>
      </c>
    </row>
    <row r="2368" spans="1:2">
      <c r="A2368" s="2" t="s">
        <v>7371</v>
      </c>
      <c r="B2368" s="3">
        <v>1</v>
      </c>
    </row>
    <row r="2369" spans="1:2">
      <c r="A2369" s="2" t="s">
        <v>7377</v>
      </c>
      <c r="B2369" s="3">
        <v>1</v>
      </c>
    </row>
    <row r="2370" spans="1:2">
      <c r="A2370" s="2" t="s">
        <v>7389</v>
      </c>
      <c r="B2370" s="3">
        <v>1</v>
      </c>
    </row>
    <row r="2371" spans="1:2">
      <c r="A2371" s="2" t="s">
        <v>7395</v>
      </c>
      <c r="B2371" s="3">
        <v>1</v>
      </c>
    </row>
    <row r="2372" spans="1:2">
      <c r="A2372" s="2" t="s">
        <v>7407</v>
      </c>
      <c r="B2372" s="3">
        <v>1</v>
      </c>
    </row>
    <row r="2373" spans="1:2">
      <c r="A2373" s="2" t="s">
        <v>7413</v>
      </c>
      <c r="B2373" s="3">
        <v>1</v>
      </c>
    </row>
    <row r="2374" spans="1:2">
      <c r="A2374" s="2" t="s">
        <v>7425</v>
      </c>
      <c r="B2374" s="3">
        <v>1</v>
      </c>
    </row>
    <row r="2375" spans="1:2">
      <c r="A2375" s="2" t="s">
        <v>7431</v>
      </c>
      <c r="B2375" s="3">
        <v>1</v>
      </c>
    </row>
    <row r="2376" spans="1:2">
      <c r="A2376" s="2" t="s">
        <v>7434</v>
      </c>
      <c r="B2376" s="3">
        <v>1</v>
      </c>
    </row>
    <row r="2377" spans="1:2">
      <c r="A2377" s="2" t="s">
        <v>7449</v>
      </c>
      <c r="B2377" s="3">
        <v>1</v>
      </c>
    </row>
    <row r="2378" spans="1:2">
      <c r="A2378" s="2" t="s">
        <v>7464</v>
      </c>
      <c r="B2378" s="3">
        <v>1</v>
      </c>
    </row>
    <row r="2379" spans="1:2">
      <c r="A2379" s="2" t="s">
        <v>7470</v>
      </c>
      <c r="B2379" s="3">
        <v>1</v>
      </c>
    </row>
    <row r="2380" spans="1:2">
      <c r="A2380" s="2" t="s">
        <v>7485</v>
      </c>
      <c r="B2380" s="3">
        <v>1</v>
      </c>
    </row>
    <row r="2381" spans="1:2">
      <c r="A2381" s="2" t="s">
        <v>7503</v>
      </c>
      <c r="B2381" s="3">
        <v>1</v>
      </c>
    </row>
    <row r="2382" spans="1:2">
      <c r="A2382" s="2" t="s">
        <v>7509</v>
      </c>
      <c r="B2382" s="3">
        <v>1</v>
      </c>
    </row>
    <row r="2383" spans="1:2">
      <c r="A2383" s="2" t="s">
        <v>7521</v>
      </c>
      <c r="B2383" s="3">
        <v>1</v>
      </c>
    </row>
    <row r="2384" spans="1:2">
      <c r="A2384" s="2" t="s">
        <v>7527</v>
      </c>
      <c r="B2384" s="3">
        <v>1</v>
      </c>
    </row>
    <row r="2385" spans="1:2">
      <c r="A2385" s="2" t="s">
        <v>7539</v>
      </c>
      <c r="B2385" s="3">
        <v>1</v>
      </c>
    </row>
    <row r="2386" spans="1:2">
      <c r="A2386" s="2" t="s">
        <v>7545</v>
      </c>
      <c r="B2386" s="3">
        <v>1</v>
      </c>
    </row>
    <row r="2387" spans="1:2">
      <c r="A2387" s="2" t="s">
        <v>7548</v>
      </c>
      <c r="B2387" s="3">
        <v>1</v>
      </c>
    </row>
    <row r="2388" spans="1:2">
      <c r="A2388" s="2" t="s">
        <v>7563</v>
      </c>
      <c r="B2388" s="3">
        <v>1</v>
      </c>
    </row>
    <row r="2389" spans="1:2">
      <c r="A2389" s="2" t="s">
        <v>7569</v>
      </c>
      <c r="B2389" s="3">
        <v>1</v>
      </c>
    </row>
    <row r="2390" spans="1:2">
      <c r="A2390" s="2" t="s">
        <v>7581</v>
      </c>
      <c r="B2390" s="3">
        <v>1</v>
      </c>
    </row>
    <row r="2391" spans="1:2">
      <c r="A2391" s="2" t="s">
        <v>7587</v>
      </c>
      <c r="B2391" s="3">
        <v>1</v>
      </c>
    </row>
    <row r="2392" spans="1:2">
      <c r="A2392" s="2" t="s">
        <v>7593</v>
      </c>
      <c r="B2392" s="3">
        <v>1</v>
      </c>
    </row>
    <row r="2393" spans="1:2">
      <c r="A2393" s="2" t="s">
        <v>6927</v>
      </c>
      <c r="B2393" s="3">
        <v>1</v>
      </c>
    </row>
    <row r="2394" spans="1:2">
      <c r="A2394" s="2" t="s">
        <v>6945</v>
      </c>
      <c r="B2394" s="3">
        <v>1</v>
      </c>
    </row>
    <row r="2395" spans="1:2">
      <c r="A2395" s="2" t="s">
        <v>6948</v>
      </c>
      <c r="B2395" s="3">
        <v>1</v>
      </c>
    </row>
    <row r="2396" spans="1:2">
      <c r="A2396" s="2" t="s">
        <v>6957</v>
      </c>
      <c r="B2396" s="3">
        <v>1</v>
      </c>
    </row>
    <row r="2397" spans="1:2">
      <c r="A2397" s="2" t="s">
        <v>6960</v>
      </c>
      <c r="B2397" s="3">
        <v>1</v>
      </c>
    </row>
    <row r="2398" spans="1:2">
      <c r="A2398" s="2" t="s">
        <v>6966</v>
      </c>
      <c r="B2398" s="3">
        <v>1</v>
      </c>
    </row>
    <row r="2399" spans="1:2">
      <c r="A2399" s="2" t="s">
        <v>6981</v>
      </c>
      <c r="B2399" s="3">
        <v>1</v>
      </c>
    </row>
    <row r="2400" spans="1:2">
      <c r="A2400" s="2" t="s">
        <v>6987</v>
      </c>
      <c r="B2400" s="3">
        <v>1</v>
      </c>
    </row>
    <row r="2401" spans="1:2">
      <c r="A2401" s="2" t="s">
        <v>6999</v>
      </c>
      <c r="B2401" s="3">
        <v>1</v>
      </c>
    </row>
    <row r="2402" spans="1:2">
      <c r="A2402" s="2" t="s">
        <v>7005</v>
      </c>
      <c r="B2402" s="3">
        <v>1</v>
      </c>
    </row>
    <row r="2403" spans="1:2">
      <c r="A2403" s="2" t="s">
        <v>7017</v>
      </c>
      <c r="B2403" s="3">
        <v>1</v>
      </c>
    </row>
    <row r="2404" spans="1:2">
      <c r="A2404" s="2" t="s">
        <v>7023</v>
      </c>
      <c r="B2404" s="3">
        <v>1</v>
      </c>
    </row>
    <row r="2405" spans="1:2">
      <c r="A2405" s="2" t="s">
        <v>7041</v>
      </c>
      <c r="B2405" s="3">
        <v>1</v>
      </c>
    </row>
    <row r="2406" spans="1:2">
      <c r="A2406" s="2" t="s">
        <v>7044</v>
      </c>
      <c r="B2406" s="3">
        <v>1</v>
      </c>
    </row>
    <row r="2407" spans="1:2">
      <c r="A2407" s="2" t="s">
        <v>7053</v>
      </c>
      <c r="B2407" s="3">
        <v>1</v>
      </c>
    </row>
    <row r="2408" spans="1:2">
      <c r="A2408" s="2" t="s">
        <v>7059</v>
      </c>
      <c r="B2408" s="3">
        <v>1</v>
      </c>
    </row>
    <row r="2409" spans="1:2">
      <c r="A2409" s="2" t="s">
        <v>7071</v>
      </c>
      <c r="B2409" s="3">
        <v>1</v>
      </c>
    </row>
    <row r="2410" spans="1:2">
      <c r="A2410" s="2" t="s">
        <v>7077</v>
      </c>
      <c r="B2410" s="3">
        <v>1</v>
      </c>
    </row>
    <row r="2411" spans="1:2">
      <c r="A2411" s="2" t="s">
        <v>7089</v>
      </c>
      <c r="B2411" s="3">
        <v>1</v>
      </c>
    </row>
    <row r="2412" spans="1:2">
      <c r="A2412" s="2" t="s">
        <v>7101</v>
      </c>
      <c r="B2412" s="3">
        <v>1</v>
      </c>
    </row>
    <row r="2413" spans="1:2">
      <c r="A2413" s="2" t="s">
        <v>7104</v>
      </c>
      <c r="B2413" s="3">
        <v>1</v>
      </c>
    </row>
    <row r="2414" spans="1:2">
      <c r="A2414" s="2" t="s">
        <v>7119</v>
      </c>
      <c r="B2414" s="3">
        <v>1</v>
      </c>
    </row>
    <row r="2415" spans="1:2">
      <c r="A2415" s="2" t="s">
        <v>7125</v>
      </c>
      <c r="B2415" s="3">
        <v>1</v>
      </c>
    </row>
    <row r="2416" spans="1:2">
      <c r="A2416" s="2" t="s">
        <v>7140</v>
      </c>
      <c r="B2416" s="3">
        <v>1</v>
      </c>
    </row>
    <row r="2417" spans="1:2">
      <c r="A2417" s="2" t="s">
        <v>7152</v>
      </c>
      <c r="B2417" s="3">
        <v>1</v>
      </c>
    </row>
    <row r="2418" spans="1:2">
      <c r="A2418" s="2" t="s">
        <v>7158</v>
      </c>
      <c r="B2418" s="3">
        <v>1</v>
      </c>
    </row>
    <row r="2419" spans="1:2">
      <c r="A2419" s="2" t="s">
        <v>7167</v>
      </c>
      <c r="B2419" s="3">
        <v>1</v>
      </c>
    </row>
    <row r="2420" spans="1:2">
      <c r="A2420" s="2" t="s">
        <v>7173</v>
      </c>
      <c r="B2420" s="3">
        <v>1</v>
      </c>
    </row>
    <row r="2421" spans="1:2">
      <c r="A2421" s="2" t="s">
        <v>7176</v>
      </c>
      <c r="B2421" s="3">
        <v>1</v>
      </c>
    </row>
    <row r="2422" spans="1:2">
      <c r="A2422" s="2" t="s">
        <v>7191</v>
      </c>
      <c r="B2422" s="3">
        <v>1</v>
      </c>
    </row>
    <row r="2423" spans="1:2">
      <c r="A2423" s="2" t="s">
        <v>7197</v>
      </c>
      <c r="B2423" s="3">
        <v>1</v>
      </c>
    </row>
    <row r="2424" spans="1:2">
      <c r="A2424" s="2" t="s">
        <v>7215</v>
      </c>
      <c r="B2424" s="3">
        <v>1</v>
      </c>
    </row>
    <row r="2425" spans="1:2">
      <c r="A2425" s="2" t="s">
        <v>7218</v>
      </c>
      <c r="B2425" s="3">
        <v>1</v>
      </c>
    </row>
    <row r="2426" spans="1:2">
      <c r="A2426" s="2" t="s">
        <v>7230</v>
      </c>
      <c r="B2426" s="3">
        <v>1</v>
      </c>
    </row>
    <row r="2427" spans="1:2">
      <c r="A2427" s="2" t="s">
        <v>7236</v>
      </c>
      <c r="B2427" s="3">
        <v>1</v>
      </c>
    </row>
    <row r="2428" spans="1:2">
      <c r="A2428" s="2" t="s">
        <v>7251</v>
      </c>
      <c r="B2428" s="3">
        <v>1</v>
      </c>
    </row>
    <row r="2429" spans="1:2">
      <c r="A2429" s="2" t="s">
        <v>7257</v>
      </c>
      <c r="B2429" s="3">
        <v>1</v>
      </c>
    </row>
    <row r="2430" spans="1:2">
      <c r="A2430" s="2" t="s">
        <v>7272</v>
      </c>
      <c r="B2430" s="3">
        <v>1</v>
      </c>
    </row>
    <row r="2431" spans="1:2">
      <c r="A2431" s="2" t="s">
        <v>7278</v>
      </c>
      <c r="B2431" s="3">
        <v>1</v>
      </c>
    </row>
    <row r="2432" spans="1:2">
      <c r="A2432" s="2" t="s">
        <v>7284</v>
      </c>
      <c r="B2432" s="3">
        <v>1</v>
      </c>
    </row>
    <row r="2433" spans="1:2">
      <c r="A2433" s="2" t="s">
        <v>7296</v>
      </c>
      <c r="B2433" s="3">
        <v>1</v>
      </c>
    </row>
    <row r="2434" spans="1:2">
      <c r="A2434" s="2" t="s">
        <v>7302</v>
      </c>
      <c r="B2434" s="3">
        <v>1</v>
      </c>
    </row>
    <row r="2435" spans="1:2">
      <c r="A2435" s="2" t="s">
        <v>7305</v>
      </c>
      <c r="B2435" s="3">
        <v>1</v>
      </c>
    </row>
    <row r="2436" spans="1:2">
      <c r="A2436" s="2" t="s">
        <v>7323</v>
      </c>
      <c r="B2436" s="3">
        <v>1</v>
      </c>
    </row>
    <row r="2437" spans="1:2">
      <c r="A2437" s="2" t="s">
        <v>7326</v>
      </c>
      <c r="B2437" s="3">
        <v>1</v>
      </c>
    </row>
    <row r="2438" spans="1:2">
      <c r="A2438" s="2" t="s">
        <v>14547</v>
      </c>
      <c r="B2438" s="3">
        <v>1</v>
      </c>
    </row>
    <row r="2439" spans="1:2">
      <c r="A2439" s="2" t="s">
        <v>7341</v>
      </c>
      <c r="B2439" s="3">
        <v>1</v>
      </c>
    </row>
    <row r="2440" spans="1:2">
      <c r="A2440" s="2" t="s">
        <v>7347</v>
      </c>
      <c r="B2440" s="3">
        <v>1</v>
      </c>
    </row>
    <row r="2441" spans="1:2">
      <c r="A2441" s="2" t="s">
        <v>7350</v>
      </c>
      <c r="B2441" s="3">
        <v>1</v>
      </c>
    </row>
    <row r="2442" spans="1:2">
      <c r="A2442" s="2" t="s">
        <v>7359</v>
      </c>
      <c r="B2442" s="3">
        <v>1</v>
      </c>
    </row>
    <row r="2443" spans="1:2">
      <c r="A2443" s="2" t="s">
        <v>7368</v>
      </c>
      <c r="B2443" s="3">
        <v>1</v>
      </c>
    </row>
    <row r="2444" spans="1:2">
      <c r="A2444" s="2" t="s">
        <v>7380</v>
      </c>
      <c r="B2444" s="3">
        <v>1</v>
      </c>
    </row>
    <row r="2445" spans="1:2">
      <c r="A2445" s="2" t="s">
        <v>7386</v>
      </c>
      <c r="B2445" s="3">
        <v>1</v>
      </c>
    </row>
    <row r="2446" spans="1:2">
      <c r="A2446" s="2" t="s">
        <v>7398</v>
      </c>
      <c r="B2446" s="3">
        <v>1</v>
      </c>
    </row>
    <row r="2447" spans="1:2">
      <c r="A2447" s="2" t="s">
        <v>7404</v>
      </c>
      <c r="B2447" s="3">
        <v>1</v>
      </c>
    </row>
    <row r="2448" spans="1:2">
      <c r="A2448" s="2" t="s">
        <v>7416</v>
      </c>
      <c r="B2448" s="3">
        <v>1</v>
      </c>
    </row>
    <row r="2449" spans="1:2">
      <c r="A2449" s="2" t="s">
        <v>7422</v>
      </c>
      <c r="B2449" s="3">
        <v>1</v>
      </c>
    </row>
    <row r="2450" spans="1:2">
      <c r="A2450" s="2" t="s">
        <v>7437</v>
      </c>
      <c r="B2450" s="3">
        <v>1</v>
      </c>
    </row>
    <row r="2451" spans="1:2">
      <c r="A2451" s="2" t="s">
        <v>7443</v>
      </c>
      <c r="B2451" s="3">
        <v>1</v>
      </c>
    </row>
    <row r="2452" spans="1:2">
      <c r="A2452" s="2" t="s">
        <v>7452</v>
      </c>
      <c r="B2452" s="3">
        <v>1</v>
      </c>
    </row>
    <row r="2453" spans="1:2">
      <c r="A2453" s="2" t="s">
        <v>7458</v>
      </c>
      <c r="B2453" s="3">
        <v>1</v>
      </c>
    </row>
    <row r="2454" spans="1:2">
      <c r="A2454" s="2" t="s">
        <v>7461</v>
      </c>
      <c r="B2454" s="3">
        <v>1</v>
      </c>
    </row>
    <row r="2455" spans="1:2">
      <c r="A2455" s="2" t="s">
        <v>7476</v>
      </c>
      <c r="B2455" s="3">
        <v>1</v>
      </c>
    </row>
    <row r="2456" spans="1:2">
      <c r="A2456" s="2" t="s">
        <v>7482</v>
      </c>
      <c r="B2456" s="3">
        <v>1</v>
      </c>
    </row>
    <row r="2457" spans="1:2">
      <c r="A2457" s="2" t="s">
        <v>7491</v>
      </c>
      <c r="B2457" s="3">
        <v>1</v>
      </c>
    </row>
    <row r="2458" spans="1:2">
      <c r="A2458" s="2" t="s">
        <v>7497</v>
      </c>
      <c r="B2458" s="3">
        <v>1</v>
      </c>
    </row>
    <row r="2459" spans="1:2">
      <c r="A2459" s="2" t="s">
        <v>7500</v>
      </c>
      <c r="B2459" s="3">
        <v>1</v>
      </c>
    </row>
    <row r="2460" spans="1:2">
      <c r="A2460" s="2" t="s">
        <v>7512</v>
      </c>
      <c r="B2460" s="3">
        <v>1</v>
      </c>
    </row>
    <row r="2461" spans="1:2">
      <c r="A2461" s="2" t="s">
        <v>7518</v>
      </c>
      <c r="B2461" s="3">
        <v>1</v>
      </c>
    </row>
    <row r="2462" spans="1:2">
      <c r="A2462" s="2" t="s">
        <v>7530</v>
      </c>
      <c r="B2462" s="3">
        <v>1</v>
      </c>
    </row>
    <row r="2463" spans="1:2">
      <c r="A2463" s="2" t="s">
        <v>7533</v>
      </c>
      <c r="B2463" s="3">
        <v>1</v>
      </c>
    </row>
    <row r="2464" spans="1:2">
      <c r="A2464" s="2" t="s">
        <v>7551</v>
      </c>
      <c r="B2464" s="3">
        <v>1</v>
      </c>
    </row>
    <row r="2465" spans="1:2">
      <c r="A2465" s="2" t="s">
        <v>7554</v>
      </c>
      <c r="B2465" s="3">
        <v>1</v>
      </c>
    </row>
    <row r="2466" spans="1:2">
      <c r="A2466" s="2" t="s">
        <v>7560</v>
      </c>
      <c r="B2466" s="3">
        <v>1</v>
      </c>
    </row>
    <row r="2467" spans="1:2">
      <c r="A2467" s="2" t="s">
        <v>7572</v>
      </c>
      <c r="B2467" s="3">
        <v>1</v>
      </c>
    </row>
    <row r="2468" spans="1:2">
      <c r="A2468" s="2" t="s">
        <v>7578</v>
      </c>
      <c r="B2468" s="3">
        <v>1</v>
      </c>
    </row>
    <row r="2469" spans="1:2">
      <c r="A2469" s="2" t="s">
        <v>7596</v>
      </c>
      <c r="B2469" s="3">
        <v>1</v>
      </c>
    </row>
    <row r="2470" spans="1:2">
      <c r="A2470" s="2" t="s">
        <v>7599</v>
      </c>
      <c r="B2470" s="3">
        <v>1</v>
      </c>
    </row>
    <row r="2471" spans="1:2">
      <c r="A2471" s="2" t="s">
        <v>7605</v>
      </c>
      <c r="B2471" s="3">
        <v>1</v>
      </c>
    </row>
    <row r="2472" spans="1:2">
      <c r="A2472" s="2" t="s">
        <v>7611</v>
      </c>
      <c r="B2472" s="3">
        <v>1</v>
      </c>
    </row>
    <row r="2473" spans="1:2">
      <c r="A2473" s="2" t="s">
        <v>7617</v>
      </c>
      <c r="B2473" s="3">
        <v>1</v>
      </c>
    </row>
    <row r="2474" spans="1:2">
      <c r="A2474" s="2" t="s">
        <v>7629</v>
      </c>
      <c r="B2474" s="3">
        <v>1</v>
      </c>
    </row>
    <row r="2475" spans="1:2">
      <c r="A2475" s="2" t="s">
        <v>7635</v>
      </c>
      <c r="B2475" s="3">
        <v>1</v>
      </c>
    </row>
    <row r="2476" spans="1:2">
      <c r="A2476" s="2" t="s">
        <v>7656</v>
      </c>
      <c r="B2476" s="3">
        <v>1</v>
      </c>
    </row>
    <row r="2477" spans="1:2">
      <c r="A2477" s="2" t="s">
        <v>7659</v>
      </c>
      <c r="B2477" s="3">
        <v>1</v>
      </c>
    </row>
    <row r="2478" spans="1:2">
      <c r="A2478" s="2" t="s">
        <v>7662</v>
      </c>
      <c r="B2478" s="3">
        <v>1</v>
      </c>
    </row>
    <row r="2479" spans="1:2">
      <c r="A2479" s="2" t="s">
        <v>7665</v>
      </c>
      <c r="B2479" s="3">
        <v>1</v>
      </c>
    </row>
    <row r="2480" spans="1:2">
      <c r="A2480" s="2" t="s">
        <v>7671</v>
      </c>
      <c r="B2480" s="3">
        <v>1</v>
      </c>
    </row>
    <row r="2481" spans="1:2">
      <c r="A2481" s="2" t="s">
        <v>7680</v>
      </c>
      <c r="B2481" s="3">
        <v>1</v>
      </c>
    </row>
    <row r="2482" spans="1:2">
      <c r="A2482" s="2" t="s">
        <v>7686</v>
      </c>
      <c r="B2482" s="3">
        <v>1</v>
      </c>
    </row>
    <row r="2483" spans="1:2">
      <c r="A2483" s="2" t="s">
        <v>7698</v>
      </c>
      <c r="B2483" s="3">
        <v>1</v>
      </c>
    </row>
    <row r="2484" spans="1:2">
      <c r="A2484" s="2" t="s">
        <v>7701</v>
      </c>
      <c r="B2484" s="3">
        <v>1</v>
      </c>
    </row>
    <row r="2485" spans="1:2">
      <c r="A2485" s="2" t="s">
        <v>7707</v>
      </c>
      <c r="B2485" s="3">
        <v>1</v>
      </c>
    </row>
    <row r="2486" spans="1:2">
      <c r="A2486" s="2" t="s">
        <v>7713</v>
      </c>
      <c r="B2486" s="3">
        <v>1</v>
      </c>
    </row>
    <row r="2487" spans="1:2">
      <c r="A2487" s="2" t="s">
        <v>7095</v>
      </c>
      <c r="B2487" s="3">
        <v>1</v>
      </c>
    </row>
    <row r="2488" spans="1:2">
      <c r="A2488" s="2" t="s">
        <v>7107</v>
      </c>
      <c r="B2488" s="3">
        <v>1</v>
      </c>
    </row>
    <row r="2489" spans="1:2">
      <c r="A2489" s="2" t="s">
        <v>7113</v>
      </c>
      <c r="B2489" s="3">
        <v>1</v>
      </c>
    </row>
    <row r="2490" spans="1:2">
      <c r="A2490" s="2" t="s">
        <v>7122</v>
      </c>
      <c r="B2490" s="3">
        <v>1</v>
      </c>
    </row>
    <row r="2491" spans="1:2">
      <c r="A2491" s="2" t="s">
        <v>7131</v>
      </c>
      <c r="B2491" s="3">
        <v>1</v>
      </c>
    </row>
    <row r="2492" spans="1:2">
      <c r="A2492" s="2" t="s">
        <v>7137</v>
      </c>
      <c r="B2492" s="3">
        <v>1</v>
      </c>
    </row>
    <row r="2493" spans="1:2">
      <c r="A2493" s="2" t="s">
        <v>7146</v>
      </c>
      <c r="B2493" s="3">
        <v>1</v>
      </c>
    </row>
    <row r="2494" spans="1:2">
      <c r="A2494" s="2" t="s">
        <v>7155</v>
      </c>
      <c r="B2494" s="3">
        <v>1</v>
      </c>
    </row>
    <row r="2495" spans="1:2">
      <c r="A2495" s="2" t="s">
        <v>7161</v>
      </c>
      <c r="B2495" s="3">
        <v>1</v>
      </c>
    </row>
    <row r="2496" spans="1:2">
      <c r="A2496" s="2" t="s">
        <v>7170</v>
      </c>
      <c r="B2496" s="3">
        <v>1</v>
      </c>
    </row>
    <row r="2497" spans="1:2">
      <c r="A2497" s="2" t="s">
        <v>7185</v>
      </c>
      <c r="B2497" s="3">
        <v>1</v>
      </c>
    </row>
    <row r="2498" spans="1:2">
      <c r="A2498" s="2" t="s">
        <v>7194</v>
      </c>
      <c r="B2498" s="3">
        <v>1</v>
      </c>
    </row>
    <row r="2499" spans="1:2">
      <c r="A2499" s="2" t="s">
        <v>7206</v>
      </c>
      <c r="B2499" s="3">
        <v>1</v>
      </c>
    </row>
    <row r="2500" spans="1:2">
      <c r="A2500" s="2" t="s">
        <v>7224</v>
      </c>
      <c r="B2500" s="3">
        <v>1</v>
      </c>
    </row>
    <row r="2501" spans="1:2">
      <c r="A2501" s="2" t="s">
        <v>7233</v>
      </c>
      <c r="B2501" s="3">
        <v>1</v>
      </c>
    </row>
    <row r="2502" spans="1:2">
      <c r="A2502" s="2" t="s">
        <v>7242</v>
      </c>
      <c r="B2502" s="3">
        <v>1</v>
      </c>
    </row>
    <row r="2503" spans="1:2">
      <c r="A2503" s="2" t="s">
        <v>7248</v>
      </c>
      <c r="B2503" s="3">
        <v>1</v>
      </c>
    </row>
    <row r="2504" spans="1:2">
      <c r="A2504" s="2" t="s">
        <v>7254</v>
      </c>
      <c r="B2504" s="3">
        <v>1</v>
      </c>
    </row>
    <row r="2505" spans="1:2">
      <c r="A2505" s="2" t="s">
        <v>7266</v>
      </c>
      <c r="B2505" s="3">
        <v>1</v>
      </c>
    </row>
    <row r="2506" spans="1:2">
      <c r="A2506" s="2" t="s">
        <v>7275</v>
      </c>
      <c r="B2506" s="3">
        <v>1</v>
      </c>
    </row>
    <row r="2507" spans="1:2">
      <c r="A2507" s="2" t="s">
        <v>7281</v>
      </c>
      <c r="B2507" s="3">
        <v>1</v>
      </c>
    </row>
    <row r="2508" spans="1:2">
      <c r="A2508" s="2" t="s">
        <v>7290</v>
      </c>
      <c r="B2508" s="3">
        <v>1</v>
      </c>
    </row>
    <row r="2509" spans="1:2">
      <c r="A2509" s="2" t="s">
        <v>7299</v>
      </c>
      <c r="B2509" s="3">
        <v>1</v>
      </c>
    </row>
    <row r="2510" spans="1:2">
      <c r="A2510" s="2" t="s">
        <v>7314</v>
      </c>
      <c r="B2510" s="3">
        <v>1</v>
      </c>
    </row>
    <row r="2511" spans="1:2">
      <c r="A2511" s="2" t="s">
        <v>7317</v>
      </c>
      <c r="B2511" s="3">
        <v>1</v>
      </c>
    </row>
    <row r="2512" spans="1:2">
      <c r="A2512" s="2" t="s">
        <v>7329</v>
      </c>
      <c r="B2512" s="3">
        <v>1</v>
      </c>
    </row>
    <row r="2513" spans="1:2">
      <c r="A2513" s="2" t="s">
        <v>7335</v>
      </c>
      <c r="B2513" s="3">
        <v>1</v>
      </c>
    </row>
    <row r="2514" spans="1:2">
      <c r="A2514" s="2" t="s">
        <v>7344</v>
      </c>
      <c r="B2514" s="3">
        <v>1</v>
      </c>
    </row>
    <row r="2515" spans="1:2">
      <c r="A2515" s="2" t="s">
        <v>7356</v>
      </c>
      <c r="B2515" s="3">
        <v>1</v>
      </c>
    </row>
    <row r="2516" spans="1:2">
      <c r="A2516" s="2" t="s">
        <v>7362</v>
      </c>
      <c r="B2516" s="3">
        <v>1</v>
      </c>
    </row>
    <row r="2517" spans="1:2">
      <c r="A2517" s="2" t="s">
        <v>7365</v>
      </c>
      <c r="B2517" s="3">
        <v>1</v>
      </c>
    </row>
    <row r="2518" spans="1:2">
      <c r="A2518" s="2" t="s">
        <v>7374</v>
      </c>
      <c r="B2518" s="3">
        <v>1</v>
      </c>
    </row>
    <row r="2519" spans="1:2">
      <c r="A2519" s="2" t="s">
        <v>7383</v>
      </c>
      <c r="B2519" s="3">
        <v>1</v>
      </c>
    </row>
    <row r="2520" spans="1:2">
      <c r="A2520" s="2" t="s">
        <v>7392</v>
      </c>
      <c r="B2520" s="3">
        <v>1</v>
      </c>
    </row>
    <row r="2521" spans="1:2">
      <c r="A2521" s="2" t="s">
        <v>7401</v>
      </c>
      <c r="B2521" s="3">
        <v>1</v>
      </c>
    </row>
    <row r="2522" spans="1:2">
      <c r="A2522" s="2" t="s">
        <v>7410</v>
      </c>
      <c r="B2522" s="3">
        <v>1</v>
      </c>
    </row>
    <row r="2523" spans="1:2">
      <c r="A2523" s="2" t="s">
        <v>7419</v>
      </c>
      <c r="B2523" s="3">
        <v>1</v>
      </c>
    </row>
    <row r="2524" spans="1:2">
      <c r="A2524" s="2" t="s">
        <v>7428</v>
      </c>
      <c r="B2524" s="3">
        <v>1</v>
      </c>
    </row>
    <row r="2525" spans="1:2">
      <c r="A2525" s="2" t="s">
        <v>7440</v>
      </c>
      <c r="B2525" s="3">
        <v>1</v>
      </c>
    </row>
    <row r="2526" spans="1:2">
      <c r="A2526" s="2" t="s">
        <v>7446</v>
      </c>
      <c r="B2526" s="3">
        <v>1</v>
      </c>
    </row>
    <row r="2527" spans="1:2">
      <c r="A2527" s="2" t="s">
        <v>7455</v>
      </c>
      <c r="B2527" s="3">
        <v>1</v>
      </c>
    </row>
    <row r="2528" spans="1:2">
      <c r="A2528" s="2" t="s">
        <v>7467</v>
      </c>
      <c r="B2528" s="3">
        <v>1</v>
      </c>
    </row>
    <row r="2529" spans="1:2">
      <c r="A2529" s="2" t="s">
        <v>7473</v>
      </c>
      <c r="B2529" s="3">
        <v>1</v>
      </c>
    </row>
    <row r="2530" spans="1:2">
      <c r="A2530" s="2" t="s">
        <v>7479</v>
      </c>
      <c r="B2530" s="3">
        <v>1</v>
      </c>
    </row>
    <row r="2531" spans="1:2">
      <c r="A2531" s="2" t="s">
        <v>7488</v>
      </c>
      <c r="B2531" s="3">
        <v>1</v>
      </c>
    </row>
    <row r="2532" spans="1:2">
      <c r="A2532" s="2" t="s">
        <v>7494</v>
      </c>
      <c r="B2532" s="3">
        <v>1</v>
      </c>
    </row>
    <row r="2533" spans="1:2">
      <c r="A2533" s="2" t="s">
        <v>7506</v>
      </c>
      <c r="B2533" s="3">
        <v>1</v>
      </c>
    </row>
    <row r="2534" spans="1:2">
      <c r="A2534" s="2" t="s">
        <v>7515</v>
      </c>
      <c r="B2534" s="3">
        <v>1</v>
      </c>
    </row>
    <row r="2535" spans="1:2">
      <c r="A2535" s="2" t="s">
        <v>7524</v>
      </c>
      <c r="B2535" s="3">
        <v>1</v>
      </c>
    </row>
    <row r="2536" spans="1:2">
      <c r="A2536" s="2" t="s">
        <v>7536</v>
      </c>
      <c r="B2536" s="3">
        <v>1</v>
      </c>
    </row>
    <row r="2537" spans="1:2">
      <c r="A2537" s="2" t="s">
        <v>7542</v>
      </c>
      <c r="B2537" s="3">
        <v>1</v>
      </c>
    </row>
    <row r="2538" spans="1:2">
      <c r="A2538" s="2" t="s">
        <v>7557</v>
      </c>
      <c r="B2538" s="3">
        <v>1</v>
      </c>
    </row>
    <row r="2539" spans="1:2">
      <c r="A2539" s="2" t="s">
        <v>7566</v>
      </c>
      <c r="B2539" s="3">
        <v>1</v>
      </c>
    </row>
    <row r="2540" spans="1:2">
      <c r="A2540" s="2" t="s">
        <v>7575</v>
      </c>
      <c r="B2540" s="3">
        <v>1</v>
      </c>
    </row>
    <row r="2541" spans="1:2">
      <c r="A2541" s="2" t="s">
        <v>7584</v>
      </c>
      <c r="B2541" s="3">
        <v>1</v>
      </c>
    </row>
    <row r="2542" spans="1:2">
      <c r="A2542" s="2" t="s">
        <v>7590</v>
      </c>
      <c r="B2542" s="3">
        <v>1</v>
      </c>
    </row>
    <row r="2543" spans="1:2">
      <c r="A2543" s="2" t="s">
        <v>7602</v>
      </c>
      <c r="B2543" s="3">
        <v>1</v>
      </c>
    </row>
    <row r="2544" spans="1:2">
      <c r="A2544" s="2" t="s">
        <v>7608</v>
      </c>
      <c r="B2544" s="3">
        <v>1</v>
      </c>
    </row>
    <row r="2545" spans="1:2">
      <c r="A2545" s="2" t="s">
        <v>7614</v>
      </c>
      <c r="B2545" s="3">
        <v>1</v>
      </c>
    </row>
    <row r="2546" spans="1:2">
      <c r="A2546" s="2" t="s">
        <v>7623</v>
      </c>
      <c r="B2546" s="3">
        <v>1</v>
      </c>
    </row>
    <row r="2547" spans="1:2">
      <c r="A2547" s="2" t="s">
        <v>7632</v>
      </c>
      <c r="B2547" s="3">
        <v>1</v>
      </c>
    </row>
    <row r="2548" spans="1:2">
      <c r="A2548" s="2" t="s">
        <v>7641</v>
      </c>
      <c r="B2548" s="3">
        <v>1</v>
      </c>
    </row>
    <row r="2549" spans="1:2">
      <c r="A2549" s="2" t="s">
        <v>7647</v>
      </c>
      <c r="B2549" s="3">
        <v>1</v>
      </c>
    </row>
    <row r="2550" spans="1:2">
      <c r="A2550" s="2" t="s">
        <v>7668</v>
      </c>
      <c r="B2550" s="3">
        <v>1</v>
      </c>
    </row>
    <row r="2551" spans="1:2">
      <c r="A2551" s="2" t="s">
        <v>7674</v>
      </c>
      <c r="B2551" s="3">
        <v>1</v>
      </c>
    </row>
    <row r="2552" spans="1:2">
      <c r="A2552" s="2" t="s">
        <v>7683</v>
      </c>
      <c r="B2552" s="3">
        <v>1</v>
      </c>
    </row>
    <row r="2553" spans="1:2">
      <c r="A2553" s="2" t="s">
        <v>7692</v>
      </c>
      <c r="B2553" s="3">
        <v>1</v>
      </c>
    </row>
    <row r="2554" spans="1:2">
      <c r="A2554" s="2" t="s">
        <v>7704</v>
      </c>
      <c r="B2554" s="3">
        <v>1</v>
      </c>
    </row>
    <row r="2555" spans="1:2">
      <c r="A2555" s="2" t="s">
        <v>7710</v>
      </c>
      <c r="B2555" s="3">
        <v>1</v>
      </c>
    </row>
    <row r="2556" spans="1:2">
      <c r="A2556" s="2" t="s">
        <v>7719</v>
      </c>
      <c r="B2556" s="3">
        <v>1</v>
      </c>
    </row>
    <row r="2557" spans="1:2">
      <c r="A2557" s="2" t="s">
        <v>7728</v>
      </c>
      <c r="B2557" s="3">
        <v>1</v>
      </c>
    </row>
    <row r="2558" spans="1:2">
      <c r="A2558" s="2" t="s">
        <v>7734</v>
      </c>
      <c r="B2558" s="3">
        <v>1</v>
      </c>
    </row>
    <row r="2559" spans="1:2">
      <c r="A2559" s="2" t="s">
        <v>7746</v>
      </c>
      <c r="B2559" s="3">
        <v>1</v>
      </c>
    </row>
    <row r="2560" spans="1:2">
      <c r="A2560" s="2" t="s">
        <v>7755</v>
      </c>
      <c r="B2560" s="3">
        <v>1</v>
      </c>
    </row>
    <row r="2561" spans="1:2">
      <c r="A2561" s="2" t="s">
        <v>7767</v>
      </c>
      <c r="B2561" s="3">
        <v>1</v>
      </c>
    </row>
    <row r="2562" spans="1:2">
      <c r="A2562" s="2" t="s">
        <v>7773</v>
      </c>
      <c r="B2562" s="3">
        <v>1</v>
      </c>
    </row>
    <row r="2563" spans="1:2">
      <c r="A2563" s="2" t="s">
        <v>7782</v>
      </c>
      <c r="B2563" s="3">
        <v>1</v>
      </c>
    </row>
    <row r="2564" spans="1:2">
      <c r="A2564" s="2" t="s">
        <v>7791</v>
      </c>
      <c r="B2564" s="3">
        <v>1</v>
      </c>
    </row>
    <row r="2565" spans="1:2">
      <c r="A2565" s="2" t="s">
        <v>7800</v>
      </c>
      <c r="B2565" s="3">
        <v>1</v>
      </c>
    </row>
    <row r="2566" spans="1:2">
      <c r="A2566" s="2" t="s">
        <v>7812</v>
      </c>
      <c r="B2566" s="3">
        <v>1</v>
      </c>
    </row>
    <row r="2567" spans="1:2">
      <c r="A2567" s="2" t="s">
        <v>7821</v>
      </c>
      <c r="B2567" s="3">
        <v>1</v>
      </c>
    </row>
    <row r="2568" spans="1:2">
      <c r="A2568" s="2" t="s">
        <v>7830</v>
      </c>
      <c r="B2568" s="3">
        <v>1</v>
      </c>
    </row>
    <row r="2569" spans="1:2">
      <c r="A2569" s="2" t="s">
        <v>7839</v>
      </c>
      <c r="B2569" s="3">
        <v>1</v>
      </c>
    </row>
    <row r="2570" spans="1:2">
      <c r="A2570" s="2" t="s">
        <v>7848</v>
      </c>
      <c r="B2570" s="3">
        <v>1</v>
      </c>
    </row>
    <row r="2571" spans="1:2">
      <c r="A2571" s="2" t="s">
        <v>7857</v>
      </c>
      <c r="B2571" s="3">
        <v>1</v>
      </c>
    </row>
    <row r="2572" spans="1:2">
      <c r="A2572" s="2" t="s">
        <v>7866</v>
      </c>
      <c r="B2572" s="3">
        <v>1</v>
      </c>
    </row>
    <row r="2573" spans="1:2">
      <c r="A2573" s="2" t="s">
        <v>7878</v>
      </c>
      <c r="B2573" s="3">
        <v>1</v>
      </c>
    </row>
    <row r="2574" spans="1:2">
      <c r="A2574" s="2" t="s">
        <v>7887</v>
      </c>
      <c r="B2574" s="3">
        <v>1</v>
      </c>
    </row>
    <row r="2575" spans="1:2">
      <c r="A2575" s="2" t="s">
        <v>7893</v>
      </c>
      <c r="B2575" s="3">
        <v>1</v>
      </c>
    </row>
    <row r="2576" spans="1:2">
      <c r="A2576" s="2" t="s">
        <v>7905</v>
      </c>
      <c r="B2576" s="3">
        <v>1</v>
      </c>
    </row>
    <row r="2577" spans="1:2">
      <c r="A2577" s="2" t="s">
        <v>7914</v>
      </c>
      <c r="B2577" s="3">
        <v>1</v>
      </c>
    </row>
    <row r="2578" spans="1:2">
      <c r="A2578" s="2" t="s">
        <v>7923</v>
      </c>
      <c r="B2578" s="3">
        <v>1</v>
      </c>
    </row>
    <row r="2579" spans="1:2">
      <c r="A2579" s="2" t="s">
        <v>7926</v>
      </c>
      <c r="B2579" s="3">
        <v>1</v>
      </c>
    </row>
    <row r="2580" spans="1:2">
      <c r="A2580" s="2" t="s">
        <v>7935</v>
      </c>
      <c r="B2580" s="3">
        <v>1</v>
      </c>
    </row>
    <row r="2581" spans="1:2">
      <c r="A2581" s="2" t="s">
        <v>7944</v>
      </c>
      <c r="B2581" s="3">
        <v>1</v>
      </c>
    </row>
    <row r="2582" spans="1:2">
      <c r="A2582" s="2" t="s">
        <v>7620</v>
      </c>
      <c r="B2582" s="3">
        <v>1</v>
      </c>
    </row>
    <row r="2583" spans="1:2">
      <c r="A2583" s="2" t="s">
        <v>7626</v>
      </c>
      <c r="B2583" s="3">
        <v>1</v>
      </c>
    </row>
    <row r="2584" spans="1:2">
      <c r="A2584" s="2" t="s">
        <v>7638</v>
      </c>
      <c r="B2584" s="3">
        <v>1</v>
      </c>
    </row>
    <row r="2585" spans="1:2">
      <c r="A2585" s="2" t="s">
        <v>7644</v>
      </c>
      <c r="B2585" s="3">
        <v>1</v>
      </c>
    </row>
    <row r="2586" spans="1:2">
      <c r="A2586" s="2" t="s">
        <v>7650</v>
      </c>
      <c r="B2586" s="3">
        <v>1</v>
      </c>
    </row>
    <row r="2587" spans="1:2">
      <c r="A2587" s="2" t="s">
        <v>7653</v>
      </c>
      <c r="B2587" s="3">
        <v>1</v>
      </c>
    </row>
    <row r="2588" spans="1:2">
      <c r="A2588" s="2" t="s">
        <v>7677</v>
      </c>
      <c r="B2588" s="3">
        <v>1</v>
      </c>
    </row>
    <row r="2589" spans="1:2">
      <c r="A2589" s="2" t="s">
        <v>7689</v>
      </c>
      <c r="B2589" s="3">
        <v>1</v>
      </c>
    </row>
    <row r="2590" spans="1:2">
      <c r="A2590" s="2" t="s">
        <v>7695</v>
      </c>
      <c r="B2590" s="3">
        <v>1</v>
      </c>
    </row>
    <row r="2591" spans="1:2">
      <c r="A2591" s="2" t="s">
        <v>7716</v>
      </c>
      <c r="B2591" s="3">
        <v>1</v>
      </c>
    </row>
    <row r="2592" spans="1:2">
      <c r="A2592" s="2" t="s">
        <v>7722</v>
      </c>
      <c r="B2592" s="3">
        <v>1</v>
      </c>
    </row>
    <row r="2593" spans="1:2">
      <c r="A2593" s="2" t="s">
        <v>7731</v>
      </c>
      <c r="B2593" s="3">
        <v>1</v>
      </c>
    </row>
    <row r="2594" spans="1:2">
      <c r="A2594" s="2" t="s">
        <v>7737</v>
      </c>
      <c r="B2594" s="3">
        <v>1</v>
      </c>
    </row>
    <row r="2595" spans="1:2">
      <c r="A2595" s="2" t="s">
        <v>7752</v>
      </c>
      <c r="B2595" s="3">
        <v>1</v>
      </c>
    </row>
    <row r="2596" spans="1:2">
      <c r="A2596" s="2" t="s">
        <v>7758</v>
      </c>
      <c r="B2596" s="3">
        <v>1</v>
      </c>
    </row>
    <row r="2597" spans="1:2">
      <c r="A2597" s="2" t="s">
        <v>7770</v>
      </c>
      <c r="B2597" s="3">
        <v>1</v>
      </c>
    </row>
    <row r="2598" spans="1:2">
      <c r="A2598" s="2" t="s">
        <v>7776</v>
      </c>
      <c r="B2598" s="3">
        <v>1</v>
      </c>
    </row>
    <row r="2599" spans="1:2">
      <c r="A2599" s="2" t="s">
        <v>7788</v>
      </c>
      <c r="B2599" s="3">
        <v>1</v>
      </c>
    </row>
    <row r="2600" spans="1:2">
      <c r="A2600" s="2" t="s">
        <v>7794</v>
      </c>
      <c r="B2600" s="3">
        <v>1</v>
      </c>
    </row>
    <row r="2601" spans="1:2">
      <c r="A2601" s="2" t="s">
        <v>7806</v>
      </c>
      <c r="B2601" s="3">
        <v>1</v>
      </c>
    </row>
    <row r="2602" spans="1:2">
      <c r="A2602" s="2" t="s">
        <v>7809</v>
      </c>
      <c r="B2602" s="3">
        <v>1</v>
      </c>
    </row>
    <row r="2603" spans="1:2">
      <c r="A2603" s="2" t="s">
        <v>7815</v>
      </c>
      <c r="B2603" s="3">
        <v>1</v>
      </c>
    </row>
    <row r="2604" spans="1:2">
      <c r="A2604" s="2" t="s">
        <v>7827</v>
      </c>
      <c r="B2604" s="3">
        <v>1</v>
      </c>
    </row>
    <row r="2605" spans="1:2">
      <c r="A2605" s="2" t="s">
        <v>7833</v>
      </c>
      <c r="B2605" s="3">
        <v>1</v>
      </c>
    </row>
    <row r="2606" spans="1:2">
      <c r="A2606" s="2" t="s">
        <v>7845</v>
      </c>
      <c r="B2606" s="3">
        <v>1</v>
      </c>
    </row>
    <row r="2607" spans="1:2">
      <c r="A2607" s="2" t="s">
        <v>7851</v>
      </c>
      <c r="B2607" s="3">
        <v>1</v>
      </c>
    </row>
    <row r="2608" spans="1:2">
      <c r="A2608" s="2" t="s">
        <v>7863</v>
      </c>
      <c r="B2608" s="3">
        <v>1</v>
      </c>
    </row>
    <row r="2609" spans="1:2">
      <c r="A2609" s="2" t="s">
        <v>7869</v>
      </c>
      <c r="B2609" s="3">
        <v>1</v>
      </c>
    </row>
    <row r="2610" spans="1:2">
      <c r="A2610" s="2" t="s">
        <v>7875</v>
      </c>
      <c r="B2610" s="3">
        <v>1</v>
      </c>
    </row>
    <row r="2611" spans="1:2">
      <c r="A2611" s="2" t="s">
        <v>7881</v>
      </c>
      <c r="B2611" s="3">
        <v>1</v>
      </c>
    </row>
    <row r="2612" spans="1:2">
      <c r="A2612" s="2" t="s">
        <v>7890</v>
      </c>
      <c r="B2612" s="3">
        <v>1</v>
      </c>
    </row>
    <row r="2613" spans="1:2">
      <c r="A2613" s="2" t="s">
        <v>7896</v>
      </c>
      <c r="B2613" s="3">
        <v>1</v>
      </c>
    </row>
    <row r="2614" spans="1:2">
      <c r="A2614" s="2" t="s">
        <v>7911</v>
      </c>
      <c r="B2614" s="3">
        <v>1</v>
      </c>
    </row>
    <row r="2615" spans="1:2">
      <c r="A2615" s="2" t="s">
        <v>7917</v>
      </c>
      <c r="B2615" s="3">
        <v>1</v>
      </c>
    </row>
    <row r="2616" spans="1:2">
      <c r="A2616" s="2" t="s">
        <v>7932</v>
      </c>
      <c r="B2616" s="3">
        <v>1</v>
      </c>
    </row>
    <row r="2617" spans="1:2">
      <c r="A2617" s="2" t="s">
        <v>7938</v>
      </c>
      <c r="B2617" s="3">
        <v>1</v>
      </c>
    </row>
    <row r="2618" spans="1:2">
      <c r="A2618" s="2" t="s">
        <v>7950</v>
      </c>
      <c r="B2618" s="3">
        <v>1</v>
      </c>
    </row>
    <row r="2619" spans="1:2">
      <c r="A2619" s="2" t="s">
        <v>7956</v>
      </c>
      <c r="B2619" s="3">
        <v>1</v>
      </c>
    </row>
    <row r="2620" spans="1:2">
      <c r="A2620" s="2" t="s">
        <v>7971</v>
      </c>
      <c r="B2620" s="3">
        <v>1</v>
      </c>
    </row>
    <row r="2621" spans="1:2">
      <c r="A2621" s="2" t="s">
        <v>7974</v>
      </c>
      <c r="B2621" s="3">
        <v>1</v>
      </c>
    </row>
    <row r="2622" spans="1:2">
      <c r="A2622" s="2" t="s">
        <v>7977</v>
      </c>
      <c r="B2622" s="3">
        <v>1</v>
      </c>
    </row>
    <row r="2623" spans="1:2">
      <c r="A2623" s="2" t="s">
        <v>7980</v>
      </c>
      <c r="B2623" s="3">
        <v>1</v>
      </c>
    </row>
    <row r="2624" spans="1:2">
      <c r="A2624" s="2" t="s">
        <v>7992</v>
      </c>
      <c r="B2624" s="3">
        <v>1</v>
      </c>
    </row>
    <row r="2625" spans="1:2">
      <c r="A2625" s="2" t="s">
        <v>7998</v>
      </c>
      <c r="B2625" s="3">
        <v>1</v>
      </c>
    </row>
    <row r="2626" spans="1:2">
      <c r="A2626" s="2" t="s">
        <v>8010</v>
      </c>
      <c r="B2626" s="3">
        <v>1</v>
      </c>
    </row>
    <row r="2627" spans="1:2">
      <c r="A2627" s="2" t="s">
        <v>8016</v>
      </c>
      <c r="B2627" s="3">
        <v>1</v>
      </c>
    </row>
    <row r="2628" spans="1:2">
      <c r="A2628" s="2" t="s">
        <v>8025</v>
      </c>
      <c r="B2628" s="3">
        <v>1</v>
      </c>
    </row>
    <row r="2629" spans="1:2">
      <c r="A2629" s="2" t="s">
        <v>8031</v>
      </c>
      <c r="B2629" s="3">
        <v>1</v>
      </c>
    </row>
    <row r="2630" spans="1:2">
      <c r="A2630" s="2" t="s">
        <v>8043</v>
      </c>
      <c r="B2630" s="3">
        <v>1</v>
      </c>
    </row>
    <row r="2631" spans="1:2">
      <c r="A2631" s="2" t="s">
        <v>8049</v>
      </c>
      <c r="B2631" s="3">
        <v>1</v>
      </c>
    </row>
    <row r="2632" spans="1:2">
      <c r="A2632" s="2" t="s">
        <v>8067</v>
      </c>
      <c r="B2632" s="3">
        <v>1</v>
      </c>
    </row>
    <row r="2633" spans="1:2">
      <c r="A2633" s="2" t="s">
        <v>8079</v>
      </c>
      <c r="B2633" s="3">
        <v>1</v>
      </c>
    </row>
    <row r="2634" spans="1:2">
      <c r="A2634" s="2" t="s">
        <v>8082</v>
      </c>
      <c r="B2634" s="3">
        <v>1</v>
      </c>
    </row>
    <row r="2635" spans="1:2">
      <c r="A2635" s="2" t="s">
        <v>8088</v>
      </c>
      <c r="B2635" s="3">
        <v>1</v>
      </c>
    </row>
    <row r="2636" spans="1:2">
      <c r="A2636" s="2" t="s">
        <v>8100</v>
      </c>
      <c r="B2636" s="3">
        <v>1</v>
      </c>
    </row>
    <row r="2637" spans="1:2">
      <c r="A2637" s="2" t="s">
        <v>8106</v>
      </c>
      <c r="B2637" s="3">
        <v>1</v>
      </c>
    </row>
    <row r="2638" spans="1:2">
      <c r="A2638" s="2" t="s">
        <v>8118</v>
      </c>
      <c r="B2638" s="3">
        <v>1</v>
      </c>
    </row>
    <row r="2639" spans="1:2">
      <c r="A2639" s="2" t="s">
        <v>8124</v>
      </c>
      <c r="B2639" s="3">
        <v>1</v>
      </c>
    </row>
    <row r="2640" spans="1:2">
      <c r="A2640" s="2" t="s">
        <v>8136</v>
      </c>
      <c r="B2640" s="3">
        <v>1</v>
      </c>
    </row>
    <row r="2641" spans="1:2">
      <c r="A2641" s="2" t="s">
        <v>8139</v>
      </c>
      <c r="B2641" s="3">
        <v>1</v>
      </c>
    </row>
    <row r="2642" spans="1:2">
      <c r="A2642" s="2" t="s">
        <v>8145</v>
      </c>
      <c r="B2642" s="3">
        <v>1</v>
      </c>
    </row>
    <row r="2643" spans="1:2">
      <c r="A2643" s="2" t="s">
        <v>8157</v>
      </c>
      <c r="B2643" s="3">
        <v>1</v>
      </c>
    </row>
    <row r="2644" spans="1:2">
      <c r="A2644" s="2" t="s">
        <v>8163</v>
      </c>
      <c r="B2644" s="3">
        <v>1</v>
      </c>
    </row>
    <row r="2645" spans="1:2">
      <c r="A2645" s="2" t="s">
        <v>8175</v>
      </c>
      <c r="B2645" s="3">
        <v>1</v>
      </c>
    </row>
    <row r="2646" spans="1:2">
      <c r="A2646" s="2" t="s">
        <v>8181</v>
      </c>
      <c r="B2646" s="3">
        <v>1</v>
      </c>
    </row>
    <row r="2647" spans="1:2">
      <c r="A2647" s="2" t="s">
        <v>8196</v>
      </c>
      <c r="B2647" s="3">
        <v>1</v>
      </c>
    </row>
    <row r="2648" spans="1:2">
      <c r="A2648" s="2" t="s">
        <v>8202</v>
      </c>
      <c r="B2648" s="3">
        <v>1</v>
      </c>
    </row>
    <row r="2649" spans="1:2">
      <c r="A2649" s="2" t="s">
        <v>8217</v>
      </c>
      <c r="B2649" s="3">
        <v>1</v>
      </c>
    </row>
    <row r="2650" spans="1:2">
      <c r="A2650" s="2" t="s">
        <v>8220</v>
      </c>
      <c r="B2650" s="3">
        <v>1</v>
      </c>
    </row>
    <row r="2651" spans="1:2">
      <c r="A2651" s="2" t="s">
        <v>8232</v>
      </c>
      <c r="B2651" s="3">
        <v>1</v>
      </c>
    </row>
    <row r="2652" spans="1:2">
      <c r="A2652" s="2" t="s">
        <v>8235</v>
      </c>
      <c r="B2652" s="3">
        <v>1</v>
      </c>
    </row>
    <row r="2653" spans="1:2">
      <c r="A2653" s="2" t="s">
        <v>8241</v>
      </c>
      <c r="B2653" s="3">
        <v>1</v>
      </c>
    </row>
    <row r="2654" spans="1:2">
      <c r="A2654" s="2" t="s">
        <v>8253</v>
      </c>
      <c r="B2654" s="3">
        <v>1</v>
      </c>
    </row>
    <row r="2655" spans="1:2">
      <c r="A2655" s="2" t="s">
        <v>8259</v>
      </c>
      <c r="B2655" s="3">
        <v>1</v>
      </c>
    </row>
    <row r="2656" spans="1:2">
      <c r="A2656" s="2" t="s">
        <v>8271</v>
      </c>
      <c r="B2656" s="3">
        <v>1</v>
      </c>
    </row>
    <row r="2657" spans="1:2">
      <c r="A2657" s="2" t="s">
        <v>8277</v>
      </c>
      <c r="B2657" s="3">
        <v>1</v>
      </c>
    </row>
    <row r="2658" spans="1:2">
      <c r="A2658" s="2" t="s">
        <v>8289</v>
      </c>
      <c r="B2658" s="3">
        <v>1</v>
      </c>
    </row>
    <row r="2659" spans="1:2">
      <c r="A2659" s="2" t="s">
        <v>8295</v>
      </c>
      <c r="B2659" s="3">
        <v>1</v>
      </c>
    </row>
    <row r="2660" spans="1:2">
      <c r="A2660" s="2" t="s">
        <v>8301</v>
      </c>
      <c r="B2660" s="3">
        <v>1</v>
      </c>
    </row>
    <row r="2661" spans="1:2">
      <c r="A2661" s="2" t="s">
        <v>8304</v>
      </c>
      <c r="B2661" s="3">
        <v>1</v>
      </c>
    </row>
    <row r="2662" spans="1:2">
      <c r="A2662" s="2" t="s">
        <v>8319</v>
      </c>
      <c r="B2662" s="3">
        <v>1</v>
      </c>
    </row>
    <row r="2663" spans="1:2">
      <c r="A2663" s="2" t="s">
        <v>8325</v>
      </c>
      <c r="B2663" s="3">
        <v>1</v>
      </c>
    </row>
    <row r="2664" spans="1:2">
      <c r="A2664" s="2" t="s">
        <v>8337</v>
      </c>
      <c r="B2664" s="3">
        <v>1</v>
      </c>
    </row>
    <row r="2665" spans="1:2">
      <c r="A2665" s="2" t="s">
        <v>8346</v>
      </c>
      <c r="B2665" s="3">
        <v>1</v>
      </c>
    </row>
    <row r="2666" spans="1:2">
      <c r="A2666" s="2" t="s">
        <v>8355</v>
      </c>
      <c r="B2666" s="3">
        <v>1</v>
      </c>
    </row>
    <row r="2667" spans="1:2">
      <c r="A2667" s="2" t="s">
        <v>8361</v>
      </c>
      <c r="B2667" s="3">
        <v>1</v>
      </c>
    </row>
    <row r="2668" spans="1:2">
      <c r="A2668" s="2" t="s">
        <v>8376</v>
      </c>
      <c r="B2668" s="3">
        <v>1</v>
      </c>
    </row>
    <row r="2669" spans="1:2">
      <c r="A2669" s="2" t="s">
        <v>8388</v>
      </c>
      <c r="B2669" s="3">
        <v>1</v>
      </c>
    </row>
    <row r="2670" spans="1:2">
      <c r="A2670" s="2" t="s">
        <v>8391</v>
      </c>
      <c r="B2670" s="3">
        <v>1</v>
      </c>
    </row>
    <row r="2671" spans="1:2">
      <c r="A2671" s="2" t="s">
        <v>8394</v>
      </c>
      <c r="B2671" s="3">
        <v>1</v>
      </c>
    </row>
    <row r="2672" spans="1:2">
      <c r="A2672" s="2" t="s">
        <v>8409</v>
      </c>
      <c r="B2672" s="3">
        <v>1</v>
      </c>
    </row>
    <row r="2673" spans="1:2">
      <c r="A2673" s="2" t="s">
        <v>8415</v>
      </c>
      <c r="B2673" s="3">
        <v>1</v>
      </c>
    </row>
    <row r="2674" spans="1:2">
      <c r="A2674" s="2" t="s">
        <v>8427</v>
      </c>
      <c r="B2674" s="3">
        <v>1</v>
      </c>
    </row>
    <row r="2675" spans="1:2">
      <c r="A2675" s="2" t="s">
        <v>8433</v>
      </c>
      <c r="B2675" s="3">
        <v>1</v>
      </c>
    </row>
    <row r="2676" spans="1:2">
      <c r="A2676" s="2" t="s">
        <v>7725</v>
      </c>
      <c r="B2676" s="3">
        <v>1</v>
      </c>
    </row>
    <row r="2677" spans="1:2">
      <c r="A2677" s="2" t="s">
        <v>7740</v>
      </c>
      <c r="B2677" s="3">
        <v>1</v>
      </c>
    </row>
    <row r="2678" spans="1:2">
      <c r="A2678" s="2" t="s">
        <v>7743</v>
      </c>
      <c r="B2678" s="3">
        <v>1</v>
      </c>
    </row>
    <row r="2679" spans="1:2">
      <c r="A2679" s="2" t="s">
        <v>7749</v>
      </c>
      <c r="B2679" s="3">
        <v>1</v>
      </c>
    </row>
    <row r="2680" spans="1:2">
      <c r="A2680" s="2" t="s">
        <v>7761</v>
      </c>
      <c r="B2680" s="3">
        <v>1</v>
      </c>
    </row>
    <row r="2681" spans="1:2">
      <c r="A2681" s="2" t="s">
        <v>7764</v>
      </c>
      <c r="B2681" s="3">
        <v>1</v>
      </c>
    </row>
    <row r="2682" spans="1:2">
      <c r="A2682" s="2" t="s">
        <v>7779</v>
      </c>
      <c r="B2682" s="3">
        <v>1</v>
      </c>
    </row>
    <row r="2683" spans="1:2">
      <c r="A2683" s="2" t="s">
        <v>7785</v>
      </c>
      <c r="B2683" s="3">
        <v>1</v>
      </c>
    </row>
    <row r="2684" spans="1:2">
      <c r="A2684" s="2" t="s">
        <v>7797</v>
      </c>
      <c r="B2684" s="3">
        <v>1</v>
      </c>
    </row>
    <row r="2685" spans="1:2">
      <c r="A2685" s="2" t="s">
        <v>7803</v>
      </c>
      <c r="B2685" s="3">
        <v>1</v>
      </c>
    </row>
    <row r="2686" spans="1:2">
      <c r="A2686" s="2" t="s">
        <v>7818</v>
      </c>
      <c r="B2686" s="3">
        <v>1</v>
      </c>
    </row>
    <row r="2687" spans="1:2">
      <c r="A2687" s="2" t="s">
        <v>7824</v>
      </c>
      <c r="B2687" s="3">
        <v>1</v>
      </c>
    </row>
    <row r="2688" spans="1:2">
      <c r="A2688" s="2" t="s">
        <v>7836</v>
      </c>
      <c r="B2688" s="3">
        <v>1</v>
      </c>
    </row>
    <row r="2689" spans="1:2">
      <c r="A2689" s="2" t="s">
        <v>7842</v>
      </c>
      <c r="B2689" s="3">
        <v>1</v>
      </c>
    </row>
    <row r="2690" spans="1:2">
      <c r="A2690" s="2" t="s">
        <v>7854</v>
      </c>
      <c r="B2690" s="3">
        <v>1</v>
      </c>
    </row>
    <row r="2691" spans="1:2">
      <c r="A2691" s="2" t="s">
        <v>7860</v>
      </c>
      <c r="B2691" s="3">
        <v>1</v>
      </c>
    </row>
    <row r="2692" spans="1:2">
      <c r="A2692" s="2" t="s">
        <v>7872</v>
      </c>
      <c r="B2692" s="3">
        <v>1</v>
      </c>
    </row>
    <row r="2693" spans="1:2">
      <c r="A2693" s="2" t="s">
        <v>7884</v>
      </c>
      <c r="B2693" s="3">
        <v>1</v>
      </c>
    </row>
    <row r="2694" spans="1:2">
      <c r="A2694" s="2" t="s">
        <v>7899</v>
      </c>
      <c r="B2694" s="3">
        <v>1</v>
      </c>
    </row>
    <row r="2695" spans="1:2">
      <c r="A2695" s="2" t="s">
        <v>7902</v>
      </c>
      <c r="B2695" s="3">
        <v>1</v>
      </c>
    </row>
    <row r="2696" spans="1:2">
      <c r="A2696" s="2" t="s">
        <v>7908</v>
      </c>
      <c r="B2696" s="3">
        <v>1</v>
      </c>
    </row>
    <row r="2697" spans="1:2">
      <c r="A2697" s="2" t="s">
        <v>7920</v>
      </c>
      <c r="B2697" s="3">
        <v>1</v>
      </c>
    </row>
    <row r="2698" spans="1:2">
      <c r="A2698" s="2" t="s">
        <v>7929</v>
      </c>
      <c r="B2698" s="3">
        <v>1</v>
      </c>
    </row>
    <row r="2699" spans="1:2">
      <c r="A2699" s="2" t="s">
        <v>7941</v>
      </c>
      <c r="B2699" s="3">
        <v>1</v>
      </c>
    </row>
    <row r="2700" spans="1:2">
      <c r="A2700" s="2" t="s">
        <v>7947</v>
      </c>
      <c r="B2700" s="3">
        <v>1</v>
      </c>
    </row>
    <row r="2701" spans="1:2">
      <c r="A2701" s="2" t="s">
        <v>7959</v>
      </c>
      <c r="B2701" s="3">
        <v>1</v>
      </c>
    </row>
    <row r="2702" spans="1:2">
      <c r="A2702" s="2" t="s">
        <v>7962</v>
      </c>
      <c r="B2702" s="3">
        <v>1</v>
      </c>
    </row>
    <row r="2703" spans="1:2">
      <c r="A2703" s="2" t="s">
        <v>7968</v>
      </c>
      <c r="B2703" s="3">
        <v>1</v>
      </c>
    </row>
    <row r="2704" spans="1:2">
      <c r="A2704" s="2" t="s">
        <v>7983</v>
      </c>
      <c r="B2704" s="3">
        <v>1</v>
      </c>
    </row>
    <row r="2705" spans="1:2">
      <c r="A2705" s="2" t="s">
        <v>7989</v>
      </c>
      <c r="B2705" s="3">
        <v>1</v>
      </c>
    </row>
    <row r="2706" spans="1:2">
      <c r="A2706" s="2" t="s">
        <v>8001</v>
      </c>
      <c r="B2706" s="3">
        <v>1</v>
      </c>
    </row>
    <row r="2707" spans="1:2">
      <c r="A2707" s="2" t="s">
        <v>8007</v>
      </c>
      <c r="B2707" s="3">
        <v>1</v>
      </c>
    </row>
    <row r="2708" spans="1:2">
      <c r="A2708" s="2" t="s">
        <v>8019</v>
      </c>
      <c r="B2708" s="3">
        <v>1</v>
      </c>
    </row>
    <row r="2709" spans="1:2">
      <c r="A2709" s="2" t="s">
        <v>8034</v>
      </c>
      <c r="B2709" s="3">
        <v>1</v>
      </c>
    </row>
    <row r="2710" spans="1:2">
      <c r="A2710" s="2" t="s">
        <v>8040</v>
      </c>
      <c r="B2710" s="3">
        <v>1</v>
      </c>
    </row>
    <row r="2711" spans="1:2">
      <c r="A2711" s="2" t="s">
        <v>8052</v>
      </c>
      <c r="B2711" s="3">
        <v>1</v>
      </c>
    </row>
    <row r="2712" spans="1:2">
      <c r="A2712" s="2" t="s">
        <v>8055</v>
      </c>
      <c r="B2712" s="3">
        <v>1</v>
      </c>
    </row>
    <row r="2713" spans="1:2">
      <c r="A2713" s="2" t="s">
        <v>8061</v>
      </c>
      <c r="B2713" s="3">
        <v>1</v>
      </c>
    </row>
    <row r="2714" spans="1:2">
      <c r="A2714" s="2" t="s">
        <v>8064</v>
      </c>
      <c r="B2714" s="3">
        <v>1</v>
      </c>
    </row>
    <row r="2715" spans="1:2">
      <c r="A2715" s="2" t="s">
        <v>8070</v>
      </c>
      <c r="B2715" s="3">
        <v>1</v>
      </c>
    </row>
    <row r="2716" spans="1:2">
      <c r="A2716" s="2" t="s">
        <v>8076</v>
      </c>
      <c r="B2716" s="3">
        <v>1</v>
      </c>
    </row>
    <row r="2717" spans="1:2">
      <c r="A2717" s="2" t="s">
        <v>8091</v>
      </c>
      <c r="B2717" s="3">
        <v>1</v>
      </c>
    </row>
    <row r="2718" spans="1:2">
      <c r="A2718" s="2" t="s">
        <v>8097</v>
      </c>
      <c r="B2718" s="3">
        <v>1</v>
      </c>
    </row>
    <row r="2719" spans="1:2">
      <c r="A2719" s="2" t="s">
        <v>8109</v>
      </c>
      <c r="B2719" s="3">
        <v>1</v>
      </c>
    </row>
    <row r="2720" spans="1:2">
      <c r="A2720" s="2" t="s">
        <v>8115</v>
      </c>
      <c r="B2720" s="3">
        <v>1</v>
      </c>
    </row>
    <row r="2721" spans="1:2">
      <c r="A2721" s="2" t="s">
        <v>8127</v>
      </c>
      <c r="B2721" s="3">
        <v>1</v>
      </c>
    </row>
    <row r="2722" spans="1:2">
      <c r="A2722" s="2" t="s">
        <v>8133</v>
      </c>
      <c r="B2722" s="3">
        <v>1</v>
      </c>
    </row>
    <row r="2723" spans="1:2">
      <c r="A2723" s="2" t="s">
        <v>8148</v>
      </c>
      <c r="B2723" s="3">
        <v>1</v>
      </c>
    </row>
    <row r="2724" spans="1:2">
      <c r="A2724" s="2" t="s">
        <v>8154</v>
      </c>
      <c r="B2724" s="3">
        <v>1</v>
      </c>
    </row>
    <row r="2725" spans="1:2">
      <c r="A2725" s="2" t="s">
        <v>8166</v>
      </c>
      <c r="B2725" s="3">
        <v>1</v>
      </c>
    </row>
    <row r="2726" spans="1:2">
      <c r="A2726" s="2" t="s">
        <v>8172</v>
      </c>
      <c r="B2726" s="3">
        <v>1</v>
      </c>
    </row>
    <row r="2727" spans="1:2">
      <c r="A2727" s="2" t="s">
        <v>8184</v>
      </c>
      <c r="B2727" s="3">
        <v>1</v>
      </c>
    </row>
    <row r="2728" spans="1:2">
      <c r="A2728" s="2" t="s">
        <v>8187</v>
      </c>
      <c r="B2728" s="3">
        <v>1</v>
      </c>
    </row>
    <row r="2729" spans="1:2">
      <c r="A2729" s="2" t="s">
        <v>8193</v>
      </c>
      <c r="B2729" s="3">
        <v>1</v>
      </c>
    </row>
    <row r="2730" spans="1:2">
      <c r="A2730" s="2" t="s">
        <v>8205</v>
      </c>
      <c r="B2730" s="3">
        <v>1</v>
      </c>
    </row>
    <row r="2731" spans="1:2">
      <c r="A2731" s="2" t="s">
        <v>8208</v>
      </c>
      <c r="B2731" s="3">
        <v>1</v>
      </c>
    </row>
    <row r="2732" spans="1:2">
      <c r="A2732" s="2" t="s">
        <v>8214</v>
      </c>
      <c r="B2732" s="3">
        <v>1</v>
      </c>
    </row>
    <row r="2733" spans="1:2">
      <c r="A2733" s="2" t="s">
        <v>8223</v>
      </c>
      <c r="B2733" s="3">
        <v>1</v>
      </c>
    </row>
    <row r="2734" spans="1:2">
      <c r="A2734" s="2" t="s">
        <v>8229</v>
      </c>
      <c r="B2734" s="3">
        <v>1</v>
      </c>
    </row>
    <row r="2735" spans="1:2">
      <c r="A2735" s="2" t="s">
        <v>14550</v>
      </c>
      <c r="B2735" s="3">
        <v>1</v>
      </c>
    </row>
    <row r="2736" spans="1:2">
      <c r="A2736" s="2" t="s">
        <v>8244</v>
      </c>
      <c r="B2736" s="3">
        <v>1</v>
      </c>
    </row>
    <row r="2737" spans="1:2">
      <c r="A2737" s="2" t="s">
        <v>8250</v>
      </c>
      <c r="B2737" s="3">
        <v>1</v>
      </c>
    </row>
    <row r="2738" spans="1:2">
      <c r="A2738" s="2" t="s">
        <v>8262</v>
      </c>
      <c r="B2738" s="3">
        <v>1</v>
      </c>
    </row>
    <row r="2739" spans="1:2">
      <c r="A2739" s="2" t="s">
        <v>8268</v>
      </c>
      <c r="B2739" s="3">
        <v>1</v>
      </c>
    </row>
    <row r="2740" spans="1:2">
      <c r="A2740" s="2" t="s">
        <v>8280</v>
      </c>
      <c r="B2740" s="3">
        <v>1</v>
      </c>
    </row>
    <row r="2741" spans="1:2">
      <c r="A2741" s="2" t="s">
        <v>8286</v>
      </c>
      <c r="B2741" s="3">
        <v>1</v>
      </c>
    </row>
    <row r="2742" spans="1:2">
      <c r="A2742" s="2" t="s">
        <v>8307</v>
      </c>
      <c r="B2742" s="3">
        <v>1</v>
      </c>
    </row>
    <row r="2743" spans="1:2">
      <c r="A2743" s="2" t="s">
        <v>8310</v>
      </c>
      <c r="B2743" s="3">
        <v>1</v>
      </c>
    </row>
    <row r="2744" spans="1:2">
      <c r="A2744" s="2" t="s">
        <v>8316</v>
      </c>
      <c r="B2744" s="3">
        <v>1</v>
      </c>
    </row>
    <row r="2745" spans="1:2">
      <c r="A2745" s="2" t="s">
        <v>8331</v>
      </c>
      <c r="B2745" s="3">
        <v>1</v>
      </c>
    </row>
    <row r="2746" spans="1:2">
      <c r="A2746" s="2" t="s">
        <v>8334</v>
      </c>
      <c r="B2746" s="3">
        <v>1</v>
      </c>
    </row>
    <row r="2747" spans="1:2">
      <c r="A2747" s="2" t="s">
        <v>8349</v>
      </c>
      <c r="B2747" s="3">
        <v>1</v>
      </c>
    </row>
    <row r="2748" spans="1:2">
      <c r="A2748" s="2" t="s">
        <v>8352</v>
      </c>
      <c r="B2748" s="3">
        <v>1</v>
      </c>
    </row>
    <row r="2749" spans="1:2">
      <c r="A2749" s="2" t="s">
        <v>8364</v>
      </c>
      <c r="B2749" s="3">
        <v>1</v>
      </c>
    </row>
    <row r="2750" spans="1:2">
      <c r="A2750" s="2" t="s">
        <v>8370</v>
      </c>
      <c r="B2750" s="3">
        <v>1</v>
      </c>
    </row>
    <row r="2751" spans="1:2">
      <c r="A2751" s="2" t="s">
        <v>8379</v>
      </c>
      <c r="B2751" s="3">
        <v>1</v>
      </c>
    </row>
    <row r="2752" spans="1:2">
      <c r="A2752" s="2" t="s">
        <v>8385</v>
      </c>
      <c r="B2752" s="3">
        <v>1</v>
      </c>
    </row>
    <row r="2753" spans="1:2">
      <c r="A2753" s="2" t="s">
        <v>8397</v>
      </c>
      <c r="B2753" s="3">
        <v>1</v>
      </c>
    </row>
    <row r="2754" spans="1:2">
      <c r="A2754" s="2" t="s">
        <v>8400</v>
      </c>
      <c r="B2754" s="3">
        <v>1</v>
      </c>
    </row>
    <row r="2755" spans="1:2">
      <c r="A2755" s="2" t="s">
        <v>8406</v>
      </c>
      <c r="B2755" s="3">
        <v>1</v>
      </c>
    </row>
    <row r="2756" spans="1:2">
      <c r="A2756" s="2" t="s">
        <v>8418</v>
      </c>
      <c r="B2756" s="3">
        <v>1</v>
      </c>
    </row>
    <row r="2757" spans="1:2">
      <c r="A2757" s="2" t="s">
        <v>8424</v>
      </c>
      <c r="B2757" s="3">
        <v>1</v>
      </c>
    </row>
    <row r="2758" spans="1:2">
      <c r="A2758" s="2" t="s">
        <v>8436</v>
      </c>
      <c r="B2758" s="3">
        <v>1</v>
      </c>
    </row>
    <row r="2759" spans="1:2">
      <c r="A2759" s="2" t="s">
        <v>8445</v>
      </c>
      <c r="B2759" s="3">
        <v>1</v>
      </c>
    </row>
    <row r="2760" spans="1:2">
      <c r="A2760" s="2" t="s">
        <v>8448</v>
      </c>
      <c r="B2760" s="3">
        <v>1</v>
      </c>
    </row>
    <row r="2761" spans="1:2">
      <c r="A2761" s="2" t="s">
        <v>8460</v>
      </c>
      <c r="B2761" s="3">
        <v>1</v>
      </c>
    </row>
    <row r="2762" spans="1:2">
      <c r="A2762" s="2" t="s">
        <v>8466</v>
      </c>
      <c r="B2762" s="3">
        <v>1</v>
      </c>
    </row>
    <row r="2763" spans="1:2">
      <c r="A2763" s="2" t="s">
        <v>8478</v>
      </c>
      <c r="B2763" s="3">
        <v>1</v>
      </c>
    </row>
    <row r="2764" spans="1:2">
      <c r="A2764" s="2" t="s">
        <v>8484</v>
      </c>
      <c r="B2764" s="3">
        <v>1</v>
      </c>
    </row>
    <row r="2765" spans="1:2">
      <c r="A2765" s="2" t="s">
        <v>8496</v>
      </c>
      <c r="B2765" s="3">
        <v>1</v>
      </c>
    </row>
    <row r="2766" spans="1:2">
      <c r="A2766" s="2" t="s">
        <v>8502</v>
      </c>
      <c r="B2766" s="3">
        <v>1</v>
      </c>
    </row>
    <row r="2767" spans="1:2">
      <c r="A2767" s="2" t="s">
        <v>8505</v>
      </c>
      <c r="B2767" s="3">
        <v>1</v>
      </c>
    </row>
    <row r="2768" spans="1:2">
      <c r="A2768" s="2" t="s">
        <v>8517</v>
      </c>
      <c r="B2768" s="3">
        <v>1</v>
      </c>
    </row>
    <row r="2769" spans="1:2">
      <c r="A2769" s="2" t="s">
        <v>8523</v>
      </c>
      <c r="B2769" s="3">
        <v>1</v>
      </c>
    </row>
    <row r="2770" spans="1:2">
      <c r="A2770" s="2" t="s">
        <v>8535</v>
      </c>
      <c r="B2770" s="3">
        <v>1</v>
      </c>
    </row>
    <row r="2771" spans="1:2">
      <c r="A2771" s="2" t="s">
        <v>8541</v>
      </c>
      <c r="B2771" s="3">
        <v>1</v>
      </c>
    </row>
    <row r="2772" spans="1:2">
      <c r="A2772" s="2" t="s">
        <v>7953</v>
      </c>
      <c r="B2772" s="3">
        <v>1</v>
      </c>
    </row>
    <row r="2773" spans="1:2">
      <c r="A2773" s="2" t="s">
        <v>7965</v>
      </c>
      <c r="B2773" s="3">
        <v>1</v>
      </c>
    </row>
    <row r="2774" spans="1:2">
      <c r="A2774" s="2" t="s">
        <v>7986</v>
      </c>
      <c r="B2774" s="3">
        <v>1</v>
      </c>
    </row>
    <row r="2775" spans="1:2">
      <c r="A2775" s="2" t="s">
        <v>7995</v>
      </c>
      <c r="B2775" s="3">
        <v>1</v>
      </c>
    </row>
    <row r="2776" spans="1:2">
      <c r="A2776" s="2" t="s">
        <v>8004</v>
      </c>
      <c r="B2776" s="3">
        <v>1</v>
      </c>
    </row>
    <row r="2777" spans="1:2">
      <c r="A2777" s="2" t="s">
        <v>8013</v>
      </c>
      <c r="B2777" s="3">
        <v>1</v>
      </c>
    </row>
    <row r="2778" spans="1:2">
      <c r="A2778" s="2" t="s">
        <v>8022</v>
      </c>
      <c r="B2778" s="3">
        <v>1</v>
      </c>
    </row>
    <row r="2779" spans="1:2">
      <c r="A2779" s="2" t="s">
        <v>8028</v>
      </c>
      <c r="B2779" s="3">
        <v>1</v>
      </c>
    </row>
    <row r="2780" spans="1:2">
      <c r="A2780" s="2" t="s">
        <v>8037</v>
      </c>
      <c r="B2780" s="3">
        <v>1</v>
      </c>
    </row>
    <row r="2781" spans="1:2">
      <c r="A2781" s="2" t="s">
        <v>8046</v>
      </c>
      <c r="B2781" s="3">
        <v>1</v>
      </c>
    </row>
    <row r="2782" spans="1:2">
      <c r="A2782" s="2" t="s">
        <v>8058</v>
      </c>
      <c r="B2782" s="3">
        <v>1</v>
      </c>
    </row>
    <row r="2783" spans="1:2">
      <c r="A2783" s="2" t="s">
        <v>8073</v>
      </c>
      <c r="B2783" s="3">
        <v>1</v>
      </c>
    </row>
    <row r="2784" spans="1:2">
      <c r="A2784" s="2" t="s">
        <v>8085</v>
      </c>
      <c r="B2784" s="3">
        <v>1</v>
      </c>
    </row>
    <row r="2785" spans="1:2">
      <c r="A2785" s="2" t="s">
        <v>8094</v>
      </c>
      <c r="B2785" s="3">
        <v>1</v>
      </c>
    </row>
    <row r="2786" spans="1:2">
      <c r="A2786" s="2" t="s">
        <v>8103</v>
      </c>
      <c r="B2786" s="3">
        <v>1</v>
      </c>
    </row>
    <row r="2787" spans="1:2">
      <c r="A2787" s="2" t="s">
        <v>8112</v>
      </c>
      <c r="B2787" s="3">
        <v>1</v>
      </c>
    </row>
    <row r="2788" spans="1:2">
      <c r="A2788" s="2" t="s">
        <v>8121</v>
      </c>
      <c r="B2788" s="3">
        <v>1</v>
      </c>
    </row>
    <row r="2789" spans="1:2">
      <c r="A2789" s="2" t="s">
        <v>8130</v>
      </c>
      <c r="B2789" s="3">
        <v>1</v>
      </c>
    </row>
    <row r="2790" spans="1:2">
      <c r="A2790" s="2" t="s">
        <v>8142</v>
      </c>
      <c r="B2790" s="3">
        <v>1</v>
      </c>
    </row>
    <row r="2791" spans="1:2">
      <c r="A2791" s="2" t="s">
        <v>8151</v>
      </c>
      <c r="B2791" s="3">
        <v>1</v>
      </c>
    </row>
    <row r="2792" spans="1:2">
      <c r="A2792" s="2" t="s">
        <v>8160</v>
      </c>
      <c r="B2792" s="3">
        <v>1</v>
      </c>
    </row>
    <row r="2793" spans="1:2">
      <c r="A2793" s="2" t="s">
        <v>8169</v>
      </c>
      <c r="B2793" s="3">
        <v>1</v>
      </c>
    </row>
    <row r="2794" spans="1:2">
      <c r="A2794" s="2" t="s">
        <v>8178</v>
      </c>
      <c r="B2794" s="3">
        <v>1</v>
      </c>
    </row>
    <row r="2795" spans="1:2">
      <c r="A2795" s="2" t="s">
        <v>8190</v>
      </c>
      <c r="B2795" s="3">
        <v>1</v>
      </c>
    </row>
    <row r="2796" spans="1:2">
      <c r="A2796" s="2" t="s">
        <v>8199</v>
      </c>
      <c r="B2796" s="3">
        <v>1</v>
      </c>
    </row>
    <row r="2797" spans="1:2">
      <c r="A2797" s="2" t="s">
        <v>8211</v>
      </c>
      <c r="B2797" s="3">
        <v>1</v>
      </c>
    </row>
    <row r="2798" spans="1:2">
      <c r="A2798" s="2" t="s">
        <v>8226</v>
      </c>
      <c r="B2798" s="3">
        <v>1</v>
      </c>
    </row>
    <row r="2799" spans="1:2">
      <c r="A2799" s="2" t="s">
        <v>8238</v>
      </c>
      <c r="B2799" s="3">
        <v>1</v>
      </c>
    </row>
    <row r="2800" spans="1:2">
      <c r="A2800" s="2" t="s">
        <v>8247</v>
      </c>
      <c r="B2800" s="3">
        <v>1</v>
      </c>
    </row>
    <row r="2801" spans="1:2">
      <c r="A2801" s="2" t="s">
        <v>8256</v>
      </c>
      <c r="B2801" s="3">
        <v>1</v>
      </c>
    </row>
    <row r="2802" spans="1:2">
      <c r="A2802" s="2" t="s">
        <v>8265</v>
      </c>
      <c r="B2802" s="3">
        <v>1</v>
      </c>
    </row>
    <row r="2803" spans="1:2">
      <c r="A2803" s="2" t="s">
        <v>8274</v>
      </c>
      <c r="B2803" s="3">
        <v>1</v>
      </c>
    </row>
    <row r="2804" spans="1:2">
      <c r="A2804" s="2" t="s">
        <v>8283</v>
      </c>
      <c r="B2804" s="3">
        <v>1</v>
      </c>
    </row>
    <row r="2805" spans="1:2">
      <c r="A2805" s="2" t="s">
        <v>8292</v>
      </c>
      <c r="B2805" s="3">
        <v>1</v>
      </c>
    </row>
    <row r="2806" spans="1:2">
      <c r="A2806" s="2" t="s">
        <v>8298</v>
      </c>
      <c r="B2806" s="3">
        <v>1</v>
      </c>
    </row>
    <row r="2807" spans="1:2">
      <c r="A2807" s="2" t="s">
        <v>8313</v>
      </c>
      <c r="B2807" s="3">
        <v>1</v>
      </c>
    </row>
    <row r="2808" spans="1:2">
      <c r="A2808" s="2" t="s">
        <v>8322</v>
      </c>
      <c r="B2808" s="3">
        <v>1</v>
      </c>
    </row>
    <row r="2809" spans="1:2">
      <c r="A2809" s="2" t="s">
        <v>8328</v>
      </c>
      <c r="B2809" s="3">
        <v>1</v>
      </c>
    </row>
    <row r="2810" spans="1:2">
      <c r="A2810" s="2" t="s">
        <v>8340</v>
      </c>
      <c r="B2810" s="3">
        <v>1</v>
      </c>
    </row>
    <row r="2811" spans="1:2">
      <c r="A2811" s="2" t="s">
        <v>8343</v>
      </c>
      <c r="B2811" s="3">
        <v>1</v>
      </c>
    </row>
    <row r="2812" spans="1:2">
      <c r="A2812" s="2" t="s">
        <v>8358</v>
      </c>
      <c r="B2812" s="3">
        <v>1</v>
      </c>
    </row>
    <row r="2813" spans="1:2">
      <c r="A2813" s="2" t="s">
        <v>8367</v>
      </c>
      <c r="B2813" s="3">
        <v>1</v>
      </c>
    </row>
    <row r="2814" spans="1:2">
      <c r="A2814" s="2" t="s">
        <v>8373</v>
      </c>
      <c r="B2814" s="3">
        <v>1</v>
      </c>
    </row>
    <row r="2815" spans="1:2">
      <c r="A2815" s="2" t="s">
        <v>8382</v>
      </c>
      <c r="B2815" s="3">
        <v>1</v>
      </c>
    </row>
    <row r="2816" spans="1:2">
      <c r="A2816" s="2" t="s">
        <v>8403</v>
      </c>
      <c r="B2816" s="3">
        <v>1</v>
      </c>
    </row>
    <row r="2817" spans="1:2">
      <c r="A2817" s="2" t="s">
        <v>8412</v>
      </c>
      <c r="B2817" s="3">
        <v>1</v>
      </c>
    </row>
    <row r="2818" spans="1:2">
      <c r="A2818" s="2" t="s">
        <v>8421</v>
      </c>
      <c r="B2818" s="3">
        <v>1</v>
      </c>
    </row>
    <row r="2819" spans="1:2">
      <c r="A2819" s="2" t="s">
        <v>8430</v>
      </c>
      <c r="B2819" s="3">
        <v>1</v>
      </c>
    </row>
    <row r="2820" spans="1:2">
      <c r="A2820" s="2" t="s">
        <v>8439</v>
      </c>
      <c r="B2820" s="3">
        <v>1</v>
      </c>
    </row>
    <row r="2821" spans="1:2">
      <c r="A2821" s="2" t="s">
        <v>8442</v>
      </c>
      <c r="B2821" s="3">
        <v>1</v>
      </c>
    </row>
    <row r="2822" spans="1:2">
      <c r="A2822" s="2" t="s">
        <v>8454</v>
      </c>
      <c r="B2822" s="3">
        <v>1</v>
      </c>
    </row>
    <row r="2823" spans="1:2">
      <c r="A2823" s="2" t="s">
        <v>8463</v>
      </c>
      <c r="B2823" s="3">
        <v>1</v>
      </c>
    </row>
    <row r="2824" spans="1:2">
      <c r="A2824" s="2" t="s">
        <v>8472</v>
      </c>
      <c r="B2824" s="3">
        <v>1</v>
      </c>
    </row>
    <row r="2825" spans="1:2">
      <c r="A2825" s="2" t="s">
        <v>8475</v>
      </c>
      <c r="B2825" s="3">
        <v>1</v>
      </c>
    </row>
    <row r="2826" spans="1:2">
      <c r="A2826" s="2" t="s">
        <v>8481</v>
      </c>
      <c r="B2826" s="3">
        <v>1</v>
      </c>
    </row>
    <row r="2827" spans="1:2">
      <c r="A2827" s="2" t="s">
        <v>8493</v>
      </c>
      <c r="B2827" s="3">
        <v>1</v>
      </c>
    </row>
    <row r="2828" spans="1:2">
      <c r="A2828" s="2" t="s">
        <v>8499</v>
      </c>
      <c r="B2828" s="3">
        <v>1</v>
      </c>
    </row>
    <row r="2829" spans="1:2">
      <c r="A2829" s="2" t="s">
        <v>8511</v>
      </c>
      <c r="B2829" s="3">
        <v>1</v>
      </c>
    </row>
    <row r="2830" spans="1:2">
      <c r="A2830" s="2" t="s">
        <v>8520</v>
      </c>
      <c r="B2830" s="3">
        <v>1</v>
      </c>
    </row>
    <row r="2831" spans="1:2">
      <c r="A2831" s="2" t="s">
        <v>8529</v>
      </c>
      <c r="B2831" s="3">
        <v>1</v>
      </c>
    </row>
    <row r="2832" spans="1:2">
      <c r="A2832" s="2" t="s">
        <v>8538</v>
      </c>
      <c r="B2832" s="3">
        <v>1</v>
      </c>
    </row>
    <row r="2833" spans="1:2">
      <c r="A2833" s="2" t="s">
        <v>8544</v>
      </c>
      <c r="B2833" s="3">
        <v>1</v>
      </c>
    </row>
    <row r="2834" spans="1:2">
      <c r="A2834" s="2" t="s">
        <v>8559</v>
      </c>
      <c r="B2834" s="3">
        <v>1</v>
      </c>
    </row>
    <row r="2835" spans="1:2">
      <c r="A2835" s="2" t="s">
        <v>8565</v>
      </c>
      <c r="B2835" s="3">
        <v>1</v>
      </c>
    </row>
    <row r="2836" spans="1:2">
      <c r="A2836" s="2" t="s">
        <v>8574</v>
      </c>
      <c r="B2836" s="3">
        <v>1</v>
      </c>
    </row>
    <row r="2837" spans="1:2">
      <c r="A2837" s="2" t="s">
        <v>8583</v>
      </c>
      <c r="B2837" s="3">
        <v>1</v>
      </c>
    </row>
    <row r="2838" spans="1:2">
      <c r="A2838" s="2" t="s">
        <v>8595</v>
      </c>
      <c r="B2838" s="3">
        <v>1</v>
      </c>
    </row>
    <row r="2839" spans="1:2">
      <c r="A2839" s="2" t="s">
        <v>8601</v>
      </c>
      <c r="B2839" s="3">
        <v>1</v>
      </c>
    </row>
    <row r="2840" spans="1:2">
      <c r="A2840" s="2" t="s">
        <v>8610</v>
      </c>
      <c r="B2840" s="3">
        <v>1</v>
      </c>
    </row>
    <row r="2841" spans="1:2">
      <c r="A2841" s="2" t="s">
        <v>8619</v>
      </c>
      <c r="B2841" s="3">
        <v>1</v>
      </c>
    </row>
    <row r="2842" spans="1:2">
      <c r="A2842" s="2" t="s">
        <v>8628</v>
      </c>
      <c r="B2842" s="3">
        <v>1</v>
      </c>
    </row>
    <row r="2843" spans="1:2">
      <c r="A2843" s="2" t="s">
        <v>8646</v>
      </c>
      <c r="B2843" s="3">
        <v>1</v>
      </c>
    </row>
    <row r="2844" spans="1:2">
      <c r="A2844" s="2" t="s">
        <v>8652</v>
      </c>
      <c r="B2844" s="3">
        <v>1</v>
      </c>
    </row>
    <row r="2845" spans="1:2">
      <c r="A2845" s="2" t="s">
        <v>8655</v>
      </c>
      <c r="B2845" s="3">
        <v>1</v>
      </c>
    </row>
    <row r="2846" spans="1:2">
      <c r="A2846" s="2" t="s">
        <v>8667</v>
      </c>
      <c r="B2846" s="3">
        <v>1</v>
      </c>
    </row>
    <row r="2847" spans="1:2">
      <c r="A2847" s="2" t="s">
        <v>8679</v>
      </c>
      <c r="B2847" s="3">
        <v>1</v>
      </c>
    </row>
    <row r="2848" spans="1:2">
      <c r="A2848" s="2" t="s">
        <v>8685</v>
      </c>
      <c r="B2848" s="3">
        <v>1</v>
      </c>
    </row>
    <row r="2849" spans="1:2">
      <c r="A2849" s="2" t="s">
        <v>8697</v>
      </c>
      <c r="B2849" s="3">
        <v>1</v>
      </c>
    </row>
    <row r="2850" spans="1:2">
      <c r="A2850" s="2" t="s">
        <v>8706</v>
      </c>
      <c r="B2850" s="3">
        <v>1</v>
      </c>
    </row>
    <row r="2851" spans="1:2">
      <c r="A2851" s="2" t="s">
        <v>8715</v>
      </c>
      <c r="B2851" s="3">
        <v>1</v>
      </c>
    </row>
    <row r="2852" spans="1:2">
      <c r="A2852" s="2" t="s">
        <v>8724</v>
      </c>
      <c r="B2852" s="3">
        <v>1</v>
      </c>
    </row>
    <row r="2853" spans="1:2">
      <c r="A2853" s="2" t="s">
        <v>8733</v>
      </c>
      <c r="B2853" s="3">
        <v>1</v>
      </c>
    </row>
    <row r="2854" spans="1:2">
      <c r="A2854" s="2" t="s">
        <v>8742</v>
      </c>
      <c r="B2854" s="3">
        <v>1</v>
      </c>
    </row>
    <row r="2855" spans="1:2">
      <c r="A2855" s="2" t="s">
        <v>8751</v>
      </c>
      <c r="B2855" s="3">
        <v>1</v>
      </c>
    </row>
    <row r="2856" spans="1:2">
      <c r="A2856" s="2" t="s">
        <v>8766</v>
      </c>
      <c r="B2856" s="3">
        <v>1</v>
      </c>
    </row>
    <row r="2857" spans="1:2">
      <c r="A2857" s="2" t="s">
        <v>8772</v>
      </c>
      <c r="B2857" s="3">
        <v>1</v>
      </c>
    </row>
    <row r="2858" spans="1:2">
      <c r="A2858" s="2" t="s">
        <v>8781</v>
      </c>
      <c r="B2858" s="3">
        <v>1</v>
      </c>
    </row>
    <row r="2859" spans="1:2">
      <c r="A2859" s="2" t="s">
        <v>8790</v>
      </c>
      <c r="B2859" s="3">
        <v>1</v>
      </c>
    </row>
    <row r="2860" spans="1:2">
      <c r="A2860" s="2" t="s">
        <v>8796</v>
      </c>
      <c r="B2860" s="3">
        <v>1</v>
      </c>
    </row>
    <row r="2861" spans="1:2">
      <c r="A2861" s="2" t="s">
        <v>8802</v>
      </c>
      <c r="B2861" s="3">
        <v>1</v>
      </c>
    </row>
    <row r="2862" spans="1:2">
      <c r="A2862" s="2" t="s">
        <v>8451</v>
      </c>
      <c r="B2862" s="3">
        <v>1</v>
      </c>
    </row>
    <row r="2863" spans="1:2">
      <c r="A2863" s="2" t="s">
        <v>8457</v>
      </c>
      <c r="B2863" s="3">
        <v>1</v>
      </c>
    </row>
    <row r="2864" spans="1:2">
      <c r="A2864" s="2" t="s">
        <v>8469</v>
      </c>
      <c r="B2864" s="3">
        <v>1</v>
      </c>
    </row>
    <row r="2865" spans="1:2">
      <c r="A2865" s="2" t="s">
        <v>8487</v>
      </c>
      <c r="B2865" s="3">
        <v>1</v>
      </c>
    </row>
    <row r="2866" spans="1:2">
      <c r="A2866" s="2" t="s">
        <v>8490</v>
      </c>
      <c r="B2866" s="3">
        <v>1</v>
      </c>
    </row>
    <row r="2867" spans="1:2">
      <c r="A2867" s="2" t="s">
        <v>8508</v>
      </c>
      <c r="B2867" s="3">
        <v>1</v>
      </c>
    </row>
    <row r="2868" spans="1:2">
      <c r="A2868" s="2" t="s">
        <v>8514</v>
      </c>
      <c r="B2868" s="3">
        <v>1</v>
      </c>
    </row>
    <row r="2869" spans="1:2">
      <c r="A2869" s="2" t="s">
        <v>8526</v>
      </c>
      <c r="B2869" s="3">
        <v>1</v>
      </c>
    </row>
    <row r="2870" spans="1:2">
      <c r="A2870" s="2" t="s">
        <v>8532</v>
      </c>
      <c r="B2870" s="3">
        <v>1</v>
      </c>
    </row>
    <row r="2871" spans="1:2">
      <c r="A2871" s="2" t="s">
        <v>8553</v>
      </c>
      <c r="B2871" s="3">
        <v>1</v>
      </c>
    </row>
    <row r="2872" spans="1:2">
      <c r="A2872" s="2" t="s">
        <v>8556</v>
      </c>
      <c r="B2872" s="3">
        <v>1</v>
      </c>
    </row>
    <row r="2873" spans="1:2">
      <c r="A2873" s="2" t="s">
        <v>8562</v>
      </c>
      <c r="B2873" s="3">
        <v>1</v>
      </c>
    </row>
    <row r="2874" spans="1:2">
      <c r="A2874" s="2" t="s">
        <v>8568</v>
      </c>
      <c r="B2874" s="3">
        <v>1</v>
      </c>
    </row>
    <row r="2875" spans="1:2">
      <c r="A2875" s="2" t="s">
        <v>8580</v>
      </c>
      <c r="B2875" s="3">
        <v>1</v>
      </c>
    </row>
    <row r="2876" spans="1:2">
      <c r="A2876" s="2" t="s">
        <v>8586</v>
      </c>
      <c r="B2876" s="3">
        <v>1</v>
      </c>
    </row>
    <row r="2877" spans="1:2">
      <c r="A2877" s="2" t="s">
        <v>8589</v>
      </c>
      <c r="B2877" s="3">
        <v>1</v>
      </c>
    </row>
    <row r="2878" spans="1:2">
      <c r="A2878" s="2" t="s">
        <v>8607</v>
      </c>
      <c r="B2878" s="3">
        <v>1</v>
      </c>
    </row>
    <row r="2879" spans="1:2">
      <c r="A2879" s="2" t="s">
        <v>8613</v>
      </c>
      <c r="B2879" s="3">
        <v>1</v>
      </c>
    </row>
    <row r="2880" spans="1:2">
      <c r="A2880" s="2" t="s">
        <v>8616</v>
      </c>
      <c r="B2880" s="3">
        <v>1</v>
      </c>
    </row>
    <row r="2881" spans="1:2">
      <c r="A2881" s="2" t="s">
        <v>8637</v>
      </c>
      <c r="B2881" s="3">
        <v>1</v>
      </c>
    </row>
    <row r="2882" spans="1:2">
      <c r="A2882" s="2" t="s">
        <v>8640</v>
      </c>
      <c r="B2882" s="3">
        <v>1</v>
      </c>
    </row>
    <row r="2883" spans="1:2">
      <c r="A2883" s="2" t="s">
        <v>8643</v>
      </c>
      <c r="B2883" s="3">
        <v>1</v>
      </c>
    </row>
    <row r="2884" spans="1:2">
      <c r="A2884" s="2" t="s">
        <v>8658</v>
      </c>
      <c r="B2884" s="3">
        <v>1</v>
      </c>
    </row>
    <row r="2885" spans="1:2">
      <c r="A2885" s="2" t="s">
        <v>8676</v>
      </c>
      <c r="B2885" s="3">
        <v>1</v>
      </c>
    </row>
    <row r="2886" spans="1:2">
      <c r="A2886" s="2" t="s">
        <v>8682</v>
      </c>
      <c r="B2886" s="3">
        <v>1</v>
      </c>
    </row>
    <row r="2887" spans="1:2">
      <c r="A2887" s="2" t="s">
        <v>8688</v>
      </c>
      <c r="B2887" s="3">
        <v>1</v>
      </c>
    </row>
    <row r="2888" spans="1:2">
      <c r="A2888" s="2" t="s">
        <v>8703</v>
      </c>
      <c r="B2888" s="3">
        <v>1</v>
      </c>
    </row>
    <row r="2889" spans="1:2">
      <c r="A2889" s="2" t="s">
        <v>8709</v>
      </c>
      <c r="B2889" s="3">
        <v>1</v>
      </c>
    </row>
    <row r="2890" spans="1:2">
      <c r="A2890" s="2" t="s">
        <v>8721</v>
      </c>
      <c r="B2890" s="3">
        <v>1</v>
      </c>
    </row>
    <row r="2891" spans="1:2">
      <c r="A2891" s="2" t="s">
        <v>8727</v>
      </c>
      <c r="B2891" s="3">
        <v>1</v>
      </c>
    </row>
    <row r="2892" spans="1:2">
      <c r="A2892" s="2" t="s">
        <v>8739</v>
      </c>
      <c r="B2892" s="3">
        <v>1</v>
      </c>
    </row>
    <row r="2893" spans="1:2">
      <c r="A2893" s="2" t="s">
        <v>8745</v>
      </c>
      <c r="B2893" s="3">
        <v>1</v>
      </c>
    </row>
    <row r="2894" spans="1:2">
      <c r="A2894" s="2" t="s">
        <v>8760</v>
      </c>
      <c r="B2894" s="3">
        <v>1</v>
      </c>
    </row>
    <row r="2895" spans="1:2">
      <c r="A2895" s="2" t="s">
        <v>8763</v>
      </c>
      <c r="B2895" s="3">
        <v>1</v>
      </c>
    </row>
    <row r="2896" spans="1:2">
      <c r="A2896" s="2" t="s">
        <v>8778</v>
      </c>
      <c r="B2896" s="3">
        <v>1</v>
      </c>
    </row>
    <row r="2897" spans="1:2">
      <c r="A2897" s="2" t="s">
        <v>8784</v>
      </c>
      <c r="B2897" s="3">
        <v>1</v>
      </c>
    </row>
    <row r="2898" spans="1:2">
      <c r="A2898" s="2" t="s">
        <v>8799</v>
      </c>
      <c r="B2898" s="3">
        <v>1</v>
      </c>
    </row>
    <row r="2899" spans="1:2">
      <c r="A2899" s="2" t="s">
        <v>8805</v>
      </c>
      <c r="B2899" s="3">
        <v>1</v>
      </c>
    </row>
    <row r="2900" spans="1:2">
      <c r="A2900" s="2" t="s">
        <v>8820</v>
      </c>
      <c r="B2900" s="3">
        <v>1</v>
      </c>
    </row>
    <row r="2901" spans="1:2">
      <c r="A2901" s="2" t="s">
        <v>8826</v>
      </c>
      <c r="B2901" s="3">
        <v>1</v>
      </c>
    </row>
    <row r="2902" spans="1:2">
      <c r="A2902" s="2" t="s">
        <v>8829</v>
      </c>
      <c r="B2902" s="3">
        <v>1</v>
      </c>
    </row>
    <row r="2903" spans="1:2">
      <c r="A2903" s="2" t="s">
        <v>8844</v>
      </c>
      <c r="B2903" s="3">
        <v>1</v>
      </c>
    </row>
    <row r="2904" spans="1:2">
      <c r="A2904" s="2" t="s">
        <v>8850</v>
      </c>
      <c r="B2904" s="3">
        <v>1</v>
      </c>
    </row>
    <row r="2905" spans="1:2">
      <c r="A2905" s="2" t="s">
        <v>8862</v>
      </c>
      <c r="B2905" s="3">
        <v>1</v>
      </c>
    </row>
    <row r="2906" spans="1:2">
      <c r="A2906" s="2" t="s">
        <v>8868</v>
      </c>
      <c r="B2906" s="3">
        <v>1</v>
      </c>
    </row>
    <row r="2907" spans="1:2">
      <c r="A2907" s="2" t="s">
        <v>8880</v>
      </c>
      <c r="B2907" s="3">
        <v>1</v>
      </c>
    </row>
    <row r="2908" spans="1:2">
      <c r="A2908" s="2" t="s">
        <v>8886</v>
      </c>
      <c r="B2908" s="3">
        <v>1</v>
      </c>
    </row>
    <row r="2909" spans="1:2">
      <c r="A2909" s="2" t="s">
        <v>8907</v>
      </c>
      <c r="B2909" s="3">
        <v>1</v>
      </c>
    </row>
    <row r="2910" spans="1:2">
      <c r="A2910" s="2" t="s">
        <v>8913</v>
      </c>
      <c r="B2910" s="3">
        <v>1</v>
      </c>
    </row>
    <row r="2911" spans="1:2">
      <c r="A2911" s="2" t="s">
        <v>8925</v>
      </c>
      <c r="B2911" s="3">
        <v>1</v>
      </c>
    </row>
    <row r="2912" spans="1:2">
      <c r="A2912" s="2" t="s">
        <v>8934</v>
      </c>
      <c r="B2912" s="3">
        <v>1</v>
      </c>
    </row>
    <row r="2913" spans="1:2">
      <c r="A2913" s="2" t="s">
        <v>8949</v>
      </c>
      <c r="B2913" s="3">
        <v>1</v>
      </c>
    </row>
    <row r="2914" spans="1:2">
      <c r="A2914" s="2" t="s">
        <v>8952</v>
      </c>
      <c r="B2914" s="3">
        <v>1</v>
      </c>
    </row>
    <row r="2915" spans="1:2">
      <c r="A2915" s="2" t="s">
        <v>8961</v>
      </c>
      <c r="B2915" s="3">
        <v>1</v>
      </c>
    </row>
    <row r="2916" spans="1:2">
      <c r="A2916" s="2" t="s">
        <v>8979</v>
      </c>
      <c r="B2916" s="3">
        <v>1</v>
      </c>
    </row>
    <row r="2917" spans="1:2">
      <c r="A2917" s="2" t="s">
        <v>8994</v>
      </c>
      <c r="B2917" s="3">
        <v>1</v>
      </c>
    </row>
    <row r="2918" spans="1:2">
      <c r="A2918" s="2" t="s">
        <v>8997</v>
      </c>
      <c r="B2918" s="3">
        <v>1</v>
      </c>
    </row>
    <row r="2919" spans="1:2">
      <c r="A2919" s="2" t="s">
        <v>9003</v>
      </c>
      <c r="B2919" s="3">
        <v>1</v>
      </c>
    </row>
    <row r="2920" spans="1:2">
      <c r="A2920" s="2" t="s">
        <v>9018</v>
      </c>
      <c r="B2920" s="3">
        <v>1</v>
      </c>
    </row>
    <row r="2921" spans="1:2">
      <c r="A2921" s="2" t="s">
        <v>9024</v>
      </c>
      <c r="B2921" s="3">
        <v>1</v>
      </c>
    </row>
    <row r="2922" spans="1:2">
      <c r="A2922" s="2" t="s">
        <v>9036</v>
      </c>
      <c r="B2922" s="3">
        <v>1</v>
      </c>
    </row>
    <row r="2923" spans="1:2">
      <c r="A2923" s="2" t="s">
        <v>9054</v>
      </c>
      <c r="B2923" s="3">
        <v>1</v>
      </c>
    </row>
    <row r="2924" spans="1:2">
      <c r="A2924" s="2" t="s">
        <v>9060</v>
      </c>
      <c r="B2924" s="3">
        <v>1</v>
      </c>
    </row>
    <row r="2925" spans="1:2">
      <c r="A2925" s="2" t="s">
        <v>9075</v>
      </c>
      <c r="B2925" s="3">
        <v>1</v>
      </c>
    </row>
    <row r="2926" spans="1:2">
      <c r="A2926" s="2" t="s">
        <v>9078</v>
      </c>
      <c r="B2926" s="3">
        <v>1</v>
      </c>
    </row>
    <row r="2927" spans="1:2">
      <c r="A2927" s="2" t="s">
        <v>9093</v>
      </c>
      <c r="B2927" s="3">
        <v>1</v>
      </c>
    </row>
    <row r="2928" spans="1:2">
      <c r="A2928" s="2" t="s">
        <v>9099</v>
      </c>
      <c r="B2928" s="3">
        <v>1</v>
      </c>
    </row>
    <row r="2929" spans="1:2">
      <c r="A2929" s="2" t="s">
        <v>9111</v>
      </c>
      <c r="B2929" s="3">
        <v>1</v>
      </c>
    </row>
    <row r="2930" spans="1:2">
      <c r="A2930" s="2" t="s">
        <v>9117</v>
      </c>
      <c r="B2930" s="3">
        <v>1</v>
      </c>
    </row>
    <row r="2931" spans="1:2">
      <c r="A2931" s="2" t="s">
        <v>9120</v>
      </c>
      <c r="B2931" s="3">
        <v>1</v>
      </c>
    </row>
    <row r="2932" spans="1:2">
      <c r="A2932" s="2" t="s">
        <v>9132</v>
      </c>
      <c r="B2932" s="3">
        <v>1</v>
      </c>
    </row>
    <row r="2933" spans="1:2">
      <c r="A2933" s="2" t="s">
        <v>9138</v>
      </c>
      <c r="B2933" s="3">
        <v>1</v>
      </c>
    </row>
    <row r="2934" spans="1:2">
      <c r="A2934" s="2" t="s">
        <v>9153</v>
      </c>
      <c r="B2934" s="3">
        <v>1</v>
      </c>
    </row>
    <row r="2935" spans="1:2">
      <c r="A2935" s="2" t="s">
        <v>9159</v>
      </c>
      <c r="B2935" s="3">
        <v>1</v>
      </c>
    </row>
    <row r="2936" spans="1:2">
      <c r="A2936" s="2" t="s">
        <v>9171</v>
      </c>
      <c r="B2936" s="3">
        <v>1</v>
      </c>
    </row>
    <row r="2937" spans="1:2">
      <c r="A2937" s="2" t="s">
        <v>9174</v>
      </c>
      <c r="B2937" s="3">
        <v>1</v>
      </c>
    </row>
    <row r="2938" spans="1:2">
      <c r="A2938" s="2" t="s">
        <v>9180</v>
      </c>
      <c r="B2938" s="3">
        <v>1</v>
      </c>
    </row>
    <row r="2939" spans="1:2">
      <c r="A2939" s="2" t="s">
        <v>9201</v>
      </c>
      <c r="B2939" s="3">
        <v>1</v>
      </c>
    </row>
    <row r="2940" spans="1:2">
      <c r="A2940" s="2" t="s">
        <v>9207</v>
      </c>
      <c r="B2940" s="3">
        <v>1</v>
      </c>
    </row>
    <row r="2941" spans="1:2">
      <c r="A2941" s="2" t="s">
        <v>9222</v>
      </c>
      <c r="B2941" s="3">
        <v>1</v>
      </c>
    </row>
    <row r="2942" spans="1:2">
      <c r="A2942" s="2" t="s">
        <v>9228</v>
      </c>
      <c r="B2942" s="3">
        <v>1</v>
      </c>
    </row>
    <row r="2943" spans="1:2">
      <c r="A2943" s="2" t="s">
        <v>9234</v>
      </c>
      <c r="B2943" s="3">
        <v>1</v>
      </c>
    </row>
    <row r="2944" spans="1:2">
      <c r="A2944" s="2" t="s">
        <v>9237</v>
      </c>
      <c r="B2944" s="3">
        <v>1</v>
      </c>
    </row>
    <row r="2945" spans="1:2">
      <c r="A2945" s="2" t="s">
        <v>9255</v>
      </c>
      <c r="B2945" s="3">
        <v>1</v>
      </c>
    </row>
    <row r="2946" spans="1:2">
      <c r="A2946" s="2" t="s">
        <v>9258</v>
      </c>
      <c r="B2946" s="3">
        <v>1</v>
      </c>
    </row>
    <row r="2947" spans="1:2">
      <c r="A2947" s="2" t="s">
        <v>9276</v>
      </c>
      <c r="B2947" s="3">
        <v>1</v>
      </c>
    </row>
    <row r="2948" spans="1:2">
      <c r="A2948" s="2" t="s">
        <v>9285</v>
      </c>
      <c r="B2948" s="3">
        <v>1</v>
      </c>
    </row>
    <row r="2949" spans="1:2">
      <c r="A2949" s="2" t="s">
        <v>9297</v>
      </c>
      <c r="B2949" s="3">
        <v>1</v>
      </c>
    </row>
    <row r="2950" spans="1:2">
      <c r="A2950" s="2" t="s">
        <v>9303</v>
      </c>
      <c r="B2950" s="3">
        <v>1</v>
      </c>
    </row>
    <row r="2951" spans="1:2">
      <c r="A2951" s="2" t="s">
        <v>9318</v>
      </c>
      <c r="B2951" s="3">
        <v>1</v>
      </c>
    </row>
    <row r="2952" spans="1:2">
      <c r="A2952" s="2" t="s">
        <v>9336</v>
      </c>
      <c r="B2952" s="3">
        <v>1</v>
      </c>
    </row>
    <row r="2953" spans="1:2">
      <c r="A2953" s="2" t="s">
        <v>9342</v>
      </c>
      <c r="B2953" s="3">
        <v>1</v>
      </c>
    </row>
    <row r="2954" spans="1:2">
      <c r="A2954" s="2" t="s">
        <v>9354</v>
      </c>
      <c r="B2954" s="3">
        <v>1</v>
      </c>
    </row>
    <row r="2955" spans="1:2">
      <c r="A2955" s="2" t="s">
        <v>9360</v>
      </c>
      <c r="B2955" s="3">
        <v>1</v>
      </c>
    </row>
    <row r="2956" spans="1:2">
      <c r="A2956" s="2" t="s">
        <v>8547</v>
      </c>
      <c r="B2956" s="3">
        <v>1</v>
      </c>
    </row>
    <row r="2957" spans="1:2">
      <c r="A2957" s="2" t="s">
        <v>8550</v>
      </c>
      <c r="B2957" s="3">
        <v>1</v>
      </c>
    </row>
    <row r="2958" spans="1:2">
      <c r="A2958" s="2" t="s">
        <v>8571</v>
      </c>
      <c r="B2958" s="3">
        <v>1</v>
      </c>
    </row>
    <row r="2959" spans="1:2">
      <c r="A2959" s="2" t="s">
        <v>8577</v>
      </c>
      <c r="B2959" s="3">
        <v>1</v>
      </c>
    </row>
    <row r="2960" spans="1:2">
      <c r="A2960" s="2" t="s">
        <v>8592</v>
      </c>
      <c r="B2960" s="3">
        <v>1</v>
      </c>
    </row>
    <row r="2961" spans="1:2">
      <c r="A2961" s="2" t="s">
        <v>8598</v>
      </c>
      <c r="B2961" s="3">
        <v>1</v>
      </c>
    </row>
    <row r="2962" spans="1:2">
      <c r="A2962" s="2" t="s">
        <v>8604</v>
      </c>
      <c r="B2962" s="3">
        <v>1</v>
      </c>
    </row>
    <row r="2963" spans="1:2">
      <c r="A2963" s="2" t="s">
        <v>8622</v>
      </c>
      <c r="B2963" s="3">
        <v>1</v>
      </c>
    </row>
    <row r="2964" spans="1:2">
      <c r="A2964" s="2" t="s">
        <v>8625</v>
      </c>
      <c r="B2964" s="3">
        <v>1</v>
      </c>
    </row>
    <row r="2965" spans="1:2">
      <c r="A2965" s="2" t="s">
        <v>8631</v>
      </c>
      <c r="B2965" s="3">
        <v>1</v>
      </c>
    </row>
    <row r="2966" spans="1:2">
      <c r="A2966" s="2" t="s">
        <v>8634</v>
      </c>
      <c r="B2966" s="3">
        <v>1</v>
      </c>
    </row>
    <row r="2967" spans="1:2">
      <c r="A2967" s="2" t="s">
        <v>8649</v>
      </c>
      <c r="B2967" s="3">
        <v>1</v>
      </c>
    </row>
    <row r="2968" spans="1:2">
      <c r="A2968" s="2" t="s">
        <v>8661</v>
      </c>
      <c r="B2968" s="3">
        <v>1</v>
      </c>
    </row>
    <row r="2969" spans="1:2">
      <c r="A2969" s="2" t="s">
        <v>8664</v>
      </c>
      <c r="B2969" s="3">
        <v>1</v>
      </c>
    </row>
    <row r="2970" spans="1:2">
      <c r="A2970" s="2" t="s">
        <v>8670</v>
      </c>
      <c r="B2970" s="3">
        <v>1</v>
      </c>
    </row>
    <row r="2971" spans="1:2">
      <c r="A2971" s="2" t="s">
        <v>8673</v>
      </c>
      <c r="B2971" s="3">
        <v>1</v>
      </c>
    </row>
    <row r="2972" spans="1:2">
      <c r="A2972" s="2" t="s">
        <v>8691</v>
      </c>
      <c r="B2972" s="3">
        <v>1</v>
      </c>
    </row>
    <row r="2973" spans="1:2">
      <c r="A2973" s="2" t="s">
        <v>8694</v>
      </c>
      <c r="B2973" s="3">
        <v>1</v>
      </c>
    </row>
    <row r="2974" spans="1:2">
      <c r="A2974" s="2" t="s">
        <v>8700</v>
      </c>
      <c r="B2974" s="3">
        <v>1</v>
      </c>
    </row>
    <row r="2975" spans="1:2">
      <c r="A2975" s="2" t="s">
        <v>8712</v>
      </c>
      <c r="B2975" s="3">
        <v>1</v>
      </c>
    </row>
    <row r="2976" spans="1:2">
      <c r="A2976" s="2" t="s">
        <v>8718</v>
      </c>
      <c r="B2976" s="3">
        <v>1</v>
      </c>
    </row>
    <row r="2977" spans="1:2">
      <c r="A2977" s="2" t="s">
        <v>8730</v>
      </c>
      <c r="B2977" s="3">
        <v>1</v>
      </c>
    </row>
    <row r="2978" spans="1:2">
      <c r="A2978" s="2" t="s">
        <v>8736</v>
      </c>
      <c r="B2978" s="3">
        <v>1</v>
      </c>
    </row>
    <row r="2979" spans="1:2">
      <c r="A2979" s="2" t="s">
        <v>8748</v>
      </c>
      <c r="B2979" s="3">
        <v>1</v>
      </c>
    </row>
    <row r="2980" spans="1:2">
      <c r="A2980" s="2" t="s">
        <v>8754</v>
      </c>
      <c r="B2980" s="3">
        <v>1</v>
      </c>
    </row>
    <row r="2981" spans="1:2">
      <c r="A2981" s="2" t="s">
        <v>8757</v>
      </c>
      <c r="B2981" s="3">
        <v>1</v>
      </c>
    </row>
    <row r="2982" spans="1:2">
      <c r="A2982" s="2" t="s">
        <v>8769</v>
      </c>
      <c r="B2982" s="3">
        <v>1</v>
      </c>
    </row>
    <row r="2983" spans="1:2">
      <c r="A2983" s="2" t="s">
        <v>8775</v>
      </c>
      <c r="B2983" s="3">
        <v>1</v>
      </c>
    </row>
    <row r="2984" spans="1:2">
      <c r="A2984" s="2" t="s">
        <v>8787</v>
      </c>
      <c r="B2984" s="3">
        <v>1</v>
      </c>
    </row>
    <row r="2985" spans="1:2">
      <c r="A2985" s="2" t="s">
        <v>8793</v>
      </c>
      <c r="B2985" s="3">
        <v>1</v>
      </c>
    </row>
    <row r="2986" spans="1:2">
      <c r="A2986" s="2" t="s">
        <v>8808</v>
      </c>
      <c r="B2986" s="3">
        <v>1</v>
      </c>
    </row>
    <row r="2987" spans="1:2">
      <c r="A2987" s="2" t="s">
        <v>8817</v>
      </c>
      <c r="B2987" s="3">
        <v>1</v>
      </c>
    </row>
    <row r="2988" spans="1:2">
      <c r="A2988" s="2" t="s">
        <v>8835</v>
      </c>
      <c r="B2988" s="3">
        <v>1</v>
      </c>
    </row>
    <row r="2989" spans="1:2">
      <c r="A2989" s="2" t="s">
        <v>8841</v>
      </c>
      <c r="B2989" s="3">
        <v>1</v>
      </c>
    </row>
    <row r="2990" spans="1:2">
      <c r="A2990" s="2" t="s">
        <v>8853</v>
      </c>
      <c r="B2990" s="3">
        <v>1</v>
      </c>
    </row>
    <row r="2991" spans="1:2">
      <c r="A2991" s="2" t="s">
        <v>8859</v>
      </c>
      <c r="B2991" s="3">
        <v>1</v>
      </c>
    </row>
    <row r="2992" spans="1:2">
      <c r="A2992" s="2" t="s">
        <v>8871</v>
      </c>
      <c r="B2992" s="3">
        <v>1</v>
      </c>
    </row>
    <row r="2993" spans="1:2">
      <c r="A2993" s="2" t="s">
        <v>8877</v>
      </c>
      <c r="B2993" s="3">
        <v>1</v>
      </c>
    </row>
    <row r="2994" spans="1:2">
      <c r="A2994" s="2" t="s">
        <v>8889</v>
      </c>
      <c r="B2994" s="3">
        <v>1</v>
      </c>
    </row>
    <row r="2995" spans="1:2">
      <c r="A2995" s="2" t="s">
        <v>8892</v>
      </c>
      <c r="B2995" s="3">
        <v>1</v>
      </c>
    </row>
    <row r="2996" spans="1:2">
      <c r="A2996" s="2" t="s">
        <v>8898</v>
      </c>
      <c r="B2996" s="3">
        <v>1</v>
      </c>
    </row>
    <row r="2997" spans="1:2">
      <c r="A2997" s="2" t="s">
        <v>8901</v>
      </c>
      <c r="B2997" s="3">
        <v>1</v>
      </c>
    </row>
    <row r="2998" spans="1:2">
      <c r="A2998" s="2" t="s">
        <v>8904</v>
      </c>
      <c r="B2998" s="3">
        <v>1</v>
      </c>
    </row>
    <row r="2999" spans="1:2">
      <c r="A2999" s="2" t="s">
        <v>8916</v>
      </c>
      <c r="B2999" s="3">
        <v>1</v>
      </c>
    </row>
    <row r="3000" spans="1:2">
      <c r="A3000" s="2" t="s">
        <v>8922</v>
      </c>
      <c r="B3000" s="3">
        <v>1</v>
      </c>
    </row>
    <row r="3001" spans="1:2">
      <c r="A3001" s="2" t="s">
        <v>8937</v>
      </c>
      <c r="B3001" s="3">
        <v>1</v>
      </c>
    </row>
    <row r="3002" spans="1:2">
      <c r="A3002" s="2" t="s">
        <v>8943</v>
      </c>
      <c r="B3002" s="3">
        <v>1</v>
      </c>
    </row>
    <row r="3003" spans="1:2">
      <c r="A3003" s="2" t="s">
        <v>8946</v>
      </c>
      <c r="B3003" s="3">
        <v>1</v>
      </c>
    </row>
    <row r="3004" spans="1:2">
      <c r="A3004" s="2" t="s">
        <v>8955</v>
      </c>
      <c r="B3004" s="3">
        <v>1</v>
      </c>
    </row>
    <row r="3005" spans="1:2">
      <c r="A3005" s="2" t="s">
        <v>8967</v>
      </c>
      <c r="B3005" s="3">
        <v>1</v>
      </c>
    </row>
    <row r="3006" spans="1:2">
      <c r="A3006" s="2" t="s">
        <v>8973</v>
      </c>
      <c r="B3006" s="3">
        <v>1</v>
      </c>
    </row>
    <row r="3007" spans="1:2">
      <c r="A3007" s="2" t="s">
        <v>8985</v>
      </c>
      <c r="B3007" s="3">
        <v>1</v>
      </c>
    </row>
    <row r="3008" spans="1:2">
      <c r="A3008" s="2" t="s">
        <v>8991</v>
      </c>
      <c r="B3008" s="3">
        <v>1</v>
      </c>
    </row>
    <row r="3009" spans="1:2">
      <c r="A3009" s="2" t="s">
        <v>9006</v>
      </c>
      <c r="B3009" s="3">
        <v>1</v>
      </c>
    </row>
    <row r="3010" spans="1:2">
      <c r="A3010" s="2" t="s">
        <v>9009</v>
      </c>
      <c r="B3010" s="3">
        <v>1</v>
      </c>
    </row>
    <row r="3011" spans="1:2">
      <c r="A3011" s="2" t="s">
        <v>9015</v>
      </c>
      <c r="B3011" s="3">
        <v>1</v>
      </c>
    </row>
    <row r="3012" spans="1:2">
      <c r="A3012" s="2" t="s">
        <v>9027</v>
      </c>
      <c r="B3012" s="3">
        <v>1</v>
      </c>
    </row>
    <row r="3013" spans="1:2">
      <c r="A3013" s="2" t="s">
        <v>9033</v>
      </c>
      <c r="B3013" s="3">
        <v>1</v>
      </c>
    </row>
    <row r="3014" spans="1:2">
      <c r="A3014" s="2" t="s">
        <v>9042</v>
      </c>
      <c r="B3014" s="3">
        <v>1</v>
      </c>
    </row>
    <row r="3015" spans="1:2">
      <c r="A3015" s="2" t="s">
        <v>9045</v>
      </c>
      <c r="B3015" s="3">
        <v>1</v>
      </c>
    </row>
    <row r="3016" spans="1:2">
      <c r="A3016" s="2" t="s">
        <v>9051</v>
      </c>
      <c r="B3016" s="3">
        <v>1</v>
      </c>
    </row>
    <row r="3017" spans="1:2">
      <c r="A3017" s="2" t="s">
        <v>9063</v>
      </c>
      <c r="B3017" s="3">
        <v>1</v>
      </c>
    </row>
    <row r="3018" spans="1:2">
      <c r="A3018" s="2" t="s">
        <v>9066</v>
      </c>
      <c r="B3018" s="3">
        <v>1</v>
      </c>
    </row>
    <row r="3019" spans="1:2">
      <c r="A3019" s="2" t="s">
        <v>9072</v>
      </c>
      <c r="B3019" s="3">
        <v>1</v>
      </c>
    </row>
    <row r="3020" spans="1:2">
      <c r="A3020" s="2" t="s">
        <v>9084</v>
      </c>
      <c r="B3020" s="3">
        <v>1</v>
      </c>
    </row>
    <row r="3021" spans="1:2">
      <c r="A3021" s="2" t="s">
        <v>9090</v>
      </c>
      <c r="B3021" s="3">
        <v>1</v>
      </c>
    </row>
    <row r="3022" spans="1:2">
      <c r="A3022" s="2" t="s">
        <v>9102</v>
      </c>
      <c r="B3022" s="3">
        <v>1</v>
      </c>
    </row>
    <row r="3023" spans="1:2">
      <c r="A3023" s="2" t="s">
        <v>9105</v>
      </c>
      <c r="B3023" s="3">
        <v>1</v>
      </c>
    </row>
    <row r="3024" spans="1:2">
      <c r="A3024" s="2" t="s">
        <v>9108</v>
      </c>
      <c r="B3024" s="3">
        <v>1</v>
      </c>
    </row>
    <row r="3025" spans="1:2">
      <c r="A3025" s="2" t="s">
        <v>9123</v>
      </c>
      <c r="B3025" s="3">
        <v>1</v>
      </c>
    </row>
    <row r="3026" spans="1:2">
      <c r="A3026" s="2" t="s">
        <v>9129</v>
      </c>
      <c r="B3026" s="3">
        <v>1</v>
      </c>
    </row>
    <row r="3027" spans="1:2">
      <c r="A3027" s="2" t="s">
        <v>9141</v>
      </c>
      <c r="B3027" s="3">
        <v>1</v>
      </c>
    </row>
    <row r="3028" spans="1:2">
      <c r="A3028" s="2" t="s">
        <v>9147</v>
      </c>
      <c r="B3028" s="3">
        <v>1</v>
      </c>
    </row>
    <row r="3029" spans="1:2">
      <c r="A3029" s="2" t="s">
        <v>9150</v>
      </c>
      <c r="B3029" s="3">
        <v>1</v>
      </c>
    </row>
    <row r="3030" spans="1:2">
      <c r="A3030" s="2" t="s">
        <v>9162</v>
      </c>
      <c r="B3030" s="3">
        <v>1</v>
      </c>
    </row>
    <row r="3031" spans="1:2">
      <c r="A3031" s="2" t="s">
        <v>9168</v>
      </c>
      <c r="B3031" s="3">
        <v>1</v>
      </c>
    </row>
    <row r="3032" spans="1:2">
      <c r="A3032" s="2" t="s">
        <v>9183</v>
      </c>
      <c r="B3032" s="3">
        <v>1</v>
      </c>
    </row>
    <row r="3033" spans="1:2">
      <c r="A3033" s="2" t="s">
        <v>9189</v>
      </c>
      <c r="B3033" s="3">
        <v>1</v>
      </c>
    </row>
    <row r="3034" spans="1:2">
      <c r="A3034" s="2" t="s">
        <v>9195</v>
      </c>
      <c r="B3034" s="3">
        <v>1</v>
      </c>
    </row>
    <row r="3035" spans="1:2">
      <c r="A3035" s="2" t="s">
        <v>9210</v>
      </c>
      <c r="B3035" s="3">
        <v>1</v>
      </c>
    </row>
    <row r="3036" spans="1:2">
      <c r="A3036" s="2" t="s">
        <v>9213</v>
      </c>
      <c r="B3036" s="3">
        <v>1</v>
      </c>
    </row>
    <row r="3037" spans="1:2">
      <c r="A3037" s="2" t="s">
        <v>9219</v>
      </c>
      <c r="B3037" s="3">
        <v>1</v>
      </c>
    </row>
    <row r="3038" spans="1:2">
      <c r="A3038" s="2" t="s">
        <v>9240</v>
      </c>
      <c r="B3038" s="3">
        <v>1</v>
      </c>
    </row>
    <row r="3039" spans="1:2">
      <c r="A3039" s="2" t="s">
        <v>9246</v>
      </c>
      <c r="B3039" s="3">
        <v>1</v>
      </c>
    </row>
    <row r="3040" spans="1:2">
      <c r="A3040" s="2" t="s">
        <v>9252</v>
      </c>
      <c r="B3040" s="3">
        <v>1</v>
      </c>
    </row>
    <row r="3041" spans="1:2">
      <c r="A3041" s="2" t="s">
        <v>9264</v>
      </c>
      <c r="B3041" s="3">
        <v>1</v>
      </c>
    </row>
    <row r="3042" spans="1:2">
      <c r="A3042" s="2" t="s">
        <v>9270</v>
      </c>
      <c r="B3042" s="3">
        <v>1</v>
      </c>
    </row>
    <row r="3043" spans="1:2">
      <c r="A3043" s="2" t="s">
        <v>9273</v>
      </c>
      <c r="B3043" s="3">
        <v>1</v>
      </c>
    </row>
    <row r="3044" spans="1:2">
      <c r="A3044" s="2" t="s">
        <v>9288</v>
      </c>
      <c r="B3044" s="3">
        <v>1</v>
      </c>
    </row>
    <row r="3045" spans="1:2">
      <c r="A3045" s="2" t="s">
        <v>9294</v>
      </c>
      <c r="B3045" s="3">
        <v>1</v>
      </c>
    </row>
    <row r="3046" spans="1:2">
      <c r="A3046" s="2" t="s">
        <v>9306</v>
      </c>
      <c r="B3046" s="3">
        <v>1</v>
      </c>
    </row>
    <row r="3047" spans="1:2">
      <c r="A3047" s="2" t="s">
        <v>9312</v>
      </c>
      <c r="B3047" s="3">
        <v>1</v>
      </c>
    </row>
    <row r="3048" spans="1:2">
      <c r="A3048" s="2" t="s">
        <v>9315</v>
      </c>
      <c r="B3048" s="3">
        <v>1</v>
      </c>
    </row>
    <row r="3049" spans="1:2">
      <c r="A3049" s="2" t="s">
        <v>9324</v>
      </c>
      <c r="B3049" s="3">
        <v>1</v>
      </c>
    </row>
    <row r="3050" spans="1:2">
      <c r="A3050" s="2" t="s">
        <v>9330</v>
      </c>
      <c r="B3050" s="3">
        <v>1</v>
      </c>
    </row>
    <row r="3051" spans="1:2">
      <c r="A3051" s="2" t="s">
        <v>9333</v>
      </c>
      <c r="B3051" s="3">
        <v>1</v>
      </c>
    </row>
    <row r="3052" spans="1:2">
      <c r="A3052" s="2" t="s">
        <v>8811</v>
      </c>
      <c r="B3052" s="3">
        <v>1</v>
      </c>
    </row>
    <row r="3053" spans="1:2">
      <c r="A3053" s="2" t="s">
        <v>8814</v>
      </c>
      <c r="B3053" s="3">
        <v>1</v>
      </c>
    </row>
    <row r="3054" spans="1:2">
      <c r="A3054" s="2" t="s">
        <v>8823</v>
      </c>
      <c r="B3054" s="3">
        <v>1</v>
      </c>
    </row>
    <row r="3055" spans="1:2">
      <c r="A3055" s="2" t="s">
        <v>8832</v>
      </c>
      <c r="B3055" s="3">
        <v>1</v>
      </c>
    </row>
    <row r="3056" spans="1:2">
      <c r="A3056" s="2" t="s">
        <v>8838</v>
      </c>
      <c r="B3056" s="3">
        <v>1</v>
      </c>
    </row>
    <row r="3057" spans="1:2">
      <c r="A3057" s="2" t="s">
        <v>8847</v>
      </c>
      <c r="B3057" s="3">
        <v>1</v>
      </c>
    </row>
    <row r="3058" spans="1:2">
      <c r="A3058" s="2" t="s">
        <v>8856</v>
      </c>
      <c r="B3058" s="3">
        <v>1</v>
      </c>
    </row>
    <row r="3059" spans="1:2">
      <c r="A3059" s="2" t="s">
        <v>8865</v>
      </c>
      <c r="B3059" s="3">
        <v>1</v>
      </c>
    </row>
    <row r="3060" spans="1:2">
      <c r="A3060" s="2" t="s">
        <v>8874</v>
      </c>
      <c r="B3060" s="3">
        <v>1</v>
      </c>
    </row>
    <row r="3061" spans="1:2">
      <c r="A3061" s="2" t="s">
        <v>8883</v>
      </c>
      <c r="B3061" s="3">
        <v>1</v>
      </c>
    </row>
    <row r="3062" spans="1:2">
      <c r="A3062" s="2" t="s">
        <v>8895</v>
      </c>
      <c r="B3062" s="3">
        <v>1</v>
      </c>
    </row>
    <row r="3063" spans="1:2">
      <c r="A3063" s="2" t="s">
        <v>8910</v>
      </c>
      <c r="B3063" s="3">
        <v>1</v>
      </c>
    </row>
    <row r="3064" spans="1:2">
      <c r="A3064" s="2" t="s">
        <v>8919</v>
      </c>
      <c r="B3064" s="3">
        <v>1</v>
      </c>
    </row>
    <row r="3065" spans="1:2">
      <c r="A3065" s="2" t="s">
        <v>8928</v>
      </c>
      <c r="B3065" s="3">
        <v>1</v>
      </c>
    </row>
    <row r="3066" spans="1:2">
      <c r="A3066" s="2" t="s">
        <v>8931</v>
      </c>
      <c r="B3066" s="3">
        <v>1</v>
      </c>
    </row>
    <row r="3067" spans="1:2">
      <c r="A3067" s="2" t="s">
        <v>8940</v>
      </c>
      <c r="B3067" s="3">
        <v>1</v>
      </c>
    </row>
    <row r="3068" spans="1:2">
      <c r="A3068" s="2" t="s">
        <v>8958</v>
      </c>
      <c r="B3068" s="3">
        <v>1</v>
      </c>
    </row>
    <row r="3069" spans="1:2">
      <c r="A3069" s="2" t="s">
        <v>8964</v>
      </c>
      <c r="B3069" s="3">
        <v>1</v>
      </c>
    </row>
    <row r="3070" spans="1:2">
      <c r="A3070" s="2" t="s">
        <v>8970</v>
      </c>
      <c r="B3070" s="3">
        <v>1</v>
      </c>
    </row>
    <row r="3071" spans="1:2">
      <c r="A3071" s="2" t="s">
        <v>8976</v>
      </c>
      <c r="B3071" s="3">
        <v>1</v>
      </c>
    </row>
    <row r="3072" spans="1:2">
      <c r="A3072" s="2" t="s">
        <v>8982</v>
      </c>
      <c r="B3072" s="3">
        <v>1</v>
      </c>
    </row>
    <row r="3073" spans="1:2">
      <c r="A3073" s="2" t="s">
        <v>8988</v>
      </c>
      <c r="B3073" s="3">
        <v>1</v>
      </c>
    </row>
    <row r="3074" spans="1:2">
      <c r="A3074" s="2" t="s">
        <v>9000</v>
      </c>
      <c r="B3074" s="3">
        <v>1</v>
      </c>
    </row>
    <row r="3075" spans="1:2">
      <c r="A3075" s="2" t="s">
        <v>9012</v>
      </c>
      <c r="B3075" s="3">
        <v>1</v>
      </c>
    </row>
    <row r="3076" spans="1:2">
      <c r="A3076" s="2" t="s">
        <v>9021</v>
      </c>
      <c r="B3076" s="3">
        <v>1</v>
      </c>
    </row>
    <row r="3077" spans="1:2">
      <c r="A3077" s="2" t="s">
        <v>9030</v>
      </c>
      <c r="B3077" s="3">
        <v>1</v>
      </c>
    </row>
    <row r="3078" spans="1:2">
      <c r="A3078" s="2" t="s">
        <v>9039</v>
      </c>
      <c r="B3078" s="3">
        <v>1</v>
      </c>
    </row>
    <row r="3079" spans="1:2">
      <c r="A3079" s="2" t="s">
        <v>9048</v>
      </c>
      <c r="B3079" s="3">
        <v>1</v>
      </c>
    </row>
    <row r="3080" spans="1:2">
      <c r="A3080" s="2" t="s">
        <v>9057</v>
      </c>
      <c r="B3080" s="3">
        <v>1</v>
      </c>
    </row>
    <row r="3081" spans="1:2">
      <c r="A3081" s="2" t="s">
        <v>9069</v>
      </c>
      <c r="B3081" s="3">
        <v>1</v>
      </c>
    </row>
    <row r="3082" spans="1:2">
      <c r="A3082" s="2" t="s">
        <v>9081</v>
      </c>
      <c r="B3082" s="3">
        <v>1</v>
      </c>
    </row>
    <row r="3083" spans="1:2">
      <c r="A3083" s="2" t="s">
        <v>9087</v>
      </c>
      <c r="B3083" s="3">
        <v>1</v>
      </c>
    </row>
    <row r="3084" spans="1:2">
      <c r="A3084" s="2" t="s">
        <v>9096</v>
      </c>
      <c r="B3084" s="3">
        <v>1</v>
      </c>
    </row>
    <row r="3085" spans="1:2">
      <c r="A3085" s="2" t="s">
        <v>9114</v>
      </c>
      <c r="B3085" s="3">
        <v>1</v>
      </c>
    </row>
    <row r="3086" spans="1:2">
      <c r="A3086" s="2" t="s">
        <v>9126</v>
      </c>
      <c r="B3086" s="3">
        <v>1</v>
      </c>
    </row>
    <row r="3087" spans="1:2">
      <c r="A3087" s="2" t="s">
        <v>9135</v>
      </c>
      <c r="B3087" s="3">
        <v>1</v>
      </c>
    </row>
    <row r="3088" spans="1:2">
      <c r="A3088" s="2" t="s">
        <v>9144</v>
      </c>
      <c r="B3088" s="3">
        <v>1</v>
      </c>
    </row>
    <row r="3089" spans="1:2">
      <c r="A3089" s="2" t="s">
        <v>9156</v>
      </c>
      <c r="B3089" s="3">
        <v>1</v>
      </c>
    </row>
    <row r="3090" spans="1:2">
      <c r="A3090" s="2" t="s">
        <v>9165</v>
      </c>
      <c r="B3090" s="3">
        <v>1</v>
      </c>
    </row>
    <row r="3091" spans="1:2">
      <c r="A3091" s="2" t="s">
        <v>9177</v>
      </c>
      <c r="B3091" s="3">
        <v>1</v>
      </c>
    </row>
    <row r="3092" spans="1:2">
      <c r="A3092" s="2" t="s">
        <v>9186</v>
      </c>
      <c r="B3092" s="3">
        <v>1</v>
      </c>
    </row>
    <row r="3093" spans="1:2">
      <c r="A3093" s="2" t="s">
        <v>9192</v>
      </c>
      <c r="B3093" s="3">
        <v>1</v>
      </c>
    </row>
    <row r="3094" spans="1:2">
      <c r="A3094" s="2" t="s">
        <v>9198</v>
      </c>
      <c r="B3094" s="3">
        <v>1</v>
      </c>
    </row>
    <row r="3095" spans="1:2">
      <c r="A3095" s="2" t="s">
        <v>9204</v>
      </c>
      <c r="B3095" s="3">
        <v>1</v>
      </c>
    </row>
    <row r="3096" spans="1:2">
      <c r="A3096" s="2" t="s">
        <v>9216</v>
      </c>
      <c r="B3096" s="3">
        <v>1</v>
      </c>
    </row>
    <row r="3097" spans="1:2">
      <c r="A3097" s="2" t="s">
        <v>9225</v>
      </c>
      <c r="B3097" s="3">
        <v>1</v>
      </c>
    </row>
    <row r="3098" spans="1:2">
      <c r="A3098" s="2" t="s">
        <v>9231</v>
      </c>
      <c r="B3098" s="3">
        <v>1</v>
      </c>
    </row>
    <row r="3099" spans="1:2">
      <c r="A3099" s="2" t="s">
        <v>9243</v>
      </c>
      <c r="B3099" s="3">
        <v>1</v>
      </c>
    </row>
    <row r="3100" spans="1:2">
      <c r="A3100" s="2" t="s">
        <v>9249</v>
      </c>
      <c r="B3100" s="3">
        <v>1</v>
      </c>
    </row>
    <row r="3101" spans="1:2">
      <c r="A3101" s="2" t="s">
        <v>9261</v>
      </c>
      <c r="B3101" s="3">
        <v>1</v>
      </c>
    </row>
    <row r="3102" spans="1:2">
      <c r="A3102" s="2" t="s">
        <v>9267</v>
      </c>
      <c r="B3102" s="3">
        <v>1</v>
      </c>
    </row>
    <row r="3103" spans="1:2">
      <c r="A3103" s="2" t="s">
        <v>9279</v>
      </c>
      <c r="B3103" s="3">
        <v>1</v>
      </c>
    </row>
    <row r="3104" spans="1:2">
      <c r="A3104" s="2" t="s">
        <v>9282</v>
      </c>
      <c r="B3104" s="3">
        <v>1</v>
      </c>
    </row>
    <row r="3105" spans="1:2">
      <c r="A3105" s="2" t="s">
        <v>9291</v>
      </c>
      <c r="B3105" s="3">
        <v>1</v>
      </c>
    </row>
    <row r="3106" spans="1:2">
      <c r="A3106" s="2" t="s">
        <v>9300</v>
      </c>
      <c r="B3106" s="3">
        <v>1</v>
      </c>
    </row>
    <row r="3107" spans="1:2">
      <c r="A3107" s="2" t="s">
        <v>9309</v>
      </c>
      <c r="B3107" s="3">
        <v>1</v>
      </c>
    </row>
    <row r="3108" spans="1:2">
      <c r="A3108" s="2" t="s">
        <v>9321</v>
      </c>
      <c r="B3108" s="3">
        <v>1</v>
      </c>
    </row>
    <row r="3109" spans="1:2">
      <c r="A3109" s="2" t="s">
        <v>9327</v>
      </c>
      <c r="B3109" s="3">
        <v>1</v>
      </c>
    </row>
    <row r="3110" spans="1:2">
      <c r="A3110" s="2" t="s">
        <v>9339</v>
      </c>
      <c r="B3110" s="3">
        <v>1</v>
      </c>
    </row>
    <row r="3111" spans="1:2">
      <c r="A3111" s="2" t="s">
        <v>9348</v>
      </c>
      <c r="B3111" s="3">
        <v>1</v>
      </c>
    </row>
    <row r="3112" spans="1:2">
      <c r="A3112" s="2" t="s">
        <v>9357</v>
      </c>
      <c r="B3112" s="3">
        <v>1</v>
      </c>
    </row>
    <row r="3113" spans="1:2">
      <c r="A3113" s="2" t="s">
        <v>9366</v>
      </c>
      <c r="B3113" s="3">
        <v>1</v>
      </c>
    </row>
    <row r="3114" spans="1:2">
      <c r="A3114" s="2" t="s">
        <v>9375</v>
      </c>
      <c r="B3114" s="3">
        <v>1</v>
      </c>
    </row>
    <row r="3115" spans="1:2">
      <c r="A3115" s="2" t="s">
        <v>9384</v>
      </c>
      <c r="B3115" s="3">
        <v>1</v>
      </c>
    </row>
    <row r="3116" spans="1:2">
      <c r="A3116" s="2" t="s">
        <v>9390</v>
      </c>
      <c r="B3116" s="3">
        <v>1</v>
      </c>
    </row>
    <row r="3117" spans="1:2">
      <c r="A3117" s="2" t="s">
        <v>9399</v>
      </c>
      <c r="B3117" s="3">
        <v>1</v>
      </c>
    </row>
    <row r="3118" spans="1:2">
      <c r="A3118" s="2" t="s">
        <v>9408</v>
      </c>
      <c r="B3118" s="3">
        <v>1</v>
      </c>
    </row>
    <row r="3119" spans="1:2">
      <c r="A3119" s="2" t="s">
        <v>9417</v>
      </c>
      <c r="B3119" s="3">
        <v>1</v>
      </c>
    </row>
    <row r="3120" spans="1:2">
      <c r="A3120" s="2" t="s">
        <v>9429</v>
      </c>
      <c r="B3120" s="3">
        <v>1</v>
      </c>
    </row>
    <row r="3121" spans="1:2">
      <c r="A3121" s="2" t="s">
        <v>9438</v>
      </c>
      <c r="B3121" s="3">
        <v>1</v>
      </c>
    </row>
    <row r="3122" spans="1:2">
      <c r="A3122" s="2" t="s">
        <v>9447</v>
      </c>
      <c r="B3122" s="3">
        <v>1</v>
      </c>
    </row>
    <row r="3123" spans="1:2">
      <c r="A3123" s="2" t="s">
        <v>9453</v>
      </c>
      <c r="B3123" s="3">
        <v>1</v>
      </c>
    </row>
    <row r="3124" spans="1:2">
      <c r="A3124" s="2" t="s">
        <v>9462</v>
      </c>
      <c r="B3124" s="3">
        <v>1</v>
      </c>
    </row>
    <row r="3125" spans="1:2">
      <c r="A3125" s="2" t="s">
        <v>9468</v>
      </c>
      <c r="B3125" s="3">
        <v>1</v>
      </c>
    </row>
    <row r="3126" spans="1:2">
      <c r="A3126" s="2" t="s">
        <v>9474</v>
      </c>
      <c r="B3126" s="3">
        <v>1</v>
      </c>
    </row>
    <row r="3127" spans="1:2">
      <c r="A3127" s="2" t="s">
        <v>9489</v>
      </c>
      <c r="B3127" s="3">
        <v>1</v>
      </c>
    </row>
    <row r="3128" spans="1:2">
      <c r="A3128" s="2" t="s">
        <v>9507</v>
      </c>
      <c r="B3128" s="3">
        <v>1</v>
      </c>
    </row>
    <row r="3129" spans="1:2">
      <c r="A3129" s="2" t="s">
        <v>9516</v>
      </c>
      <c r="B3129" s="3">
        <v>1</v>
      </c>
    </row>
    <row r="3130" spans="1:2">
      <c r="A3130" s="2" t="s">
        <v>9528</v>
      </c>
      <c r="B3130" s="3">
        <v>1</v>
      </c>
    </row>
    <row r="3131" spans="1:2">
      <c r="A3131" s="2" t="s">
        <v>9534</v>
      </c>
      <c r="B3131" s="3">
        <v>1</v>
      </c>
    </row>
    <row r="3132" spans="1:2">
      <c r="A3132" s="2" t="s">
        <v>9543</v>
      </c>
      <c r="B3132" s="3">
        <v>1</v>
      </c>
    </row>
    <row r="3133" spans="1:2">
      <c r="A3133" s="2" t="s">
        <v>9555</v>
      </c>
      <c r="B3133" s="3">
        <v>1</v>
      </c>
    </row>
    <row r="3134" spans="1:2">
      <c r="A3134" s="2" t="s">
        <v>9564</v>
      </c>
      <c r="B3134" s="3">
        <v>1</v>
      </c>
    </row>
    <row r="3135" spans="1:2">
      <c r="A3135" s="2" t="s">
        <v>9573</v>
      </c>
      <c r="B3135" s="3">
        <v>1</v>
      </c>
    </row>
    <row r="3136" spans="1:2">
      <c r="A3136" s="2" t="s">
        <v>9582</v>
      </c>
      <c r="B3136" s="3">
        <v>1</v>
      </c>
    </row>
    <row r="3137" spans="1:2">
      <c r="A3137" s="2" t="s">
        <v>9594</v>
      </c>
      <c r="B3137" s="3">
        <v>1</v>
      </c>
    </row>
    <row r="3138" spans="1:2">
      <c r="A3138" s="2" t="s">
        <v>9603</v>
      </c>
      <c r="B3138" s="3">
        <v>1</v>
      </c>
    </row>
    <row r="3139" spans="1:2">
      <c r="A3139" s="2" t="s">
        <v>9612</v>
      </c>
      <c r="B3139" s="3">
        <v>1</v>
      </c>
    </row>
    <row r="3140" spans="1:2">
      <c r="A3140" s="2" t="s">
        <v>9621</v>
      </c>
      <c r="B3140" s="3">
        <v>1</v>
      </c>
    </row>
    <row r="3141" spans="1:2">
      <c r="A3141" s="2" t="s">
        <v>9627</v>
      </c>
      <c r="B3141" s="3">
        <v>1</v>
      </c>
    </row>
    <row r="3142" spans="1:2">
      <c r="A3142" s="2" t="s">
        <v>9636</v>
      </c>
      <c r="B3142" s="3">
        <v>1</v>
      </c>
    </row>
    <row r="3143" spans="1:2">
      <c r="A3143" s="2" t="s">
        <v>9642</v>
      </c>
      <c r="B3143" s="3">
        <v>1</v>
      </c>
    </row>
    <row r="3144" spans="1:2">
      <c r="A3144" s="2" t="s">
        <v>9648</v>
      </c>
      <c r="B3144" s="3">
        <v>1</v>
      </c>
    </row>
    <row r="3145" spans="1:2">
      <c r="A3145" s="2" t="s">
        <v>9654</v>
      </c>
      <c r="B3145" s="3">
        <v>1</v>
      </c>
    </row>
    <row r="3146" spans="1:2">
      <c r="A3146" s="2" t="s">
        <v>9345</v>
      </c>
      <c r="B3146" s="3">
        <v>1</v>
      </c>
    </row>
    <row r="3147" spans="1:2">
      <c r="A3147" s="2" t="s">
        <v>9351</v>
      </c>
      <c r="B3147" s="3">
        <v>1</v>
      </c>
    </row>
    <row r="3148" spans="1:2">
      <c r="A3148" s="2" t="s">
        <v>9363</v>
      </c>
      <c r="B3148" s="3">
        <v>1</v>
      </c>
    </row>
    <row r="3149" spans="1:2">
      <c r="A3149" s="2" t="s">
        <v>9369</v>
      </c>
      <c r="B3149" s="3">
        <v>1</v>
      </c>
    </row>
    <row r="3150" spans="1:2">
      <c r="A3150" s="2" t="s">
        <v>9381</v>
      </c>
      <c r="B3150" s="3">
        <v>1</v>
      </c>
    </row>
    <row r="3151" spans="1:2">
      <c r="A3151" s="2" t="s">
        <v>9387</v>
      </c>
      <c r="B3151" s="3">
        <v>1</v>
      </c>
    </row>
    <row r="3152" spans="1:2">
      <c r="A3152" s="2" t="s">
        <v>9393</v>
      </c>
      <c r="B3152" s="3">
        <v>1</v>
      </c>
    </row>
    <row r="3153" spans="1:2">
      <c r="A3153" s="2" t="s">
        <v>9405</v>
      </c>
      <c r="B3153" s="3">
        <v>1</v>
      </c>
    </row>
    <row r="3154" spans="1:2">
      <c r="A3154" s="2" t="s">
        <v>9411</v>
      </c>
      <c r="B3154" s="3">
        <v>1</v>
      </c>
    </row>
    <row r="3155" spans="1:2">
      <c r="A3155" s="2" t="s">
        <v>9426</v>
      </c>
      <c r="B3155" s="3">
        <v>1</v>
      </c>
    </row>
    <row r="3156" spans="1:2">
      <c r="A3156" s="2" t="s">
        <v>9432</v>
      </c>
      <c r="B3156" s="3">
        <v>1</v>
      </c>
    </row>
    <row r="3157" spans="1:2">
      <c r="A3157" s="2" t="s">
        <v>9444</v>
      </c>
      <c r="B3157" s="3">
        <v>1</v>
      </c>
    </row>
    <row r="3158" spans="1:2">
      <c r="A3158" s="2" t="s">
        <v>9450</v>
      </c>
      <c r="B3158" s="3">
        <v>1</v>
      </c>
    </row>
    <row r="3159" spans="1:2">
      <c r="A3159" s="2" t="s">
        <v>9456</v>
      </c>
      <c r="B3159" s="3">
        <v>1</v>
      </c>
    </row>
    <row r="3160" spans="1:2">
      <c r="A3160" s="2" t="s">
        <v>9471</v>
      </c>
      <c r="B3160" s="3">
        <v>1</v>
      </c>
    </row>
    <row r="3161" spans="1:2">
      <c r="A3161" s="2" t="s">
        <v>9477</v>
      </c>
      <c r="B3161" s="3">
        <v>1</v>
      </c>
    </row>
    <row r="3162" spans="1:2">
      <c r="A3162" s="2" t="s">
        <v>9486</v>
      </c>
      <c r="B3162" s="3">
        <v>1</v>
      </c>
    </row>
    <row r="3163" spans="1:2">
      <c r="A3163" s="2" t="s">
        <v>9492</v>
      </c>
      <c r="B3163" s="3">
        <v>1</v>
      </c>
    </row>
    <row r="3164" spans="1:2">
      <c r="A3164" s="2" t="s">
        <v>9495</v>
      </c>
      <c r="B3164" s="3">
        <v>1</v>
      </c>
    </row>
    <row r="3165" spans="1:2">
      <c r="A3165" s="2" t="s">
        <v>9513</v>
      </c>
      <c r="B3165" s="3">
        <v>1</v>
      </c>
    </row>
    <row r="3166" spans="1:2">
      <c r="A3166" s="2" t="s">
        <v>9519</v>
      </c>
      <c r="B3166" s="3">
        <v>1</v>
      </c>
    </row>
    <row r="3167" spans="1:2">
      <c r="A3167" s="2" t="s">
        <v>9522</v>
      </c>
      <c r="B3167" s="3">
        <v>1</v>
      </c>
    </row>
    <row r="3168" spans="1:2">
      <c r="A3168" s="2" t="s">
        <v>9540</v>
      </c>
      <c r="B3168" s="3">
        <v>1</v>
      </c>
    </row>
    <row r="3169" spans="1:2">
      <c r="A3169" s="2" t="s">
        <v>9546</v>
      </c>
      <c r="B3169" s="3">
        <v>1</v>
      </c>
    </row>
    <row r="3170" spans="1:2">
      <c r="A3170" s="2" t="s">
        <v>9549</v>
      </c>
      <c r="B3170" s="3">
        <v>1</v>
      </c>
    </row>
    <row r="3171" spans="1:2">
      <c r="A3171" s="2" t="s">
        <v>9561</v>
      </c>
      <c r="B3171" s="3">
        <v>1</v>
      </c>
    </row>
    <row r="3172" spans="1:2">
      <c r="A3172" s="2" t="s">
        <v>9579</v>
      </c>
      <c r="B3172" s="3">
        <v>1</v>
      </c>
    </row>
    <row r="3173" spans="1:2">
      <c r="A3173" s="2" t="s">
        <v>9585</v>
      </c>
      <c r="B3173" s="3">
        <v>1</v>
      </c>
    </row>
    <row r="3174" spans="1:2">
      <c r="A3174" s="2" t="s">
        <v>9600</v>
      </c>
      <c r="B3174" s="3">
        <v>1</v>
      </c>
    </row>
    <row r="3175" spans="1:2">
      <c r="A3175" s="2" t="s">
        <v>9606</v>
      </c>
      <c r="B3175" s="3">
        <v>1</v>
      </c>
    </row>
    <row r="3176" spans="1:2">
      <c r="A3176" s="2" t="s">
        <v>9618</v>
      </c>
      <c r="B3176" s="3">
        <v>1</v>
      </c>
    </row>
    <row r="3177" spans="1:2">
      <c r="A3177" s="2" t="s">
        <v>9633</v>
      </c>
      <c r="B3177" s="3">
        <v>1</v>
      </c>
    </row>
    <row r="3178" spans="1:2">
      <c r="A3178" s="2" t="s">
        <v>9639</v>
      </c>
      <c r="B3178" s="3">
        <v>1</v>
      </c>
    </row>
    <row r="3179" spans="1:2">
      <c r="A3179" s="2" t="s">
        <v>9651</v>
      </c>
      <c r="B3179" s="3">
        <v>1</v>
      </c>
    </row>
    <row r="3180" spans="1:2">
      <c r="A3180" s="2" t="s">
        <v>9660</v>
      </c>
      <c r="B3180" s="3">
        <v>1</v>
      </c>
    </row>
    <row r="3181" spans="1:2">
      <c r="A3181" s="2" t="s">
        <v>9672</v>
      </c>
      <c r="B3181" s="3">
        <v>1</v>
      </c>
    </row>
    <row r="3182" spans="1:2">
      <c r="A3182" s="2" t="s">
        <v>9678</v>
      </c>
      <c r="B3182" s="3">
        <v>1</v>
      </c>
    </row>
    <row r="3183" spans="1:2">
      <c r="A3183" s="2" t="s">
        <v>9693</v>
      </c>
      <c r="B3183" s="3">
        <v>1</v>
      </c>
    </row>
    <row r="3184" spans="1:2">
      <c r="A3184" s="2" t="s">
        <v>9699</v>
      </c>
      <c r="B3184" s="3">
        <v>1</v>
      </c>
    </row>
    <row r="3185" spans="1:2">
      <c r="A3185" s="2" t="s">
        <v>9705</v>
      </c>
      <c r="B3185" s="3">
        <v>1</v>
      </c>
    </row>
    <row r="3186" spans="1:2">
      <c r="A3186" s="2" t="s">
        <v>9723</v>
      </c>
      <c r="B3186" s="3">
        <v>1</v>
      </c>
    </row>
    <row r="3187" spans="1:2">
      <c r="A3187" s="2" t="s">
        <v>9729</v>
      </c>
      <c r="B3187" s="3">
        <v>1</v>
      </c>
    </row>
    <row r="3188" spans="1:2">
      <c r="A3188" s="2" t="s">
        <v>9744</v>
      </c>
      <c r="B3188" s="3">
        <v>1</v>
      </c>
    </row>
    <row r="3189" spans="1:2">
      <c r="A3189" s="2" t="s">
        <v>9750</v>
      </c>
      <c r="B3189" s="3">
        <v>1</v>
      </c>
    </row>
    <row r="3190" spans="1:2">
      <c r="A3190" s="2" t="s">
        <v>9756</v>
      </c>
      <c r="B3190" s="3">
        <v>1</v>
      </c>
    </row>
    <row r="3191" spans="1:2">
      <c r="A3191" s="2" t="s">
        <v>9768</v>
      </c>
      <c r="B3191" s="3">
        <v>1</v>
      </c>
    </row>
    <row r="3192" spans="1:2">
      <c r="A3192" s="2" t="s">
        <v>9774</v>
      </c>
      <c r="B3192" s="3">
        <v>1</v>
      </c>
    </row>
    <row r="3193" spans="1:2">
      <c r="A3193" s="2" t="s">
        <v>9786</v>
      </c>
      <c r="B3193" s="3">
        <v>1</v>
      </c>
    </row>
    <row r="3194" spans="1:2">
      <c r="A3194" s="2" t="s">
        <v>9792</v>
      </c>
      <c r="B3194" s="3">
        <v>1</v>
      </c>
    </row>
    <row r="3195" spans="1:2">
      <c r="A3195" s="2" t="s">
        <v>9795</v>
      </c>
      <c r="B3195" s="3">
        <v>1</v>
      </c>
    </row>
    <row r="3196" spans="1:2">
      <c r="A3196" s="2" t="s">
        <v>9807</v>
      </c>
      <c r="B3196" s="3">
        <v>1</v>
      </c>
    </row>
    <row r="3197" spans="1:2">
      <c r="A3197" s="2" t="s">
        <v>9816</v>
      </c>
      <c r="B3197" s="3">
        <v>1</v>
      </c>
    </row>
    <row r="3198" spans="1:2">
      <c r="A3198" s="2" t="s">
        <v>9819</v>
      </c>
      <c r="B3198" s="3">
        <v>1</v>
      </c>
    </row>
    <row r="3199" spans="1:2">
      <c r="A3199" s="2" t="s">
        <v>9831</v>
      </c>
      <c r="B3199" s="3">
        <v>1</v>
      </c>
    </row>
    <row r="3200" spans="1:2">
      <c r="A3200" s="2" t="s">
        <v>9837</v>
      </c>
      <c r="B3200" s="3">
        <v>1</v>
      </c>
    </row>
    <row r="3201" spans="1:2">
      <c r="A3201" s="2" t="s">
        <v>9849</v>
      </c>
      <c r="B3201" s="3">
        <v>1</v>
      </c>
    </row>
    <row r="3202" spans="1:2">
      <c r="A3202" s="2" t="s">
        <v>9855</v>
      </c>
      <c r="B3202" s="3">
        <v>1</v>
      </c>
    </row>
    <row r="3203" spans="1:2">
      <c r="A3203" s="2" t="s">
        <v>9867</v>
      </c>
      <c r="B3203" s="3">
        <v>1</v>
      </c>
    </row>
    <row r="3204" spans="1:2">
      <c r="A3204" s="2" t="s">
        <v>9873</v>
      </c>
      <c r="B3204" s="3">
        <v>1</v>
      </c>
    </row>
    <row r="3205" spans="1:2">
      <c r="A3205" s="2" t="s">
        <v>9879</v>
      </c>
      <c r="B3205" s="3">
        <v>1</v>
      </c>
    </row>
    <row r="3206" spans="1:2">
      <c r="A3206" s="2" t="s">
        <v>9891</v>
      </c>
      <c r="B3206" s="3">
        <v>1</v>
      </c>
    </row>
    <row r="3207" spans="1:2">
      <c r="A3207" s="2" t="s">
        <v>9897</v>
      </c>
      <c r="B3207" s="3">
        <v>1</v>
      </c>
    </row>
    <row r="3208" spans="1:2">
      <c r="A3208" s="2" t="s">
        <v>9909</v>
      </c>
      <c r="B3208" s="3">
        <v>1</v>
      </c>
    </row>
    <row r="3209" spans="1:2">
      <c r="A3209" s="2" t="s">
        <v>9915</v>
      </c>
      <c r="B3209" s="3">
        <v>1</v>
      </c>
    </row>
    <row r="3210" spans="1:2">
      <c r="A3210" s="2" t="s">
        <v>9933</v>
      </c>
      <c r="B3210" s="3">
        <v>1</v>
      </c>
    </row>
    <row r="3211" spans="1:2">
      <c r="A3211" s="2" t="s">
        <v>9936</v>
      </c>
      <c r="B3211" s="3">
        <v>1</v>
      </c>
    </row>
    <row r="3212" spans="1:2">
      <c r="A3212" s="2" t="s">
        <v>9951</v>
      </c>
      <c r="B3212" s="3">
        <v>1</v>
      </c>
    </row>
    <row r="3213" spans="1:2">
      <c r="A3213" s="2" t="s">
        <v>9954</v>
      </c>
      <c r="B3213" s="3">
        <v>1</v>
      </c>
    </row>
    <row r="3214" spans="1:2">
      <c r="A3214" s="2" t="s">
        <v>9960</v>
      </c>
      <c r="B3214" s="3">
        <v>1</v>
      </c>
    </row>
    <row r="3215" spans="1:2">
      <c r="A3215" s="2" t="s">
        <v>9972</v>
      </c>
      <c r="B3215" s="3">
        <v>1</v>
      </c>
    </row>
    <row r="3216" spans="1:2">
      <c r="A3216" s="2" t="s">
        <v>9975</v>
      </c>
      <c r="B3216" s="3">
        <v>1</v>
      </c>
    </row>
    <row r="3217" spans="1:2">
      <c r="A3217" s="2" t="s">
        <v>9981</v>
      </c>
      <c r="B3217" s="3">
        <v>1</v>
      </c>
    </row>
    <row r="3218" spans="1:2">
      <c r="A3218" s="2" t="s">
        <v>9996</v>
      </c>
      <c r="B3218" s="3">
        <v>1</v>
      </c>
    </row>
    <row r="3219" spans="1:2">
      <c r="A3219" s="2" t="s">
        <v>10002</v>
      </c>
      <c r="B3219" s="3">
        <v>1</v>
      </c>
    </row>
    <row r="3220" spans="1:2">
      <c r="A3220" s="2" t="s">
        <v>10005</v>
      </c>
      <c r="B3220" s="3">
        <v>1</v>
      </c>
    </row>
    <row r="3221" spans="1:2">
      <c r="A3221" s="2" t="s">
        <v>10014</v>
      </c>
      <c r="B3221" s="3">
        <v>1</v>
      </c>
    </row>
    <row r="3222" spans="1:2">
      <c r="A3222" s="2" t="s">
        <v>10026</v>
      </c>
      <c r="B3222" s="3">
        <v>1</v>
      </c>
    </row>
    <row r="3223" spans="1:2">
      <c r="A3223" s="2" t="s">
        <v>10029</v>
      </c>
      <c r="B3223" s="3">
        <v>1</v>
      </c>
    </row>
    <row r="3224" spans="1:2">
      <c r="A3224" s="2" t="s">
        <v>10035</v>
      </c>
      <c r="B3224" s="3">
        <v>1</v>
      </c>
    </row>
    <row r="3225" spans="1:2">
      <c r="A3225" s="2" t="s">
        <v>10047</v>
      </c>
      <c r="B3225" s="3">
        <v>1</v>
      </c>
    </row>
    <row r="3226" spans="1:2">
      <c r="A3226" s="2" t="s">
        <v>10053</v>
      </c>
      <c r="B3226" s="3">
        <v>1</v>
      </c>
    </row>
    <row r="3227" spans="1:2">
      <c r="A3227" s="2" t="s">
        <v>10065</v>
      </c>
      <c r="B3227" s="3">
        <v>1</v>
      </c>
    </row>
    <row r="3228" spans="1:2">
      <c r="A3228" s="2" t="s">
        <v>10071</v>
      </c>
      <c r="B3228" s="3">
        <v>1</v>
      </c>
    </row>
    <row r="3229" spans="1:2">
      <c r="A3229" s="2" t="s">
        <v>10083</v>
      </c>
      <c r="B3229" s="3">
        <v>1</v>
      </c>
    </row>
    <row r="3230" spans="1:2">
      <c r="A3230" s="2" t="s">
        <v>10089</v>
      </c>
      <c r="B3230" s="3">
        <v>1</v>
      </c>
    </row>
    <row r="3231" spans="1:2">
      <c r="A3231" s="2" t="s">
        <v>10101</v>
      </c>
      <c r="B3231" s="3">
        <v>1</v>
      </c>
    </row>
    <row r="3232" spans="1:2">
      <c r="A3232" s="2" t="s">
        <v>10104</v>
      </c>
      <c r="B3232" s="3">
        <v>1</v>
      </c>
    </row>
    <row r="3233" spans="1:2">
      <c r="A3233" s="2" t="s">
        <v>10110</v>
      </c>
      <c r="B3233" s="3">
        <v>1</v>
      </c>
    </row>
    <row r="3234" spans="1:2">
      <c r="A3234" s="2" t="s">
        <v>10116</v>
      </c>
      <c r="B3234" s="3">
        <v>1</v>
      </c>
    </row>
    <row r="3235" spans="1:2">
      <c r="A3235" s="2" t="s">
        <v>10131</v>
      </c>
      <c r="B3235" s="3">
        <v>1</v>
      </c>
    </row>
    <row r="3236" spans="1:2">
      <c r="A3236" s="2" t="s">
        <v>10137</v>
      </c>
      <c r="B3236" s="3">
        <v>1</v>
      </c>
    </row>
    <row r="3237" spans="1:2">
      <c r="A3237" s="2" t="s">
        <v>10149</v>
      </c>
      <c r="B3237" s="3">
        <v>1</v>
      </c>
    </row>
    <row r="3238" spans="1:2">
      <c r="A3238" s="2" t="s">
        <v>10155</v>
      </c>
      <c r="B3238" s="3">
        <v>1</v>
      </c>
    </row>
    <row r="3239" spans="1:2">
      <c r="A3239" s="2" t="s">
        <v>10170</v>
      </c>
      <c r="B3239" s="3">
        <v>1</v>
      </c>
    </row>
    <row r="3240" spans="1:2">
      <c r="A3240" s="2" t="s">
        <v>10185</v>
      </c>
      <c r="B3240" s="3">
        <v>1</v>
      </c>
    </row>
    <row r="3241" spans="1:2">
      <c r="A3241" s="2" t="s">
        <v>10191</v>
      </c>
      <c r="B3241" s="3">
        <v>1</v>
      </c>
    </row>
    <row r="3242" spans="1:2">
      <c r="A3242" s="2" t="s">
        <v>9372</v>
      </c>
      <c r="B3242" s="3">
        <v>1</v>
      </c>
    </row>
    <row r="3243" spans="1:2">
      <c r="A3243" s="2" t="s">
        <v>9378</v>
      </c>
      <c r="B3243" s="3">
        <v>1</v>
      </c>
    </row>
    <row r="3244" spans="1:2">
      <c r="A3244" s="2" t="s">
        <v>9396</v>
      </c>
      <c r="B3244" s="3">
        <v>1</v>
      </c>
    </row>
    <row r="3245" spans="1:2">
      <c r="A3245" s="2" t="s">
        <v>9402</v>
      </c>
      <c r="B3245" s="3">
        <v>1</v>
      </c>
    </row>
    <row r="3246" spans="1:2">
      <c r="A3246" s="2" t="s">
        <v>9414</v>
      </c>
      <c r="B3246" s="3">
        <v>1</v>
      </c>
    </row>
    <row r="3247" spans="1:2">
      <c r="A3247" s="2" t="s">
        <v>9420</v>
      </c>
      <c r="B3247" s="3">
        <v>1</v>
      </c>
    </row>
    <row r="3248" spans="1:2">
      <c r="A3248" s="2" t="s">
        <v>9423</v>
      </c>
      <c r="B3248" s="3">
        <v>1</v>
      </c>
    </row>
    <row r="3249" spans="1:2">
      <c r="A3249" s="2" t="s">
        <v>9435</v>
      </c>
      <c r="B3249" s="3">
        <v>1</v>
      </c>
    </row>
    <row r="3250" spans="1:2">
      <c r="A3250" s="2" t="s">
        <v>9441</v>
      </c>
      <c r="B3250" s="3">
        <v>1</v>
      </c>
    </row>
    <row r="3251" spans="1:2">
      <c r="A3251" s="2" t="s">
        <v>9459</v>
      </c>
      <c r="B3251" s="3">
        <v>1</v>
      </c>
    </row>
    <row r="3252" spans="1:2">
      <c r="A3252" s="2" t="s">
        <v>9465</v>
      </c>
      <c r="B3252" s="3">
        <v>1</v>
      </c>
    </row>
    <row r="3253" spans="1:2">
      <c r="A3253" s="2" t="s">
        <v>9480</v>
      </c>
      <c r="B3253" s="3">
        <v>1</v>
      </c>
    </row>
    <row r="3254" spans="1:2">
      <c r="A3254" s="2" t="s">
        <v>9483</v>
      </c>
      <c r="B3254" s="3">
        <v>1</v>
      </c>
    </row>
    <row r="3255" spans="1:2">
      <c r="A3255" s="2" t="s">
        <v>9498</v>
      </c>
      <c r="B3255" s="3">
        <v>1</v>
      </c>
    </row>
    <row r="3256" spans="1:2">
      <c r="A3256" s="2" t="s">
        <v>9501</v>
      </c>
      <c r="B3256" s="3">
        <v>1</v>
      </c>
    </row>
    <row r="3257" spans="1:2">
      <c r="A3257" s="2" t="s">
        <v>9504</v>
      </c>
      <c r="B3257" s="3">
        <v>1</v>
      </c>
    </row>
    <row r="3258" spans="1:2">
      <c r="A3258" s="2" t="s">
        <v>9510</v>
      </c>
      <c r="B3258" s="3">
        <v>1</v>
      </c>
    </row>
    <row r="3259" spans="1:2">
      <c r="A3259" s="2" t="s">
        <v>9525</v>
      </c>
      <c r="B3259" s="3">
        <v>1</v>
      </c>
    </row>
    <row r="3260" spans="1:2">
      <c r="A3260" s="2" t="s">
        <v>9531</v>
      </c>
      <c r="B3260" s="3">
        <v>1</v>
      </c>
    </row>
    <row r="3261" spans="1:2">
      <c r="A3261" s="2" t="s">
        <v>9537</v>
      </c>
      <c r="B3261" s="3">
        <v>1</v>
      </c>
    </row>
    <row r="3262" spans="1:2">
      <c r="A3262" s="2" t="s">
        <v>9552</v>
      </c>
      <c r="B3262" s="3">
        <v>1</v>
      </c>
    </row>
    <row r="3263" spans="1:2">
      <c r="A3263" s="2" t="s">
        <v>9558</v>
      </c>
      <c r="B3263" s="3">
        <v>1</v>
      </c>
    </row>
    <row r="3264" spans="1:2">
      <c r="A3264" s="2" t="s">
        <v>9567</v>
      </c>
      <c r="B3264" s="3">
        <v>1</v>
      </c>
    </row>
    <row r="3265" spans="1:2">
      <c r="A3265" s="2" t="s">
        <v>9570</v>
      </c>
      <c r="B3265" s="3">
        <v>1</v>
      </c>
    </row>
    <row r="3266" spans="1:2">
      <c r="A3266" s="2" t="s">
        <v>9576</v>
      </c>
      <c r="B3266" s="3">
        <v>1</v>
      </c>
    </row>
    <row r="3267" spans="1:2">
      <c r="A3267" s="2" t="s">
        <v>9588</v>
      </c>
      <c r="B3267" s="3">
        <v>1</v>
      </c>
    </row>
    <row r="3268" spans="1:2">
      <c r="A3268" s="2" t="s">
        <v>9591</v>
      </c>
      <c r="B3268" s="3">
        <v>1</v>
      </c>
    </row>
    <row r="3269" spans="1:2">
      <c r="A3269" s="2" t="s">
        <v>9597</v>
      </c>
      <c r="B3269" s="3">
        <v>1</v>
      </c>
    </row>
    <row r="3270" spans="1:2">
      <c r="A3270" s="2" t="s">
        <v>9609</v>
      </c>
      <c r="B3270" s="3">
        <v>1</v>
      </c>
    </row>
    <row r="3271" spans="1:2">
      <c r="A3271" s="2" t="s">
        <v>9615</v>
      </c>
      <c r="B3271" s="3">
        <v>1</v>
      </c>
    </row>
    <row r="3272" spans="1:2">
      <c r="A3272" s="2" t="s">
        <v>9624</v>
      </c>
      <c r="B3272" s="3">
        <v>1</v>
      </c>
    </row>
    <row r="3273" spans="1:2">
      <c r="A3273" s="2" t="s">
        <v>9630</v>
      </c>
      <c r="B3273" s="3">
        <v>1</v>
      </c>
    </row>
    <row r="3274" spans="1:2">
      <c r="A3274" s="2" t="s">
        <v>9645</v>
      </c>
      <c r="B3274" s="3">
        <v>1</v>
      </c>
    </row>
    <row r="3275" spans="1:2">
      <c r="A3275" s="2" t="s">
        <v>9663</v>
      </c>
      <c r="B3275" s="3">
        <v>1</v>
      </c>
    </row>
    <row r="3276" spans="1:2">
      <c r="A3276" s="2" t="s">
        <v>9669</v>
      </c>
      <c r="B3276" s="3">
        <v>1</v>
      </c>
    </row>
    <row r="3277" spans="1:2">
      <c r="A3277" s="2" t="s">
        <v>9681</v>
      </c>
      <c r="B3277" s="3">
        <v>1</v>
      </c>
    </row>
    <row r="3278" spans="1:2">
      <c r="A3278" s="2" t="s">
        <v>9684</v>
      </c>
      <c r="B3278" s="3">
        <v>1</v>
      </c>
    </row>
    <row r="3279" spans="1:2">
      <c r="A3279" s="2" t="s">
        <v>9690</v>
      </c>
      <c r="B3279" s="3">
        <v>1</v>
      </c>
    </row>
    <row r="3280" spans="1:2">
      <c r="A3280" s="2" t="s">
        <v>9708</v>
      </c>
      <c r="B3280" s="3">
        <v>1</v>
      </c>
    </row>
    <row r="3281" spans="1:2">
      <c r="A3281" s="2" t="s">
        <v>9714</v>
      </c>
      <c r="B3281" s="3">
        <v>1</v>
      </c>
    </row>
    <row r="3282" spans="1:2">
      <c r="A3282" s="2" t="s">
        <v>9720</v>
      </c>
      <c r="B3282" s="3">
        <v>1</v>
      </c>
    </row>
    <row r="3283" spans="1:2">
      <c r="A3283" s="2" t="s">
        <v>9735</v>
      </c>
      <c r="B3283" s="3">
        <v>1</v>
      </c>
    </row>
    <row r="3284" spans="1:2">
      <c r="A3284" s="2" t="s">
        <v>9741</v>
      </c>
      <c r="B3284" s="3">
        <v>1</v>
      </c>
    </row>
    <row r="3285" spans="1:2">
      <c r="A3285" s="2" t="s">
        <v>9759</v>
      </c>
      <c r="B3285" s="3">
        <v>1</v>
      </c>
    </row>
    <row r="3286" spans="1:2">
      <c r="A3286" s="2" t="s">
        <v>9765</v>
      </c>
      <c r="B3286" s="3">
        <v>1</v>
      </c>
    </row>
    <row r="3287" spans="1:2">
      <c r="A3287" s="2" t="s">
        <v>9777</v>
      </c>
      <c r="B3287" s="3">
        <v>1</v>
      </c>
    </row>
    <row r="3288" spans="1:2">
      <c r="A3288" s="2" t="s">
        <v>9783</v>
      </c>
      <c r="B3288" s="3">
        <v>1</v>
      </c>
    </row>
    <row r="3289" spans="1:2">
      <c r="A3289" s="2" t="s">
        <v>9798</v>
      </c>
      <c r="B3289" s="3">
        <v>1</v>
      </c>
    </row>
    <row r="3290" spans="1:2">
      <c r="A3290" s="2" t="s">
        <v>9804</v>
      </c>
      <c r="B3290" s="3">
        <v>1</v>
      </c>
    </row>
    <row r="3291" spans="1:2">
      <c r="A3291" s="2" t="s">
        <v>9822</v>
      </c>
      <c r="B3291" s="3">
        <v>1</v>
      </c>
    </row>
    <row r="3292" spans="1:2">
      <c r="A3292" s="2" t="s">
        <v>9828</v>
      </c>
      <c r="B3292" s="3">
        <v>1</v>
      </c>
    </row>
    <row r="3293" spans="1:2">
      <c r="A3293" s="2" t="s">
        <v>9840</v>
      </c>
      <c r="B3293" s="3">
        <v>1</v>
      </c>
    </row>
    <row r="3294" spans="1:2">
      <c r="A3294" s="2" t="s">
        <v>9846</v>
      </c>
      <c r="B3294" s="3">
        <v>1</v>
      </c>
    </row>
    <row r="3295" spans="1:2">
      <c r="A3295" s="2" t="s">
        <v>9858</v>
      </c>
      <c r="B3295" s="3">
        <v>1</v>
      </c>
    </row>
    <row r="3296" spans="1:2">
      <c r="A3296" s="2" t="s">
        <v>9864</v>
      </c>
      <c r="B3296" s="3">
        <v>1</v>
      </c>
    </row>
    <row r="3297" spans="1:2">
      <c r="A3297" s="2" t="s">
        <v>9882</v>
      </c>
      <c r="B3297" s="3">
        <v>1</v>
      </c>
    </row>
    <row r="3298" spans="1:2">
      <c r="A3298" s="2" t="s">
        <v>9888</v>
      </c>
      <c r="B3298" s="3">
        <v>1</v>
      </c>
    </row>
    <row r="3299" spans="1:2">
      <c r="A3299" s="2" t="s">
        <v>9900</v>
      </c>
      <c r="B3299" s="3">
        <v>1</v>
      </c>
    </row>
    <row r="3300" spans="1:2">
      <c r="A3300" s="2" t="s">
        <v>9906</v>
      </c>
      <c r="B3300" s="3">
        <v>1</v>
      </c>
    </row>
    <row r="3301" spans="1:2">
      <c r="A3301" s="2" t="s">
        <v>9918</v>
      </c>
      <c r="B3301" s="3">
        <v>1</v>
      </c>
    </row>
    <row r="3302" spans="1:2">
      <c r="A3302" s="2" t="s">
        <v>9924</v>
      </c>
      <c r="B3302" s="3">
        <v>1</v>
      </c>
    </row>
    <row r="3303" spans="1:2">
      <c r="A3303" s="2" t="s">
        <v>9930</v>
      </c>
      <c r="B3303" s="3">
        <v>1</v>
      </c>
    </row>
    <row r="3304" spans="1:2">
      <c r="A3304" s="2" t="s">
        <v>9942</v>
      </c>
      <c r="B3304" s="3">
        <v>1</v>
      </c>
    </row>
    <row r="3305" spans="1:2">
      <c r="A3305" s="2" t="s">
        <v>9948</v>
      </c>
      <c r="B3305" s="3">
        <v>1</v>
      </c>
    </row>
    <row r="3306" spans="1:2">
      <c r="A3306" s="2" t="s">
        <v>9963</v>
      </c>
      <c r="B3306" s="3">
        <v>1</v>
      </c>
    </row>
    <row r="3307" spans="1:2">
      <c r="A3307" s="2" t="s">
        <v>9969</v>
      </c>
      <c r="B3307" s="3">
        <v>1</v>
      </c>
    </row>
    <row r="3308" spans="1:2">
      <c r="A3308" s="2" t="s">
        <v>9984</v>
      </c>
      <c r="B3308" s="3">
        <v>1</v>
      </c>
    </row>
    <row r="3309" spans="1:2">
      <c r="A3309" s="2" t="s">
        <v>9990</v>
      </c>
      <c r="B3309" s="3">
        <v>1</v>
      </c>
    </row>
    <row r="3310" spans="1:2">
      <c r="A3310" s="2" t="s">
        <v>9993</v>
      </c>
      <c r="B3310" s="3">
        <v>1</v>
      </c>
    </row>
    <row r="3311" spans="1:2">
      <c r="A3311" s="2" t="s">
        <v>10008</v>
      </c>
      <c r="B3311" s="3">
        <v>1</v>
      </c>
    </row>
    <row r="3312" spans="1:2">
      <c r="A3312" s="2" t="s">
        <v>10017</v>
      </c>
      <c r="B3312" s="3">
        <v>1</v>
      </c>
    </row>
    <row r="3313" spans="1:2">
      <c r="A3313" s="2" t="s">
        <v>10023</v>
      </c>
      <c r="B3313" s="3">
        <v>1</v>
      </c>
    </row>
    <row r="3314" spans="1:2">
      <c r="A3314" s="2" t="s">
        <v>10038</v>
      </c>
      <c r="B3314" s="3">
        <v>1</v>
      </c>
    </row>
    <row r="3315" spans="1:2">
      <c r="A3315" s="2" t="s">
        <v>10044</v>
      </c>
      <c r="B3315" s="3">
        <v>1</v>
      </c>
    </row>
    <row r="3316" spans="1:2">
      <c r="A3316" s="2" t="s">
        <v>10056</v>
      </c>
      <c r="B3316" s="3">
        <v>1</v>
      </c>
    </row>
    <row r="3317" spans="1:2">
      <c r="A3317" s="2" t="s">
        <v>10062</v>
      </c>
      <c r="B3317" s="3">
        <v>1</v>
      </c>
    </row>
    <row r="3318" spans="1:2">
      <c r="A3318" s="2" t="s">
        <v>10074</v>
      </c>
      <c r="B3318" s="3">
        <v>1</v>
      </c>
    </row>
    <row r="3319" spans="1:2">
      <c r="A3319" s="2" t="s">
        <v>10080</v>
      </c>
      <c r="B3319" s="3">
        <v>1</v>
      </c>
    </row>
    <row r="3320" spans="1:2">
      <c r="A3320" s="2" t="s">
        <v>10092</v>
      </c>
      <c r="B3320" s="3">
        <v>1</v>
      </c>
    </row>
    <row r="3321" spans="1:2">
      <c r="A3321" s="2" t="s">
        <v>10098</v>
      </c>
      <c r="B3321" s="3">
        <v>1</v>
      </c>
    </row>
    <row r="3322" spans="1:2">
      <c r="A3322" s="2" t="s">
        <v>10119</v>
      </c>
      <c r="B3322" s="3">
        <v>1</v>
      </c>
    </row>
    <row r="3323" spans="1:2">
      <c r="A3323" s="2" t="s">
        <v>10122</v>
      </c>
      <c r="B3323" s="3">
        <v>1</v>
      </c>
    </row>
    <row r="3324" spans="1:2">
      <c r="A3324" s="2" t="s">
        <v>10128</v>
      </c>
      <c r="B3324" s="3">
        <v>1</v>
      </c>
    </row>
    <row r="3325" spans="1:2">
      <c r="A3325" s="2" t="s">
        <v>10140</v>
      </c>
      <c r="B3325" s="3">
        <v>1</v>
      </c>
    </row>
    <row r="3326" spans="1:2">
      <c r="A3326" s="2" t="s">
        <v>10146</v>
      </c>
      <c r="B3326" s="3">
        <v>1</v>
      </c>
    </row>
    <row r="3327" spans="1:2">
      <c r="A3327" s="2" t="s">
        <v>10158</v>
      </c>
      <c r="B3327" s="3">
        <v>1</v>
      </c>
    </row>
    <row r="3328" spans="1:2">
      <c r="A3328" s="2" t="s">
        <v>10161</v>
      </c>
      <c r="B3328" s="3">
        <v>1</v>
      </c>
    </row>
    <row r="3329" spans="1:2">
      <c r="A3329" s="2" t="s">
        <v>10167</v>
      </c>
      <c r="B3329" s="3">
        <v>1</v>
      </c>
    </row>
    <row r="3330" spans="1:2">
      <c r="A3330" s="2" t="s">
        <v>10176</v>
      </c>
      <c r="B3330" s="3">
        <v>1</v>
      </c>
    </row>
    <row r="3331" spans="1:2">
      <c r="A3331" s="2" t="s">
        <v>10182</v>
      </c>
      <c r="B3331" s="3">
        <v>1</v>
      </c>
    </row>
    <row r="3332" spans="1:2">
      <c r="A3332" s="2" t="s">
        <v>10194</v>
      </c>
      <c r="B3332" s="3">
        <v>1</v>
      </c>
    </row>
    <row r="3333" spans="1:2">
      <c r="A3333" s="2" t="s">
        <v>10200</v>
      </c>
      <c r="B3333" s="3">
        <v>1</v>
      </c>
    </row>
    <row r="3334" spans="1:2">
      <c r="A3334" s="2" t="s">
        <v>10209</v>
      </c>
      <c r="B3334" s="3">
        <v>1</v>
      </c>
    </row>
    <row r="3335" spans="1:2">
      <c r="A3335" s="2" t="s">
        <v>10215</v>
      </c>
      <c r="B3335" s="3">
        <v>1</v>
      </c>
    </row>
    <row r="3336" spans="1:2">
      <c r="A3336" s="2" t="s">
        <v>10230</v>
      </c>
      <c r="B3336" s="3">
        <v>1</v>
      </c>
    </row>
    <row r="3337" spans="1:2">
      <c r="A3337" s="2" t="s">
        <v>10236</v>
      </c>
      <c r="B3337" s="3">
        <v>1</v>
      </c>
    </row>
    <row r="3338" spans="1:2">
      <c r="A3338" s="2" t="s">
        <v>10251</v>
      </c>
      <c r="B3338" s="3">
        <v>1</v>
      </c>
    </row>
    <row r="3339" spans="1:2">
      <c r="A3339" s="2" t="s">
        <v>9657</v>
      </c>
      <c r="B3339" s="3">
        <v>1</v>
      </c>
    </row>
    <row r="3340" spans="1:2">
      <c r="A3340" s="2" t="s">
        <v>9666</v>
      </c>
      <c r="B3340" s="3">
        <v>1</v>
      </c>
    </row>
    <row r="3341" spans="1:2">
      <c r="A3341" s="2" t="s">
        <v>9675</v>
      </c>
      <c r="B3341" s="3">
        <v>1</v>
      </c>
    </row>
    <row r="3342" spans="1:2">
      <c r="A3342" s="2" t="s">
        <v>9687</v>
      </c>
      <c r="B3342" s="3">
        <v>1</v>
      </c>
    </row>
    <row r="3343" spans="1:2">
      <c r="A3343" s="2" t="s">
        <v>9696</v>
      </c>
      <c r="B3343" s="3">
        <v>1</v>
      </c>
    </row>
    <row r="3344" spans="1:2">
      <c r="A3344" s="2" t="s">
        <v>9702</v>
      </c>
      <c r="B3344" s="3">
        <v>1</v>
      </c>
    </row>
    <row r="3345" spans="1:2">
      <c r="A3345" s="2" t="s">
        <v>9711</v>
      </c>
      <c r="B3345" s="3">
        <v>1</v>
      </c>
    </row>
    <row r="3346" spans="1:2">
      <c r="A3346" s="2" t="s">
        <v>9717</v>
      </c>
      <c r="B3346" s="3">
        <v>1</v>
      </c>
    </row>
    <row r="3347" spans="1:2">
      <c r="A3347" s="2" t="s">
        <v>9726</v>
      </c>
      <c r="B3347" s="3">
        <v>1</v>
      </c>
    </row>
    <row r="3348" spans="1:2">
      <c r="A3348" s="2" t="s">
        <v>9732</v>
      </c>
      <c r="B3348" s="3">
        <v>1</v>
      </c>
    </row>
    <row r="3349" spans="1:2">
      <c r="A3349" s="2" t="s">
        <v>9738</v>
      </c>
      <c r="B3349" s="3">
        <v>1</v>
      </c>
    </row>
    <row r="3350" spans="1:2">
      <c r="A3350" s="2" t="s">
        <v>9747</v>
      </c>
      <c r="B3350" s="3">
        <v>1</v>
      </c>
    </row>
    <row r="3351" spans="1:2">
      <c r="A3351" s="2" t="s">
        <v>9753</v>
      </c>
      <c r="B3351" s="3">
        <v>1</v>
      </c>
    </row>
    <row r="3352" spans="1:2">
      <c r="A3352" s="2" t="s">
        <v>9762</v>
      </c>
      <c r="B3352" s="3">
        <v>1</v>
      </c>
    </row>
    <row r="3353" spans="1:2">
      <c r="A3353" s="2" t="s">
        <v>9771</v>
      </c>
      <c r="B3353" s="3">
        <v>1</v>
      </c>
    </row>
    <row r="3354" spans="1:2">
      <c r="A3354" s="2" t="s">
        <v>9780</v>
      </c>
      <c r="B3354" s="3">
        <v>1</v>
      </c>
    </row>
    <row r="3355" spans="1:2">
      <c r="A3355" s="2" t="s">
        <v>9789</v>
      </c>
      <c r="B3355" s="3">
        <v>1</v>
      </c>
    </row>
    <row r="3356" spans="1:2">
      <c r="A3356" s="2" t="s">
        <v>9801</v>
      </c>
      <c r="B3356" s="3">
        <v>1</v>
      </c>
    </row>
    <row r="3357" spans="1:2">
      <c r="A3357" s="2" t="s">
        <v>9810</v>
      </c>
      <c r="B3357" s="3">
        <v>1</v>
      </c>
    </row>
    <row r="3358" spans="1:2">
      <c r="A3358" s="2" t="s">
        <v>9813</v>
      </c>
      <c r="B3358" s="3">
        <v>1</v>
      </c>
    </row>
    <row r="3359" spans="1:2">
      <c r="A3359" s="2" t="s">
        <v>9825</v>
      </c>
      <c r="B3359" s="3">
        <v>1</v>
      </c>
    </row>
    <row r="3360" spans="1:2">
      <c r="A3360" s="2" t="s">
        <v>9834</v>
      </c>
      <c r="B3360" s="3">
        <v>1</v>
      </c>
    </row>
    <row r="3361" spans="1:2">
      <c r="A3361" s="2" t="s">
        <v>9843</v>
      </c>
      <c r="B3361" s="3">
        <v>1</v>
      </c>
    </row>
    <row r="3362" spans="1:2">
      <c r="A3362" s="2" t="s">
        <v>9852</v>
      </c>
      <c r="B3362" s="3">
        <v>1</v>
      </c>
    </row>
    <row r="3363" spans="1:2">
      <c r="A3363" s="2" t="s">
        <v>9861</v>
      </c>
      <c r="B3363" s="3">
        <v>1</v>
      </c>
    </row>
    <row r="3364" spans="1:2">
      <c r="A3364" s="2" t="s">
        <v>9870</v>
      </c>
      <c r="B3364" s="3">
        <v>1</v>
      </c>
    </row>
    <row r="3365" spans="1:2">
      <c r="A3365" s="2" t="s">
        <v>9876</v>
      </c>
      <c r="B3365" s="3">
        <v>1</v>
      </c>
    </row>
    <row r="3366" spans="1:2">
      <c r="A3366" s="2" t="s">
        <v>9885</v>
      </c>
      <c r="B3366" s="3">
        <v>1</v>
      </c>
    </row>
    <row r="3367" spans="1:2">
      <c r="A3367" s="2" t="s">
        <v>9894</v>
      </c>
      <c r="B3367" s="3">
        <v>1</v>
      </c>
    </row>
    <row r="3368" spans="1:2">
      <c r="A3368" s="2" t="s">
        <v>9903</v>
      </c>
      <c r="B3368" s="3">
        <v>1</v>
      </c>
    </row>
    <row r="3369" spans="1:2">
      <c r="A3369" s="2" t="s">
        <v>9912</v>
      </c>
      <c r="B3369" s="3">
        <v>1</v>
      </c>
    </row>
    <row r="3370" spans="1:2">
      <c r="A3370" s="2" t="s">
        <v>9921</v>
      </c>
      <c r="B3370" s="3">
        <v>1</v>
      </c>
    </row>
    <row r="3371" spans="1:2">
      <c r="A3371" s="2" t="s">
        <v>9927</v>
      </c>
      <c r="B3371" s="3">
        <v>1</v>
      </c>
    </row>
    <row r="3372" spans="1:2">
      <c r="A3372" s="2" t="s">
        <v>9939</v>
      </c>
      <c r="B3372" s="3">
        <v>1</v>
      </c>
    </row>
    <row r="3373" spans="1:2">
      <c r="A3373" s="2" t="s">
        <v>9945</v>
      </c>
      <c r="B3373" s="3">
        <v>1</v>
      </c>
    </row>
    <row r="3374" spans="1:2">
      <c r="A3374" s="2" t="s">
        <v>9957</v>
      </c>
      <c r="B3374" s="3">
        <v>1</v>
      </c>
    </row>
    <row r="3375" spans="1:2">
      <c r="A3375" s="2" t="s">
        <v>9966</v>
      </c>
      <c r="B3375" s="3">
        <v>1</v>
      </c>
    </row>
    <row r="3376" spans="1:2">
      <c r="A3376" s="2" t="s">
        <v>9978</v>
      </c>
      <c r="B3376" s="3">
        <v>1</v>
      </c>
    </row>
    <row r="3377" spans="1:2">
      <c r="A3377" s="2" t="s">
        <v>9987</v>
      </c>
      <c r="B3377" s="3">
        <v>1</v>
      </c>
    </row>
    <row r="3378" spans="1:2">
      <c r="A3378" s="2" t="s">
        <v>9999</v>
      </c>
      <c r="B3378" s="3">
        <v>1</v>
      </c>
    </row>
    <row r="3379" spans="1:2">
      <c r="A3379" s="2" t="s">
        <v>10011</v>
      </c>
      <c r="B3379" s="3">
        <v>1</v>
      </c>
    </row>
    <row r="3380" spans="1:2">
      <c r="A3380" s="2" t="s">
        <v>10020</v>
      </c>
      <c r="B3380" s="3">
        <v>1</v>
      </c>
    </row>
    <row r="3381" spans="1:2">
      <c r="A3381" s="2" t="s">
        <v>10032</v>
      </c>
      <c r="B3381" s="3">
        <v>1</v>
      </c>
    </row>
    <row r="3382" spans="1:2">
      <c r="A3382" s="2" t="s">
        <v>10041</v>
      </c>
      <c r="B3382" s="3">
        <v>1</v>
      </c>
    </row>
    <row r="3383" spans="1:2">
      <c r="A3383" s="2" t="s">
        <v>10050</v>
      </c>
      <c r="B3383" s="3">
        <v>1</v>
      </c>
    </row>
    <row r="3384" spans="1:2">
      <c r="A3384" s="2" t="s">
        <v>10059</v>
      </c>
      <c r="B3384" s="3">
        <v>1</v>
      </c>
    </row>
    <row r="3385" spans="1:2">
      <c r="A3385" s="2" t="s">
        <v>10068</v>
      </c>
      <c r="B3385" s="3">
        <v>1</v>
      </c>
    </row>
    <row r="3386" spans="1:2">
      <c r="A3386" s="2" t="s">
        <v>10077</v>
      </c>
      <c r="B3386" s="3">
        <v>1</v>
      </c>
    </row>
    <row r="3387" spans="1:2">
      <c r="A3387" s="2" t="s">
        <v>10086</v>
      </c>
      <c r="B3387" s="3">
        <v>1</v>
      </c>
    </row>
    <row r="3388" spans="1:2">
      <c r="A3388" s="2" t="s">
        <v>10095</v>
      </c>
      <c r="B3388" s="3">
        <v>1</v>
      </c>
    </row>
    <row r="3389" spans="1:2">
      <c r="A3389" s="2" t="s">
        <v>10107</v>
      </c>
      <c r="B3389" s="3">
        <v>1</v>
      </c>
    </row>
    <row r="3390" spans="1:2">
      <c r="A3390" s="2" t="s">
        <v>10113</v>
      </c>
      <c r="B3390" s="3">
        <v>1</v>
      </c>
    </row>
    <row r="3391" spans="1:2">
      <c r="A3391" s="2" t="s">
        <v>10125</v>
      </c>
      <c r="B3391" s="3">
        <v>1</v>
      </c>
    </row>
    <row r="3392" spans="1:2">
      <c r="A3392" s="2" t="s">
        <v>10134</v>
      </c>
      <c r="B3392" s="3">
        <v>1</v>
      </c>
    </row>
    <row r="3393" spans="1:2">
      <c r="A3393" s="2" t="s">
        <v>10143</v>
      </c>
      <c r="B3393" s="3">
        <v>1</v>
      </c>
    </row>
    <row r="3394" spans="1:2">
      <c r="A3394" s="2" t="s">
        <v>10152</v>
      </c>
      <c r="B3394" s="3">
        <v>1</v>
      </c>
    </row>
    <row r="3395" spans="1:2">
      <c r="A3395" s="2" t="s">
        <v>10164</v>
      </c>
      <c r="B3395" s="3">
        <v>1</v>
      </c>
    </row>
    <row r="3396" spans="1:2">
      <c r="A3396" s="2" t="s">
        <v>10173</v>
      </c>
      <c r="B3396" s="3">
        <v>1</v>
      </c>
    </row>
    <row r="3397" spans="1:2">
      <c r="A3397" s="2" t="s">
        <v>10179</v>
      </c>
      <c r="B3397" s="3">
        <v>1</v>
      </c>
    </row>
    <row r="3398" spans="1:2">
      <c r="A3398" s="2" t="s">
        <v>10188</v>
      </c>
      <c r="B3398" s="3">
        <v>1</v>
      </c>
    </row>
    <row r="3399" spans="1:2">
      <c r="A3399" s="2" t="s">
        <v>10197</v>
      </c>
      <c r="B3399" s="3">
        <v>1</v>
      </c>
    </row>
    <row r="3400" spans="1:2">
      <c r="A3400" s="2" t="s">
        <v>10206</v>
      </c>
      <c r="B3400" s="3">
        <v>1</v>
      </c>
    </row>
    <row r="3401" spans="1:2">
      <c r="A3401" s="2" t="s">
        <v>10212</v>
      </c>
      <c r="B3401" s="3">
        <v>1</v>
      </c>
    </row>
    <row r="3402" spans="1:2">
      <c r="A3402" s="2" t="s">
        <v>10221</v>
      </c>
      <c r="B3402" s="3">
        <v>1</v>
      </c>
    </row>
    <row r="3403" spans="1:2">
      <c r="A3403" s="2" t="s">
        <v>10227</v>
      </c>
      <c r="B3403" s="3">
        <v>1</v>
      </c>
    </row>
    <row r="3404" spans="1:2">
      <c r="A3404" s="2" t="s">
        <v>10233</v>
      </c>
      <c r="B3404" s="3">
        <v>1</v>
      </c>
    </row>
    <row r="3405" spans="1:2">
      <c r="A3405" s="2" t="s">
        <v>10245</v>
      </c>
      <c r="B3405" s="3">
        <v>1</v>
      </c>
    </row>
    <row r="3406" spans="1:2">
      <c r="A3406" s="2" t="s">
        <v>10254</v>
      </c>
      <c r="B3406" s="3">
        <v>1</v>
      </c>
    </row>
    <row r="3407" spans="1:2">
      <c r="A3407" s="2" t="s">
        <v>10263</v>
      </c>
      <c r="B3407" s="3">
        <v>1</v>
      </c>
    </row>
    <row r="3408" spans="1:2">
      <c r="A3408" s="2" t="s">
        <v>10275</v>
      </c>
      <c r="B3408" s="3">
        <v>1</v>
      </c>
    </row>
    <row r="3409" spans="1:2">
      <c r="A3409" s="2" t="s">
        <v>10287</v>
      </c>
      <c r="B3409" s="3">
        <v>1</v>
      </c>
    </row>
    <row r="3410" spans="1:2">
      <c r="A3410" s="2" t="s">
        <v>10296</v>
      </c>
      <c r="B3410" s="3">
        <v>1</v>
      </c>
    </row>
    <row r="3411" spans="1:2">
      <c r="A3411" s="2" t="s">
        <v>10305</v>
      </c>
      <c r="B3411" s="3">
        <v>1</v>
      </c>
    </row>
    <row r="3412" spans="1:2">
      <c r="A3412" s="2" t="s">
        <v>10311</v>
      </c>
      <c r="B3412" s="3">
        <v>1</v>
      </c>
    </row>
    <row r="3413" spans="1:2">
      <c r="A3413" s="2" t="s">
        <v>10314</v>
      </c>
      <c r="B3413" s="3">
        <v>1</v>
      </c>
    </row>
    <row r="3414" spans="1:2">
      <c r="A3414" s="2" t="s">
        <v>10323</v>
      </c>
      <c r="B3414" s="3">
        <v>1</v>
      </c>
    </row>
    <row r="3415" spans="1:2">
      <c r="A3415" s="2" t="s">
        <v>10335</v>
      </c>
      <c r="B3415" s="3">
        <v>1</v>
      </c>
    </row>
    <row r="3416" spans="1:2">
      <c r="A3416" s="2" t="s">
        <v>10344</v>
      </c>
      <c r="B3416" s="3">
        <v>1</v>
      </c>
    </row>
    <row r="3417" spans="1:2">
      <c r="A3417" s="2" t="s">
        <v>10353</v>
      </c>
      <c r="B3417" s="3">
        <v>1</v>
      </c>
    </row>
    <row r="3418" spans="1:2">
      <c r="A3418" s="2" t="s">
        <v>10356</v>
      </c>
      <c r="B3418" s="3">
        <v>1</v>
      </c>
    </row>
    <row r="3419" spans="1:2">
      <c r="A3419" s="2" t="s">
        <v>10359</v>
      </c>
      <c r="B3419" s="3">
        <v>1</v>
      </c>
    </row>
    <row r="3420" spans="1:2">
      <c r="A3420" s="2" t="s">
        <v>10365</v>
      </c>
      <c r="B3420" s="3">
        <v>1</v>
      </c>
    </row>
    <row r="3421" spans="1:2">
      <c r="A3421" s="2" t="s">
        <v>10374</v>
      </c>
      <c r="B3421" s="3">
        <v>1</v>
      </c>
    </row>
    <row r="3422" spans="1:2">
      <c r="A3422" s="2" t="s">
        <v>10380</v>
      </c>
      <c r="B3422" s="3">
        <v>1</v>
      </c>
    </row>
    <row r="3423" spans="1:2">
      <c r="A3423" s="2" t="s">
        <v>10386</v>
      </c>
      <c r="B3423" s="3">
        <v>1</v>
      </c>
    </row>
    <row r="3424" spans="1:2">
      <c r="A3424" s="2" t="s">
        <v>10395</v>
      </c>
      <c r="B3424" s="3">
        <v>1</v>
      </c>
    </row>
    <row r="3425" spans="1:2">
      <c r="A3425" s="2" t="s">
        <v>10404</v>
      </c>
      <c r="B3425" s="3">
        <v>1</v>
      </c>
    </row>
    <row r="3426" spans="1:2">
      <c r="A3426" s="2" t="s">
        <v>10419</v>
      </c>
      <c r="B3426" s="3">
        <v>1</v>
      </c>
    </row>
    <row r="3427" spans="1:2">
      <c r="A3427" s="2" t="s">
        <v>10428</v>
      </c>
      <c r="B3427" s="3">
        <v>1</v>
      </c>
    </row>
    <row r="3428" spans="1:2">
      <c r="A3428" s="2" t="s">
        <v>10446</v>
      </c>
      <c r="B3428" s="3">
        <v>1</v>
      </c>
    </row>
    <row r="3429" spans="1:2">
      <c r="A3429" s="2" t="s">
        <v>10455</v>
      </c>
      <c r="B3429" s="3">
        <v>1</v>
      </c>
    </row>
    <row r="3430" spans="1:2">
      <c r="A3430" s="2" t="s">
        <v>10464</v>
      </c>
      <c r="B3430" s="3">
        <v>1</v>
      </c>
    </row>
    <row r="3431" spans="1:2">
      <c r="A3431" s="2" t="s">
        <v>10470</v>
      </c>
      <c r="B3431" s="3">
        <v>1</v>
      </c>
    </row>
    <row r="3432" spans="1:2">
      <c r="A3432" s="2" t="s">
        <v>10479</v>
      </c>
      <c r="B3432" s="3">
        <v>1</v>
      </c>
    </row>
    <row r="3433" spans="1:2">
      <c r="A3433" s="2" t="s">
        <v>10491</v>
      </c>
      <c r="B3433" s="3">
        <v>1</v>
      </c>
    </row>
    <row r="3434" spans="1:2">
      <c r="A3434" s="2" t="s">
        <v>10203</v>
      </c>
      <c r="B3434" s="3">
        <v>1</v>
      </c>
    </row>
    <row r="3435" spans="1:2">
      <c r="A3435" s="2" t="s">
        <v>10218</v>
      </c>
      <c r="B3435" s="3">
        <v>1</v>
      </c>
    </row>
    <row r="3436" spans="1:2">
      <c r="A3436" s="2" t="s">
        <v>10224</v>
      </c>
      <c r="B3436" s="3">
        <v>1</v>
      </c>
    </row>
    <row r="3437" spans="1:2">
      <c r="A3437" s="2" t="s">
        <v>10239</v>
      </c>
      <c r="B3437" s="3">
        <v>1</v>
      </c>
    </row>
    <row r="3438" spans="1:2">
      <c r="A3438" s="2" t="s">
        <v>10242</v>
      </c>
      <c r="B3438" s="3">
        <v>1</v>
      </c>
    </row>
    <row r="3439" spans="1:2">
      <c r="A3439" s="2" t="s">
        <v>10248</v>
      </c>
      <c r="B3439" s="3">
        <v>1</v>
      </c>
    </row>
    <row r="3440" spans="1:2">
      <c r="A3440" s="2" t="s">
        <v>10260</v>
      </c>
      <c r="B3440" s="3">
        <v>1</v>
      </c>
    </row>
    <row r="3441" spans="1:2">
      <c r="A3441" s="2" t="s">
        <v>10266</v>
      </c>
      <c r="B3441" s="3">
        <v>1</v>
      </c>
    </row>
    <row r="3442" spans="1:2">
      <c r="A3442" s="2" t="s">
        <v>10269</v>
      </c>
      <c r="B3442" s="3">
        <v>1</v>
      </c>
    </row>
    <row r="3443" spans="1:2">
      <c r="A3443" s="2" t="s">
        <v>10284</v>
      </c>
      <c r="B3443" s="3">
        <v>1</v>
      </c>
    </row>
    <row r="3444" spans="1:2">
      <c r="A3444" s="2" t="s">
        <v>10290</v>
      </c>
      <c r="B3444" s="3">
        <v>1</v>
      </c>
    </row>
    <row r="3445" spans="1:2">
      <c r="A3445" s="2" t="s">
        <v>10302</v>
      </c>
      <c r="B3445" s="3">
        <v>1</v>
      </c>
    </row>
    <row r="3446" spans="1:2">
      <c r="A3446" s="2" t="s">
        <v>10317</v>
      </c>
      <c r="B3446" s="3">
        <v>1</v>
      </c>
    </row>
    <row r="3447" spans="1:2">
      <c r="A3447" s="2" t="s">
        <v>10329</v>
      </c>
      <c r="B3447" s="3">
        <v>1</v>
      </c>
    </row>
    <row r="3448" spans="1:2">
      <c r="A3448" s="2" t="s">
        <v>10332</v>
      </c>
      <c r="B3448" s="3">
        <v>1</v>
      </c>
    </row>
    <row r="3449" spans="1:2">
      <c r="A3449" s="2" t="s">
        <v>10338</v>
      </c>
      <c r="B3449" s="3">
        <v>1</v>
      </c>
    </row>
    <row r="3450" spans="1:2">
      <c r="A3450" s="2" t="s">
        <v>10350</v>
      </c>
      <c r="B3450" s="3">
        <v>1</v>
      </c>
    </row>
    <row r="3451" spans="1:2">
      <c r="A3451" s="2" t="s">
        <v>10362</v>
      </c>
      <c r="B3451" s="3">
        <v>1</v>
      </c>
    </row>
    <row r="3452" spans="1:2">
      <c r="A3452" s="2" t="s">
        <v>10368</v>
      </c>
      <c r="B3452" s="3">
        <v>1</v>
      </c>
    </row>
    <row r="3453" spans="1:2">
      <c r="A3453" s="2" t="s">
        <v>10383</v>
      </c>
      <c r="B3453" s="3">
        <v>1</v>
      </c>
    </row>
    <row r="3454" spans="1:2">
      <c r="A3454" s="2" t="s">
        <v>10389</v>
      </c>
      <c r="B3454" s="3">
        <v>1</v>
      </c>
    </row>
    <row r="3455" spans="1:2">
      <c r="A3455" s="2" t="s">
        <v>10401</v>
      </c>
      <c r="B3455" s="3">
        <v>1</v>
      </c>
    </row>
    <row r="3456" spans="1:2">
      <c r="A3456" s="2" t="s">
        <v>10407</v>
      </c>
      <c r="B3456" s="3">
        <v>1</v>
      </c>
    </row>
    <row r="3457" spans="1:2">
      <c r="A3457" s="2" t="s">
        <v>10410</v>
      </c>
      <c r="B3457" s="3">
        <v>1</v>
      </c>
    </row>
    <row r="3458" spans="1:2">
      <c r="A3458" s="2" t="s">
        <v>10425</v>
      </c>
      <c r="B3458" s="3">
        <v>1</v>
      </c>
    </row>
    <row r="3459" spans="1:2">
      <c r="A3459" s="2" t="s">
        <v>10431</v>
      </c>
      <c r="B3459" s="3">
        <v>1</v>
      </c>
    </row>
    <row r="3460" spans="1:2">
      <c r="A3460" s="2" t="s">
        <v>10443</v>
      </c>
      <c r="B3460" s="3">
        <v>1</v>
      </c>
    </row>
    <row r="3461" spans="1:2">
      <c r="A3461" s="2" t="s">
        <v>10449</v>
      </c>
      <c r="B3461" s="3">
        <v>1</v>
      </c>
    </row>
    <row r="3462" spans="1:2">
      <c r="A3462" s="2" t="s">
        <v>10461</v>
      </c>
      <c r="B3462" s="3">
        <v>1</v>
      </c>
    </row>
    <row r="3463" spans="1:2">
      <c r="A3463" s="2" t="s">
        <v>10476</v>
      </c>
      <c r="B3463" s="3">
        <v>1</v>
      </c>
    </row>
    <row r="3464" spans="1:2">
      <c r="A3464" s="2" t="s">
        <v>10482</v>
      </c>
      <c r="B3464" s="3">
        <v>1</v>
      </c>
    </row>
    <row r="3465" spans="1:2">
      <c r="A3465" s="2" t="s">
        <v>10485</v>
      </c>
      <c r="B3465" s="3">
        <v>1</v>
      </c>
    </row>
    <row r="3466" spans="1:2">
      <c r="A3466" s="2" t="s">
        <v>10497</v>
      </c>
      <c r="B3466" s="3">
        <v>1</v>
      </c>
    </row>
    <row r="3467" spans="1:2">
      <c r="A3467" s="2" t="s">
        <v>10503</v>
      </c>
      <c r="B3467" s="3">
        <v>1</v>
      </c>
    </row>
    <row r="3468" spans="1:2">
      <c r="A3468" s="2" t="s">
        <v>10515</v>
      </c>
      <c r="B3468" s="3">
        <v>1</v>
      </c>
    </row>
    <row r="3469" spans="1:2">
      <c r="A3469" s="2" t="s">
        <v>10518</v>
      </c>
      <c r="B3469" s="3">
        <v>1</v>
      </c>
    </row>
    <row r="3470" spans="1:2">
      <c r="A3470" s="2" t="s">
        <v>10527</v>
      </c>
      <c r="B3470" s="3">
        <v>1</v>
      </c>
    </row>
    <row r="3471" spans="1:2">
      <c r="A3471" s="2" t="s">
        <v>10539</v>
      </c>
      <c r="B3471" s="3">
        <v>1</v>
      </c>
    </row>
    <row r="3472" spans="1:2">
      <c r="A3472" s="2" t="s">
        <v>10542</v>
      </c>
      <c r="B3472" s="3">
        <v>1</v>
      </c>
    </row>
    <row r="3473" spans="1:2">
      <c r="A3473" s="2" t="s">
        <v>10557</v>
      </c>
      <c r="B3473" s="3">
        <v>1</v>
      </c>
    </row>
    <row r="3474" spans="1:2">
      <c r="A3474" s="2" t="s">
        <v>10563</v>
      </c>
      <c r="B3474" s="3">
        <v>1</v>
      </c>
    </row>
    <row r="3475" spans="1:2">
      <c r="A3475" s="2" t="s">
        <v>10575</v>
      </c>
      <c r="B3475" s="3">
        <v>1</v>
      </c>
    </row>
    <row r="3476" spans="1:2">
      <c r="A3476" s="2" t="s">
        <v>10587</v>
      </c>
      <c r="B3476" s="3">
        <v>1</v>
      </c>
    </row>
    <row r="3477" spans="1:2">
      <c r="A3477" s="2" t="s">
        <v>10593</v>
      </c>
      <c r="B3477" s="3">
        <v>1</v>
      </c>
    </row>
    <row r="3478" spans="1:2">
      <c r="A3478" s="2" t="s">
        <v>10608</v>
      </c>
      <c r="B3478" s="3">
        <v>1</v>
      </c>
    </row>
    <row r="3479" spans="1:2">
      <c r="A3479" s="2" t="s">
        <v>10611</v>
      </c>
      <c r="B3479" s="3">
        <v>1</v>
      </c>
    </row>
    <row r="3480" spans="1:2">
      <c r="A3480" s="2" t="s">
        <v>10626</v>
      </c>
      <c r="B3480" s="3">
        <v>1</v>
      </c>
    </row>
    <row r="3481" spans="1:2">
      <c r="A3481" s="2" t="s">
        <v>10632</v>
      </c>
      <c r="B3481" s="3">
        <v>1</v>
      </c>
    </row>
    <row r="3482" spans="1:2">
      <c r="A3482" s="2" t="s">
        <v>10647</v>
      </c>
      <c r="B3482" s="3">
        <v>1</v>
      </c>
    </row>
    <row r="3483" spans="1:2">
      <c r="A3483" s="2" t="s">
        <v>10653</v>
      </c>
      <c r="B3483" s="3">
        <v>1</v>
      </c>
    </row>
    <row r="3484" spans="1:2">
      <c r="A3484" s="2" t="s">
        <v>10659</v>
      </c>
      <c r="B3484" s="3">
        <v>1</v>
      </c>
    </row>
    <row r="3485" spans="1:2">
      <c r="A3485" s="2" t="s">
        <v>10674</v>
      </c>
      <c r="B3485" s="3">
        <v>1</v>
      </c>
    </row>
    <row r="3486" spans="1:2">
      <c r="A3486" s="2" t="s">
        <v>10680</v>
      </c>
      <c r="B3486" s="3">
        <v>1</v>
      </c>
    </row>
    <row r="3487" spans="1:2">
      <c r="A3487" s="2" t="s">
        <v>10695</v>
      </c>
      <c r="B3487" s="3">
        <v>1</v>
      </c>
    </row>
    <row r="3488" spans="1:2">
      <c r="A3488" s="2" t="s">
        <v>10701</v>
      </c>
      <c r="B3488" s="3">
        <v>1</v>
      </c>
    </row>
    <row r="3489" spans="1:2">
      <c r="A3489" s="2" t="s">
        <v>10704</v>
      </c>
      <c r="B3489" s="3">
        <v>1</v>
      </c>
    </row>
    <row r="3490" spans="1:2">
      <c r="A3490" s="2" t="s">
        <v>10725</v>
      </c>
      <c r="B3490" s="3">
        <v>1</v>
      </c>
    </row>
    <row r="3491" spans="1:2">
      <c r="A3491" s="2" t="s">
        <v>10728</v>
      </c>
      <c r="B3491" s="3">
        <v>1</v>
      </c>
    </row>
    <row r="3492" spans="1:2">
      <c r="A3492" s="2" t="s">
        <v>10731</v>
      </c>
      <c r="B3492" s="3">
        <v>1</v>
      </c>
    </row>
    <row r="3493" spans="1:2">
      <c r="A3493" s="2" t="s">
        <v>10743</v>
      </c>
      <c r="B3493" s="3">
        <v>1</v>
      </c>
    </row>
    <row r="3494" spans="1:2">
      <c r="A3494" s="2" t="s">
        <v>10749</v>
      </c>
      <c r="B3494" s="3">
        <v>1</v>
      </c>
    </row>
    <row r="3495" spans="1:2">
      <c r="A3495" s="2" t="s">
        <v>10758</v>
      </c>
      <c r="B3495" s="3">
        <v>1</v>
      </c>
    </row>
    <row r="3496" spans="1:2">
      <c r="A3496" s="2" t="s">
        <v>10764</v>
      </c>
      <c r="B3496" s="3">
        <v>1</v>
      </c>
    </row>
    <row r="3497" spans="1:2">
      <c r="A3497" s="2" t="s">
        <v>10776</v>
      </c>
      <c r="B3497" s="3">
        <v>1</v>
      </c>
    </row>
    <row r="3498" spans="1:2">
      <c r="A3498" s="2" t="s">
        <v>10782</v>
      </c>
      <c r="B3498" s="3">
        <v>1</v>
      </c>
    </row>
    <row r="3499" spans="1:2">
      <c r="A3499" s="2" t="s">
        <v>10797</v>
      </c>
      <c r="B3499" s="3">
        <v>1</v>
      </c>
    </row>
    <row r="3500" spans="1:2">
      <c r="A3500" s="2" t="s">
        <v>10803</v>
      </c>
      <c r="B3500" s="3">
        <v>1</v>
      </c>
    </row>
    <row r="3501" spans="1:2">
      <c r="A3501" s="2" t="s">
        <v>10821</v>
      </c>
      <c r="B3501" s="3">
        <v>1</v>
      </c>
    </row>
    <row r="3502" spans="1:2">
      <c r="A3502" s="2" t="s">
        <v>10827</v>
      </c>
      <c r="B3502" s="3">
        <v>1</v>
      </c>
    </row>
    <row r="3503" spans="1:2">
      <c r="A3503" s="2" t="s">
        <v>10833</v>
      </c>
      <c r="B3503" s="3">
        <v>1</v>
      </c>
    </row>
    <row r="3504" spans="1:2">
      <c r="A3504" s="2" t="s">
        <v>10848</v>
      </c>
      <c r="B3504" s="3">
        <v>1</v>
      </c>
    </row>
    <row r="3505" spans="1:2">
      <c r="A3505" s="2" t="s">
        <v>10854</v>
      </c>
      <c r="B3505" s="3">
        <v>1</v>
      </c>
    </row>
    <row r="3506" spans="1:2">
      <c r="A3506" s="2" t="s">
        <v>10857</v>
      </c>
      <c r="B3506" s="3">
        <v>1</v>
      </c>
    </row>
    <row r="3507" spans="1:2">
      <c r="A3507" s="2" t="s">
        <v>10869</v>
      </c>
      <c r="B3507" s="3">
        <v>1</v>
      </c>
    </row>
    <row r="3508" spans="1:2">
      <c r="A3508" s="2" t="s">
        <v>10878</v>
      </c>
      <c r="B3508" s="3">
        <v>1</v>
      </c>
    </row>
    <row r="3509" spans="1:2">
      <c r="A3509" s="2" t="s">
        <v>10887</v>
      </c>
      <c r="B3509" s="3">
        <v>1</v>
      </c>
    </row>
    <row r="3510" spans="1:2">
      <c r="A3510" s="2" t="s">
        <v>10893</v>
      </c>
      <c r="B3510" s="3">
        <v>1</v>
      </c>
    </row>
    <row r="3511" spans="1:2">
      <c r="A3511" s="2" t="s">
        <v>10896</v>
      </c>
      <c r="B3511" s="3">
        <v>1</v>
      </c>
    </row>
    <row r="3512" spans="1:2">
      <c r="A3512" s="2" t="s">
        <v>10908</v>
      </c>
      <c r="B3512" s="3">
        <v>1</v>
      </c>
    </row>
    <row r="3513" spans="1:2">
      <c r="A3513" s="2" t="s">
        <v>10914</v>
      </c>
      <c r="B3513" s="3">
        <v>1</v>
      </c>
    </row>
    <row r="3514" spans="1:2">
      <c r="A3514" s="2" t="s">
        <v>10917</v>
      </c>
      <c r="B3514" s="3">
        <v>1</v>
      </c>
    </row>
    <row r="3515" spans="1:2">
      <c r="A3515" s="2" t="s">
        <v>10935</v>
      </c>
      <c r="B3515" s="3">
        <v>1</v>
      </c>
    </row>
    <row r="3516" spans="1:2">
      <c r="A3516" s="2" t="s">
        <v>10938</v>
      </c>
      <c r="B3516" s="3">
        <v>1</v>
      </c>
    </row>
    <row r="3517" spans="1:2">
      <c r="A3517" s="2" t="s">
        <v>10944</v>
      </c>
      <c r="B3517" s="3">
        <v>1</v>
      </c>
    </row>
    <row r="3518" spans="1:2">
      <c r="A3518" s="2" t="s">
        <v>10956</v>
      </c>
      <c r="B3518" s="3">
        <v>1</v>
      </c>
    </row>
    <row r="3519" spans="1:2">
      <c r="A3519" s="2" t="s">
        <v>10962</v>
      </c>
      <c r="B3519" s="3">
        <v>1</v>
      </c>
    </row>
    <row r="3520" spans="1:2">
      <c r="A3520" s="2" t="s">
        <v>10974</v>
      </c>
      <c r="B3520" s="3">
        <v>1</v>
      </c>
    </row>
    <row r="3521" spans="1:2">
      <c r="A3521" s="2" t="s">
        <v>10980</v>
      </c>
      <c r="B3521" s="3">
        <v>1</v>
      </c>
    </row>
    <row r="3522" spans="1:2">
      <c r="A3522" s="2" t="s">
        <v>10995</v>
      </c>
      <c r="B3522" s="3">
        <v>1</v>
      </c>
    </row>
    <row r="3523" spans="1:2">
      <c r="A3523" s="2" t="s">
        <v>11001</v>
      </c>
      <c r="B3523" s="3">
        <v>1</v>
      </c>
    </row>
    <row r="3524" spans="1:2">
      <c r="A3524" s="2" t="s">
        <v>11013</v>
      </c>
      <c r="B3524" s="3">
        <v>1</v>
      </c>
    </row>
    <row r="3525" spans="1:2">
      <c r="A3525" s="2" t="s">
        <v>11028</v>
      </c>
      <c r="B3525" s="3">
        <v>1</v>
      </c>
    </row>
    <row r="3526" spans="1:2">
      <c r="A3526" s="2" t="s">
        <v>11034</v>
      </c>
      <c r="B3526" s="3">
        <v>1</v>
      </c>
    </row>
    <row r="3527" spans="1:2">
      <c r="A3527" s="2" t="s">
        <v>11052</v>
      </c>
      <c r="B3527" s="3">
        <v>1</v>
      </c>
    </row>
    <row r="3528" spans="1:2">
      <c r="A3528" s="2" t="s">
        <v>11058</v>
      </c>
      <c r="B3528" s="3">
        <v>1</v>
      </c>
    </row>
    <row r="3529" spans="1:2">
      <c r="A3529" s="2" t="s">
        <v>10257</v>
      </c>
      <c r="B3529" s="3">
        <v>1</v>
      </c>
    </row>
    <row r="3530" spans="1:2">
      <c r="A3530" s="2" t="s">
        <v>10272</v>
      </c>
      <c r="B3530" s="3">
        <v>1</v>
      </c>
    </row>
    <row r="3531" spans="1:2">
      <c r="A3531" s="2" t="s">
        <v>10278</v>
      </c>
      <c r="B3531" s="3">
        <v>1</v>
      </c>
    </row>
    <row r="3532" spans="1:2">
      <c r="A3532" s="2" t="s">
        <v>10281</v>
      </c>
      <c r="B3532" s="3">
        <v>1</v>
      </c>
    </row>
    <row r="3533" spans="1:2">
      <c r="A3533" s="2" t="s">
        <v>10293</v>
      </c>
      <c r="B3533" s="3">
        <v>1</v>
      </c>
    </row>
    <row r="3534" spans="1:2">
      <c r="A3534" s="2" t="s">
        <v>10299</v>
      </c>
      <c r="B3534" s="3">
        <v>1</v>
      </c>
    </row>
    <row r="3535" spans="1:2">
      <c r="A3535" s="2" t="s">
        <v>10308</v>
      </c>
      <c r="B3535" s="3">
        <v>1</v>
      </c>
    </row>
    <row r="3536" spans="1:2">
      <c r="A3536" s="2" t="s">
        <v>10320</v>
      </c>
      <c r="B3536" s="3">
        <v>1</v>
      </c>
    </row>
    <row r="3537" spans="1:2">
      <c r="A3537" s="2" t="s">
        <v>10326</v>
      </c>
      <c r="B3537" s="3">
        <v>1</v>
      </c>
    </row>
    <row r="3538" spans="1:2">
      <c r="A3538" s="2" t="s">
        <v>10341</v>
      </c>
      <c r="B3538" s="3">
        <v>1</v>
      </c>
    </row>
    <row r="3539" spans="1:2">
      <c r="A3539" s="2" t="s">
        <v>10347</v>
      </c>
      <c r="B3539" s="3">
        <v>1</v>
      </c>
    </row>
    <row r="3540" spans="1:2">
      <c r="A3540" s="2" t="s">
        <v>10371</v>
      </c>
      <c r="B3540" s="3">
        <v>1</v>
      </c>
    </row>
    <row r="3541" spans="1:2">
      <c r="A3541" s="2" t="s">
        <v>10377</v>
      </c>
      <c r="B3541" s="3">
        <v>1</v>
      </c>
    </row>
    <row r="3542" spans="1:2">
      <c r="A3542" s="2" t="s">
        <v>10392</v>
      </c>
      <c r="B3542" s="3">
        <v>1</v>
      </c>
    </row>
    <row r="3543" spans="1:2">
      <c r="A3543" s="2" t="s">
        <v>10398</v>
      </c>
      <c r="B3543" s="3">
        <v>1</v>
      </c>
    </row>
    <row r="3544" spans="1:2">
      <c r="A3544" s="2" t="s">
        <v>10413</v>
      </c>
      <c r="B3544" s="3">
        <v>1</v>
      </c>
    </row>
    <row r="3545" spans="1:2">
      <c r="A3545" s="2" t="s">
        <v>10416</v>
      </c>
      <c r="B3545" s="3">
        <v>1</v>
      </c>
    </row>
    <row r="3546" spans="1:2">
      <c r="A3546" s="2" t="s">
        <v>10422</v>
      </c>
      <c r="B3546" s="3">
        <v>1</v>
      </c>
    </row>
    <row r="3547" spans="1:2">
      <c r="A3547" s="2" t="s">
        <v>10434</v>
      </c>
      <c r="B3547" s="3">
        <v>1</v>
      </c>
    </row>
    <row r="3548" spans="1:2">
      <c r="A3548" s="2" t="s">
        <v>10437</v>
      </c>
      <c r="B3548" s="3">
        <v>1</v>
      </c>
    </row>
    <row r="3549" spans="1:2">
      <c r="A3549" s="2" t="s">
        <v>10440</v>
      </c>
      <c r="B3549" s="3">
        <v>1</v>
      </c>
    </row>
    <row r="3550" spans="1:2">
      <c r="A3550" s="2" t="s">
        <v>10452</v>
      </c>
      <c r="B3550" s="3">
        <v>1</v>
      </c>
    </row>
    <row r="3551" spans="1:2">
      <c r="A3551" s="2" t="s">
        <v>10458</v>
      </c>
      <c r="B3551" s="3">
        <v>1</v>
      </c>
    </row>
    <row r="3552" spans="1:2">
      <c r="A3552" s="2" t="s">
        <v>10467</v>
      </c>
      <c r="B3552" s="3">
        <v>1</v>
      </c>
    </row>
    <row r="3553" spans="1:2">
      <c r="A3553" s="2" t="s">
        <v>10473</v>
      </c>
      <c r="B3553" s="3">
        <v>1</v>
      </c>
    </row>
    <row r="3554" spans="1:2">
      <c r="A3554" s="2" t="s">
        <v>10488</v>
      </c>
      <c r="B3554" s="3">
        <v>1</v>
      </c>
    </row>
    <row r="3555" spans="1:2">
      <c r="A3555" s="2" t="s">
        <v>10494</v>
      </c>
      <c r="B3555" s="3">
        <v>1</v>
      </c>
    </row>
    <row r="3556" spans="1:2">
      <c r="A3556" s="2" t="s">
        <v>10509</v>
      </c>
      <c r="B3556" s="3">
        <v>1</v>
      </c>
    </row>
    <row r="3557" spans="1:2">
      <c r="A3557" s="2" t="s">
        <v>10512</v>
      </c>
      <c r="B3557" s="3">
        <v>1</v>
      </c>
    </row>
    <row r="3558" spans="1:2">
      <c r="A3558" s="2" t="s">
        <v>10530</v>
      </c>
      <c r="B3558" s="3">
        <v>1</v>
      </c>
    </row>
    <row r="3559" spans="1:2">
      <c r="A3559" s="2" t="s">
        <v>10536</v>
      </c>
      <c r="B3559" s="3">
        <v>1</v>
      </c>
    </row>
    <row r="3560" spans="1:2">
      <c r="A3560" s="2" t="s">
        <v>10548</v>
      </c>
      <c r="B3560" s="3">
        <v>1</v>
      </c>
    </row>
    <row r="3561" spans="1:2">
      <c r="A3561" s="2" t="s">
        <v>10554</v>
      </c>
      <c r="B3561" s="3">
        <v>1</v>
      </c>
    </row>
    <row r="3562" spans="1:2">
      <c r="A3562" s="2" t="s">
        <v>10566</v>
      </c>
      <c r="B3562" s="3">
        <v>1</v>
      </c>
    </row>
    <row r="3563" spans="1:2">
      <c r="A3563" s="2" t="s">
        <v>10572</v>
      </c>
      <c r="B3563" s="3">
        <v>1</v>
      </c>
    </row>
    <row r="3564" spans="1:2">
      <c r="A3564" s="2" t="s">
        <v>10584</v>
      </c>
      <c r="B3564" s="3">
        <v>1</v>
      </c>
    </row>
    <row r="3565" spans="1:2">
      <c r="A3565" s="2" t="s">
        <v>10596</v>
      </c>
      <c r="B3565" s="3">
        <v>1</v>
      </c>
    </row>
    <row r="3566" spans="1:2">
      <c r="A3566" s="2" t="s">
        <v>10602</v>
      </c>
      <c r="B3566" s="3">
        <v>1</v>
      </c>
    </row>
    <row r="3567" spans="1:2">
      <c r="A3567" s="2" t="s">
        <v>10614</v>
      </c>
      <c r="B3567" s="3">
        <v>1</v>
      </c>
    </row>
    <row r="3568" spans="1:2">
      <c r="A3568" s="2" t="s">
        <v>10623</v>
      </c>
      <c r="B3568" s="3">
        <v>1</v>
      </c>
    </row>
    <row r="3569" spans="1:2">
      <c r="A3569" s="2" t="s">
        <v>10635</v>
      </c>
      <c r="B3569" s="3">
        <v>1</v>
      </c>
    </row>
    <row r="3570" spans="1:2">
      <c r="A3570" s="2" t="s">
        <v>10638</v>
      </c>
      <c r="B3570" s="3">
        <v>1</v>
      </c>
    </row>
    <row r="3571" spans="1:2">
      <c r="A3571" s="2" t="s">
        <v>10644</v>
      </c>
      <c r="B3571" s="3">
        <v>1</v>
      </c>
    </row>
    <row r="3572" spans="1:2">
      <c r="A3572" s="2" t="s">
        <v>10662</v>
      </c>
      <c r="B3572" s="3">
        <v>1</v>
      </c>
    </row>
    <row r="3573" spans="1:2">
      <c r="A3573" s="2" t="s">
        <v>10671</v>
      </c>
      <c r="B3573" s="3">
        <v>1</v>
      </c>
    </row>
    <row r="3574" spans="1:2">
      <c r="A3574" s="2" t="s">
        <v>10683</v>
      </c>
      <c r="B3574" s="3">
        <v>1</v>
      </c>
    </row>
    <row r="3575" spans="1:2">
      <c r="A3575" s="2" t="s">
        <v>10692</v>
      </c>
      <c r="B3575" s="3">
        <v>1</v>
      </c>
    </row>
    <row r="3576" spans="1:2">
      <c r="A3576" s="2" t="s">
        <v>10707</v>
      </c>
      <c r="B3576" s="3">
        <v>1</v>
      </c>
    </row>
    <row r="3577" spans="1:2">
      <c r="A3577" s="2" t="s">
        <v>10716</v>
      </c>
      <c r="B3577" s="3">
        <v>1</v>
      </c>
    </row>
    <row r="3578" spans="1:2">
      <c r="A3578" s="2" t="s">
        <v>10719</v>
      </c>
      <c r="B3578" s="3">
        <v>1</v>
      </c>
    </row>
    <row r="3579" spans="1:2">
      <c r="A3579" s="2" t="s">
        <v>10722</v>
      </c>
      <c r="B3579" s="3">
        <v>1</v>
      </c>
    </row>
    <row r="3580" spans="1:2">
      <c r="A3580" s="2" t="s">
        <v>10734</v>
      </c>
      <c r="B3580" s="3">
        <v>1</v>
      </c>
    </row>
    <row r="3581" spans="1:2">
      <c r="A3581" s="2" t="s">
        <v>10740</v>
      </c>
      <c r="B3581" s="3">
        <v>1</v>
      </c>
    </row>
    <row r="3582" spans="1:2">
      <c r="A3582" s="2" t="s">
        <v>10752</v>
      </c>
      <c r="B3582" s="3">
        <v>1</v>
      </c>
    </row>
    <row r="3583" spans="1:2">
      <c r="A3583" s="2" t="s">
        <v>10767</v>
      </c>
      <c r="B3583" s="3">
        <v>1</v>
      </c>
    </row>
    <row r="3584" spans="1:2">
      <c r="A3584" s="2" t="s">
        <v>10773</v>
      </c>
      <c r="B3584" s="3">
        <v>1</v>
      </c>
    </row>
    <row r="3585" spans="1:2">
      <c r="A3585" s="2" t="s">
        <v>10785</v>
      </c>
      <c r="B3585" s="3">
        <v>1</v>
      </c>
    </row>
    <row r="3586" spans="1:2">
      <c r="A3586" s="2" t="s">
        <v>10794</v>
      </c>
      <c r="B3586" s="3">
        <v>1</v>
      </c>
    </row>
    <row r="3587" spans="1:2">
      <c r="A3587" s="2" t="s">
        <v>10806</v>
      </c>
      <c r="B3587" s="3">
        <v>1</v>
      </c>
    </row>
    <row r="3588" spans="1:2">
      <c r="A3588" s="2" t="s">
        <v>10815</v>
      </c>
      <c r="B3588" s="3">
        <v>1</v>
      </c>
    </row>
    <row r="3589" spans="1:2">
      <c r="A3589" s="2" t="s">
        <v>10818</v>
      </c>
      <c r="B3589" s="3">
        <v>1</v>
      </c>
    </row>
    <row r="3590" spans="1:2">
      <c r="A3590" s="2" t="s">
        <v>10836</v>
      </c>
      <c r="B3590" s="3">
        <v>1</v>
      </c>
    </row>
    <row r="3591" spans="1:2">
      <c r="A3591" s="2" t="s">
        <v>10839</v>
      </c>
      <c r="B3591" s="3">
        <v>1</v>
      </c>
    </row>
    <row r="3592" spans="1:2">
      <c r="A3592" s="2" t="s">
        <v>10845</v>
      </c>
      <c r="B3592" s="3">
        <v>1</v>
      </c>
    </row>
    <row r="3593" spans="1:2">
      <c r="A3593" s="2" t="s">
        <v>10860</v>
      </c>
      <c r="B3593" s="3">
        <v>1</v>
      </c>
    </row>
    <row r="3594" spans="1:2">
      <c r="A3594" s="2" t="s">
        <v>10866</v>
      </c>
      <c r="B3594" s="3">
        <v>1</v>
      </c>
    </row>
    <row r="3595" spans="1:2">
      <c r="A3595" s="2" t="s">
        <v>10881</v>
      </c>
      <c r="B3595" s="3">
        <v>1</v>
      </c>
    </row>
    <row r="3596" spans="1:2">
      <c r="A3596" s="2" t="s">
        <v>10884</v>
      </c>
      <c r="B3596" s="3">
        <v>1</v>
      </c>
    </row>
    <row r="3597" spans="1:2">
      <c r="A3597" s="2" t="s">
        <v>10899</v>
      </c>
      <c r="B3597" s="3">
        <v>1</v>
      </c>
    </row>
    <row r="3598" spans="1:2">
      <c r="A3598" s="2" t="s">
        <v>10905</v>
      </c>
      <c r="B3598" s="3">
        <v>1</v>
      </c>
    </row>
    <row r="3599" spans="1:2">
      <c r="A3599" s="2" t="s">
        <v>10920</v>
      </c>
      <c r="B3599" s="3">
        <v>1</v>
      </c>
    </row>
    <row r="3600" spans="1:2">
      <c r="A3600" s="2" t="s">
        <v>10929</v>
      </c>
      <c r="B3600" s="3">
        <v>1</v>
      </c>
    </row>
    <row r="3601" spans="1:2">
      <c r="A3601" s="2" t="s">
        <v>10932</v>
      </c>
      <c r="B3601" s="3">
        <v>1</v>
      </c>
    </row>
    <row r="3602" spans="1:2">
      <c r="A3602" s="2" t="s">
        <v>10947</v>
      </c>
      <c r="B3602" s="3">
        <v>1</v>
      </c>
    </row>
    <row r="3603" spans="1:2">
      <c r="A3603" s="2" t="s">
        <v>10953</v>
      </c>
      <c r="B3603" s="3">
        <v>1</v>
      </c>
    </row>
    <row r="3604" spans="1:2">
      <c r="A3604" s="2" t="s">
        <v>10965</v>
      </c>
      <c r="B3604" s="3">
        <v>1</v>
      </c>
    </row>
    <row r="3605" spans="1:2">
      <c r="A3605" s="2" t="s">
        <v>10971</v>
      </c>
      <c r="B3605" s="3">
        <v>1</v>
      </c>
    </row>
    <row r="3606" spans="1:2">
      <c r="A3606" s="2" t="s">
        <v>10983</v>
      </c>
      <c r="B3606" s="3">
        <v>1</v>
      </c>
    </row>
    <row r="3607" spans="1:2">
      <c r="A3607" s="2" t="s">
        <v>10989</v>
      </c>
      <c r="B3607" s="3">
        <v>1</v>
      </c>
    </row>
    <row r="3608" spans="1:2">
      <c r="A3608" s="2" t="s">
        <v>10992</v>
      </c>
      <c r="B3608" s="3">
        <v>1</v>
      </c>
    </row>
    <row r="3609" spans="1:2">
      <c r="A3609" s="2" t="s">
        <v>11004</v>
      </c>
      <c r="B3609" s="3">
        <v>1</v>
      </c>
    </row>
    <row r="3610" spans="1:2">
      <c r="A3610" s="2" t="s">
        <v>11010</v>
      </c>
      <c r="B3610" s="3">
        <v>1</v>
      </c>
    </row>
    <row r="3611" spans="1:2">
      <c r="A3611" s="2" t="s">
        <v>11019</v>
      </c>
      <c r="B3611" s="3">
        <v>1</v>
      </c>
    </row>
    <row r="3612" spans="1:2">
      <c r="A3612" s="2" t="s">
        <v>11025</v>
      </c>
      <c r="B3612" s="3">
        <v>1</v>
      </c>
    </row>
    <row r="3613" spans="1:2">
      <c r="A3613" s="2" t="s">
        <v>11037</v>
      </c>
      <c r="B3613" s="3">
        <v>1</v>
      </c>
    </row>
    <row r="3614" spans="1:2">
      <c r="A3614" s="2" t="s">
        <v>11043</v>
      </c>
      <c r="B3614" s="3">
        <v>1</v>
      </c>
    </row>
    <row r="3615" spans="1:2">
      <c r="A3615" s="2" t="s">
        <v>11049</v>
      </c>
      <c r="B3615" s="3">
        <v>1</v>
      </c>
    </row>
    <row r="3616" spans="1:2">
      <c r="A3616" s="2" t="s">
        <v>11067</v>
      </c>
      <c r="B3616" s="3">
        <v>1</v>
      </c>
    </row>
    <row r="3617" spans="1:2">
      <c r="A3617" s="2" t="s">
        <v>11073</v>
      </c>
      <c r="B3617" s="3">
        <v>1</v>
      </c>
    </row>
    <row r="3618" spans="1:2">
      <c r="A3618" s="2" t="s">
        <v>11076</v>
      </c>
      <c r="B3618" s="3">
        <v>1</v>
      </c>
    </row>
    <row r="3619" spans="1:2">
      <c r="A3619" s="2" t="s">
        <v>11088</v>
      </c>
      <c r="B3619" s="3">
        <v>1</v>
      </c>
    </row>
    <row r="3620" spans="1:2">
      <c r="A3620" s="2" t="s">
        <v>11094</v>
      </c>
      <c r="B3620" s="3">
        <v>1</v>
      </c>
    </row>
    <row r="3621" spans="1:2">
      <c r="A3621" s="2" t="s">
        <v>11106</v>
      </c>
      <c r="B3621" s="3">
        <v>1</v>
      </c>
    </row>
    <row r="3622" spans="1:2">
      <c r="A3622" s="2" t="s">
        <v>11115</v>
      </c>
      <c r="B3622" s="3">
        <v>1</v>
      </c>
    </row>
    <row r="3623" spans="1:2">
      <c r="A3623" s="2" t="s">
        <v>10500</v>
      </c>
      <c r="B3623" s="3">
        <v>1</v>
      </c>
    </row>
    <row r="3624" spans="1:2">
      <c r="A3624" s="2" t="s">
        <v>10506</v>
      </c>
      <c r="B3624" s="3">
        <v>1</v>
      </c>
    </row>
    <row r="3625" spans="1:2">
      <c r="A3625" s="2" t="s">
        <v>10521</v>
      </c>
      <c r="B3625" s="3">
        <v>1</v>
      </c>
    </row>
    <row r="3626" spans="1:2">
      <c r="A3626" s="2" t="s">
        <v>10524</v>
      </c>
      <c r="B3626" s="3">
        <v>1</v>
      </c>
    </row>
    <row r="3627" spans="1:2">
      <c r="A3627" s="2" t="s">
        <v>10533</v>
      </c>
      <c r="B3627" s="3">
        <v>1</v>
      </c>
    </row>
    <row r="3628" spans="1:2">
      <c r="A3628" s="2" t="s">
        <v>10545</v>
      </c>
      <c r="B3628" s="3">
        <v>1</v>
      </c>
    </row>
    <row r="3629" spans="1:2">
      <c r="A3629" s="2" t="s">
        <v>10551</v>
      </c>
      <c r="B3629" s="3">
        <v>1</v>
      </c>
    </row>
    <row r="3630" spans="1:2">
      <c r="A3630" s="2" t="s">
        <v>10560</v>
      </c>
      <c r="B3630" s="3">
        <v>1</v>
      </c>
    </row>
    <row r="3631" spans="1:2">
      <c r="A3631" s="2" t="s">
        <v>10569</v>
      </c>
      <c r="B3631" s="3">
        <v>1</v>
      </c>
    </row>
    <row r="3632" spans="1:2">
      <c r="A3632" s="2" t="s">
        <v>10578</v>
      </c>
      <c r="B3632" s="3">
        <v>1</v>
      </c>
    </row>
    <row r="3633" spans="1:2">
      <c r="A3633" s="2" t="s">
        <v>10581</v>
      </c>
      <c r="B3633" s="3">
        <v>1</v>
      </c>
    </row>
    <row r="3634" spans="1:2">
      <c r="A3634" s="2" t="s">
        <v>10590</v>
      </c>
      <c r="B3634" s="3">
        <v>1</v>
      </c>
    </row>
    <row r="3635" spans="1:2">
      <c r="A3635" s="2" t="s">
        <v>10599</v>
      </c>
      <c r="B3635" s="3">
        <v>1</v>
      </c>
    </row>
    <row r="3636" spans="1:2">
      <c r="A3636" s="2" t="s">
        <v>10605</v>
      </c>
      <c r="B3636" s="3">
        <v>1</v>
      </c>
    </row>
    <row r="3637" spans="1:2">
      <c r="A3637" s="2" t="s">
        <v>10617</v>
      </c>
      <c r="B3637" s="3">
        <v>1</v>
      </c>
    </row>
    <row r="3638" spans="1:2">
      <c r="A3638" s="2" t="s">
        <v>10620</v>
      </c>
      <c r="B3638" s="3">
        <v>1</v>
      </c>
    </row>
    <row r="3639" spans="1:2">
      <c r="A3639" s="2" t="s">
        <v>10629</v>
      </c>
      <c r="B3639" s="3">
        <v>1</v>
      </c>
    </row>
    <row r="3640" spans="1:2">
      <c r="A3640" s="2" t="s">
        <v>10641</v>
      </c>
      <c r="B3640" s="3">
        <v>1</v>
      </c>
    </row>
    <row r="3641" spans="1:2">
      <c r="A3641" s="2" t="s">
        <v>10650</v>
      </c>
      <c r="B3641" s="3">
        <v>1</v>
      </c>
    </row>
    <row r="3642" spans="1:2">
      <c r="A3642" s="2" t="s">
        <v>10656</v>
      </c>
      <c r="B3642" s="3">
        <v>1</v>
      </c>
    </row>
    <row r="3643" spans="1:2">
      <c r="A3643" s="2" t="s">
        <v>10665</v>
      </c>
      <c r="B3643" s="3">
        <v>1</v>
      </c>
    </row>
    <row r="3644" spans="1:2">
      <c r="A3644" s="2" t="s">
        <v>10668</v>
      </c>
      <c r="B3644" s="3">
        <v>1</v>
      </c>
    </row>
    <row r="3645" spans="1:2">
      <c r="A3645" s="2" t="s">
        <v>10677</v>
      </c>
      <c r="B3645" s="3">
        <v>1</v>
      </c>
    </row>
    <row r="3646" spans="1:2">
      <c r="A3646" s="2" t="s">
        <v>10686</v>
      </c>
      <c r="B3646" s="3">
        <v>1</v>
      </c>
    </row>
    <row r="3647" spans="1:2">
      <c r="A3647" s="2" t="s">
        <v>10689</v>
      </c>
      <c r="B3647" s="3">
        <v>1</v>
      </c>
    </row>
    <row r="3648" spans="1:2">
      <c r="A3648" s="2" t="s">
        <v>10698</v>
      </c>
      <c r="B3648" s="3">
        <v>1</v>
      </c>
    </row>
    <row r="3649" spans="1:2">
      <c r="A3649" s="2" t="s">
        <v>10710</v>
      </c>
      <c r="B3649" s="3">
        <v>1</v>
      </c>
    </row>
    <row r="3650" spans="1:2">
      <c r="A3650" s="2" t="s">
        <v>10713</v>
      </c>
      <c r="B3650" s="3">
        <v>1</v>
      </c>
    </row>
    <row r="3651" spans="1:2">
      <c r="A3651" s="2" t="s">
        <v>10737</v>
      </c>
      <c r="B3651" s="3">
        <v>1</v>
      </c>
    </row>
    <row r="3652" spans="1:2">
      <c r="A3652" s="2" t="s">
        <v>10746</v>
      </c>
      <c r="B3652" s="3">
        <v>1</v>
      </c>
    </row>
    <row r="3653" spans="1:2">
      <c r="A3653" s="2" t="s">
        <v>10755</v>
      </c>
      <c r="B3653" s="3">
        <v>1</v>
      </c>
    </row>
    <row r="3654" spans="1:2">
      <c r="A3654" s="2" t="s">
        <v>10761</v>
      </c>
      <c r="B3654" s="3">
        <v>1</v>
      </c>
    </row>
    <row r="3655" spans="1:2">
      <c r="A3655" s="2" t="s">
        <v>10770</v>
      </c>
      <c r="B3655" s="3">
        <v>1</v>
      </c>
    </row>
    <row r="3656" spans="1:2">
      <c r="A3656" s="2" t="s">
        <v>10779</v>
      </c>
      <c r="B3656" s="3">
        <v>1</v>
      </c>
    </row>
    <row r="3657" spans="1:2">
      <c r="A3657" s="2" t="s">
        <v>10788</v>
      </c>
      <c r="B3657" s="3">
        <v>1</v>
      </c>
    </row>
    <row r="3658" spans="1:2">
      <c r="A3658" s="2" t="s">
        <v>10791</v>
      </c>
      <c r="B3658" s="3">
        <v>1</v>
      </c>
    </row>
    <row r="3659" spans="1:2">
      <c r="A3659" s="2" t="s">
        <v>10800</v>
      </c>
      <c r="B3659" s="3">
        <v>1</v>
      </c>
    </row>
    <row r="3660" spans="1:2">
      <c r="A3660" s="2" t="s">
        <v>10809</v>
      </c>
      <c r="B3660" s="3">
        <v>1</v>
      </c>
    </row>
    <row r="3661" spans="1:2">
      <c r="A3661" s="2" t="s">
        <v>10812</v>
      </c>
      <c r="B3661" s="3">
        <v>1</v>
      </c>
    </row>
    <row r="3662" spans="1:2">
      <c r="A3662" s="2" t="s">
        <v>10824</v>
      </c>
      <c r="B3662" s="3">
        <v>1</v>
      </c>
    </row>
    <row r="3663" spans="1:2">
      <c r="A3663" s="2" t="s">
        <v>10830</v>
      </c>
      <c r="B3663" s="3">
        <v>1</v>
      </c>
    </row>
    <row r="3664" spans="1:2">
      <c r="A3664" s="2" t="s">
        <v>10842</v>
      </c>
      <c r="B3664" s="3">
        <v>1</v>
      </c>
    </row>
    <row r="3665" spans="1:2">
      <c r="A3665" s="2" t="s">
        <v>10851</v>
      </c>
      <c r="B3665" s="3">
        <v>1</v>
      </c>
    </row>
    <row r="3666" spans="1:2">
      <c r="A3666" s="2" t="s">
        <v>10863</v>
      </c>
      <c r="B3666" s="3">
        <v>1</v>
      </c>
    </row>
    <row r="3667" spans="1:2">
      <c r="A3667" s="2" t="s">
        <v>10872</v>
      </c>
      <c r="B3667" s="3">
        <v>1</v>
      </c>
    </row>
    <row r="3668" spans="1:2">
      <c r="A3668" s="2" t="s">
        <v>10875</v>
      </c>
      <c r="B3668" s="3">
        <v>1</v>
      </c>
    </row>
    <row r="3669" spans="1:2">
      <c r="A3669" s="2" t="s">
        <v>10890</v>
      </c>
      <c r="B3669" s="3">
        <v>1</v>
      </c>
    </row>
    <row r="3670" spans="1:2">
      <c r="A3670" s="2" t="s">
        <v>10902</v>
      </c>
      <c r="B3670" s="3">
        <v>1</v>
      </c>
    </row>
    <row r="3671" spans="1:2">
      <c r="A3671" s="2" t="s">
        <v>10911</v>
      </c>
      <c r="B3671" s="3">
        <v>1</v>
      </c>
    </row>
    <row r="3672" spans="1:2">
      <c r="A3672" s="2" t="s">
        <v>10923</v>
      </c>
      <c r="B3672" s="3">
        <v>1</v>
      </c>
    </row>
    <row r="3673" spans="1:2">
      <c r="A3673" s="2" t="s">
        <v>10926</v>
      </c>
      <c r="B3673" s="3">
        <v>1</v>
      </c>
    </row>
    <row r="3674" spans="1:2">
      <c r="A3674" s="2" t="s">
        <v>10941</v>
      </c>
      <c r="B3674" s="3">
        <v>1</v>
      </c>
    </row>
    <row r="3675" spans="1:2">
      <c r="A3675" s="2" t="s">
        <v>10950</v>
      </c>
      <c r="B3675" s="3">
        <v>1</v>
      </c>
    </row>
    <row r="3676" spans="1:2">
      <c r="A3676" s="2" t="s">
        <v>10959</v>
      </c>
      <c r="B3676" s="3">
        <v>1</v>
      </c>
    </row>
    <row r="3677" spans="1:2">
      <c r="A3677" s="2" t="s">
        <v>10968</v>
      </c>
      <c r="B3677" s="3">
        <v>1</v>
      </c>
    </row>
    <row r="3678" spans="1:2">
      <c r="A3678" s="2" t="s">
        <v>10977</v>
      </c>
      <c r="B3678" s="3">
        <v>1</v>
      </c>
    </row>
    <row r="3679" spans="1:2">
      <c r="A3679" s="2" t="s">
        <v>10986</v>
      </c>
      <c r="B3679" s="3">
        <v>1</v>
      </c>
    </row>
    <row r="3680" spans="1:2">
      <c r="A3680" s="2" t="s">
        <v>10998</v>
      </c>
      <c r="B3680" s="3">
        <v>1</v>
      </c>
    </row>
    <row r="3681" spans="1:2">
      <c r="A3681" s="2" t="s">
        <v>11007</v>
      </c>
      <c r="B3681" s="3">
        <v>1</v>
      </c>
    </row>
    <row r="3682" spans="1:2">
      <c r="A3682" s="2" t="s">
        <v>11016</v>
      </c>
      <c r="B3682" s="3">
        <v>1</v>
      </c>
    </row>
    <row r="3683" spans="1:2">
      <c r="A3683" s="2" t="s">
        <v>11022</v>
      </c>
      <c r="B3683" s="3">
        <v>1</v>
      </c>
    </row>
    <row r="3684" spans="1:2">
      <c r="A3684" s="2" t="s">
        <v>11031</v>
      </c>
      <c r="B3684" s="3">
        <v>1</v>
      </c>
    </row>
    <row r="3685" spans="1:2">
      <c r="A3685" s="2" t="s">
        <v>11040</v>
      </c>
      <c r="B3685" s="3">
        <v>1</v>
      </c>
    </row>
    <row r="3686" spans="1:2">
      <c r="A3686" s="2" t="s">
        <v>11046</v>
      </c>
      <c r="B3686" s="3">
        <v>1</v>
      </c>
    </row>
    <row r="3687" spans="1:2">
      <c r="A3687" s="2" t="s">
        <v>11055</v>
      </c>
      <c r="B3687" s="3">
        <v>1</v>
      </c>
    </row>
    <row r="3688" spans="1:2">
      <c r="A3688" s="2" t="s">
        <v>11061</v>
      </c>
      <c r="B3688" s="3">
        <v>1</v>
      </c>
    </row>
    <row r="3689" spans="1:2">
      <c r="A3689" s="2" t="s">
        <v>11070</v>
      </c>
      <c r="B3689" s="3">
        <v>1</v>
      </c>
    </row>
    <row r="3690" spans="1:2">
      <c r="A3690" s="2" t="s">
        <v>11082</v>
      </c>
      <c r="B3690" s="3">
        <v>1</v>
      </c>
    </row>
    <row r="3691" spans="1:2">
      <c r="A3691" s="2" t="s">
        <v>11091</v>
      </c>
      <c r="B3691" s="3">
        <v>1</v>
      </c>
    </row>
    <row r="3692" spans="1:2">
      <c r="A3692" s="2" t="s">
        <v>11103</v>
      </c>
      <c r="B3692" s="3">
        <v>1</v>
      </c>
    </row>
    <row r="3693" spans="1:2">
      <c r="A3693" s="2" t="s">
        <v>11109</v>
      </c>
      <c r="B3693" s="3">
        <v>1</v>
      </c>
    </row>
    <row r="3694" spans="1:2">
      <c r="A3694" s="2" t="s">
        <v>11112</v>
      </c>
      <c r="B3694" s="3">
        <v>1</v>
      </c>
    </row>
    <row r="3695" spans="1:2">
      <c r="A3695" s="2" t="s">
        <v>11121</v>
      </c>
      <c r="B3695" s="3">
        <v>1</v>
      </c>
    </row>
    <row r="3696" spans="1:2">
      <c r="A3696" s="2" t="s">
        <v>11130</v>
      </c>
      <c r="B3696" s="3">
        <v>1</v>
      </c>
    </row>
    <row r="3697" spans="1:2">
      <c r="A3697" s="2" t="s">
        <v>11139</v>
      </c>
      <c r="B3697" s="3">
        <v>1</v>
      </c>
    </row>
    <row r="3698" spans="1:2">
      <c r="A3698" s="2" t="s">
        <v>11145</v>
      </c>
      <c r="B3698" s="3">
        <v>1</v>
      </c>
    </row>
    <row r="3699" spans="1:2">
      <c r="A3699" s="2" t="s">
        <v>11157</v>
      </c>
      <c r="B3699" s="3">
        <v>1</v>
      </c>
    </row>
    <row r="3700" spans="1:2">
      <c r="A3700" s="2" t="s">
        <v>11163</v>
      </c>
      <c r="B3700" s="3">
        <v>1</v>
      </c>
    </row>
    <row r="3701" spans="1:2">
      <c r="A3701" s="2" t="s">
        <v>11172</v>
      </c>
      <c r="B3701" s="3">
        <v>1</v>
      </c>
    </row>
    <row r="3702" spans="1:2">
      <c r="A3702" s="2" t="s">
        <v>11181</v>
      </c>
      <c r="B3702" s="3">
        <v>1</v>
      </c>
    </row>
    <row r="3703" spans="1:2">
      <c r="A3703" s="2" t="s">
        <v>11190</v>
      </c>
      <c r="B3703" s="3">
        <v>1</v>
      </c>
    </row>
    <row r="3704" spans="1:2">
      <c r="A3704" s="2" t="s">
        <v>11199</v>
      </c>
      <c r="B3704" s="3">
        <v>1</v>
      </c>
    </row>
    <row r="3705" spans="1:2">
      <c r="A3705" s="2" t="s">
        <v>11208</v>
      </c>
      <c r="B3705" s="3">
        <v>1</v>
      </c>
    </row>
    <row r="3706" spans="1:2">
      <c r="A3706" s="2" t="s">
        <v>11217</v>
      </c>
      <c r="B3706" s="3">
        <v>1</v>
      </c>
    </row>
    <row r="3707" spans="1:2">
      <c r="A3707" s="2" t="s">
        <v>11229</v>
      </c>
      <c r="B3707" s="3">
        <v>1</v>
      </c>
    </row>
    <row r="3708" spans="1:2">
      <c r="A3708" s="2" t="s">
        <v>11238</v>
      </c>
      <c r="B3708" s="3">
        <v>1</v>
      </c>
    </row>
    <row r="3709" spans="1:2">
      <c r="A3709" s="2" t="s">
        <v>11250</v>
      </c>
      <c r="B3709" s="3">
        <v>1</v>
      </c>
    </row>
    <row r="3710" spans="1:2">
      <c r="A3710" s="2" t="s">
        <v>11262</v>
      </c>
      <c r="B3710" s="3">
        <v>1</v>
      </c>
    </row>
    <row r="3711" spans="1:2">
      <c r="A3711" s="2" t="s">
        <v>11274</v>
      </c>
      <c r="B3711" s="3">
        <v>1</v>
      </c>
    </row>
    <row r="3712" spans="1:2">
      <c r="A3712" s="2" t="s">
        <v>11277</v>
      </c>
      <c r="B3712" s="3">
        <v>1</v>
      </c>
    </row>
    <row r="3713" spans="1:2">
      <c r="A3713" s="2" t="s">
        <v>11289</v>
      </c>
      <c r="B3713" s="3">
        <v>1</v>
      </c>
    </row>
    <row r="3714" spans="1:2">
      <c r="A3714" s="2" t="s">
        <v>11295</v>
      </c>
      <c r="B3714" s="3">
        <v>1</v>
      </c>
    </row>
    <row r="3715" spans="1:2">
      <c r="A3715" s="2" t="s">
        <v>11301</v>
      </c>
      <c r="B3715" s="3">
        <v>1</v>
      </c>
    </row>
    <row r="3716" spans="1:2">
      <c r="A3716" s="2" t="s">
        <v>11304</v>
      </c>
      <c r="B3716" s="3">
        <v>1</v>
      </c>
    </row>
    <row r="3717" spans="1:2">
      <c r="A3717" s="2" t="s">
        <v>11316</v>
      </c>
      <c r="B3717" s="3">
        <v>1</v>
      </c>
    </row>
    <row r="3718" spans="1:2">
      <c r="A3718" s="2" t="s">
        <v>11064</v>
      </c>
      <c r="B3718" s="3">
        <v>1</v>
      </c>
    </row>
    <row r="3719" spans="1:2">
      <c r="A3719" s="2" t="s">
        <v>11079</v>
      </c>
      <c r="B3719" s="3">
        <v>1</v>
      </c>
    </row>
    <row r="3720" spans="1:2">
      <c r="A3720" s="2" t="s">
        <v>11085</v>
      </c>
      <c r="B3720" s="3">
        <v>1</v>
      </c>
    </row>
    <row r="3721" spans="1:2">
      <c r="A3721" s="2" t="s">
        <v>11097</v>
      </c>
      <c r="B3721" s="3">
        <v>1</v>
      </c>
    </row>
    <row r="3722" spans="1:2">
      <c r="A3722" s="2" t="s">
        <v>11100</v>
      </c>
      <c r="B3722" s="3">
        <v>1</v>
      </c>
    </row>
    <row r="3723" spans="1:2">
      <c r="A3723" s="2" t="s">
        <v>11118</v>
      </c>
      <c r="B3723" s="3">
        <v>1</v>
      </c>
    </row>
    <row r="3724" spans="1:2">
      <c r="A3724" s="2" t="s">
        <v>11124</v>
      </c>
      <c r="B3724" s="3">
        <v>1</v>
      </c>
    </row>
    <row r="3725" spans="1:2">
      <c r="A3725" s="2" t="s">
        <v>11136</v>
      </c>
      <c r="B3725" s="3">
        <v>1</v>
      </c>
    </row>
    <row r="3726" spans="1:2">
      <c r="A3726" s="2" t="s">
        <v>11142</v>
      </c>
      <c r="B3726" s="3">
        <v>1</v>
      </c>
    </row>
    <row r="3727" spans="1:2">
      <c r="A3727" s="2" t="s">
        <v>11148</v>
      </c>
      <c r="B3727" s="3">
        <v>1</v>
      </c>
    </row>
    <row r="3728" spans="1:2">
      <c r="A3728" s="2" t="s">
        <v>11169</v>
      </c>
      <c r="B3728" s="3">
        <v>1</v>
      </c>
    </row>
    <row r="3729" spans="1:2">
      <c r="A3729" s="2" t="s">
        <v>11175</v>
      </c>
      <c r="B3729" s="3">
        <v>1</v>
      </c>
    </row>
    <row r="3730" spans="1:2">
      <c r="A3730" s="2" t="s">
        <v>11187</v>
      </c>
      <c r="B3730" s="3">
        <v>1</v>
      </c>
    </row>
    <row r="3731" spans="1:2">
      <c r="A3731" s="2" t="s">
        <v>11193</v>
      </c>
      <c r="B3731" s="3">
        <v>1</v>
      </c>
    </row>
    <row r="3732" spans="1:2">
      <c r="A3732" s="2" t="s">
        <v>11205</v>
      </c>
      <c r="B3732" s="3">
        <v>1</v>
      </c>
    </row>
    <row r="3733" spans="1:2">
      <c r="A3733" s="2" t="s">
        <v>11211</v>
      </c>
      <c r="B3733" s="3">
        <v>1</v>
      </c>
    </row>
    <row r="3734" spans="1:2">
      <c r="A3734" s="2" t="s">
        <v>11223</v>
      </c>
      <c r="B3734" s="3">
        <v>1</v>
      </c>
    </row>
    <row r="3735" spans="1:2">
      <c r="A3735" s="2" t="s">
        <v>11226</v>
      </c>
      <c r="B3735" s="3">
        <v>1</v>
      </c>
    </row>
    <row r="3736" spans="1:2">
      <c r="A3736" s="2" t="s">
        <v>11232</v>
      </c>
      <c r="B3736" s="3">
        <v>1</v>
      </c>
    </row>
    <row r="3737" spans="1:2">
      <c r="A3737" s="2" t="s">
        <v>11247</v>
      </c>
      <c r="B3737" s="3">
        <v>1</v>
      </c>
    </row>
    <row r="3738" spans="1:2">
      <c r="A3738" s="2" t="s">
        <v>11253</v>
      </c>
      <c r="B3738" s="3">
        <v>1</v>
      </c>
    </row>
    <row r="3739" spans="1:2">
      <c r="A3739" s="2" t="s">
        <v>11256</v>
      </c>
      <c r="B3739" s="3">
        <v>1</v>
      </c>
    </row>
    <row r="3740" spans="1:2">
      <c r="A3740" s="2" t="s">
        <v>11271</v>
      </c>
      <c r="B3740" s="3">
        <v>1</v>
      </c>
    </row>
    <row r="3741" spans="1:2">
      <c r="A3741" s="2" t="s">
        <v>11280</v>
      </c>
      <c r="B3741" s="3">
        <v>1</v>
      </c>
    </row>
    <row r="3742" spans="1:2">
      <c r="A3742" s="2" t="s">
        <v>11283</v>
      </c>
      <c r="B3742" s="3">
        <v>1</v>
      </c>
    </row>
    <row r="3743" spans="1:2">
      <c r="A3743" s="2" t="s">
        <v>11298</v>
      </c>
      <c r="B3743" s="3">
        <v>1</v>
      </c>
    </row>
    <row r="3744" spans="1:2">
      <c r="A3744" s="2" t="s">
        <v>11307</v>
      </c>
      <c r="B3744" s="3">
        <v>1</v>
      </c>
    </row>
    <row r="3745" spans="1:2">
      <c r="A3745" s="2" t="s">
        <v>11310</v>
      </c>
      <c r="B3745" s="3">
        <v>1</v>
      </c>
    </row>
    <row r="3746" spans="1:2">
      <c r="A3746" s="2" t="s">
        <v>11322</v>
      </c>
      <c r="B3746" s="3">
        <v>1</v>
      </c>
    </row>
    <row r="3747" spans="1:2">
      <c r="A3747" s="2" t="s">
        <v>11328</v>
      </c>
      <c r="B3747" s="3">
        <v>1</v>
      </c>
    </row>
    <row r="3748" spans="1:2">
      <c r="A3748" s="2" t="s">
        <v>11340</v>
      </c>
      <c r="B3748" s="3">
        <v>1</v>
      </c>
    </row>
    <row r="3749" spans="1:2">
      <c r="A3749" s="2" t="s">
        <v>11346</v>
      </c>
      <c r="B3749" s="3">
        <v>1</v>
      </c>
    </row>
    <row r="3750" spans="1:2">
      <c r="A3750" s="2" t="s">
        <v>11355</v>
      </c>
      <c r="B3750" s="3">
        <v>1</v>
      </c>
    </row>
    <row r="3751" spans="1:2">
      <c r="A3751" s="2" t="s">
        <v>11361</v>
      </c>
      <c r="B3751" s="3">
        <v>1</v>
      </c>
    </row>
    <row r="3752" spans="1:2">
      <c r="A3752" s="2" t="s">
        <v>11376</v>
      </c>
      <c r="B3752" s="3">
        <v>1</v>
      </c>
    </row>
    <row r="3753" spans="1:2">
      <c r="A3753" s="2" t="s">
        <v>11382</v>
      </c>
      <c r="B3753" s="3">
        <v>1</v>
      </c>
    </row>
    <row r="3754" spans="1:2">
      <c r="A3754" s="2" t="s">
        <v>11397</v>
      </c>
      <c r="B3754" s="3">
        <v>1</v>
      </c>
    </row>
    <row r="3755" spans="1:2">
      <c r="A3755" s="2" t="s">
        <v>11403</v>
      </c>
      <c r="B3755" s="3">
        <v>1</v>
      </c>
    </row>
    <row r="3756" spans="1:2">
      <c r="A3756" s="2" t="s">
        <v>11406</v>
      </c>
      <c r="B3756" s="3">
        <v>1</v>
      </c>
    </row>
    <row r="3757" spans="1:2">
      <c r="A3757" s="2" t="s">
        <v>11418</v>
      </c>
      <c r="B3757" s="3">
        <v>1</v>
      </c>
    </row>
    <row r="3758" spans="1:2">
      <c r="A3758" s="2" t="s">
        <v>11421</v>
      </c>
      <c r="B3758" s="3">
        <v>1</v>
      </c>
    </row>
    <row r="3759" spans="1:2">
      <c r="A3759" s="2" t="s">
        <v>11436</v>
      </c>
      <c r="B3759" s="3">
        <v>1</v>
      </c>
    </row>
    <row r="3760" spans="1:2">
      <c r="A3760" s="2" t="s">
        <v>11442</v>
      </c>
      <c r="B3760" s="3">
        <v>1</v>
      </c>
    </row>
    <row r="3761" spans="1:2">
      <c r="A3761" s="2" t="s">
        <v>11448</v>
      </c>
      <c r="B3761" s="3">
        <v>1</v>
      </c>
    </row>
    <row r="3762" spans="1:2">
      <c r="A3762" s="2" t="s">
        <v>11457</v>
      </c>
      <c r="B3762" s="3">
        <v>1</v>
      </c>
    </row>
    <row r="3763" spans="1:2">
      <c r="A3763" s="2" t="s">
        <v>11463</v>
      </c>
      <c r="B3763" s="3">
        <v>1</v>
      </c>
    </row>
    <row r="3764" spans="1:2">
      <c r="A3764" s="2" t="s">
        <v>11472</v>
      </c>
      <c r="B3764" s="3">
        <v>1</v>
      </c>
    </row>
    <row r="3765" spans="1:2">
      <c r="A3765" s="2" t="s">
        <v>11478</v>
      </c>
      <c r="B3765" s="3">
        <v>1</v>
      </c>
    </row>
    <row r="3766" spans="1:2">
      <c r="A3766" s="2" t="s">
        <v>11499</v>
      </c>
      <c r="B3766" s="3">
        <v>1</v>
      </c>
    </row>
    <row r="3767" spans="1:2">
      <c r="A3767" s="2" t="s">
        <v>11502</v>
      </c>
      <c r="B3767" s="3">
        <v>1</v>
      </c>
    </row>
    <row r="3768" spans="1:2">
      <c r="A3768" s="2" t="s">
        <v>11505</v>
      </c>
      <c r="B3768" s="3">
        <v>1</v>
      </c>
    </row>
    <row r="3769" spans="1:2">
      <c r="A3769" s="2" t="s">
        <v>11511</v>
      </c>
      <c r="B3769" s="3">
        <v>1</v>
      </c>
    </row>
    <row r="3770" spans="1:2">
      <c r="A3770" s="2" t="s">
        <v>11520</v>
      </c>
      <c r="B3770" s="3">
        <v>1</v>
      </c>
    </row>
    <row r="3771" spans="1:2">
      <c r="A3771" s="2" t="s">
        <v>11526</v>
      </c>
      <c r="B3771" s="3">
        <v>1</v>
      </c>
    </row>
    <row r="3772" spans="1:2">
      <c r="A3772" s="2" t="s">
        <v>11532</v>
      </c>
      <c r="B3772" s="3">
        <v>1</v>
      </c>
    </row>
    <row r="3773" spans="1:2">
      <c r="A3773" s="2" t="s">
        <v>11544</v>
      </c>
      <c r="B3773" s="3">
        <v>1</v>
      </c>
    </row>
    <row r="3774" spans="1:2">
      <c r="A3774" s="2" t="s">
        <v>11550</v>
      </c>
      <c r="B3774" s="3">
        <v>1</v>
      </c>
    </row>
    <row r="3775" spans="1:2">
      <c r="A3775" s="2" t="s">
        <v>11568</v>
      </c>
      <c r="B3775" s="3">
        <v>1</v>
      </c>
    </row>
    <row r="3776" spans="1:2">
      <c r="A3776" s="2" t="s">
        <v>11574</v>
      </c>
      <c r="B3776" s="3">
        <v>1</v>
      </c>
    </row>
    <row r="3777" spans="1:2">
      <c r="A3777" s="2" t="s">
        <v>11580</v>
      </c>
      <c r="B3777" s="3">
        <v>1</v>
      </c>
    </row>
    <row r="3778" spans="1:2">
      <c r="A3778" s="2" t="s">
        <v>11592</v>
      </c>
      <c r="B3778" s="3">
        <v>1</v>
      </c>
    </row>
    <row r="3779" spans="1:2">
      <c r="A3779" s="2" t="s">
        <v>11598</v>
      </c>
      <c r="B3779" s="3">
        <v>1</v>
      </c>
    </row>
    <row r="3780" spans="1:2">
      <c r="A3780" s="2" t="s">
        <v>11610</v>
      </c>
      <c r="B3780" s="3">
        <v>1</v>
      </c>
    </row>
    <row r="3781" spans="1:2">
      <c r="A3781" s="2" t="s">
        <v>11616</v>
      </c>
      <c r="B3781" s="3">
        <v>1</v>
      </c>
    </row>
    <row r="3782" spans="1:2">
      <c r="A3782" s="2" t="s">
        <v>11628</v>
      </c>
      <c r="B3782" s="3">
        <v>1</v>
      </c>
    </row>
    <row r="3783" spans="1:2">
      <c r="A3783" s="2" t="s">
        <v>11634</v>
      </c>
      <c r="B3783" s="3">
        <v>1</v>
      </c>
    </row>
    <row r="3784" spans="1:2">
      <c r="A3784" s="2" t="s">
        <v>11646</v>
      </c>
      <c r="B3784" s="3">
        <v>1</v>
      </c>
    </row>
    <row r="3785" spans="1:2">
      <c r="A3785" s="2" t="s">
        <v>11652</v>
      </c>
      <c r="B3785" s="3">
        <v>1</v>
      </c>
    </row>
    <row r="3786" spans="1:2">
      <c r="A3786" s="2" t="s">
        <v>11664</v>
      </c>
      <c r="B3786" s="3">
        <v>1</v>
      </c>
    </row>
    <row r="3787" spans="1:2">
      <c r="A3787" s="2" t="s">
        <v>11673</v>
      </c>
      <c r="B3787" s="3">
        <v>1</v>
      </c>
    </row>
    <row r="3788" spans="1:2">
      <c r="A3788" s="2" t="s">
        <v>11688</v>
      </c>
      <c r="B3788" s="3">
        <v>1</v>
      </c>
    </row>
    <row r="3789" spans="1:2">
      <c r="A3789" s="2" t="s">
        <v>11697</v>
      </c>
      <c r="B3789" s="3">
        <v>1</v>
      </c>
    </row>
    <row r="3790" spans="1:2">
      <c r="A3790" s="2" t="s">
        <v>11709</v>
      </c>
      <c r="B3790" s="3">
        <v>1</v>
      </c>
    </row>
    <row r="3791" spans="1:2">
      <c r="A3791" s="2" t="s">
        <v>11712</v>
      </c>
      <c r="B3791" s="3">
        <v>1</v>
      </c>
    </row>
    <row r="3792" spans="1:2">
      <c r="A3792" s="2" t="s">
        <v>11724</v>
      </c>
      <c r="B3792" s="3">
        <v>1</v>
      </c>
    </row>
    <row r="3793" spans="1:2">
      <c r="A3793" s="2" t="s">
        <v>11736</v>
      </c>
      <c r="B3793" s="3">
        <v>1</v>
      </c>
    </row>
    <row r="3794" spans="1:2">
      <c r="A3794" s="2" t="s">
        <v>11742</v>
      </c>
      <c r="B3794" s="3">
        <v>1</v>
      </c>
    </row>
    <row r="3795" spans="1:2">
      <c r="A3795" s="2" t="s">
        <v>11754</v>
      </c>
      <c r="B3795" s="3">
        <v>1</v>
      </c>
    </row>
    <row r="3796" spans="1:2">
      <c r="A3796" s="2" t="s">
        <v>11760</v>
      </c>
      <c r="B3796" s="3">
        <v>1</v>
      </c>
    </row>
    <row r="3797" spans="1:2">
      <c r="A3797" s="2" t="s">
        <v>11775</v>
      </c>
      <c r="B3797" s="3">
        <v>1</v>
      </c>
    </row>
    <row r="3798" spans="1:2">
      <c r="A3798" s="2" t="s">
        <v>11781</v>
      </c>
      <c r="B3798" s="3">
        <v>1</v>
      </c>
    </row>
    <row r="3799" spans="1:2">
      <c r="A3799" s="2" t="s">
        <v>11784</v>
      </c>
      <c r="B3799" s="3">
        <v>1</v>
      </c>
    </row>
    <row r="3800" spans="1:2">
      <c r="A3800" s="2" t="s">
        <v>11790</v>
      </c>
      <c r="B3800" s="3">
        <v>1</v>
      </c>
    </row>
    <row r="3801" spans="1:2">
      <c r="A3801" s="2" t="s">
        <v>11805</v>
      </c>
      <c r="B3801" s="3">
        <v>1</v>
      </c>
    </row>
    <row r="3802" spans="1:2">
      <c r="A3802" s="2" t="s">
        <v>11811</v>
      </c>
      <c r="B3802" s="3">
        <v>1</v>
      </c>
    </row>
    <row r="3803" spans="1:2">
      <c r="A3803" s="2" t="s">
        <v>11820</v>
      </c>
      <c r="B3803" s="3">
        <v>1</v>
      </c>
    </row>
    <row r="3804" spans="1:2">
      <c r="A3804" s="2" t="s">
        <v>11826</v>
      </c>
      <c r="B3804" s="3">
        <v>1</v>
      </c>
    </row>
    <row r="3805" spans="1:2">
      <c r="A3805" s="2" t="s">
        <v>11829</v>
      </c>
      <c r="B3805" s="3">
        <v>1</v>
      </c>
    </row>
    <row r="3806" spans="1:2">
      <c r="A3806" s="2" t="s">
        <v>11841</v>
      </c>
      <c r="B3806" s="3">
        <v>1</v>
      </c>
    </row>
    <row r="3807" spans="1:2">
      <c r="A3807" s="2" t="s">
        <v>11856</v>
      </c>
      <c r="B3807" s="3">
        <v>1</v>
      </c>
    </row>
    <row r="3808" spans="1:2">
      <c r="A3808" s="2" t="s">
        <v>11862</v>
      </c>
      <c r="B3808" s="3">
        <v>1</v>
      </c>
    </row>
    <row r="3809" spans="1:2">
      <c r="A3809" s="2" t="s">
        <v>11877</v>
      </c>
      <c r="B3809" s="3">
        <v>1</v>
      </c>
    </row>
    <row r="3810" spans="1:2">
      <c r="A3810" s="2" t="s">
        <v>11883</v>
      </c>
      <c r="B3810" s="3">
        <v>1</v>
      </c>
    </row>
    <row r="3811" spans="1:2">
      <c r="A3811" s="2" t="s">
        <v>11898</v>
      </c>
      <c r="B3811" s="3">
        <v>1</v>
      </c>
    </row>
    <row r="3812" spans="1:2">
      <c r="A3812" s="2" t="s">
        <v>11901</v>
      </c>
      <c r="B3812" s="3">
        <v>1</v>
      </c>
    </row>
    <row r="3813" spans="1:2">
      <c r="A3813" s="2" t="s">
        <v>11127</v>
      </c>
      <c r="B3813" s="3">
        <v>1</v>
      </c>
    </row>
    <row r="3814" spans="1:2">
      <c r="A3814" s="2" t="s">
        <v>11133</v>
      </c>
      <c r="B3814" s="3">
        <v>1</v>
      </c>
    </row>
    <row r="3815" spans="1:2">
      <c r="A3815" s="2" t="s">
        <v>11151</v>
      </c>
      <c r="B3815" s="3">
        <v>1</v>
      </c>
    </row>
    <row r="3816" spans="1:2">
      <c r="A3816" s="2" t="s">
        <v>11154</v>
      </c>
      <c r="B3816" s="3">
        <v>1</v>
      </c>
    </row>
    <row r="3817" spans="1:2">
      <c r="A3817" s="2" t="s">
        <v>11160</v>
      </c>
      <c r="B3817" s="3">
        <v>1</v>
      </c>
    </row>
    <row r="3818" spans="1:2">
      <c r="A3818" s="2" t="s">
        <v>11166</v>
      </c>
      <c r="B3818" s="3">
        <v>1</v>
      </c>
    </row>
    <row r="3819" spans="1:2">
      <c r="A3819" s="2" t="s">
        <v>11178</v>
      </c>
      <c r="B3819" s="3">
        <v>1</v>
      </c>
    </row>
    <row r="3820" spans="1:2">
      <c r="A3820" s="2" t="s">
        <v>11184</v>
      </c>
      <c r="B3820" s="3">
        <v>1</v>
      </c>
    </row>
    <row r="3821" spans="1:2">
      <c r="A3821" s="2" t="s">
        <v>11196</v>
      </c>
      <c r="B3821" s="3">
        <v>1</v>
      </c>
    </row>
    <row r="3822" spans="1:2">
      <c r="A3822" s="2" t="s">
        <v>11202</v>
      </c>
      <c r="B3822" s="3">
        <v>1</v>
      </c>
    </row>
    <row r="3823" spans="1:2">
      <c r="A3823" s="2" t="s">
        <v>11214</v>
      </c>
      <c r="B3823" s="3">
        <v>1</v>
      </c>
    </row>
    <row r="3824" spans="1:2">
      <c r="A3824" s="2" t="s">
        <v>11220</v>
      </c>
      <c r="B3824" s="3">
        <v>1</v>
      </c>
    </row>
    <row r="3825" spans="1:2">
      <c r="A3825" s="2" t="s">
        <v>11235</v>
      </c>
      <c r="B3825" s="3">
        <v>1</v>
      </c>
    </row>
    <row r="3826" spans="1:2">
      <c r="A3826" s="2" t="s">
        <v>11241</v>
      </c>
      <c r="B3826" s="3">
        <v>1</v>
      </c>
    </row>
    <row r="3827" spans="1:2">
      <c r="A3827" s="2" t="s">
        <v>11244</v>
      </c>
      <c r="B3827" s="3">
        <v>1</v>
      </c>
    </row>
    <row r="3828" spans="1:2">
      <c r="A3828" s="2" t="s">
        <v>11259</v>
      </c>
      <c r="B3828" s="3">
        <v>1</v>
      </c>
    </row>
    <row r="3829" spans="1:2">
      <c r="A3829" s="2" t="s">
        <v>11265</v>
      </c>
      <c r="B3829" s="3">
        <v>1</v>
      </c>
    </row>
    <row r="3830" spans="1:2">
      <c r="A3830" s="2" t="s">
        <v>11268</v>
      </c>
      <c r="B3830" s="3">
        <v>1</v>
      </c>
    </row>
    <row r="3831" spans="1:2">
      <c r="A3831" s="2" t="s">
        <v>11286</v>
      </c>
      <c r="B3831" s="3">
        <v>1</v>
      </c>
    </row>
    <row r="3832" spans="1:2">
      <c r="A3832" s="2" t="s">
        <v>11292</v>
      </c>
      <c r="B3832" s="3">
        <v>1</v>
      </c>
    </row>
    <row r="3833" spans="1:2">
      <c r="A3833" s="2" t="s">
        <v>11313</v>
      </c>
      <c r="B3833" s="3">
        <v>1</v>
      </c>
    </row>
    <row r="3834" spans="1:2">
      <c r="A3834" s="2" t="s">
        <v>11319</v>
      </c>
      <c r="B3834" s="3">
        <v>1</v>
      </c>
    </row>
    <row r="3835" spans="1:2">
      <c r="A3835" s="2" t="s">
        <v>11331</v>
      </c>
      <c r="B3835" s="3">
        <v>1</v>
      </c>
    </row>
    <row r="3836" spans="1:2">
      <c r="A3836" s="2" t="s">
        <v>11337</v>
      </c>
      <c r="B3836" s="3">
        <v>1</v>
      </c>
    </row>
    <row r="3837" spans="1:2">
      <c r="A3837" s="2" t="s">
        <v>11349</v>
      </c>
      <c r="B3837" s="3">
        <v>1</v>
      </c>
    </row>
    <row r="3838" spans="1:2">
      <c r="A3838" s="2" t="s">
        <v>11364</v>
      </c>
      <c r="B3838" s="3">
        <v>1</v>
      </c>
    </row>
    <row r="3839" spans="1:2">
      <c r="A3839" s="2" t="s">
        <v>11367</v>
      </c>
      <c r="B3839" s="3">
        <v>1</v>
      </c>
    </row>
    <row r="3840" spans="1:2">
      <c r="A3840" s="2" t="s">
        <v>11373</v>
      </c>
      <c r="B3840" s="3">
        <v>1</v>
      </c>
    </row>
    <row r="3841" spans="1:2">
      <c r="A3841" s="2" t="s">
        <v>11385</v>
      </c>
      <c r="B3841" s="3">
        <v>1</v>
      </c>
    </row>
    <row r="3842" spans="1:2">
      <c r="A3842" s="2" t="s">
        <v>11388</v>
      </c>
      <c r="B3842" s="3">
        <v>1</v>
      </c>
    </row>
    <row r="3843" spans="1:2">
      <c r="A3843" s="2" t="s">
        <v>11394</v>
      </c>
      <c r="B3843" s="3">
        <v>1</v>
      </c>
    </row>
    <row r="3844" spans="1:2">
      <c r="A3844" s="2" t="s">
        <v>11409</v>
      </c>
      <c r="B3844" s="3">
        <v>1</v>
      </c>
    </row>
    <row r="3845" spans="1:2">
      <c r="A3845" s="2" t="s">
        <v>11415</v>
      </c>
      <c r="B3845" s="3">
        <v>1</v>
      </c>
    </row>
    <row r="3846" spans="1:2">
      <c r="A3846" s="2" t="s">
        <v>11427</v>
      </c>
      <c r="B3846" s="3">
        <v>1</v>
      </c>
    </row>
    <row r="3847" spans="1:2">
      <c r="A3847" s="2" t="s">
        <v>11433</v>
      </c>
      <c r="B3847" s="3">
        <v>1</v>
      </c>
    </row>
    <row r="3848" spans="1:2">
      <c r="A3848" s="2" t="s">
        <v>11451</v>
      </c>
      <c r="B3848" s="3">
        <v>1</v>
      </c>
    </row>
    <row r="3849" spans="1:2">
      <c r="A3849" s="2" t="s">
        <v>11454</v>
      </c>
      <c r="B3849" s="3">
        <v>1</v>
      </c>
    </row>
    <row r="3850" spans="1:2">
      <c r="A3850" s="2" t="s">
        <v>11466</v>
      </c>
      <c r="B3850" s="3">
        <v>1</v>
      </c>
    </row>
    <row r="3851" spans="1:2">
      <c r="A3851" s="2" t="s">
        <v>11481</v>
      </c>
      <c r="B3851" s="3">
        <v>1</v>
      </c>
    </row>
    <row r="3852" spans="1:2">
      <c r="A3852" s="2" t="s">
        <v>11487</v>
      </c>
      <c r="B3852" s="3">
        <v>1</v>
      </c>
    </row>
    <row r="3853" spans="1:2">
      <c r="A3853" s="2" t="s">
        <v>11493</v>
      </c>
      <c r="B3853" s="3">
        <v>1</v>
      </c>
    </row>
    <row r="3854" spans="1:2">
      <c r="A3854" s="2" t="s">
        <v>11496</v>
      </c>
      <c r="B3854" s="3">
        <v>1</v>
      </c>
    </row>
    <row r="3855" spans="1:2">
      <c r="A3855" s="2" t="s">
        <v>11517</v>
      </c>
      <c r="B3855" s="3">
        <v>1</v>
      </c>
    </row>
    <row r="3856" spans="1:2">
      <c r="A3856" s="2" t="s">
        <v>11535</v>
      </c>
      <c r="B3856" s="3">
        <v>1</v>
      </c>
    </row>
    <row r="3857" spans="1:2">
      <c r="A3857" s="2" t="s">
        <v>11541</v>
      </c>
      <c r="B3857" s="3">
        <v>1</v>
      </c>
    </row>
    <row r="3858" spans="1:2">
      <c r="A3858" s="2" t="s">
        <v>11553</v>
      </c>
      <c r="B3858" s="3">
        <v>1</v>
      </c>
    </row>
    <row r="3859" spans="1:2">
      <c r="A3859" s="2" t="s">
        <v>11562</v>
      </c>
      <c r="B3859" s="3">
        <v>1</v>
      </c>
    </row>
    <row r="3860" spans="1:2">
      <c r="A3860" s="2" t="s">
        <v>11565</v>
      </c>
      <c r="B3860" s="3">
        <v>1</v>
      </c>
    </row>
    <row r="3861" spans="1:2">
      <c r="A3861" s="2" t="s">
        <v>11583</v>
      </c>
      <c r="B3861" s="3">
        <v>1</v>
      </c>
    </row>
    <row r="3862" spans="1:2">
      <c r="A3862" s="2" t="s">
        <v>11589</v>
      </c>
      <c r="B3862" s="3">
        <v>1</v>
      </c>
    </row>
    <row r="3863" spans="1:2">
      <c r="A3863" s="2" t="s">
        <v>11601</v>
      </c>
      <c r="B3863" s="3">
        <v>1</v>
      </c>
    </row>
    <row r="3864" spans="1:2">
      <c r="A3864" s="2" t="s">
        <v>11607</v>
      </c>
      <c r="B3864" s="3">
        <v>1</v>
      </c>
    </row>
    <row r="3865" spans="1:2">
      <c r="A3865" s="2" t="s">
        <v>11619</v>
      </c>
      <c r="B3865" s="3">
        <v>1</v>
      </c>
    </row>
    <row r="3866" spans="1:2">
      <c r="A3866" s="2" t="s">
        <v>11625</v>
      </c>
      <c r="B3866" s="3">
        <v>1</v>
      </c>
    </row>
    <row r="3867" spans="1:2">
      <c r="A3867" s="2" t="s">
        <v>11637</v>
      </c>
      <c r="B3867" s="3">
        <v>1</v>
      </c>
    </row>
    <row r="3868" spans="1:2">
      <c r="A3868" s="2" t="s">
        <v>11643</v>
      </c>
      <c r="B3868" s="3">
        <v>1</v>
      </c>
    </row>
    <row r="3869" spans="1:2">
      <c r="A3869" s="2" t="s">
        <v>11655</v>
      </c>
      <c r="B3869" s="3">
        <v>1</v>
      </c>
    </row>
    <row r="3870" spans="1:2">
      <c r="A3870" s="2" t="s">
        <v>11661</v>
      </c>
      <c r="B3870" s="3">
        <v>1</v>
      </c>
    </row>
    <row r="3871" spans="1:2">
      <c r="A3871" s="2" t="s">
        <v>11676</v>
      </c>
      <c r="B3871" s="3">
        <v>1</v>
      </c>
    </row>
    <row r="3872" spans="1:2">
      <c r="A3872" s="2" t="s">
        <v>11685</v>
      </c>
      <c r="B3872" s="3">
        <v>1</v>
      </c>
    </row>
    <row r="3873" spans="1:2">
      <c r="A3873" s="2" t="s">
        <v>11700</v>
      </c>
      <c r="B3873" s="3">
        <v>1</v>
      </c>
    </row>
    <row r="3874" spans="1:2">
      <c r="A3874" s="2" t="s">
        <v>11706</v>
      </c>
      <c r="B3874" s="3">
        <v>1</v>
      </c>
    </row>
    <row r="3875" spans="1:2">
      <c r="A3875" s="2" t="s">
        <v>11727</v>
      </c>
      <c r="B3875" s="3">
        <v>1</v>
      </c>
    </row>
    <row r="3876" spans="1:2">
      <c r="A3876" s="2" t="s">
        <v>11733</v>
      </c>
      <c r="B3876" s="3">
        <v>1</v>
      </c>
    </row>
    <row r="3877" spans="1:2">
      <c r="A3877" s="2" t="s">
        <v>11745</v>
      </c>
      <c r="B3877" s="3">
        <v>1</v>
      </c>
    </row>
    <row r="3878" spans="1:2">
      <c r="A3878" s="2" t="s">
        <v>11748</v>
      </c>
      <c r="B3878" s="3">
        <v>1</v>
      </c>
    </row>
    <row r="3879" spans="1:2">
      <c r="A3879" s="2" t="s">
        <v>11751</v>
      </c>
      <c r="B3879" s="3">
        <v>1</v>
      </c>
    </row>
    <row r="3880" spans="1:2">
      <c r="A3880" s="2" t="s">
        <v>11763</v>
      </c>
      <c r="B3880" s="3">
        <v>1</v>
      </c>
    </row>
    <row r="3881" spans="1:2">
      <c r="A3881" s="2" t="s">
        <v>11769</v>
      </c>
      <c r="B3881" s="3">
        <v>1</v>
      </c>
    </row>
    <row r="3882" spans="1:2">
      <c r="A3882" s="2" t="s">
        <v>11772</v>
      </c>
      <c r="B3882" s="3">
        <v>1</v>
      </c>
    </row>
    <row r="3883" spans="1:2">
      <c r="A3883" s="2" t="s">
        <v>11793</v>
      </c>
      <c r="B3883" s="3">
        <v>1</v>
      </c>
    </row>
    <row r="3884" spans="1:2">
      <c r="A3884" s="2" t="s">
        <v>11799</v>
      </c>
      <c r="B3884" s="3">
        <v>1</v>
      </c>
    </row>
    <row r="3885" spans="1:2">
      <c r="A3885" s="2" t="s">
        <v>11802</v>
      </c>
      <c r="B3885" s="3">
        <v>1</v>
      </c>
    </row>
    <row r="3886" spans="1:2">
      <c r="A3886" s="2" t="s">
        <v>11814</v>
      </c>
      <c r="B3886" s="3">
        <v>1</v>
      </c>
    </row>
    <row r="3887" spans="1:2">
      <c r="A3887" s="2" t="s">
        <v>11832</v>
      </c>
      <c r="B3887" s="3">
        <v>1</v>
      </c>
    </row>
    <row r="3888" spans="1:2">
      <c r="A3888" s="2" t="s">
        <v>11838</v>
      </c>
      <c r="B3888" s="3">
        <v>1</v>
      </c>
    </row>
    <row r="3889" spans="1:2">
      <c r="A3889" s="2" t="s">
        <v>11847</v>
      </c>
      <c r="B3889" s="3">
        <v>1</v>
      </c>
    </row>
    <row r="3890" spans="1:2">
      <c r="A3890" s="2" t="s">
        <v>11853</v>
      </c>
      <c r="B3890" s="3">
        <v>1</v>
      </c>
    </row>
    <row r="3891" spans="1:2">
      <c r="A3891" s="2" t="s">
        <v>11865</v>
      </c>
      <c r="B3891" s="3">
        <v>1</v>
      </c>
    </row>
    <row r="3892" spans="1:2">
      <c r="A3892" s="2" t="s">
        <v>11868</v>
      </c>
      <c r="B3892" s="3">
        <v>1</v>
      </c>
    </row>
    <row r="3893" spans="1:2">
      <c r="A3893" s="2" t="s">
        <v>11874</v>
      </c>
      <c r="B3893" s="3">
        <v>1</v>
      </c>
    </row>
    <row r="3894" spans="1:2">
      <c r="A3894" s="2" t="s">
        <v>11886</v>
      </c>
      <c r="B3894" s="3">
        <v>1</v>
      </c>
    </row>
    <row r="3895" spans="1:2">
      <c r="A3895" s="2" t="s">
        <v>11889</v>
      </c>
      <c r="B3895" s="3">
        <v>1</v>
      </c>
    </row>
    <row r="3896" spans="1:2">
      <c r="A3896" s="2" t="s">
        <v>11895</v>
      </c>
      <c r="B3896" s="3">
        <v>1</v>
      </c>
    </row>
    <row r="3897" spans="1:2">
      <c r="A3897" s="2" t="s">
        <v>11904</v>
      </c>
      <c r="B3897" s="3">
        <v>1</v>
      </c>
    </row>
    <row r="3898" spans="1:2">
      <c r="A3898" s="2" t="s">
        <v>11910</v>
      </c>
      <c r="B3898" s="3">
        <v>1</v>
      </c>
    </row>
    <row r="3899" spans="1:2">
      <c r="A3899" s="2" t="s">
        <v>11922</v>
      </c>
      <c r="B3899" s="3">
        <v>1</v>
      </c>
    </row>
    <row r="3900" spans="1:2">
      <c r="A3900" s="2" t="s">
        <v>11940</v>
      </c>
      <c r="B3900" s="3">
        <v>1</v>
      </c>
    </row>
    <row r="3901" spans="1:2">
      <c r="A3901" s="2" t="s">
        <v>11946</v>
      </c>
      <c r="B3901" s="3">
        <v>1</v>
      </c>
    </row>
    <row r="3902" spans="1:2">
      <c r="A3902" s="2" t="s">
        <v>11961</v>
      </c>
      <c r="B3902" s="3">
        <v>1</v>
      </c>
    </row>
    <row r="3903" spans="1:2">
      <c r="A3903" s="2" t="s">
        <v>11964</v>
      </c>
      <c r="B3903" s="3">
        <v>1</v>
      </c>
    </row>
    <row r="3904" spans="1:2">
      <c r="A3904" s="2" t="s">
        <v>11976</v>
      </c>
      <c r="B3904" s="3">
        <v>1</v>
      </c>
    </row>
    <row r="3905" spans="1:2">
      <c r="A3905" s="2" t="s">
        <v>11982</v>
      </c>
      <c r="B3905" s="3">
        <v>1</v>
      </c>
    </row>
    <row r="3906" spans="1:2">
      <c r="A3906" s="2" t="s">
        <v>12000</v>
      </c>
      <c r="B3906" s="3">
        <v>1</v>
      </c>
    </row>
    <row r="3907" spans="1:2">
      <c r="A3907" s="2" t="s">
        <v>12006</v>
      </c>
      <c r="B3907" s="3">
        <v>1</v>
      </c>
    </row>
    <row r="3908" spans="1:2">
      <c r="A3908" s="2" t="s">
        <v>11325</v>
      </c>
      <c r="B3908" s="3">
        <v>1</v>
      </c>
    </row>
    <row r="3909" spans="1:2">
      <c r="A3909" s="2" t="s">
        <v>11334</v>
      </c>
      <c r="B3909" s="3">
        <v>1</v>
      </c>
    </row>
    <row r="3910" spans="1:2">
      <c r="A3910" s="2" t="s">
        <v>11343</v>
      </c>
      <c r="B3910" s="3">
        <v>1</v>
      </c>
    </row>
    <row r="3911" spans="1:2">
      <c r="A3911" s="2" t="s">
        <v>11352</v>
      </c>
      <c r="B3911" s="3">
        <v>1</v>
      </c>
    </row>
    <row r="3912" spans="1:2">
      <c r="A3912" s="2" t="s">
        <v>14553</v>
      </c>
      <c r="B3912" s="3">
        <v>1</v>
      </c>
    </row>
    <row r="3913" spans="1:2">
      <c r="A3913" s="2" t="s">
        <v>11358</v>
      </c>
      <c r="B3913" s="3">
        <v>1</v>
      </c>
    </row>
    <row r="3914" spans="1:2">
      <c r="A3914" s="2" t="s">
        <v>11370</v>
      </c>
      <c r="B3914" s="3">
        <v>1</v>
      </c>
    </row>
    <row r="3915" spans="1:2">
      <c r="A3915" s="2" t="s">
        <v>11379</v>
      </c>
      <c r="B3915" s="3">
        <v>1</v>
      </c>
    </row>
    <row r="3916" spans="1:2">
      <c r="A3916" s="2" t="s">
        <v>11391</v>
      </c>
      <c r="B3916" s="3">
        <v>1</v>
      </c>
    </row>
    <row r="3917" spans="1:2">
      <c r="A3917" s="2" t="s">
        <v>11400</v>
      </c>
      <c r="B3917" s="3">
        <v>1</v>
      </c>
    </row>
    <row r="3918" spans="1:2">
      <c r="A3918" s="2" t="s">
        <v>11412</v>
      </c>
      <c r="B3918" s="3">
        <v>1</v>
      </c>
    </row>
    <row r="3919" spans="1:2">
      <c r="A3919" s="2" t="s">
        <v>11424</v>
      </c>
      <c r="B3919" s="3">
        <v>1</v>
      </c>
    </row>
    <row r="3920" spans="1:2">
      <c r="A3920" s="2" t="s">
        <v>11430</v>
      </c>
      <c r="B3920" s="3">
        <v>1</v>
      </c>
    </row>
    <row r="3921" spans="1:2">
      <c r="A3921" s="2" t="s">
        <v>11439</v>
      </c>
      <c r="B3921" s="3">
        <v>1</v>
      </c>
    </row>
    <row r="3922" spans="1:2">
      <c r="A3922" s="2" t="s">
        <v>11445</v>
      </c>
      <c r="B3922" s="3">
        <v>1</v>
      </c>
    </row>
    <row r="3923" spans="1:2">
      <c r="A3923" s="2" t="s">
        <v>11460</v>
      </c>
      <c r="B3923" s="3">
        <v>1</v>
      </c>
    </row>
    <row r="3924" spans="1:2">
      <c r="A3924" s="2" t="s">
        <v>11469</v>
      </c>
      <c r="B3924" s="3">
        <v>1</v>
      </c>
    </row>
    <row r="3925" spans="1:2">
      <c r="A3925" s="2" t="s">
        <v>11475</v>
      </c>
      <c r="B3925" s="3">
        <v>1</v>
      </c>
    </row>
    <row r="3926" spans="1:2">
      <c r="A3926" s="2" t="s">
        <v>11484</v>
      </c>
      <c r="B3926" s="3">
        <v>1</v>
      </c>
    </row>
    <row r="3927" spans="1:2">
      <c r="A3927" s="2" t="s">
        <v>11490</v>
      </c>
      <c r="B3927" s="3">
        <v>1</v>
      </c>
    </row>
    <row r="3928" spans="1:2">
      <c r="A3928" s="2" t="s">
        <v>11508</v>
      </c>
      <c r="B3928" s="3">
        <v>1</v>
      </c>
    </row>
    <row r="3929" spans="1:2">
      <c r="A3929" s="2" t="s">
        <v>11514</v>
      </c>
      <c r="B3929" s="3">
        <v>1</v>
      </c>
    </row>
    <row r="3930" spans="1:2">
      <c r="A3930" s="2" t="s">
        <v>11523</v>
      </c>
      <c r="B3930" s="3">
        <v>1</v>
      </c>
    </row>
    <row r="3931" spans="1:2">
      <c r="A3931" s="2" t="s">
        <v>11529</v>
      </c>
      <c r="B3931" s="3">
        <v>1</v>
      </c>
    </row>
    <row r="3932" spans="1:2">
      <c r="A3932" s="2" t="s">
        <v>11538</v>
      </c>
      <c r="B3932" s="3">
        <v>1</v>
      </c>
    </row>
    <row r="3933" spans="1:2">
      <c r="A3933" s="2" t="s">
        <v>11547</v>
      </c>
      <c r="B3933" s="3">
        <v>1</v>
      </c>
    </row>
    <row r="3934" spans="1:2">
      <c r="A3934" s="2" t="s">
        <v>11556</v>
      </c>
      <c r="B3934" s="3">
        <v>1</v>
      </c>
    </row>
    <row r="3935" spans="1:2">
      <c r="A3935" s="2" t="s">
        <v>11559</v>
      </c>
      <c r="B3935" s="3">
        <v>1</v>
      </c>
    </row>
    <row r="3936" spans="1:2">
      <c r="A3936" s="2" t="s">
        <v>11571</v>
      </c>
      <c r="B3936" s="3">
        <v>1</v>
      </c>
    </row>
    <row r="3937" spans="1:2">
      <c r="A3937" s="2" t="s">
        <v>11577</v>
      </c>
      <c r="B3937" s="3">
        <v>1</v>
      </c>
    </row>
    <row r="3938" spans="1:2">
      <c r="A3938" s="2" t="s">
        <v>11586</v>
      </c>
      <c r="B3938" s="3">
        <v>1</v>
      </c>
    </row>
    <row r="3939" spans="1:2">
      <c r="A3939" s="2" t="s">
        <v>11595</v>
      </c>
      <c r="B3939" s="3">
        <v>1</v>
      </c>
    </row>
    <row r="3940" spans="1:2">
      <c r="A3940" s="2" t="s">
        <v>11604</v>
      </c>
      <c r="B3940" s="3">
        <v>1</v>
      </c>
    </row>
    <row r="3941" spans="1:2">
      <c r="A3941" s="2" t="s">
        <v>11613</v>
      </c>
      <c r="B3941" s="3">
        <v>1</v>
      </c>
    </row>
    <row r="3942" spans="1:2">
      <c r="A3942" s="2" t="s">
        <v>11622</v>
      </c>
      <c r="B3942" s="3">
        <v>1</v>
      </c>
    </row>
    <row r="3943" spans="1:2">
      <c r="A3943" s="2" t="s">
        <v>11631</v>
      </c>
      <c r="B3943" s="3">
        <v>1</v>
      </c>
    </row>
    <row r="3944" spans="1:2">
      <c r="A3944" s="2" t="s">
        <v>11640</v>
      </c>
      <c r="B3944" s="3">
        <v>1</v>
      </c>
    </row>
    <row r="3945" spans="1:2">
      <c r="A3945" s="2" t="s">
        <v>11649</v>
      </c>
      <c r="B3945" s="3">
        <v>1</v>
      </c>
    </row>
    <row r="3946" spans="1:2">
      <c r="A3946" s="2" t="s">
        <v>11658</v>
      </c>
      <c r="B3946" s="3">
        <v>1</v>
      </c>
    </row>
    <row r="3947" spans="1:2">
      <c r="A3947" s="2" t="s">
        <v>11667</v>
      </c>
      <c r="B3947" s="3">
        <v>1</v>
      </c>
    </row>
    <row r="3948" spans="1:2">
      <c r="A3948" s="2" t="s">
        <v>11670</v>
      </c>
      <c r="B3948" s="3">
        <v>1</v>
      </c>
    </row>
    <row r="3949" spans="1:2">
      <c r="A3949" s="2" t="s">
        <v>11679</v>
      </c>
      <c r="B3949" s="3">
        <v>1</v>
      </c>
    </row>
    <row r="3950" spans="1:2">
      <c r="A3950" s="2" t="s">
        <v>11682</v>
      </c>
      <c r="B3950" s="3">
        <v>1</v>
      </c>
    </row>
    <row r="3951" spans="1:2">
      <c r="A3951" s="2" t="s">
        <v>11691</v>
      </c>
      <c r="B3951" s="3">
        <v>1</v>
      </c>
    </row>
    <row r="3952" spans="1:2">
      <c r="A3952" s="2" t="s">
        <v>11694</v>
      </c>
      <c r="B3952" s="3">
        <v>1</v>
      </c>
    </row>
    <row r="3953" spans="1:2">
      <c r="A3953" s="2" t="s">
        <v>11703</v>
      </c>
      <c r="B3953" s="3">
        <v>1</v>
      </c>
    </row>
    <row r="3954" spans="1:2">
      <c r="A3954" s="2" t="s">
        <v>11715</v>
      </c>
      <c r="B3954" s="3">
        <v>1</v>
      </c>
    </row>
    <row r="3955" spans="1:2">
      <c r="A3955" s="2" t="s">
        <v>11718</v>
      </c>
      <c r="B3955" s="3">
        <v>1</v>
      </c>
    </row>
    <row r="3956" spans="1:2">
      <c r="A3956" s="2" t="s">
        <v>11721</v>
      </c>
      <c r="B3956" s="3">
        <v>1</v>
      </c>
    </row>
    <row r="3957" spans="1:2">
      <c r="A3957" s="2" t="s">
        <v>11730</v>
      </c>
      <c r="B3957" s="3">
        <v>1</v>
      </c>
    </row>
    <row r="3958" spans="1:2">
      <c r="A3958" s="2" t="s">
        <v>11739</v>
      </c>
      <c r="B3958" s="3">
        <v>1</v>
      </c>
    </row>
    <row r="3959" spans="1:2">
      <c r="A3959" s="2" t="s">
        <v>11757</v>
      </c>
      <c r="B3959" s="3">
        <v>1</v>
      </c>
    </row>
    <row r="3960" spans="1:2">
      <c r="A3960" s="2" t="s">
        <v>11766</v>
      </c>
      <c r="B3960" s="3">
        <v>1</v>
      </c>
    </row>
    <row r="3961" spans="1:2">
      <c r="A3961" s="2" t="s">
        <v>11778</v>
      </c>
      <c r="B3961" s="3">
        <v>1</v>
      </c>
    </row>
    <row r="3962" spans="1:2">
      <c r="A3962" s="2" t="s">
        <v>11787</v>
      </c>
      <c r="B3962" s="3">
        <v>1</v>
      </c>
    </row>
    <row r="3963" spans="1:2">
      <c r="A3963" s="2" t="s">
        <v>11796</v>
      </c>
      <c r="B3963" s="3">
        <v>1</v>
      </c>
    </row>
    <row r="3964" spans="1:2">
      <c r="A3964" s="2" t="s">
        <v>11808</v>
      </c>
      <c r="B3964" s="3">
        <v>1</v>
      </c>
    </row>
    <row r="3965" spans="1:2">
      <c r="A3965" s="2" t="s">
        <v>11817</v>
      </c>
      <c r="B3965" s="3">
        <v>1</v>
      </c>
    </row>
    <row r="3966" spans="1:2">
      <c r="A3966" s="2" t="s">
        <v>11823</v>
      </c>
      <c r="B3966" s="3">
        <v>1</v>
      </c>
    </row>
    <row r="3967" spans="1:2">
      <c r="A3967" s="2" t="s">
        <v>11835</v>
      </c>
      <c r="B3967" s="3">
        <v>1</v>
      </c>
    </row>
    <row r="3968" spans="1:2">
      <c r="A3968" s="2" t="s">
        <v>11844</v>
      </c>
      <c r="B3968" s="3">
        <v>1</v>
      </c>
    </row>
    <row r="3969" spans="1:2">
      <c r="A3969" s="2" t="s">
        <v>11850</v>
      </c>
      <c r="B3969" s="3">
        <v>1</v>
      </c>
    </row>
    <row r="3970" spans="1:2">
      <c r="A3970" s="2" t="s">
        <v>11859</v>
      </c>
      <c r="B3970" s="3">
        <v>1</v>
      </c>
    </row>
    <row r="3971" spans="1:2">
      <c r="A3971" s="2" t="s">
        <v>11871</v>
      </c>
      <c r="B3971" s="3">
        <v>1</v>
      </c>
    </row>
    <row r="3972" spans="1:2">
      <c r="A3972" s="2" t="s">
        <v>11880</v>
      </c>
      <c r="B3972" s="3">
        <v>1</v>
      </c>
    </row>
    <row r="3973" spans="1:2">
      <c r="A3973" s="2" t="s">
        <v>11892</v>
      </c>
      <c r="B3973" s="3">
        <v>1</v>
      </c>
    </row>
    <row r="3974" spans="1:2">
      <c r="A3974" s="2" t="s">
        <v>11907</v>
      </c>
      <c r="B3974" s="3">
        <v>1</v>
      </c>
    </row>
    <row r="3975" spans="1:2">
      <c r="A3975" s="2" t="s">
        <v>11919</v>
      </c>
      <c r="B3975" s="3">
        <v>1</v>
      </c>
    </row>
    <row r="3976" spans="1:2">
      <c r="A3976" s="2" t="s">
        <v>11925</v>
      </c>
      <c r="B3976" s="3">
        <v>1</v>
      </c>
    </row>
    <row r="3977" spans="1:2">
      <c r="A3977" s="2" t="s">
        <v>11934</v>
      </c>
      <c r="B3977" s="3">
        <v>1</v>
      </c>
    </row>
    <row r="3978" spans="1:2">
      <c r="A3978" s="2" t="s">
        <v>11943</v>
      </c>
      <c r="B3978" s="3">
        <v>1</v>
      </c>
    </row>
    <row r="3979" spans="1:2">
      <c r="A3979" s="2" t="s">
        <v>11952</v>
      </c>
      <c r="B3979" s="3">
        <v>1</v>
      </c>
    </row>
    <row r="3980" spans="1:2">
      <c r="A3980" s="2" t="s">
        <v>11955</v>
      </c>
      <c r="B3980" s="3">
        <v>1</v>
      </c>
    </row>
    <row r="3981" spans="1:2">
      <c r="A3981" s="2" t="s">
        <v>11970</v>
      </c>
      <c r="B3981" s="3">
        <v>1</v>
      </c>
    </row>
    <row r="3982" spans="1:2">
      <c r="A3982" s="2" t="s">
        <v>11979</v>
      </c>
      <c r="B3982" s="3">
        <v>1</v>
      </c>
    </row>
    <row r="3983" spans="1:2">
      <c r="A3983" s="2" t="s">
        <v>11988</v>
      </c>
      <c r="B3983" s="3">
        <v>1</v>
      </c>
    </row>
    <row r="3984" spans="1:2">
      <c r="A3984" s="2" t="s">
        <v>11991</v>
      </c>
      <c r="B3984" s="3">
        <v>1</v>
      </c>
    </row>
    <row r="3985" spans="1:2">
      <c r="A3985" s="2" t="s">
        <v>12003</v>
      </c>
      <c r="B3985" s="3">
        <v>1</v>
      </c>
    </row>
    <row r="3986" spans="1:2">
      <c r="A3986" s="2" t="s">
        <v>12009</v>
      </c>
      <c r="B3986" s="3">
        <v>1</v>
      </c>
    </row>
    <row r="3987" spans="1:2">
      <c r="A3987" s="2" t="s">
        <v>12018</v>
      </c>
      <c r="B3987" s="3">
        <v>1</v>
      </c>
    </row>
    <row r="3988" spans="1:2">
      <c r="A3988" s="2" t="s">
        <v>12033</v>
      </c>
      <c r="B3988" s="3">
        <v>1</v>
      </c>
    </row>
    <row r="3989" spans="1:2">
      <c r="A3989" s="2" t="s">
        <v>12042</v>
      </c>
      <c r="B3989" s="3">
        <v>1</v>
      </c>
    </row>
    <row r="3990" spans="1:2">
      <c r="A3990" s="2" t="s">
        <v>12054</v>
      </c>
      <c r="B3990" s="3">
        <v>1</v>
      </c>
    </row>
    <row r="3991" spans="1:2">
      <c r="A3991" s="2" t="s">
        <v>12063</v>
      </c>
      <c r="B3991" s="3">
        <v>1</v>
      </c>
    </row>
    <row r="3992" spans="1:2">
      <c r="A3992" s="2" t="s">
        <v>12072</v>
      </c>
      <c r="B3992" s="3">
        <v>1</v>
      </c>
    </row>
    <row r="3993" spans="1:2">
      <c r="A3993" s="2" t="s">
        <v>12084</v>
      </c>
      <c r="B3993" s="3">
        <v>1</v>
      </c>
    </row>
    <row r="3994" spans="1:2">
      <c r="A3994" s="2" t="s">
        <v>12093</v>
      </c>
      <c r="B3994" s="3">
        <v>1</v>
      </c>
    </row>
    <row r="3995" spans="1:2">
      <c r="A3995" s="2" t="s">
        <v>12099</v>
      </c>
      <c r="B3995" s="3">
        <v>1</v>
      </c>
    </row>
    <row r="3996" spans="1:2">
      <c r="A3996" s="2" t="s">
        <v>12105</v>
      </c>
      <c r="B3996" s="3">
        <v>1</v>
      </c>
    </row>
    <row r="3997" spans="1:2">
      <c r="A3997" s="2" t="s">
        <v>12114</v>
      </c>
      <c r="B3997" s="3">
        <v>1</v>
      </c>
    </row>
    <row r="3998" spans="1:2">
      <c r="A3998" s="2" t="s">
        <v>12123</v>
      </c>
      <c r="B3998" s="3">
        <v>1</v>
      </c>
    </row>
    <row r="3999" spans="1:2">
      <c r="A3999" s="2" t="s">
        <v>11913</v>
      </c>
      <c r="B3999" s="3">
        <v>1</v>
      </c>
    </row>
    <row r="4000" spans="1:2">
      <c r="A4000" s="2" t="s">
        <v>11916</v>
      </c>
      <c r="B4000" s="3">
        <v>1</v>
      </c>
    </row>
    <row r="4001" spans="1:2">
      <c r="A4001" s="2" t="s">
        <v>11928</v>
      </c>
      <c r="B4001" s="3">
        <v>1</v>
      </c>
    </row>
    <row r="4002" spans="1:2">
      <c r="A4002" s="2" t="s">
        <v>11931</v>
      </c>
      <c r="B4002" s="3">
        <v>1</v>
      </c>
    </row>
    <row r="4003" spans="1:2">
      <c r="A4003" s="2" t="s">
        <v>11937</v>
      </c>
      <c r="B4003" s="3">
        <v>1</v>
      </c>
    </row>
    <row r="4004" spans="1:2">
      <c r="A4004" s="2" t="s">
        <v>11949</v>
      </c>
      <c r="B4004" s="3">
        <v>1</v>
      </c>
    </row>
    <row r="4005" spans="1:2">
      <c r="A4005" s="2" t="s">
        <v>11958</v>
      </c>
      <c r="B4005" s="3">
        <v>1</v>
      </c>
    </row>
    <row r="4006" spans="1:2">
      <c r="A4006" s="2" t="s">
        <v>11967</v>
      </c>
      <c r="B4006" s="3">
        <v>1</v>
      </c>
    </row>
    <row r="4007" spans="1:2">
      <c r="A4007" s="2" t="s">
        <v>11973</v>
      </c>
      <c r="B4007" s="3">
        <v>1</v>
      </c>
    </row>
    <row r="4008" spans="1:2">
      <c r="A4008" s="2" t="s">
        <v>11985</v>
      </c>
      <c r="B4008" s="3">
        <v>1</v>
      </c>
    </row>
    <row r="4009" spans="1:2">
      <c r="A4009" s="2" t="s">
        <v>11994</v>
      </c>
      <c r="B4009" s="3">
        <v>1</v>
      </c>
    </row>
    <row r="4010" spans="1:2">
      <c r="A4010" s="2" t="s">
        <v>11997</v>
      </c>
      <c r="B4010" s="3">
        <v>1</v>
      </c>
    </row>
    <row r="4011" spans="1:2">
      <c r="A4011" s="2" t="s">
        <v>12015</v>
      </c>
      <c r="B4011" s="3">
        <v>1</v>
      </c>
    </row>
    <row r="4012" spans="1:2">
      <c r="A4012" s="2" t="s">
        <v>12021</v>
      </c>
      <c r="B4012" s="3">
        <v>1</v>
      </c>
    </row>
    <row r="4013" spans="1:2">
      <c r="A4013" s="2" t="s">
        <v>12030</v>
      </c>
      <c r="B4013" s="3">
        <v>1</v>
      </c>
    </row>
    <row r="4014" spans="1:2">
      <c r="A4014" s="2" t="s">
        <v>12036</v>
      </c>
      <c r="B4014" s="3">
        <v>1</v>
      </c>
    </row>
    <row r="4015" spans="1:2">
      <c r="A4015" s="2" t="s">
        <v>12051</v>
      </c>
      <c r="B4015" s="3">
        <v>1</v>
      </c>
    </row>
    <row r="4016" spans="1:2">
      <c r="A4016" s="2" t="s">
        <v>12057</v>
      </c>
      <c r="B4016" s="3">
        <v>1</v>
      </c>
    </row>
    <row r="4017" spans="1:2">
      <c r="A4017" s="2" t="s">
        <v>12069</v>
      </c>
      <c r="B4017" s="3">
        <v>1</v>
      </c>
    </row>
    <row r="4018" spans="1:2">
      <c r="A4018" s="2" t="s">
        <v>12075</v>
      </c>
      <c r="B4018" s="3">
        <v>1</v>
      </c>
    </row>
    <row r="4019" spans="1:2">
      <c r="A4019" s="2" t="s">
        <v>12090</v>
      </c>
      <c r="B4019" s="3">
        <v>1</v>
      </c>
    </row>
    <row r="4020" spans="1:2">
      <c r="A4020" s="2" t="s">
        <v>12111</v>
      </c>
      <c r="B4020" s="3">
        <v>1</v>
      </c>
    </row>
    <row r="4021" spans="1:2">
      <c r="A4021" s="2" t="s">
        <v>12117</v>
      </c>
      <c r="B4021" s="3">
        <v>1</v>
      </c>
    </row>
    <row r="4022" spans="1:2">
      <c r="A4022" s="2" t="s">
        <v>12129</v>
      </c>
      <c r="B4022" s="3">
        <v>1</v>
      </c>
    </row>
    <row r="4023" spans="1:2">
      <c r="A4023" s="2" t="s">
        <v>12135</v>
      </c>
      <c r="B4023" s="3">
        <v>1</v>
      </c>
    </row>
    <row r="4024" spans="1:2">
      <c r="A4024" s="2" t="s">
        <v>12144</v>
      </c>
      <c r="B4024" s="3">
        <v>1</v>
      </c>
    </row>
    <row r="4025" spans="1:2">
      <c r="A4025" s="2" t="s">
        <v>12150</v>
      </c>
      <c r="B4025" s="3">
        <v>1</v>
      </c>
    </row>
    <row r="4026" spans="1:2">
      <c r="A4026" s="2" t="s">
        <v>12162</v>
      </c>
      <c r="B4026" s="3">
        <v>1</v>
      </c>
    </row>
    <row r="4027" spans="1:2">
      <c r="A4027" s="2" t="s">
        <v>12168</v>
      </c>
      <c r="B4027" s="3">
        <v>1</v>
      </c>
    </row>
    <row r="4028" spans="1:2">
      <c r="A4028" s="2" t="s">
        <v>12177</v>
      </c>
      <c r="B4028" s="3">
        <v>1</v>
      </c>
    </row>
    <row r="4029" spans="1:2">
      <c r="A4029" s="2" t="s">
        <v>12183</v>
      </c>
      <c r="B4029" s="3">
        <v>1</v>
      </c>
    </row>
    <row r="4030" spans="1:2">
      <c r="A4030" s="2" t="s">
        <v>12195</v>
      </c>
      <c r="B4030" s="3">
        <v>1</v>
      </c>
    </row>
    <row r="4031" spans="1:2">
      <c r="A4031" s="2" t="s">
        <v>12201</v>
      </c>
      <c r="B4031" s="3">
        <v>1</v>
      </c>
    </row>
    <row r="4032" spans="1:2">
      <c r="A4032" s="2" t="s">
        <v>12222</v>
      </c>
      <c r="B4032" s="3">
        <v>1</v>
      </c>
    </row>
    <row r="4033" spans="1:2">
      <c r="A4033" s="2" t="s">
        <v>12228</v>
      </c>
      <c r="B4033" s="3">
        <v>1</v>
      </c>
    </row>
    <row r="4034" spans="1:2">
      <c r="A4034" s="2" t="s">
        <v>12240</v>
      </c>
      <c r="B4034" s="3">
        <v>1</v>
      </c>
    </row>
    <row r="4035" spans="1:2">
      <c r="A4035" s="2" t="s">
        <v>12243</v>
      </c>
      <c r="B4035" s="3">
        <v>1</v>
      </c>
    </row>
    <row r="4036" spans="1:2">
      <c r="A4036" s="2" t="s">
        <v>12249</v>
      </c>
      <c r="B4036" s="3">
        <v>1</v>
      </c>
    </row>
    <row r="4037" spans="1:2">
      <c r="A4037" s="2" t="s">
        <v>12252</v>
      </c>
      <c r="B4037" s="3">
        <v>1</v>
      </c>
    </row>
    <row r="4038" spans="1:2">
      <c r="A4038" s="2" t="s">
        <v>12267</v>
      </c>
      <c r="B4038" s="3">
        <v>1</v>
      </c>
    </row>
    <row r="4039" spans="1:2">
      <c r="A4039" s="2" t="s">
        <v>12276</v>
      </c>
      <c r="B4039" s="3">
        <v>1</v>
      </c>
    </row>
    <row r="4040" spans="1:2">
      <c r="A4040" s="2" t="s">
        <v>12288</v>
      </c>
      <c r="B4040" s="3">
        <v>1</v>
      </c>
    </row>
    <row r="4041" spans="1:2">
      <c r="A4041" s="2" t="s">
        <v>12294</v>
      </c>
      <c r="B4041" s="3">
        <v>1</v>
      </c>
    </row>
    <row r="4042" spans="1:2">
      <c r="A4042" s="2" t="s">
        <v>12309</v>
      </c>
      <c r="B4042" s="3">
        <v>1</v>
      </c>
    </row>
    <row r="4043" spans="1:2">
      <c r="A4043" s="2" t="s">
        <v>12315</v>
      </c>
      <c r="B4043" s="3">
        <v>1</v>
      </c>
    </row>
    <row r="4044" spans="1:2">
      <c r="A4044" s="2" t="s">
        <v>12327</v>
      </c>
      <c r="B4044" s="3">
        <v>1</v>
      </c>
    </row>
    <row r="4045" spans="1:2">
      <c r="A4045" s="2" t="s">
        <v>12330</v>
      </c>
      <c r="B4045" s="3">
        <v>1</v>
      </c>
    </row>
    <row r="4046" spans="1:2">
      <c r="A4046" s="2" t="s">
        <v>12336</v>
      </c>
      <c r="B4046" s="3">
        <v>1</v>
      </c>
    </row>
    <row r="4047" spans="1:2">
      <c r="A4047" s="2" t="s">
        <v>12342</v>
      </c>
      <c r="B4047" s="3">
        <v>1</v>
      </c>
    </row>
    <row r="4048" spans="1:2">
      <c r="A4048" s="2" t="s">
        <v>12360</v>
      </c>
      <c r="B4048" s="3">
        <v>1</v>
      </c>
    </row>
    <row r="4049" spans="1:2">
      <c r="A4049" s="2" t="s">
        <v>12366</v>
      </c>
      <c r="B4049" s="3">
        <v>1</v>
      </c>
    </row>
    <row r="4050" spans="1:2">
      <c r="A4050" s="2" t="s">
        <v>12381</v>
      </c>
      <c r="B4050" s="3">
        <v>1</v>
      </c>
    </row>
    <row r="4051" spans="1:2">
      <c r="A4051" s="2" t="s">
        <v>12387</v>
      </c>
      <c r="B4051" s="3">
        <v>1</v>
      </c>
    </row>
    <row r="4052" spans="1:2">
      <c r="A4052" s="2" t="s">
        <v>12399</v>
      </c>
      <c r="B4052" s="3">
        <v>1</v>
      </c>
    </row>
    <row r="4053" spans="1:2">
      <c r="A4053" s="2" t="s">
        <v>12405</v>
      </c>
      <c r="B4053" s="3">
        <v>1</v>
      </c>
    </row>
    <row r="4054" spans="1:2">
      <c r="A4054" s="2" t="s">
        <v>12417</v>
      </c>
      <c r="B4054" s="3">
        <v>1</v>
      </c>
    </row>
    <row r="4055" spans="1:2">
      <c r="A4055" s="2" t="s">
        <v>12423</v>
      </c>
      <c r="B4055" s="3">
        <v>1</v>
      </c>
    </row>
    <row r="4056" spans="1:2">
      <c r="A4056" s="2" t="s">
        <v>12435</v>
      </c>
      <c r="B4056" s="3">
        <v>1</v>
      </c>
    </row>
    <row r="4057" spans="1:2">
      <c r="A4057" s="2" t="s">
        <v>12441</v>
      </c>
      <c r="B4057" s="3">
        <v>1</v>
      </c>
    </row>
    <row r="4058" spans="1:2">
      <c r="A4058" s="2" t="s">
        <v>12450</v>
      </c>
      <c r="B4058" s="3">
        <v>1</v>
      </c>
    </row>
    <row r="4059" spans="1:2">
      <c r="A4059" s="2" t="s">
        <v>12465</v>
      </c>
      <c r="B4059" s="3">
        <v>1</v>
      </c>
    </row>
    <row r="4060" spans="1:2">
      <c r="A4060" s="2" t="s">
        <v>12468</v>
      </c>
      <c r="B4060" s="3">
        <v>1</v>
      </c>
    </row>
    <row r="4061" spans="1:2">
      <c r="A4061" s="2" t="s">
        <v>12474</v>
      </c>
      <c r="B4061" s="3">
        <v>1</v>
      </c>
    </row>
    <row r="4062" spans="1:2">
      <c r="A4062" s="2" t="s">
        <v>12486</v>
      </c>
      <c r="B4062" s="3">
        <v>1</v>
      </c>
    </row>
    <row r="4063" spans="1:2">
      <c r="A4063" s="2" t="s">
        <v>12489</v>
      </c>
      <c r="B4063" s="3">
        <v>1</v>
      </c>
    </row>
    <row r="4064" spans="1:2">
      <c r="A4064" s="2" t="s">
        <v>12495</v>
      </c>
      <c r="B4064" s="3">
        <v>1</v>
      </c>
    </row>
    <row r="4065" spans="1:2">
      <c r="A4065" s="2" t="s">
        <v>12498</v>
      </c>
      <c r="B4065" s="3">
        <v>1</v>
      </c>
    </row>
    <row r="4066" spans="1:2">
      <c r="A4066" s="2" t="s">
        <v>12510</v>
      </c>
      <c r="B4066" s="3">
        <v>1</v>
      </c>
    </row>
    <row r="4067" spans="1:2">
      <c r="A4067" s="2" t="s">
        <v>12516</v>
      </c>
      <c r="B4067" s="3">
        <v>1</v>
      </c>
    </row>
    <row r="4068" spans="1:2">
      <c r="A4068" s="2" t="s">
        <v>12522</v>
      </c>
      <c r="B4068" s="3">
        <v>1</v>
      </c>
    </row>
    <row r="4069" spans="1:2">
      <c r="A4069" s="2" t="s">
        <v>12534</v>
      </c>
      <c r="B4069" s="3">
        <v>1</v>
      </c>
    </row>
    <row r="4070" spans="1:2">
      <c r="A4070" s="2" t="s">
        <v>12540</v>
      </c>
      <c r="B4070" s="3">
        <v>1</v>
      </c>
    </row>
    <row r="4071" spans="1:2">
      <c r="A4071" s="2" t="s">
        <v>12558</v>
      </c>
      <c r="B4071" s="3">
        <v>1</v>
      </c>
    </row>
    <row r="4072" spans="1:2">
      <c r="A4072" s="2" t="s">
        <v>12561</v>
      </c>
      <c r="B4072" s="3">
        <v>1</v>
      </c>
    </row>
    <row r="4073" spans="1:2">
      <c r="A4073" s="2" t="s">
        <v>12567</v>
      </c>
      <c r="B4073" s="3">
        <v>1</v>
      </c>
    </row>
    <row r="4074" spans="1:2">
      <c r="A4074" s="2" t="s">
        <v>12570</v>
      </c>
      <c r="B4074" s="3">
        <v>1</v>
      </c>
    </row>
    <row r="4075" spans="1:2">
      <c r="A4075" s="2" t="s">
        <v>12576</v>
      </c>
      <c r="B4075" s="3">
        <v>1</v>
      </c>
    </row>
    <row r="4076" spans="1:2">
      <c r="A4076" s="2" t="s">
        <v>12588</v>
      </c>
      <c r="B4076" s="3">
        <v>1</v>
      </c>
    </row>
    <row r="4077" spans="1:2">
      <c r="A4077" s="2" t="s">
        <v>12594</v>
      </c>
      <c r="B4077" s="3">
        <v>1</v>
      </c>
    </row>
    <row r="4078" spans="1:2">
      <c r="A4078" s="2" t="s">
        <v>12597</v>
      </c>
      <c r="B4078" s="3">
        <v>1</v>
      </c>
    </row>
    <row r="4079" spans="1:2">
      <c r="A4079" s="2" t="s">
        <v>12612</v>
      </c>
      <c r="B4079" s="3">
        <v>1</v>
      </c>
    </row>
    <row r="4080" spans="1:2">
      <c r="A4080" s="2" t="s">
        <v>12618</v>
      </c>
      <c r="B4080" s="3">
        <v>1</v>
      </c>
    </row>
    <row r="4081" spans="1:2">
      <c r="A4081" s="2" t="s">
        <v>12633</v>
      </c>
      <c r="B4081" s="3">
        <v>1</v>
      </c>
    </row>
    <row r="4082" spans="1:2">
      <c r="A4082" s="2" t="s">
        <v>12639</v>
      </c>
      <c r="B4082" s="3">
        <v>1</v>
      </c>
    </row>
    <row r="4083" spans="1:2">
      <c r="A4083" s="2" t="s">
        <v>12645</v>
      </c>
      <c r="B4083" s="3">
        <v>1</v>
      </c>
    </row>
    <row r="4084" spans="1:2">
      <c r="A4084" s="2" t="s">
        <v>12648</v>
      </c>
      <c r="B4084" s="3">
        <v>1</v>
      </c>
    </row>
    <row r="4085" spans="1:2">
      <c r="A4085" s="2" t="s">
        <v>12660</v>
      </c>
      <c r="B4085" s="3">
        <v>1</v>
      </c>
    </row>
    <row r="4086" spans="1:2">
      <c r="A4086" s="2" t="s">
        <v>12666</v>
      </c>
      <c r="B4086" s="3">
        <v>1</v>
      </c>
    </row>
    <row r="4087" spans="1:2">
      <c r="A4087" s="2" t="s">
        <v>12678</v>
      </c>
      <c r="B4087" s="3">
        <v>1</v>
      </c>
    </row>
    <row r="4088" spans="1:2">
      <c r="A4088" s="2" t="s">
        <v>12684</v>
      </c>
      <c r="B4088" s="3">
        <v>1</v>
      </c>
    </row>
    <row r="4089" spans="1:2">
      <c r="A4089" s="2" t="s">
        <v>12687</v>
      </c>
      <c r="B4089" s="3">
        <v>1</v>
      </c>
    </row>
    <row r="4090" spans="1:2">
      <c r="A4090" s="2" t="s">
        <v>12690</v>
      </c>
      <c r="B4090" s="3">
        <v>1</v>
      </c>
    </row>
    <row r="4091" spans="1:2">
      <c r="A4091" s="2" t="s">
        <v>12699</v>
      </c>
      <c r="B4091" s="3">
        <v>1</v>
      </c>
    </row>
    <row r="4092" spans="1:2">
      <c r="A4092" s="2" t="s">
        <v>12702</v>
      </c>
      <c r="B4092" s="3">
        <v>1</v>
      </c>
    </row>
    <row r="4093" spans="1:2">
      <c r="A4093" s="2" t="s">
        <v>12012</v>
      </c>
      <c r="B4093" s="3">
        <v>1</v>
      </c>
    </row>
    <row r="4094" spans="1:2">
      <c r="A4094" s="2" t="s">
        <v>12024</v>
      </c>
      <c r="B4094" s="3">
        <v>1</v>
      </c>
    </row>
    <row r="4095" spans="1:2">
      <c r="A4095" s="2" t="s">
        <v>12027</v>
      </c>
      <c r="B4095" s="3">
        <v>1</v>
      </c>
    </row>
    <row r="4096" spans="1:2">
      <c r="A4096" s="2" t="s">
        <v>12039</v>
      </c>
      <c r="B4096" s="3">
        <v>1</v>
      </c>
    </row>
    <row r="4097" spans="1:2">
      <c r="A4097" s="2" t="s">
        <v>12045</v>
      </c>
      <c r="B4097" s="3">
        <v>1</v>
      </c>
    </row>
    <row r="4098" spans="1:2">
      <c r="A4098" s="2" t="s">
        <v>12048</v>
      </c>
      <c r="B4098" s="3">
        <v>1</v>
      </c>
    </row>
    <row r="4099" spans="1:2">
      <c r="A4099" s="2" t="s">
        <v>12060</v>
      </c>
      <c r="B4099" s="3">
        <v>1</v>
      </c>
    </row>
    <row r="4100" spans="1:2">
      <c r="A4100" s="2" t="s">
        <v>12066</v>
      </c>
      <c r="B4100" s="3">
        <v>1</v>
      </c>
    </row>
    <row r="4101" spans="1:2">
      <c r="A4101" s="2" t="s">
        <v>12078</v>
      </c>
      <c r="B4101" s="3">
        <v>1</v>
      </c>
    </row>
    <row r="4102" spans="1:2">
      <c r="A4102" s="2" t="s">
        <v>12081</v>
      </c>
      <c r="B4102" s="3">
        <v>1</v>
      </c>
    </row>
    <row r="4103" spans="1:2">
      <c r="A4103" s="2" t="s">
        <v>12087</v>
      </c>
      <c r="B4103" s="3">
        <v>1</v>
      </c>
    </row>
    <row r="4104" spans="1:2">
      <c r="A4104" s="2" t="s">
        <v>12096</v>
      </c>
      <c r="B4104" s="3">
        <v>1</v>
      </c>
    </row>
    <row r="4105" spans="1:2">
      <c r="A4105" s="2" t="s">
        <v>12102</v>
      </c>
      <c r="B4105" s="3">
        <v>1</v>
      </c>
    </row>
    <row r="4106" spans="1:2">
      <c r="A4106" s="2" t="s">
        <v>12108</v>
      </c>
      <c r="B4106" s="3">
        <v>1</v>
      </c>
    </row>
    <row r="4107" spans="1:2">
      <c r="A4107" s="2" t="s">
        <v>12120</v>
      </c>
      <c r="B4107" s="3">
        <v>1</v>
      </c>
    </row>
    <row r="4108" spans="1:2">
      <c r="A4108" s="2" t="s">
        <v>12126</v>
      </c>
      <c r="B4108" s="3">
        <v>1</v>
      </c>
    </row>
    <row r="4109" spans="1:2">
      <c r="A4109" s="2" t="s">
        <v>12138</v>
      </c>
      <c r="B4109" s="3">
        <v>1</v>
      </c>
    </row>
    <row r="4110" spans="1:2">
      <c r="A4110" s="2" t="s">
        <v>12153</v>
      </c>
      <c r="B4110" s="3">
        <v>1</v>
      </c>
    </row>
    <row r="4111" spans="1:2">
      <c r="A4111" s="2" t="s">
        <v>12159</v>
      </c>
      <c r="B4111" s="3">
        <v>1</v>
      </c>
    </row>
    <row r="4112" spans="1:2">
      <c r="A4112" s="2" t="s">
        <v>12171</v>
      </c>
      <c r="B4112" s="3">
        <v>1</v>
      </c>
    </row>
    <row r="4113" spans="1:2">
      <c r="A4113" s="2" t="s">
        <v>12174</v>
      </c>
      <c r="B4113" s="3">
        <v>1</v>
      </c>
    </row>
    <row r="4114" spans="1:2">
      <c r="A4114" s="2" t="s">
        <v>12186</v>
      </c>
      <c r="B4114" s="3">
        <v>1</v>
      </c>
    </row>
    <row r="4115" spans="1:2">
      <c r="A4115" s="2" t="s">
        <v>12192</v>
      </c>
      <c r="B4115" s="3">
        <v>1</v>
      </c>
    </row>
    <row r="4116" spans="1:2">
      <c r="A4116" s="2" t="s">
        <v>12204</v>
      </c>
      <c r="B4116" s="3">
        <v>1</v>
      </c>
    </row>
    <row r="4117" spans="1:2">
      <c r="A4117" s="2" t="s">
        <v>12207</v>
      </c>
      <c r="B4117" s="3">
        <v>1</v>
      </c>
    </row>
    <row r="4118" spans="1:2">
      <c r="A4118" s="2" t="s">
        <v>12213</v>
      </c>
      <c r="B4118" s="3">
        <v>1</v>
      </c>
    </row>
    <row r="4119" spans="1:2">
      <c r="A4119" s="2" t="s">
        <v>12216</v>
      </c>
      <c r="B4119" s="3">
        <v>1</v>
      </c>
    </row>
    <row r="4120" spans="1:2">
      <c r="A4120" s="2" t="s">
        <v>12234</v>
      </c>
      <c r="B4120" s="3">
        <v>1</v>
      </c>
    </row>
    <row r="4121" spans="1:2">
      <c r="A4121" s="2" t="s">
        <v>12237</v>
      </c>
      <c r="B4121" s="3">
        <v>1</v>
      </c>
    </row>
    <row r="4122" spans="1:2">
      <c r="A4122" s="2" t="s">
        <v>12255</v>
      </c>
      <c r="B4122" s="3">
        <v>1</v>
      </c>
    </row>
    <row r="4123" spans="1:2">
      <c r="A4123" s="2" t="s">
        <v>12261</v>
      </c>
      <c r="B4123" s="3">
        <v>1</v>
      </c>
    </row>
    <row r="4124" spans="1:2">
      <c r="A4124" s="2" t="s">
        <v>12264</v>
      </c>
      <c r="B4124" s="3">
        <v>1</v>
      </c>
    </row>
    <row r="4125" spans="1:2">
      <c r="A4125" s="2" t="s">
        <v>12279</v>
      </c>
      <c r="B4125" s="3">
        <v>1</v>
      </c>
    </row>
    <row r="4126" spans="1:2">
      <c r="A4126" s="2" t="s">
        <v>12285</v>
      </c>
      <c r="B4126" s="3">
        <v>1</v>
      </c>
    </row>
    <row r="4127" spans="1:2">
      <c r="A4127" s="2" t="s">
        <v>12297</v>
      </c>
      <c r="B4127" s="3">
        <v>1</v>
      </c>
    </row>
    <row r="4128" spans="1:2">
      <c r="A4128" s="2" t="s">
        <v>12303</v>
      </c>
      <c r="B4128" s="3">
        <v>1</v>
      </c>
    </row>
    <row r="4129" spans="1:2">
      <c r="A4129" s="2" t="s">
        <v>12306</v>
      </c>
      <c r="B4129" s="3">
        <v>1</v>
      </c>
    </row>
    <row r="4130" spans="1:2">
      <c r="A4130" s="2" t="s">
        <v>12318</v>
      </c>
      <c r="B4130" s="3">
        <v>1</v>
      </c>
    </row>
    <row r="4131" spans="1:2">
      <c r="A4131" s="2" t="s">
        <v>12324</v>
      </c>
      <c r="B4131" s="3">
        <v>1</v>
      </c>
    </row>
    <row r="4132" spans="1:2">
      <c r="A4132" s="2" t="s">
        <v>12345</v>
      </c>
      <c r="B4132" s="3">
        <v>1</v>
      </c>
    </row>
    <row r="4133" spans="1:2">
      <c r="A4133" s="2" t="s">
        <v>12351</v>
      </c>
      <c r="B4133" s="3">
        <v>1</v>
      </c>
    </row>
    <row r="4134" spans="1:2">
      <c r="A4134" s="2" t="s">
        <v>12354</v>
      </c>
      <c r="B4134" s="3">
        <v>1</v>
      </c>
    </row>
    <row r="4135" spans="1:2">
      <c r="A4135" s="2" t="s">
        <v>12357</v>
      </c>
      <c r="B4135" s="3">
        <v>1</v>
      </c>
    </row>
    <row r="4136" spans="1:2">
      <c r="A4136" s="2" t="s">
        <v>12369</v>
      </c>
      <c r="B4136" s="3">
        <v>1</v>
      </c>
    </row>
    <row r="4137" spans="1:2">
      <c r="A4137" s="2" t="s">
        <v>12378</v>
      </c>
      <c r="B4137" s="3">
        <v>1</v>
      </c>
    </row>
    <row r="4138" spans="1:2">
      <c r="A4138" s="2" t="s">
        <v>12390</v>
      </c>
      <c r="B4138" s="3">
        <v>1</v>
      </c>
    </row>
    <row r="4139" spans="1:2">
      <c r="A4139" s="2" t="s">
        <v>12396</v>
      </c>
      <c r="B4139" s="3">
        <v>1</v>
      </c>
    </row>
    <row r="4140" spans="1:2">
      <c r="A4140" s="2" t="s">
        <v>12408</v>
      </c>
      <c r="B4140" s="3">
        <v>1</v>
      </c>
    </row>
    <row r="4141" spans="1:2">
      <c r="A4141" s="2" t="s">
        <v>12414</v>
      </c>
      <c r="B4141" s="3">
        <v>1</v>
      </c>
    </row>
    <row r="4142" spans="1:2">
      <c r="A4142" s="2" t="s">
        <v>12426</v>
      </c>
      <c r="B4142" s="3">
        <v>1</v>
      </c>
    </row>
    <row r="4143" spans="1:2">
      <c r="A4143" s="2" t="s">
        <v>12432</v>
      </c>
      <c r="B4143" s="3">
        <v>1</v>
      </c>
    </row>
    <row r="4144" spans="1:2">
      <c r="A4144" s="2" t="s">
        <v>12444</v>
      </c>
      <c r="B4144" s="3">
        <v>1</v>
      </c>
    </row>
    <row r="4145" spans="1:2">
      <c r="A4145" s="2" t="s">
        <v>12456</v>
      </c>
      <c r="B4145" s="3">
        <v>1</v>
      </c>
    </row>
    <row r="4146" spans="1:2">
      <c r="A4146" s="2" t="s">
        <v>12462</v>
      </c>
      <c r="B4146" s="3">
        <v>1</v>
      </c>
    </row>
    <row r="4147" spans="1:2">
      <c r="A4147" s="2" t="s">
        <v>12477</v>
      </c>
      <c r="B4147" s="3">
        <v>1</v>
      </c>
    </row>
    <row r="4148" spans="1:2">
      <c r="A4148" s="2" t="s">
        <v>12483</v>
      </c>
      <c r="B4148" s="3">
        <v>1</v>
      </c>
    </row>
    <row r="4149" spans="1:2">
      <c r="A4149" s="2" t="s">
        <v>12501</v>
      </c>
      <c r="B4149" s="3">
        <v>1</v>
      </c>
    </row>
    <row r="4150" spans="1:2">
      <c r="A4150" s="2" t="s">
        <v>12507</v>
      </c>
      <c r="B4150" s="3">
        <v>1</v>
      </c>
    </row>
    <row r="4151" spans="1:2">
      <c r="A4151" s="2" t="s">
        <v>12525</v>
      </c>
      <c r="B4151" s="3">
        <v>1</v>
      </c>
    </row>
    <row r="4152" spans="1:2">
      <c r="A4152" s="2" t="s">
        <v>12531</v>
      </c>
      <c r="B4152" s="3">
        <v>1</v>
      </c>
    </row>
    <row r="4153" spans="1:2">
      <c r="A4153" s="2" t="s">
        <v>12546</v>
      </c>
      <c r="B4153" s="3">
        <v>1</v>
      </c>
    </row>
    <row r="4154" spans="1:2">
      <c r="A4154" s="2" t="s">
        <v>12552</v>
      </c>
      <c r="B4154" s="3">
        <v>1</v>
      </c>
    </row>
    <row r="4155" spans="1:2">
      <c r="A4155" s="2" t="s">
        <v>12555</v>
      </c>
      <c r="B4155" s="3">
        <v>1</v>
      </c>
    </row>
    <row r="4156" spans="1:2">
      <c r="A4156" s="2" t="s">
        <v>12579</v>
      </c>
      <c r="B4156" s="3">
        <v>1</v>
      </c>
    </row>
    <row r="4157" spans="1:2">
      <c r="A4157" s="2" t="s">
        <v>12585</v>
      </c>
      <c r="B4157" s="3">
        <v>1</v>
      </c>
    </row>
    <row r="4158" spans="1:2">
      <c r="A4158" s="2" t="s">
        <v>12600</v>
      </c>
      <c r="B4158" s="3">
        <v>1</v>
      </c>
    </row>
    <row r="4159" spans="1:2">
      <c r="A4159" s="2" t="s">
        <v>12603</v>
      </c>
      <c r="B4159" s="3">
        <v>1</v>
      </c>
    </row>
    <row r="4160" spans="1:2">
      <c r="A4160" s="2" t="s">
        <v>12609</v>
      </c>
      <c r="B4160" s="3">
        <v>1</v>
      </c>
    </row>
    <row r="4161" spans="1:2">
      <c r="A4161" s="2" t="s">
        <v>12621</v>
      </c>
      <c r="B4161" s="3">
        <v>1</v>
      </c>
    </row>
    <row r="4162" spans="1:2">
      <c r="A4162" s="2" t="s">
        <v>12627</v>
      </c>
      <c r="B4162" s="3">
        <v>1</v>
      </c>
    </row>
    <row r="4163" spans="1:2">
      <c r="A4163" s="2" t="s">
        <v>12630</v>
      </c>
      <c r="B4163" s="3">
        <v>1</v>
      </c>
    </row>
    <row r="4164" spans="1:2">
      <c r="A4164" s="2" t="s">
        <v>12651</v>
      </c>
      <c r="B4164" s="3">
        <v>1</v>
      </c>
    </row>
    <row r="4165" spans="1:2">
      <c r="A4165" s="2" t="s">
        <v>12657</v>
      </c>
      <c r="B4165" s="3">
        <v>1</v>
      </c>
    </row>
    <row r="4166" spans="1:2">
      <c r="A4166" s="2" t="s">
        <v>12669</v>
      </c>
      <c r="B4166" s="3">
        <v>1</v>
      </c>
    </row>
    <row r="4167" spans="1:2">
      <c r="A4167" s="2" t="s">
        <v>12675</v>
      </c>
      <c r="B4167" s="3">
        <v>1</v>
      </c>
    </row>
    <row r="4168" spans="1:2">
      <c r="A4168" s="2" t="s">
        <v>14556</v>
      </c>
      <c r="B4168" s="3">
        <v>1</v>
      </c>
    </row>
    <row r="4169" spans="1:2">
      <c r="A4169" s="2" t="s">
        <v>12696</v>
      </c>
      <c r="B4169" s="3">
        <v>1</v>
      </c>
    </row>
    <row r="4170" spans="1:2">
      <c r="A4170" s="2" t="s">
        <v>12711</v>
      </c>
      <c r="B4170" s="3">
        <v>1</v>
      </c>
    </row>
    <row r="4171" spans="1:2">
      <c r="A4171" s="2" t="s">
        <v>12717</v>
      </c>
      <c r="B4171" s="3">
        <v>1</v>
      </c>
    </row>
    <row r="4172" spans="1:2">
      <c r="A4172" s="2" t="s">
        <v>12720</v>
      </c>
      <c r="B4172" s="3">
        <v>1</v>
      </c>
    </row>
    <row r="4173" spans="1:2">
      <c r="A4173" s="2" t="s">
        <v>12738</v>
      </c>
      <c r="B4173" s="3">
        <v>1</v>
      </c>
    </row>
    <row r="4174" spans="1:2">
      <c r="A4174" s="2" t="s">
        <v>12741</v>
      </c>
      <c r="B4174" s="3">
        <v>1</v>
      </c>
    </row>
    <row r="4175" spans="1:2">
      <c r="A4175" s="2" t="s">
        <v>12750</v>
      </c>
      <c r="B4175" s="3">
        <v>1</v>
      </c>
    </row>
    <row r="4176" spans="1:2">
      <c r="A4176" s="2" t="s">
        <v>12753</v>
      </c>
      <c r="B4176" s="3">
        <v>1</v>
      </c>
    </row>
    <row r="4177" spans="1:2">
      <c r="A4177" s="2" t="s">
        <v>12765</v>
      </c>
      <c r="B4177" s="3">
        <v>1</v>
      </c>
    </row>
    <row r="4178" spans="1:2">
      <c r="A4178" s="2" t="s">
        <v>12771</v>
      </c>
      <c r="B4178" s="3">
        <v>1</v>
      </c>
    </row>
    <row r="4179" spans="1:2">
      <c r="A4179" s="2" t="s">
        <v>12774</v>
      </c>
      <c r="B4179" s="3">
        <v>1</v>
      </c>
    </row>
    <row r="4180" spans="1:2">
      <c r="A4180" s="2" t="s">
        <v>12783</v>
      </c>
      <c r="B4180" s="3">
        <v>1</v>
      </c>
    </row>
    <row r="4181" spans="1:2">
      <c r="A4181" s="2" t="s">
        <v>12786</v>
      </c>
      <c r="B4181" s="3">
        <v>1</v>
      </c>
    </row>
    <row r="4182" spans="1:2">
      <c r="A4182" s="2" t="s">
        <v>12792</v>
      </c>
      <c r="B4182" s="3">
        <v>1</v>
      </c>
    </row>
    <row r="4183" spans="1:2">
      <c r="A4183" s="2" t="s">
        <v>12804</v>
      </c>
      <c r="B4183" s="3">
        <v>1</v>
      </c>
    </row>
    <row r="4184" spans="1:2">
      <c r="A4184" s="2" t="s">
        <v>12810</v>
      </c>
      <c r="B4184" s="3">
        <v>1</v>
      </c>
    </row>
    <row r="4185" spans="1:2">
      <c r="A4185" s="2" t="s">
        <v>12822</v>
      </c>
      <c r="B4185" s="3">
        <v>1</v>
      </c>
    </row>
    <row r="4186" spans="1:2">
      <c r="A4186" s="2" t="s">
        <v>12828</v>
      </c>
      <c r="B4186" s="3">
        <v>1</v>
      </c>
    </row>
    <row r="4187" spans="1:2">
      <c r="A4187" s="2" t="s">
        <v>12840</v>
      </c>
      <c r="B4187" s="3">
        <v>1</v>
      </c>
    </row>
    <row r="4188" spans="1:2">
      <c r="A4188" s="2" t="s">
        <v>12846</v>
      </c>
      <c r="B4188" s="3">
        <v>1</v>
      </c>
    </row>
    <row r="4189" spans="1:2">
      <c r="A4189" s="2" t="s">
        <v>12132</v>
      </c>
      <c r="B4189" s="3">
        <v>1</v>
      </c>
    </row>
    <row r="4190" spans="1:2">
      <c r="A4190" s="2" t="s">
        <v>12141</v>
      </c>
      <c r="B4190" s="3">
        <v>1</v>
      </c>
    </row>
    <row r="4191" spans="1:2">
      <c r="A4191" s="2" t="s">
        <v>12147</v>
      </c>
      <c r="B4191" s="3">
        <v>1</v>
      </c>
    </row>
    <row r="4192" spans="1:2">
      <c r="A4192" s="2" t="s">
        <v>12156</v>
      </c>
      <c r="B4192" s="3">
        <v>1</v>
      </c>
    </row>
    <row r="4193" spans="1:2">
      <c r="A4193" s="2" t="s">
        <v>12165</v>
      </c>
      <c r="B4193" s="3">
        <v>1</v>
      </c>
    </row>
    <row r="4194" spans="1:2">
      <c r="A4194" s="2" t="s">
        <v>12180</v>
      </c>
      <c r="B4194" s="3">
        <v>1</v>
      </c>
    </row>
    <row r="4195" spans="1:2">
      <c r="A4195" s="2" t="s">
        <v>12189</v>
      </c>
      <c r="B4195" s="3">
        <v>1</v>
      </c>
    </row>
    <row r="4196" spans="1:2">
      <c r="A4196" s="2" t="s">
        <v>12198</v>
      </c>
      <c r="B4196" s="3">
        <v>1</v>
      </c>
    </row>
    <row r="4197" spans="1:2">
      <c r="A4197" s="2" t="s">
        <v>12210</v>
      </c>
      <c r="B4197" s="3">
        <v>1</v>
      </c>
    </row>
    <row r="4198" spans="1:2">
      <c r="A4198" s="2" t="s">
        <v>12219</v>
      </c>
      <c r="B4198" s="3">
        <v>1</v>
      </c>
    </row>
    <row r="4199" spans="1:2">
      <c r="A4199" s="2" t="s">
        <v>12225</v>
      </c>
      <c r="B4199" s="3">
        <v>1</v>
      </c>
    </row>
    <row r="4200" spans="1:2">
      <c r="A4200" s="2" t="s">
        <v>12231</v>
      </c>
      <c r="B4200" s="3">
        <v>1</v>
      </c>
    </row>
    <row r="4201" spans="1:2">
      <c r="A4201" s="2" t="s">
        <v>12246</v>
      </c>
      <c r="B4201" s="3">
        <v>1</v>
      </c>
    </row>
    <row r="4202" spans="1:2">
      <c r="A4202" s="2" t="s">
        <v>12258</v>
      </c>
      <c r="B4202" s="3">
        <v>1</v>
      </c>
    </row>
    <row r="4203" spans="1:2">
      <c r="A4203" s="2" t="s">
        <v>12270</v>
      </c>
      <c r="B4203" s="3">
        <v>1</v>
      </c>
    </row>
    <row r="4204" spans="1:2">
      <c r="A4204" s="2" t="s">
        <v>12273</v>
      </c>
      <c r="B4204" s="3">
        <v>1</v>
      </c>
    </row>
    <row r="4205" spans="1:2">
      <c r="A4205" s="2" t="s">
        <v>12282</v>
      </c>
      <c r="B4205" s="3">
        <v>1</v>
      </c>
    </row>
    <row r="4206" spans="1:2">
      <c r="A4206" s="2" t="s">
        <v>12291</v>
      </c>
      <c r="B4206" s="3">
        <v>1</v>
      </c>
    </row>
    <row r="4207" spans="1:2">
      <c r="A4207" s="2" t="s">
        <v>12300</v>
      </c>
      <c r="B4207" s="3">
        <v>1</v>
      </c>
    </row>
    <row r="4208" spans="1:2">
      <c r="A4208" s="2" t="s">
        <v>12312</v>
      </c>
      <c r="B4208" s="3">
        <v>1</v>
      </c>
    </row>
    <row r="4209" spans="1:2">
      <c r="A4209" s="2" t="s">
        <v>12321</v>
      </c>
      <c r="B4209" s="3">
        <v>1</v>
      </c>
    </row>
    <row r="4210" spans="1:2">
      <c r="A4210" s="2" t="s">
        <v>12333</v>
      </c>
      <c r="B4210" s="3">
        <v>1</v>
      </c>
    </row>
    <row r="4211" spans="1:2">
      <c r="A4211" s="2" t="s">
        <v>12339</v>
      </c>
      <c r="B4211" s="3">
        <v>1</v>
      </c>
    </row>
    <row r="4212" spans="1:2">
      <c r="A4212" s="2" t="s">
        <v>12348</v>
      </c>
      <c r="B4212" s="3">
        <v>1</v>
      </c>
    </row>
    <row r="4213" spans="1:2">
      <c r="A4213" s="2" t="s">
        <v>12363</v>
      </c>
      <c r="B4213" s="3">
        <v>1</v>
      </c>
    </row>
    <row r="4214" spans="1:2">
      <c r="A4214" s="2" t="s">
        <v>12372</v>
      </c>
      <c r="B4214" s="3">
        <v>1</v>
      </c>
    </row>
    <row r="4215" spans="1:2">
      <c r="A4215" s="2" t="s">
        <v>12375</v>
      </c>
      <c r="B4215" s="3">
        <v>1</v>
      </c>
    </row>
    <row r="4216" spans="1:2">
      <c r="A4216" s="2" t="s">
        <v>12384</v>
      </c>
      <c r="B4216" s="3">
        <v>1</v>
      </c>
    </row>
    <row r="4217" spans="1:2">
      <c r="A4217" s="2" t="s">
        <v>12393</v>
      </c>
      <c r="B4217" s="3">
        <v>1</v>
      </c>
    </row>
    <row r="4218" spans="1:2">
      <c r="A4218" s="2" t="s">
        <v>12402</v>
      </c>
      <c r="B4218" s="3">
        <v>1</v>
      </c>
    </row>
    <row r="4219" spans="1:2">
      <c r="A4219" s="2" t="s">
        <v>12411</v>
      </c>
      <c r="B4219" s="3">
        <v>1</v>
      </c>
    </row>
    <row r="4220" spans="1:2">
      <c r="A4220" s="2" t="s">
        <v>12420</v>
      </c>
      <c r="B4220" s="3">
        <v>1</v>
      </c>
    </row>
    <row r="4221" spans="1:2">
      <c r="A4221" s="2" t="s">
        <v>12429</v>
      </c>
      <c r="B4221" s="3">
        <v>1</v>
      </c>
    </row>
    <row r="4222" spans="1:2">
      <c r="A4222" s="2" t="s">
        <v>12438</v>
      </c>
      <c r="B4222" s="3">
        <v>1</v>
      </c>
    </row>
    <row r="4223" spans="1:2">
      <c r="A4223" s="2" t="s">
        <v>12447</v>
      </c>
      <c r="B4223" s="3">
        <v>1</v>
      </c>
    </row>
    <row r="4224" spans="1:2">
      <c r="A4224" s="2" t="s">
        <v>12453</v>
      </c>
      <c r="B4224" s="3">
        <v>1</v>
      </c>
    </row>
    <row r="4225" spans="1:2">
      <c r="A4225" s="2" t="s">
        <v>12459</v>
      </c>
      <c r="B4225" s="3">
        <v>1</v>
      </c>
    </row>
    <row r="4226" spans="1:2">
      <c r="A4226" s="2" t="s">
        <v>12471</v>
      </c>
      <c r="B4226" s="3">
        <v>1</v>
      </c>
    </row>
    <row r="4227" spans="1:2">
      <c r="A4227" s="2" t="s">
        <v>12480</v>
      </c>
      <c r="B4227" s="3">
        <v>1</v>
      </c>
    </row>
    <row r="4228" spans="1:2">
      <c r="A4228" s="2" t="s">
        <v>12492</v>
      </c>
      <c r="B4228" s="3">
        <v>1</v>
      </c>
    </row>
    <row r="4229" spans="1:2">
      <c r="A4229" s="2" t="s">
        <v>12504</v>
      </c>
      <c r="B4229" s="3">
        <v>1</v>
      </c>
    </row>
    <row r="4230" spans="1:2">
      <c r="A4230" s="2" t="s">
        <v>12513</v>
      </c>
      <c r="B4230" s="3">
        <v>1</v>
      </c>
    </row>
    <row r="4231" spans="1:2">
      <c r="A4231" s="2" t="s">
        <v>12519</v>
      </c>
      <c r="B4231" s="3">
        <v>1</v>
      </c>
    </row>
    <row r="4232" spans="1:2">
      <c r="A4232" s="2" t="s">
        <v>12528</v>
      </c>
      <c r="B4232" s="3">
        <v>1</v>
      </c>
    </row>
    <row r="4233" spans="1:2">
      <c r="A4233" s="2" t="s">
        <v>12537</v>
      </c>
      <c r="B4233" s="3">
        <v>1</v>
      </c>
    </row>
    <row r="4234" spans="1:2">
      <c r="A4234" s="2" t="s">
        <v>12543</v>
      </c>
      <c r="B4234" s="3">
        <v>1</v>
      </c>
    </row>
    <row r="4235" spans="1:2">
      <c r="A4235" s="2" t="s">
        <v>12549</v>
      </c>
      <c r="B4235" s="3">
        <v>1</v>
      </c>
    </row>
    <row r="4236" spans="1:2">
      <c r="A4236" s="2" t="s">
        <v>12564</v>
      </c>
      <c r="B4236" s="3">
        <v>1</v>
      </c>
    </row>
    <row r="4237" spans="1:2">
      <c r="A4237" s="2" t="s">
        <v>12573</v>
      </c>
      <c r="B4237" s="3">
        <v>1</v>
      </c>
    </row>
    <row r="4238" spans="1:2">
      <c r="A4238" s="2" t="s">
        <v>12582</v>
      </c>
      <c r="B4238" s="3">
        <v>1</v>
      </c>
    </row>
    <row r="4239" spans="1:2">
      <c r="A4239" s="2" t="s">
        <v>12591</v>
      </c>
      <c r="B4239" s="3">
        <v>1</v>
      </c>
    </row>
    <row r="4240" spans="1:2">
      <c r="A4240" s="2" t="s">
        <v>12606</v>
      </c>
      <c r="B4240" s="3">
        <v>1</v>
      </c>
    </row>
    <row r="4241" spans="1:2">
      <c r="A4241" s="2" t="s">
        <v>12615</v>
      </c>
      <c r="B4241" s="3">
        <v>1</v>
      </c>
    </row>
    <row r="4242" spans="1:2">
      <c r="A4242" s="2" t="s">
        <v>12624</v>
      </c>
      <c r="B4242" s="3">
        <v>1</v>
      </c>
    </row>
    <row r="4243" spans="1:2">
      <c r="A4243" s="2" t="s">
        <v>12636</v>
      </c>
      <c r="B4243" s="3">
        <v>1</v>
      </c>
    </row>
    <row r="4244" spans="1:2">
      <c r="A4244" s="2" t="s">
        <v>12642</v>
      </c>
      <c r="B4244" s="3">
        <v>1</v>
      </c>
    </row>
    <row r="4245" spans="1:2">
      <c r="A4245" s="2" t="s">
        <v>12654</v>
      </c>
      <c r="B4245" s="3">
        <v>1</v>
      </c>
    </row>
    <row r="4246" spans="1:2">
      <c r="A4246" s="2" t="s">
        <v>12663</v>
      </c>
      <c r="B4246" s="3">
        <v>1</v>
      </c>
    </row>
    <row r="4247" spans="1:2">
      <c r="A4247" s="2" t="s">
        <v>12672</v>
      </c>
      <c r="B4247" s="3">
        <v>1</v>
      </c>
    </row>
    <row r="4248" spans="1:2">
      <c r="A4248" s="2" t="s">
        <v>12681</v>
      </c>
      <c r="B4248" s="3">
        <v>1</v>
      </c>
    </row>
    <row r="4249" spans="1:2">
      <c r="A4249" s="2" t="s">
        <v>12693</v>
      </c>
      <c r="B4249" s="3">
        <v>1</v>
      </c>
    </row>
    <row r="4250" spans="1:2">
      <c r="A4250" s="2" t="s">
        <v>12708</v>
      </c>
      <c r="B4250" s="3">
        <v>1</v>
      </c>
    </row>
    <row r="4251" spans="1:2">
      <c r="A4251" s="2" t="s">
        <v>12714</v>
      </c>
      <c r="B4251" s="3">
        <v>1</v>
      </c>
    </row>
    <row r="4252" spans="1:2">
      <c r="A4252" s="2" t="s">
        <v>12729</v>
      </c>
      <c r="B4252" s="3">
        <v>1</v>
      </c>
    </row>
    <row r="4253" spans="1:2">
      <c r="A4253" s="2" t="s">
        <v>12744</v>
      </c>
      <c r="B4253" s="3">
        <v>1</v>
      </c>
    </row>
    <row r="4254" spans="1:2">
      <c r="A4254" s="2" t="s">
        <v>12747</v>
      </c>
      <c r="B4254" s="3">
        <v>1</v>
      </c>
    </row>
    <row r="4255" spans="1:2">
      <c r="A4255" s="2" t="s">
        <v>12759</v>
      </c>
      <c r="B4255" s="3">
        <v>1</v>
      </c>
    </row>
    <row r="4256" spans="1:2">
      <c r="A4256" s="2" t="s">
        <v>12768</v>
      </c>
      <c r="B4256" s="3">
        <v>1</v>
      </c>
    </row>
    <row r="4257" spans="1:2">
      <c r="A4257" s="2" t="s">
        <v>12789</v>
      </c>
      <c r="B4257" s="3">
        <v>1</v>
      </c>
    </row>
    <row r="4258" spans="1:2">
      <c r="A4258" s="2" t="s">
        <v>12798</v>
      </c>
      <c r="B4258" s="3">
        <v>1</v>
      </c>
    </row>
    <row r="4259" spans="1:2">
      <c r="A4259" s="2" t="s">
        <v>12807</v>
      </c>
      <c r="B4259" s="3">
        <v>1</v>
      </c>
    </row>
    <row r="4260" spans="1:2">
      <c r="A4260" s="2" t="s">
        <v>12816</v>
      </c>
      <c r="B4260" s="3">
        <v>1</v>
      </c>
    </row>
    <row r="4261" spans="1:2">
      <c r="A4261" s="2" t="s">
        <v>12825</v>
      </c>
      <c r="B4261" s="3">
        <v>1</v>
      </c>
    </row>
    <row r="4262" spans="1:2">
      <c r="A4262" s="2" t="s">
        <v>12837</v>
      </c>
      <c r="B4262" s="3">
        <v>1</v>
      </c>
    </row>
    <row r="4263" spans="1:2">
      <c r="A4263" s="2" t="s">
        <v>12843</v>
      </c>
      <c r="B4263" s="3">
        <v>1</v>
      </c>
    </row>
    <row r="4264" spans="1:2">
      <c r="A4264" s="2" t="s">
        <v>12852</v>
      </c>
      <c r="B4264" s="3">
        <v>1</v>
      </c>
    </row>
    <row r="4265" spans="1:2">
      <c r="A4265" s="2" t="s">
        <v>12861</v>
      </c>
      <c r="B4265" s="3">
        <v>1</v>
      </c>
    </row>
    <row r="4266" spans="1:2">
      <c r="A4266" s="2" t="s">
        <v>12870</v>
      </c>
      <c r="B4266" s="3">
        <v>1</v>
      </c>
    </row>
    <row r="4267" spans="1:2">
      <c r="A4267" s="2" t="s">
        <v>12882</v>
      </c>
      <c r="B4267" s="3">
        <v>1</v>
      </c>
    </row>
    <row r="4268" spans="1:2">
      <c r="A4268" s="2" t="s">
        <v>12891</v>
      </c>
      <c r="B4268" s="3">
        <v>1</v>
      </c>
    </row>
    <row r="4269" spans="1:2">
      <c r="A4269" s="2" t="s">
        <v>12903</v>
      </c>
      <c r="B4269" s="3">
        <v>1</v>
      </c>
    </row>
    <row r="4270" spans="1:2">
      <c r="A4270" s="2" t="s">
        <v>12915</v>
      </c>
      <c r="B4270" s="3">
        <v>1</v>
      </c>
    </row>
    <row r="4271" spans="1:2">
      <c r="A4271" s="2" t="s">
        <v>12924</v>
      </c>
      <c r="B4271" s="3">
        <v>1</v>
      </c>
    </row>
    <row r="4272" spans="1:2">
      <c r="A4272" s="2" t="s">
        <v>12936</v>
      </c>
      <c r="B4272" s="3">
        <v>1</v>
      </c>
    </row>
    <row r="4273" spans="1:2">
      <c r="A4273" s="2" t="s">
        <v>12948</v>
      </c>
      <c r="B4273" s="3">
        <v>1</v>
      </c>
    </row>
    <row r="4274" spans="1:2">
      <c r="A4274" s="2" t="s">
        <v>12957</v>
      </c>
      <c r="B4274" s="3">
        <v>1</v>
      </c>
    </row>
    <row r="4275" spans="1:2">
      <c r="A4275" s="2" t="s">
        <v>12963</v>
      </c>
      <c r="B4275" s="3">
        <v>1</v>
      </c>
    </row>
    <row r="4276" spans="1:2">
      <c r="A4276" s="2" t="s">
        <v>12972</v>
      </c>
      <c r="B4276" s="3">
        <v>1</v>
      </c>
    </row>
    <row r="4277" spans="1:2">
      <c r="A4277" s="2" t="s">
        <v>12984</v>
      </c>
      <c r="B4277" s="3">
        <v>1</v>
      </c>
    </row>
    <row r="4278" spans="1:2">
      <c r="A4278" s="2" t="s">
        <v>12990</v>
      </c>
      <c r="B4278" s="3">
        <v>1</v>
      </c>
    </row>
    <row r="4279" spans="1:2">
      <c r="A4279" s="2" t="s">
        <v>12996</v>
      </c>
      <c r="B4279" s="3">
        <v>1</v>
      </c>
    </row>
    <row r="4280" spans="1:2">
      <c r="A4280" s="2" t="s">
        <v>13005</v>
      </c>
      <c r="B4280" s="3">
        <v>1</v>
      </c>
    </row>
    <row r="4281" spans="1:2">
      <c r="A4281" s="2" t="s">
        <v>13014</v>
      </c>
      <c r="B4281" s="3">
        <v>1</v>
      </c>
    </row>
    <row r="4282" spans="1:2">
      <c r="A4282" s="2" t="s">
        <v>13020</v>
      </c>
      <c r="B4282" s="3">
        <v>1</v>
      </c>
    </row>
    <row r="4283" spans="1:2">
      <c r="A4283" s="2" t="s">
        <v>12705</v>
      </c>
      <c r="B4283" s="3">
        <v>1</v>
      </c>
    </row>
    <row r="4284" spans="1:2">
      <c r="A4284" s="2" t="s">
        <v>12723</v>
      </c>
      <c r="B4284" s="3">
        <v>1</v>
      </c>
    </row>
    <row r="4285" spans="1:2">
      <c r="A4285" s="2" t="s">
        <v>12726</v>
      </c>
      <c r="B4285" s="3">
        <v>1</v>
      </c>
    </row>
    <row r="4286" spans="1:2">
      <c r="A4286" s="2" t="s">
        <v>12732</v>
      </c>
      <c r="B4286" s="3">
        <v>1</v>
      </c>
    </row>
    <row r="4287" spans="1:2">
      <c r="A4287" s="2" t="s">
        <v>12735</v>
      </c>
      <c r="B4287" s="3">
        <v>1</v>
      </c>
    </row>
    <row r="4288" spans="1:2">
      <c r="A4288" s="2" t="s">
        <v>12756</v>
      </c>
      <c r="B4288" s="3">
        <v>1</v>
      </c>
    </row>
    <row r="4289" spans="1:2">
      <c r="A4289" s="2" t="s">
        <v>12762</v>
      </c>
      <c r="B4289" s="3">
        <v>1</v>
      </c>
    </row>
    <row r="4290" spans="1:2">
      <c r="A4290" s="2" t="s">
        <v>12777</v>
      </c>
      <c r="B4290" s="3">
        <v>1</v>
      </c>
    </row>
    <row r="4291" spans="1:2">
      <c r="A4291" s="2" t="s">
        <v>12780</v>
      </c>
      <c r="B4291" s="3">
        <v>1</v>
      </c>
    </row>
    <row r="4292" spans="1:2">
      <c r="A4292" s="2" t="s">
        <v>12795</v>
      </c>
      <c r="B4292" s="3">
        <v>1</v>
      </c>
    </row>
    <row r="4293" spans="1:2">
      <c r="A4293" s="2" t="s">
        <v>12801</v>
      </c>
      <c r="B4293" s="3">
        <v>1</v>
      </c>
    </row>
    <row r="4294" spans="1:2">
      <c r="A4294" s="2" t="s">
        <v>12813</v>
      </c>
      <c r="B4294" s="3">
        <v>1</v>
      </c>
    </row>
    <row r="4295" spans="1:2">
      <c r="A4295" s="2" t="s">
        <v>12819</v>
      </c>
      <c r="B4295" s="3">
        <v>1</v>
      </c>
    </row>
    <row r="4296" spans="1:2">
      <c r="A4296" s="2" t="s">
        <v>12831</v>
      </c>
      <c r="B4296" s="3">
        <v>1</v>
      </c>
    </row>
    <row r="4297" spans="1:2">
      <c r="A4297" s="2" t="s">
        <v>12834</v>
      </c>
      <c r="B4297" s="3">
        <v>1</v>
      </c>
    </row>
    <row r="4298" spans="1:2">
      <c r="A4298" s="2" t="s">
        <v>12849</v>
      </c>
      <c r="B4298" s="3">
        <v>1</v>
      </c>
    </row>
    <row r="4299" spans="1:2">
      <c r="A4299" s="2" t="s">
        <v>12855</v>
      </c>
      <c r="B4299" s="3">
        <v>1</v>
      </c>
    </row>
    <row r="4300" spans="1:2">
      <c r="A4300" s="2" t="s">
        <v>12867</v>
      </c>
      <c r="B4300" s="3">
        <v>1</v>
      </c>
    </row>
    <row r="4301" spans="1:2">
      <c r="A4301" s="2" t="s">
        <v>12873</v>
      </c>
      <c r="B4301" s="3">
        <v>1</v>
      </c>
    </row>
    <row r="4302" spans="1:2">
      <c r="A4302" s="2" t="s">
        <v>12888</v>
      </c>
      <c r="B4302" s="3">
        <v>1</v>
      </c>
    </row>
    <row r="4303" spans="1:2">
      <c r="A4303" s="2" t="s">
        <v>12894</v>
      </c>
      <c r="B4303" s="3">
        <v>1</v>
      </c>
    </row>
    <row r="4304" spans="1:2">
      <c r="A4304" s="2" t="s">
        <v>12897</v>
      </c>
      <c r="B4304" s="3">
        <v>1</v>
      </c>
    </row>
    <row r="4305" spans="1:2">
      <c r="A4305" s="2" t="s">
        <v>12912</v>
      </c>
      <c r="B4305" s="3">
        <v>1</v>
      </c>
    </row>
    <row r="4306" spans="1:2">
      <c r="A4306" s="2" t="s">
        <v>12918</v>
      </c>
      <c r="B4306" s="3">
        <v>1</v>
      </c>
    </row>
    <row r="4307" spans="1:2">
      <c r="A4307" s="2" t="s">
        <v>12933</v>
      </c>
      <c r="B4307" s="3">
        <v>1</v>
      </c>
    </row>
    <row r="4308" spans="1:2">
      <c r="A4308" s="2" t="s">
        <v>12939</v>
      </c>
      <c r="B4308" s="3">
        <v>1</v>
      </c>
    </row>
    <row r="4309" spans="1:2">
      <c r="A4309" s="2" t="s">
        <v>12954</v>
      </c>
      <c r="B4309" s="3">
        <v>1</v>
      </c>
    </row>
    <row r="4310" spans="1:2">
      <c r="A4310" s="2" t="s">
        <v>12969</v>
      </c>
      <c r="B4310" s="3">
        <v>1</v>
      </c>
    </row>
    <row r="4311" spans="1:2">
      <c r="A4311" s="2" t="s">
        <v>12975</v>
      </c>
      <c r="B4311" s="3">
        <v>1</v>
      </c>
    </row>
    <row r="4312" spans="1:2">
      <c r="A4312" s="2" t="s">
        <v>12978</v>
      </c>
      <c r="B4312" s="3">
        <v>1</v>
      </c>
    </row>
    <row r="4313" spans="1:2">
      <c r="A4313" s="2" t="s">
        <v>13002</v>
      </c>
      <c r="B4313" s="3">
        <v>1</v>
      </c>
    </row>
    <row r="4314" spans="1:2">
      <c r="A4314" s="2" t="s">
        <v>13008</v>
      </c>
      <c r="B4314" s="3">
        <v>1</v>
      </c>
    </row>
    <row r="4315" spans="1:2">
      <c r="A4315" s="2" t="s">
        <v>13017</v>
      </c>
      <c r="B4315" s="3">
        <v>1</v>
      </c>
    </row>
    <row r="4316" spans="1:2">
      <c r="A4316" s="2" t="s">
        <v>13029</v>
      </c>
      <c r="B4316" s="3">
        <v>1</v>
      </c>
    </row>
    <row r="4317" spans="1:2">
      <c r="A4317" s="2" t="s">
        <v>13044</v>
      </c>
      <c r="B4317" s="3">
        <v>1</v>
      </c>
    </row>
    <row r="4318" spans="1:2">
      <c r="A4318" s="2" t="s">
        <v>13050</v>
      </c>
      <c r="B4318" s="3">
        <v>1</v>
      </c>
    </row>
    <row r="4319" spans="1:2">
      <c r="A4319" s="2" t="s">
        <v>13059</v>
      </c>
      <c r="B4319" s="3">
        <v>1</v>
      </c>
    </row>
    <row r="4320" spans="1:2">
      <c r="A4320" s="2" t="s">
        <v>13062</v>
      </c>
      <c r="B4320" s="3">
        <v>1</v>
      </c>
    </row>
    <row r="4321" spans="1:2">
      <c r="A4321" s="2" t="s">
        <v>13068</v>
      </c>
      <c r="B4321" s="3">
        <v>1</v>
      </c>
    </row>
    <row r="4322" spans="1:2">
      <c r="A4322" s="2" t="s">
        <v>13086</v>
      </c>
      <c r="B4322" s="3">
        <v>1</v>
      </c>
    </row>
    <row r="4323" spans="1:2">
      <c r="A4323" s="2" t="s">
        <v>13089</v>
      </c>
      <c r="B4323" s="3">
        <v>1</v>
      </c>
    </row>
    <row r="4324" spans="1:2">
      <c r="A4324" s="2" t="s">
        <v>13095</v>
      </c>
      <c r="B4324" s="3">
        <v>1</v>
      </c>
    </row>
    <row r="4325" spans="1:2">
      <c r="A4325" s="2" t="s">
        <v>13107</v>
      </c>
      <c r="B4325" s="3">
        <v>1</v>
      </c>
    </row>
    <row r="4326" spans="1:2">
      <c r="A4326" s="2" t="s">
        <v>13113</v>
      </c>
      <c r="B4326" s="3">
        <v>1</v>
      </c>
    </row>
    <row r="4327" spans="1:2">
      <c r="A4327" s="2" t="s">
        <v>13116</v>
      </c>
      <c r="B4327" s="3">
        <v>1</v>
      </c>
    </row>
    <row r="4328" spans="1:2">
      <c r="A4328" s="2" t="s">
        <v>13125</v>
      </c>
      <c r="B4328" s="3">
        <v>1</v>
      </c>
    </row>
    <row r="4329" spans="1:2">
      <c r="A4329" s="2" t="s">
        <v>14559</v>
      </c>
      <c r="B4329" s="3">
        <v>1</v>
      </c>
    </row>
    <row r="4330" spans="1:2">
      <c r="A4330" s="2" t="s">
        <v>13131</v>
      </c>
      <c r="B4330" s="3">
        <v>1</v>
      </c>
    </row>
    <row r="4331" spans="1:2">
      <c r="A4331" s="2" t="s">
        <v>13134</v>
      </c>
      <c r="B4331" s="3">
        <v>1</v>
      </c>
    </row>
    <row r="4332" spans="1:2">
      <c r="A4332" s="2" t="s">
        <v>13152</v>
      </c>
      <c r="B4332" s="3">
        <v>1</v>
      </c>
    </row>
    <row r="4333" spans="1:2">
      <c r="A4333" s="2" t="s">
        <v>13158</v>
      </c>
      <c r="B4333" s="3">
        <v>1</v>
      </c>
    </row>
    <row r="4334" spans="1:2">
      <c r="A4334" s="2" t="s">
        <v>13176</v>
      </c>
      <c r="B4334" s="3">
        <v>1</v>
      </c>
    </row>
    <row r="4335" spans="1:2">
      <c r="A4335" s="2" t="s">
        <v>13188</v>
      </c>
      <c r="B4335" s="3">
        <v>1</v>
      </c>
    </row>
    <row r="4336" spans="1:2">
      <c r="A4336" s="2" t="s">
        <v>13200</v>
      </c>
      <c r="B4336" s="3">
        <v>1</v>
      </c>
    </row>
    <row r="4337" spans="1:2">
      <c r="A4337" s="2" t="s">
        <v>13206</v>
      </c>
      <c r="B4337" s="3">
        <v>1</v>
      </c>
    </row>
    <row r="4338" spans="1:2">
      <c r="A4338" s="2" t="s">
        <v>13209</v>
      </c>
      <c r="B4338" s="3">
        <v>1</v>
      </c>
    </row>
    <row r="4339" spans="1:2">
      <c r="A4339" s="2" t="s">
        <v>13224</v>
      </c>
      <c r="B4339" s="3">
        <v>1</v>
      </c>
    </row>
    <row r="4340" spans="1:2">
      <c r="A4340" s="2" t="s">
        <v>13233</v>
      </c>
      <c r="B4340" s="3">
        <v>1</v>
      </c>
    </row>
    <row r="4341" spans="1:2">
      <c r="A4341" s="2" t="s">
        <v>13236</v>
      </c>
      <c r="B4341" s="3">
        <v>1</v>
      </c>
    </row>
    <row r="4342" spans="1:2">
      <c r="A4342" s="2" t="s">
        <v>13251</v>
      </c>
      <c r="B4342" s="3">
        <v>1</v>
      </c>
    </row>
    <row r="4343" spans="1:2">
      <c r="A4343" s="2" t="s">
        <v>13266</v>
      </c>
      <c r="B4343" s="3">
        <v>1</v>
      </c>
    </row>
    <row r="4344" spans="1:2">
      <c r="A4344" s="2" t="s">
        <v>13272</v>
      </c>
      <c r="B4344" s="3">
        <v>1</v>
      </c>
    </row>
    <row r="4345" spans="1:2">
      <c r="A4345" s="2" t="s">
        <v>13287</v>
      </c>
      <c r="B4345" s="3">
        <v>1</v>
      </c>
    </row>
    <row r="4346" spans="1:2">
      <c r="A4346" s="2" t="s">
        <v>13293</v>
      </c>
      <c r="B4346" s="3">
        <v>1</v>
      </c>
    </row>
    <row r="4347" spans="1:2">
      <c r="A4347" s="2" t="s">
        <v>13296</v>
      </c>
      <c r="B4347" s="3">
        <v>1</v>
      </c>
    </row>
    <row r="4348" spans="1:2">
      <c r="A4348" s="2" t="s">
        <v>13314</v>
      </c>
      <c r="B4348" s="3">
        <v>1</v>
      </c>
    </row>
    <row r="4349" spans="1:2">
      <c r="A4349" s="2" t="s">
        <v>13326</v>
      </c>
      <c r="B4349" s="3">
        <v>1</v>
      </c>
    </row>
    <row r="4350" spans="1:2">
      <c r="A4350" s="2" t="s">
        <v>13332</v>
      </c>
      <c r="B4350" s="3">
        <v>1</v>
      </c>
    </row>
    <row r="4351" spans="1:2">
      <c r="A4351" s="2" t="s">
        <v>13344</v>
      </c>
      <c r="B4351" s="3">
        <v>1</v>
      </c>
    </row>
    <row r="4352" spans="1:2">
      <c r="A4352" s="2" t="s">
        <v>13350</v>
      </c>
      <c r="B4352" s="3">
        <v>1</v>
      </c>
    </row>
    <row r="4353" spans="1:2">
      <c r="A4353" s="2" t="s">
        <v>13368</v>
      </c>
      <c r="B4353" s="3">
        <v>1</v>
      </c>
    </row>
    <row r="4354" spans="1:2">
      <c r="A4354" s="2" t="s">
        <v>13374</v>
      </c>
      <c r="B4354" s="3">
        <v>1</v>
      </c>
    </row>
    <row r="4355" spans="1:2">
      <c r="A4355" s="2" t="s">
        <v>13383</v>
      </c>
      <c r="B4355" s="3">
        <v>1</v>
      </c>
    </row>
    <row r="4356" spans="1:2">
      <c r="A4356" s="2" t="s">
        <v>13389</v>
      </c>
      <c r="B4356" s="3">
        <v>1</v>
      </c>
    </row>
    <row r="4357" spans="1:2">
      <c r="A4357" s="2" t="s">
        <v>13401</v>
      </c>
      <c r="B4357" s="3">
        <v>1</v>
      </c>
    </row>
    <row r="4358" spans="1:2">
      <c r="A4358" s="2" t="s">
        <v>13407</v>
      </c>
      <c r="B4358" s="3">
        <v>1</v>
      </c>
    </row>
    <row r="4359" spans="1:2">
      <c r="A4359" s="2" t="s">
        <v>13410</v>
      </c>
      <c r="B4359" s="3">
        <v>1</v>
      </c>
    </row>
    <row r="4360" spans="1:2">
      <c r="A4360" s="2" t="s">
        <v>13422</v>
      </c>
      <c r="B4360" s="3">
        <v>1</v>
      </c>
    </row>
    <row r="4361" spans="1:2">
      <c r="A4361" s="2" t="s">
        <v>13428</v>
      </c>
      <c r="B4361" s="3">
        <v>1</v>
      </c>
    </row>
    <row r="4362" spans="1:2">
      <c r="A4362" s="2" t="s">
        <v>13443</v>
      </c>
      <c r="B4362" s="3">
        <v>1</v>
      </c>
    </row>
    <row r="4363" spans="1:2">
      <c r="A4363" s="2" t="s">
        <v>13455</v>
      </c>
      <c r="B4363" s="3">
        <v>1</v>
      </c>
    </row>
    <row r="4364" spans="1:2">
      <c r="A4364" s="2" t="s">
        <v>13461</v>
      </c>
      <c r="B4364" s="3">
        <v>1</v>
      </c>
    </row>
    <row r="4365" spans="1:2">
      <c r="A4365" s="2" t="s">
        <v>13476</v>
      </c>
      <c r="B4365" s="3">
        <v>1</v>
      </c>
    </row>
    <row r="4366" spans="1:2">
      <c r="A4366" s="2" t="s">
        <v>13482</v>
      </c>
      <c r="B4366" s="3">
        <v>1</v>
      </c>
    </row>
    <row r="4367" spans="1:2">
      <c r="A4367" s="2" t="s">
        <v>13485</v>
      </c>
      <c r="B4367" s="3">
        <v>1</v>
      </c>
    </row>
    <row r="4368" spans="1:2">
      <c r="A4368" s="2" t="s">
        <v>13500</v>
      </c>
      <c r="B4368" s="3">
        <v>1</v>
      </c>
    </row>
    <row r="4369" spans="1:2">
      <c r="A4369" s="2" t="s">
        <v>13503</v>
      </c>
      <c r="B4369" s="3">
        <v>1</v>
      </c>
    </row>
    <row r="4370" spans="1:2">
      <c r="A4370" s="2" t="s">
        <v>13512</v>
      </c>
      <c r="B4370" s="3">
        <v>1</v>
      </c>
    </row>
    <row r="4371" spans="1:2">
      <c r="A4371" s="2" t="s">
        <v>13515</v>
      </c>
      <c r="B4371" s="3">
        <v>1</v>
      </c>
    </row>
    <row r="4372" spans="1:2">
      <c r="A4372" s="2" t="s">
        <v>13533</v>
      </c>
      <c r="B4372" s="3">
        <v>1</v>
      </c>
    </row>
    <row r="4373" spans="1:2">
      <c r="A4373" s="2" t="s">
        <v>13545</v>
      </c>
      <c r="B4373" s="3">
        <v>1</v>
      </c>
    </row>
    <row r="4374" spans="1:2">
      <c r="A4374" s="2" t="s">
        <v>13551</v>
      </c>
      <c r="B4374" s="3">
        <v>1</v>
      </c>
    </row>
    <row r="4375" spans="1:2">
      <c r="A4375" s="2" t="s">
        <v>12858</v>
      </c>
      <c r="B4375" s="3">
        <v>1</v>
      </c>
    </row>
    <row r="4376" spans="1:2">
      <c r="A4376" s="2" t="s">
        <v>12864</v>
      </c>
      <c r="B4376" s="3">
        <v>1</v>
      </c>
    </row>
    <row r="4377" spans="1:2">
      <c r="A4377" s="2" t="s">
        <v>12876</v>
      </c>
      <c r="B4377" s="3">
        <v>1</v>
      </c>
    </row>
    <row r="4378" spans="1:2">
      <c r="A4378" s="2" t="s">
        <v>12879</v>
      </c>
      <c r="B4378" s="3">
        <v>1</v>
      </c>
    </row>
    <row r="4379" spans="1:2">
      <c r="A4379" s="2" t="s">
        <v>12885</v>
      </c>
      <c r="B4379" s="3">
        <v>1</v>
      </c>
    </row>
    <row r="4380" spans="1:2">
      <c r="A4380" s="2" t="s">
        <v>12900</v>
      </c>
      <c r="B4380" s="3">
        <v>1</v>
      </c>
    </row>
    <row r="4381" spans="1:2">
      <c r="A4381" s="2" t="s">
        <v>12906</v>
      </c>
      <c r="B4381" s="3">
        <v>1</v>
      </c>
    </row>
    <row r="4382" spans="1:2">
      <c r="A4382" s="2" t="s">
        <v>12909</v>
      </c>
      <c r="B4382" s="3">
        <v>1</v>
      </c>
    </row>
    <row r="4383" spans="1:2">
      <c r="A4383" s="2" t="s">
        <v>12921</v>
      </c>
      <c r="B4383" s="3">
        <v>1</v>
      </c>
    </row>
    <row r="4384" spans="1:2">
      <c r="A4384" s="2" t="s">
        <v>12927</v>
      </c>
      <c r="B4384" s="3">
        <v>1</v>
      </c>
    </row>
    <row r="4385" spans="1:2">
      <c r="A4385" s="2" t="s">
        <v>12930</v>
      </c>
      <c r="B4385" s="3">
        <v>1</v>
      </c>
    </row>
    <row r="4386" spans="1:2">
      <c r="A4386" s="2" t="s">
        <v>12942</v>
      </c>
      <c r="B4386" s="3">
        <v>1</v>
      </c>
    </row>
    <row r="4387" spans="1:2">
      <c r="A4387" s="2" t="s">
        <v>12945</v>
      </c>
      <c r="B4387" s="3">
        <v>1</v>
      </c>
    </row>
    <row r="4388" spans="1:2">
      <c r="A4388" s="2" t="s">
        <v>12951</v>
      </c>
      <c r="B4388" s="3">
        <v>1</v>
      </c>
    </row>
    <row r="4389" spans="1:2">
      <c r="A4389" s="2" t="s">
        <v>12960</v>
      </c>
      <c r="B4389" s="3">
        <v>1</v>
      </c>
    </row>
    <row r="4390" spans="1:2">
      <c r="A4390" s="2" t="s">
        <v>12966</v>
      </c>
      <c r="B4390" s="3">
        <v>1</v>
      </c>
    </row>
    <row r="4391" spans="1:2">
      <c r="A4391" s="2" t="s">
        <v>12981</v>
      </c>
      <c r="B4391" s="3">
        <v>1</v>
      </c>
    </row>
    <row r="4392" spans="1:2">
      <c r="A4392" s="2" t="s">
        <v>12987</v>
      </c>
      <c r="B4392" s="3">
        <v>1</v>
      </c>
    </row>
    <row r="4393" spans="1:2">
      <c r="A4393" s="2" t="s">
        <v>12993</v>
      </c>
      <c r="B4393" s="3">
        <v>1</v>
      </c>
    </row>
    <row r="4394" spans="1:2">
      <c r="A4394" s="2" t="s">
        <v>12999</v>
      </c>
      <c r="B4394" s="3">
        <v>1</v>
      </c>
    </row>
    <row r="4395" spans="1:2">
      <c r="A4395" s="2" t="s">
        <v>13011</v>
      </c>
      <c r="B4395" s="3">
        <v>1</v>
      </c>
    </row>
    <row r="4396" spans="1:2">
      <c r="A4396" s="2" t="s">
        <v>13023</v>
      </c>
      <c r="B4396" s="3">
        <v>1</v>
      </c>
    </row>
    <row r="4397" spans="1:2">
      <c r="A4397" s="2" t="s">
        <v>13035</v>
      </c>
      <c r="B4397" s="3">
        <v>1</v>
      </c>
    </row>
    <row r="4398" spans="1:2">
      <c r="A4398" s="2" t="s">
        <v>13038</v>
      </c>
      <c r="B4398" s="3">
        <v>1</v>
      </c>
    </row>
    <row r="4399" spans="1:2">
      <c r="A4399" s="2" t="s">
        <v>13053</v>
      </c>
      <c r="B4399" s="3">
        <v>1</v>
      </c>
    </row>
    <row r="4400" spans="1:2">
      <c r="A4400" s="2" t="s">
        <v>13071</v>
      </c>
      <c r="B4400" s="3">
        <v>1</v>
      </c>
    </row>
    <row r="4401" spans="1:2">
      <c r="A4401" s="2" t="s">
        <v>13074</v>
      </c>
      <c r="B4401" s="3">
        <v>1</v>
      </c>
    </row>
    <row r="4402" spans="1:2">
      <c r="A4402" s="2" t="s">
        <v>13080</v>
      </c>
      <c r="B4402" s="3">
        <v>1</v>
      </c>
    </row>
    <row r="4403" spans="1:2">
      <c r="A4403" s="2" t="s">
        <v>13083</v>
      </c>
      <c r="B4403" s="3">
        <v>1</v>
      </c>
    </row>
    <row r="4404" spans="1:2">
      <c r="A4404" s="2" t="s">
        <v>13098</v>
      </c>
      <c r="B4404" s="3">
        <v>1</v>
      </c>
    </row>
    <row r="4405" spans="1:2">
      <c r="A4405" s="2" t="s">
        <v>13104</v>
      </c>
      <c r="B4405" s="3">
        <v>1</v>
      </c>
    </row>
    <row r="4406" spans="1:2">
      <c r="A4406" s="2" t="s">
        <v>13119</v>
      </c>
      <c r="B4406" s="3">
        <v>1</v>
      </c>
    </row>
    <row r="4407" spans="1:2">
      <c r="A4407" s="2" t="s">
        <v>13137</v>
      </c>
      <c r="B4407" s="3">
        <v>1</v>
      </c>
    </row>
    <row r="4408" spans="1:2">
      <c r="A4408" s="2" t="s">
        <v>13143</v>
      </c>
      <c r="B4408" s="3">
        <v>1</v>
      </c>
    </row>
    <row r="4409" spans="1:2">
      <c r="A4409" s="2" t="s">
        <v>13149</v>
      </c>
      <c r="B4409" s="3">
        <v>1</v>
      </c>
    </row>
    <row r="4410" spans="1:2">
      <c r="A4410" s="2" t="s">
        <v>13161</v>
      </c>
      <c r="B4410" s="3">
        <v>1</v>
      </c>
    </row>
    <row r="4411" spans="1:2">
      <c r="A4411" s="2" t="s">
        <v>13170</v>
      </c>
      <c r="B4411" s="3">
        <v>1</v>
      </c>
    </row>
    <row r="4412" spans="1:2">
      <c r="A4412" s="2" t="s">
        <v>13173</v>
      </c>
      <c r="B4412" s="3">
        <v>1</v>
      </c>
    </row>
    <row r="4413" spans="1:2">
      <c r="A4413" s="2" t="s">
        <v>13191</v>
      </c>
      <c r="B4413" s="3">
        <v>1</v>
      </c>
    </row>
    <row r="4414" spans="1:2">
      <c r="A4414" s="2" t="s">
        <v>13197</v>
      </c>
      <c r="B4414" s="3">
        <v>1</v>
      </c>
    </row>
    <row r="4415" spans="1:2">
      <c r="A4415" s="2" t="s">
        <v>13212</v>
      </c>
      <c r="B4415" s="3">
        <v>1</v>
      </c>
    </row>
    <row r="4416" spans="1:2">
      <c r="A4416" s="2" t="s">
        <v>13215</v>
      </c>
      <c r="B4416" s="3">
        <v>1</v>
      </c>
    </row>
    <row r="4417" spans="1:2">
      <c r="A4417" s="2" t="s">
        <v>13221</v>
      </c>
      <c r="B4417" s="3">
        <v>1</v>
      </c>
    </row>
    <row r="4418" spans="1:2">
      <c r="A4418" s="2" t="s">
        <v>13239</v>
      </c>
      <c r="B4418" s="3">
        <v>1</v>
      </c>
    </row>
    <row r="4419" spans="1:2">
      <c r="A4419" s="2" t="s">
        <v>13245</v>
      </c>
      <c r="B4419" s="3">
        <v>1</v>
      </c>
    </row>
    <row r="4420" spans="1:2">
      <c r="A4420" s="2" t="s">
        <v>13254</v>
      </c>
      <c r="B4420" s="3">
        <v>1</v>
      </c>
    </row>
    <row r="4421" spans="1:2">
      <c r="A4421" s="2" t="s">
        <v>13257</v>
      </c>
      <c r="B4421" s="3">
        <v>1</v>
      </c>
    </row>
    <row r="4422" spans="1:2">
      <c r="A4422" s="2" t="s">
        <v>13263</v>
      </c>
      <c r="B4422" s="3">
        <v>1</v>
      </c>
    </row>
    <row r="4423" spans="1:2">
      <c r="A4423" s="2" t="s">
        <v>13275</v>
      </c>
      <c r="B4423" s="3">
        <v>1</v>
      </c>
    </row>
    <row r="4424" spans="1:2">
      <c r="A4424" s="2" t="s">
        <v>13284</v>
      </c>
      <c r="B4424" s="3">
        <v>1</v>
      </c>
    </row>
    <row r="4425" spans="1:2">
      <c r="A4425" s="2" t="s">
        <v>13299</v>
      </c>
      <c r="B4425" s="3">
        <v>1</v>
      </c>
    </row>
    <row r="4426" spans="1:2">
      <c r="A4426" s="2" t="s">
        <v>13305</v>
      </c>
      <c r="B4426" s="3">
        <v>1</v>
      </c>
    </row>
    <row r="4427" spans="1:2">
      <c r="A4427" s="2" t="s">
        <v>13317</v>
      </c>
      <c r="B4427" s="3">
        <v>1</v>
      </c>
    </row>
    <row r="4428" spans="1:2">
      <c r="A4428" s="2" t="s">
        <v>13323</v>
      </c>
      <c r="B4428" s="3">
        <v>1</v>
      </c>
    </row>
    <row r="4429" spans="1:2">
      <c r="A4429" s="2" t="s">
        <v>13335</v>
      </c>
      <c r="B4429" s="3">
        <v>1</v>
      </c>
    </row>
    <row r="4430" spans="1:2">
      <c r="A4430" s="2" t="s">
        <v>13341</v>
      </c>
      <c r="B4430" s="3">
        <v>1</v>
      </c>
    </row>
    <row r="4431" spans="1:2">
      <c r="A4431" s="2" t="s">
        <v>13353</v>
      </c>
      <c r="B4431" s="3">
        <v>1</v>
      </c>
    </row>
    <row r="4432" spans="1:2">
      <c r="A4432" s="2" t="s">
        <v>13359</v>
      </c>
      <c r="B4432" s="3">
        <v>1</v>
      </c>
    </row>
    <row r="4433" spans="1:2">
      <c r="A4433" s="2" t="s">
        <v>13365</v>
      </c>
      <c r="B4433" s="3">
        <v>1</v>
      </c>
    </row>
    <row r="4434" spans="1:2">
      <c r="A4434" s="2" t="s">
        <v>13377</v>
      </c>
      <c r="B4434" s="3">
        <v>1</v>
      </c>
    </row>
    <row r="4435" spans="1:2">
      <c r="A4435" s="2" t="s">
        <v>13392</v>
      </c>
      <c r="B4435" s="3">
        <v>1</v>
      </c>
    </row>
    <row r="4436" spans="1:2">
      <c r="A4436" s="2" t="s">
        <v>13395</v>
      </c>
      <c r="B4436" s="3">
        <v>1</v>
      </c>
    </row>
    <row r="4437" spans="1:2">
      <c r="A4437" s="2" t="s">
        <v>13413</v>
      </c>
      <c r="B4437" s="3">
        <v>1</v>
      </c>
    </row>
    <row r="4438" spans="1:2">
      <c r="A4438" s="2" t="s">
        <v>13416</v>
      </c>
      <c r="B4438" s="3">
        <v>1</v>
      </c>
    </row>
    <row r="4439" spans="1:2">
      <c r="A4439" s="2" t="s">
        <v>13431</v>
      </c>
      <c r="B4439" s="3">
        <v>1</v>
      </c>
    </row>
    <row r="4440" spans="1:2">
      <c r="A4440" s="2" t="s">
        <v>13437</v>
      </c>
      <c r="B4440" s="3">
        <v>1</v>
      </c>
    </row>
    <row r="4441" spans="1:2">
      <c r="A4441" s="2" t="s">
        <v>13446</v>
      </c>
      <c r="B4441" s="3">
        <v>1</v>
      </c>
    </row>
    <row r="4442" spans="1:2">
      <c r="A4442" s="2" t="s">
        <v>13449</v>
      </c>
      <c r="B4442" s="3">
        <v>1</v>
      </c>
    </row>
    <row r="4443" spans="1:2">
      <c r="A4443" s="2" t="s">
        <v>13464</v>
      </c>
      <c r="B4443" s="3">
        <v>1</v>
      </c>
    </row>
    <row r="4444" spans="1:2">
      <c r="A4444" s="2" t="s">
        <v>13467</v>
      </c>
      <c r="B4444" s="3">
        <v>1</v>
      </c>
    </row>
    <row r="4445" spans="1:2">
      <c r="A4445" s="2" t="s">
        <v>13473</v>
      </c>
      <c r="B4445" s="3">
        <v>1</v>
      </c>
    </row>
    <row r="4446" spans="1:2">
      <c r="A4446" s="2" t="s">
        <v>13488</v>
      </c>
      <c r="B4446" s="3">
        <v>1</v>
      </c>
    </row>
    <row r="4447" spans="1:2">
      <c r="A4447" s="2" t="s">
        <v>13491</v>
      </c>
      <c r="B4447" s="3">
        <v>1</v>
      </c>
    </row>
    <row r="4448" spans="1:2">
      <c r="A4448" s="2" t="s">
        <v>13497</v>
      </c>
      <c r="B4448" s="3">
        <v>1</v>
      </c>
    </row>
    <row r="4449" spans="1:2">
      <c r="A4449" s="2" t="s">
        <v>13518</v>
      </c>
      <c r="B4449" s="3">
        <v>1</v>
      </c>
    </row>
    <row r="4450" spans="1:2">
      <c r="A4450" s="2" t="s">
        <v>13524</v>
      </c>
      <c r="B4450" s="3">
        <v>1</v>
      </c>
    </row>
    <row r="4451" spans="1:2">
      <c r="A4451" s="2" t="s">
        <v>13527</v>
      </c>
      <c r="B4451" s="3">
        <v>1</v>
      </c>
    </row>
    <row r="4452" spans="1:2">
      <c r="A4452" s="2" t="s">
        <v>13536</v>
      </c>
      <c r="B4452" s="3">
        <v>1</v>
      </c>
    </row>
    <row r="4453" spans="1:2">
      <c r="A4453" s="2" t="s">
        <v>13542</v>
      </c>
      <c r="B4453" s="3">
        <v>1</v>
      </c>
    </row>
    <row r="4454" spans="1:2">
      <c r="A4454" s="2" t="s">
        <v>13557</v>
      </c>
      <c r="B4454" s="3">
        <v>1</v>
      </c>
    </row>
    <row r="4455" spans="1:2">
      <c r="A4455" s="2" t="s">
        <v>13572</v>
      </c>
      <c r="B4455" s="3">
        <v>1</v>
      </c>
    </row>
    <row r="4456" spans="1:2">
      <c r="A4456" s="2" t="s">
        <v>13575</v>
      </c>
      <c r="B4456" s="3">
        <v>1</v>
      </c>
    </row>
    <row r="4457" spans="1:2">
      <c r="A4457" s="2" t="s">
        <v>13581</v>
      </c>
      <c r="B4457" s="3">
        <v>1</v>
      </c>
    </row>
    <row r="4458" spans="1:2">
      <c r="A4458" s="2" t="s">
        <v>13593</v>
      </c>
      <c r="B4458" s="3">
        <v>1</v>
      </c>
    </row>
    <row r="4459" spans="1:2">
      <c r="A4459" s="2" t="s">
        <v>13599</v>
      </c>
      <c r="B4459" s="3">
        <v>1</v>
      </c>
    </row>
    <row r="4460" spans="1:2">
      <c r="A4460" s="2" t="s">
        <v>13611</v>
      </c>
      <c r="B4460" s="3">
        <v>1</v>
      </c>
    </row>
    <row r="4461" spans="1:2">
      <c r="A4461" s="2" t="s">
        <v>13617</v>
      </c>
      <c r="B4461" s="3">
        <v>1</v>
      </c>
    </row>
    <row r="4462" spans="1:2">
      <c r="A4462" s="2" t="s">
        <v>13620</v>
      </c>
      <c r="B4462" s="3">
        <v>1</v>
      </c>
    </row>
    <row r="4463" spans="1:2">
      <c r="A4463" s="2" t="s">
        <v>13641</v>
      </c>
      <c r="B4463" s="3">
        <v>1</v>
      </c>
    </row>
    <row r="4464" spans="1:2">
      <c r="A4464" s="2" t="s">
        <v>13647</v>
      </c>
      <c r="B4464" s="3">
        <v>1</v>
      </c>
    </row>
    <row r="4465" spans="1:2">
      <c r="A4465" s="2" t="s">
        <v>13662</v>
      </c>
      <c r="B4465" s="3">
        <v>1</v>
      </c>
    </row>
    <row r="4466" spans="1:2">
      <c r="A4466" s="2" t="s">
        <v>13674</v>
      </c>
      <c r="B4466" s="3">
        <v>1</v>
      </c>
    </row>
    <row r="4467" spans="1:2">
      <c r="A4467" s="2" t="s">
        <v>13680</v>
      </c>
      <c r="B4467" s="3">
        <v>1</v>
      </c>
    </row>
    <row r="4468" spans="1:2">
      <c r="A4468" s="2" t="s">
        <v>13692</v>
      </c>
      <c r="B4468" s="3">
        <v>1</v>
      </c>
    </row>
    <row r="4469" spans="1:2">
      <c r="A4469" s="2" t="s">
        <v>13698</v>
      </c>
      <c r="B4469" s="3">
        <v>1</v>
      </c>
    </row>
    <row r="4470" spans="1:2">
      <c r="A4470" s="2" t="s">
        <v>13026</v>
      </c>
      <c r="B4470" s="3">
        <v>1</v>
      </c>
    </row>
    <row r="4471" spans="1:2">
      <c r="A4471" s="2" t="s">
        <v>13032</v>
      </c>
      <c r="B4471" s="3">
        <v>1</v>
      </c>
    </row>
    <row r="4472" spans="1:2">
      <c r="A4472" s="2" t="s">
        <v>13041</v>
      </c>
      <c r="B4472" s="3">
        <v>1</v>
      </c>
    </row>
    <row r="4473" spans="1:2">
      <c r="A4473" s="2" t="s">
        <v>13047</v>
      </c>
      <c r="B4473" s="3">
        <v>1</v>
      </c>
    </row>
    <row r="4474" spans="1:2">
      <c r="A4474" s="2" t="s">
        <v>13056</v>
      </c>
      <c r="B4474" s="3">
        <v>1</v>
      </c>
    </row>
    <row r="4475" spans="1:2">
      <c r="A4475" s="2" t="s">
        <v>13065</v>
      </c>
      <c r="B4475" s="3">
        <v>1</v>
      </c>
    </row>
    <row r="4476" spans="1:2">
      <c r="A4476" s="2" t="s">
        <v>13077</v>
      </c>
      <c r="B4476" s="3">
        <v>1</v>
      </c>
    </row>
    <row r="4477" spans="1:2">
      <c r="A4477" s="2" t="s">
        <v>13092</v>
      </c>
      <c r="B4477" s="3">
        <v>1</v>
      </c>
    </row>
    <row r="4478" spans="1:2">
      <c r="A4478" s="2" t="s">
        <v>13101</v>
      </c>
      <c r="B4478" s="3">
        <v>1</v>
      </c>
    </row>
    <row r="4479" spans="1:2">
      <c r="A4479" s="2" t="s">
        <v>13110</v>
      </c>
      <c r="B4479" s="3">
        <v>1</v>
      </c>
    </row>
    <row r="4480" spans="1:2">
      <c r="A4480" s="2" t="s">
        <v>13122</v>
      </c>
      <c r="B4480" s="3">
        <v>1</v>
      </c>
    </row>
    <row r="4481" spans="1:2">
      <c r="A4481" s="2" t="s">
        <v>13128</v>
      </c>
      <c r="B4481" s="3">
        <v>1</v>
      </c>
    </row>
    <row r="4482" spans="1:2">
      <c r="A4482" s="2" t="s">
        <v>13140</v>
      </c>
      <c r="B4482" s="3">
        <v>1</v>
      </c>
    </row>
    <row r="4483" spans="1:2">
      <c r="A4483" s="2" t="s">
        <v>13146</v>
      </c>
      <c r="B4483" s="3">
        <v>1</v>
      </c>
    </row>
    <row r="4484" spans="1:2">
      <c r="A4484" s="2" t="s">
        <v>13155</v>
      </c>
      <c r="B4484" s="3">
        <v>1</v>
      </c>
    </row>
    <row r="4485" spans="1:2">
      <c r="A4485" s="2" t="s">
        <v>13164</v>
      </c>
      <c r="B4485" s="3">
        <v>1</v>
      </c>
    </row>
    <row r="4486" spans="1:2">
      <c r="A4486" s="2" t="s">
        <v>13167</v>
      </c>
      <c r="B4486" s="3">
        <v>1</v>
      </c>
    </row>
    <row r="4487" spans="1:2">
      <c r="A4487" s="2" t="s">
        <v>13179</v>
      </c>
      <c r="B4487" s="3">
        <v>1</v>
      </c>
    </row>
    <row r="4488" spans="1:2">
      <c r="A4488" s="2" t="s">
        <v>13182</v>
      </c>
      <c r="B4488" s="3">
        <v>1</v>
      </c>
    </row>
    <row r="4489" spans="1:2">
      <c r="A4489" s="2" t="s">
        <v>13185</v>
      </c>
      <c r="B4489" s="3">
        <v>1</v>
      </c>
    </row>
    <row r="4490" spans="1:2">
      <c r="A4490" s="2" t="s">
        <v>13194</v>
      </c>
      <c r="B4490" s="3">
        <v>1</v>
      </c>
    </row>
    <row r="4491" spans="1:2">
      <c r="A4491" s="2" t="s">
        <v>13203</v>
      </c>
      <c r="B4491" s="3">
        <v>1</v>
      </c>
    </row>
    <row r="4492" spans="1:2">
      <c r="A4492" s="2" t="s">
        <v>13218</v>
      </c>
      <c r="B4492" s="3">
        <v>1</v>
      </c>
    </row>
    <row r="4493" spans="1:2">
      <c r="A4493" s="2" t="s">
        <v>13227</v>
      </c>
      <c r="B4493" s="3">
        <v>1</v>
      </c>
    </row>
    <row r="4494" spans="1:2">
      <c r="A4494" s="2" t="s">
        <v>13230</v>
      </c>
      <c r="B4494" s="3">
        <v>1</v>
      </c>
    </row>
    <row r="4495" spans="1:2">
      <c r="A4495" s="2" t="s">
        <v>13242</v>
      </c>
      <c r="B4495" s="3">
        <v>1</v>
      </c>
    </row>
    <row r="4496" spans="1:2">
      <c r="A4496" s="2" t="s">
        <v>13248</v>
      </c>
      <c r="B4496" s="3">
        <v>1</v>
      </c>
    </row>
    <row r="4497" spans="1:2">
      <c r="A4497" s="2" t="s">
        <v>13260</v>
      </c>
      <c r="B4497" s="3">
        <v>1</v>
      </c>
    </row>
    <row r="4498" spans="1:2">
      <c r="A4498" s="2" t="s">
        <v>13269</v>
      </c>
      <c r="B4498" s="3">
        <v>1</v>
      </c>
    </row>
    <row r="4499" spans="1:2">
      <c r="A4499" s="2" t="s">
        <v>13278</v>
      </c>
      <c r="B4499" s="3">
        <v>1</v>
      </c>
    </row>
    <row r="4500" spans="1:2">
      <c r="A4500" s="2" t="s">
        <v>13281</v>
      </c>
      <c r="B4500" s="3">
        <v>1</v>
      </c>
    </row>
    <row r="4501" spans="1:2">
      <c r="A4501" s="2" t="s">
        <v>13290</v>
      </c>
      <c r="B4501" s="3">
        <v>1</v>
      </c>
    </row>
    <row r="4502" spans="1:2">
      <c r="A4502" s="2" t="s">
        <v>13302</v>
      </c>
      <c r="B4502" s="3">
        <v>1</v>
      </c>
    </row>
    <row r="4503" spans="1:2">
      <c r="A4503" s="2" t="s">
        <v>13308</v>
      </c>
      <c r="B4503" s="3">
        <v>1</v>
      </c>
    </row>
    <row r="4504" spans="1:2">
      <c r="A4504" s="2" t="s">
        <v>13311</v>
      </c>
      <c r="B4504" s="3">
        <v>1</v>
      </c>
    </row>
    <row r="4505" spans="1:2">
      <c r="A4505" s="2" t="s">
        <v>13320</v>
      </c>
      <c r="B4505" s="3">
        <v>1</v>
      </c>
    </row>
    <row r="4506" spans="1:2">
      <c r="A4506" s="2" t="s">
        <v>13329</v>
      </c>
      <c r="B4506" s="3">
        <v>1</v>
      </c>
    </row>
    <row r="4507" spans="1:2">
      <c r="A4507" s="2" t="s">
        <v>13338</v>
      </c>
      <c r="B4507" s="3">
        <v>1</v>
      </c>
    </row>
    <row r="4508" spans="1:2">
      <c r="A4508" s="2" t="s">
        <v>13347</v>
      </c>
      <c r="B4508" s="3">
        <v>1</v>
      </c>
    </row>
    <row r="4509" spans="1:2">
      <c r="A4509" s="2" t="s">
        <v>13356</v>
      </c>
      <c r="B4509" s="3">
        <v>1</v>
      </c>
    </row>
    <row r="4510" spans="1:2">
      <c r="A4510" s="2" t="s">
        <v>13362</v>
      </c>
      <c r="B4510" s="3">
        <v>1</v>
      </c>
    </row>
    <row r="4511" spans="1:2">
      <c r="A4511" s="2" t="s">
        <v>13371</v>
      </c>
      <c r="B4511" s="3">
        <v>1</v>
      </c>
    </row>
    <row r="4512" spans="1:2">
      <c r="A4512" s="2" t="s">
        <v>13380</v>
      </c>
      <c r="B4512" s="3">
        <v>1</v>
      </c>
    </row>
    <row r="4513" spans="1:2">
      <c r="A4513" s="2" t="s">
        <v>13386</v>
      </c>
      <c r="B4513" s="3">
        <v>1</v>
      </c>
    </row>
    <row r="4514" spans="1:2">
      <c r="A4514" s="2" t="s">
        <v>13398</v>
      </c>
      <c r="B4514" s="3">
        <v>1</v>
      </c>
    </row>
    <row r="4515" spans="1:2">
      <c r="A4515" s="2" t="s">
        <v>13404</v>
      </c>
      <c r="B4515" s="3">
        <v>1</v>
      </c>
    </row>
    <row r="4516" spans="1:2">
      <c r="A4516" s="2" t="s">
        <v>13419</v>
      </c>
      <c r="B4516" s="3">
        <v>1</v>
      </c>
    </row>
    <row r="4517" spans="1:2">
      <c r="A4517" s="2" t="s">
        <v>13425</v>
      </c>
      <c r="B4517" s="3">
        <v>1</v>
      </c>
    </row>
    <row r="4518" spans="1:2">
      <c r="A4518" s="2" t="s">
        <v>13434</v>
      </c>
      <c r="B4518" s="3">
        <v>1</v>
      </c>
    </row>
    <row r="4519" spans="1:2">
      <c r="A4519" s="2" t="s">
        <v>13440</v>
      </c>
      <c r="B4519" s="3">
        <v>1</v>
      </c>
    </row>
    <row r="4520" spans="1:2">
      <c r="A4520" s="2" t="s">
        <v>13452</v>
      </c>
      <c r="B4520" s="3">
        <v>1</v>
      </c>
    </row>
    <row r="4521" spans="1:2">
      <c r="A4521" s="2" t="s">
        <v>13458</v>
      </c>
      <c r="B4521" s="3">
        <v>1</v>
      </c>
    </row>
    <row r="4522" spans="1:2">
      <c r="A4522" s="2" t="s">
        <v>13470</v>
      </c>
      <c r="B4522" s="3">
        <v>1</v>
      </c>
    </row>
    <row r="4523" spans="1:2">
      <c r="A4523" s="2" t="s">
        <v>13479</v>
      </c>
      <c r="B4523" s="3">
        <v>1</v>
      </c>
    </row>
    <row r="4524" spans="1:2">
      <c r="A4524" s="2" t="s">
        <v>13494</v>
      </c>
      <c r="B4524" s="3">
        <v>1</v>
      </c>
    </row>
    <row r="4525" spans="1:2">
      <c r="A4525" s="2" t="s">
        <v>13506</v>
      </c>
      <c r="B4525" s="3">
        <v>1</v>
      </c>
    </row>
    <row r="4526" spans="1:2">
      <c r="A4526" s="2" t="s">
        <v>13509</v>
      </c>
      <c r="B4526" s="3">
        <v>1</v>
      </c>
    </row>
    <row r="4527" spans="1:2">
      <c r="A4527" s="2" t="s">
        <v>13521</v>
      </c>
      <c r="B4527" s="3">
        <v>1</v>
      </c>
    </row>
    <row r="4528" spans="1:2">
      <c r="A4528" s="2" t="s">
        <v>13530</v>
      </c>
      <c r="B4528" s="3">
        <v>1</v>
      </c>
    </row>
    <row r="4529" spans="1:2">
      <c r="A4529" s="2" t="s">
        <v>13539</v>
      </c>
      <c r="B4529" s="3">
        <v>1</v>
      </c>
    </row>
    <row r="4530" spans="1:2">
      <c r="A4530" s="2" t="s">
        <v>13548</v>
      </c>
      <c r="B4530" s="3">
        <v>1</v>
      </c>
    </row>
    <row r="4531" spans="1:2">
      <c r="A4531" s="2" t="s">
        <v>13560</v>
      </c>
      <c r="B4531" s="3">
        <v>1</v>
      </c>
    </row>
    <row r="4532" spans="1:2">
      <c r="A4532" s="2" t="s">
        <v>13566</v>
      </c>
      <c r="B4532" s="3">
        <v>1</v>
      </c>
    </row>
    <row r="4533" spans="1:2">
      <c r="A4533" s="2" t="s">
        <v>13578</v>
      </c>
      <c r="B4533" s="3">
        <v>1</v>
      </c>
    </row>
    <row r="4534" spans="1:2">
      <c r="A4534" s="2" t="s">
        <v>13587</v>
      </c>
      <c r="B4534" s="3">
        <v>1</v>
      </c>
    </row>
    <row r="4535" spans="1:2">
      <c r="A4535" s="2" t="s">
        <v>13596</v>
      </c>
      <c r="B4535" s="3">
        <v>1</v>
      </c>
    </row>
    <row r="4536" spans="1:2">
      <c r="A4536" s="2" t="s">
        <v>13605</v>
      </c>
      <c r="B4536" s="3">
        <v>1</v>
      </c>
    </row>
    <row r="4537" spans="1:2">
      <c r="A4537" s="2" t="s">
        <v>13614</v>
      </c>
      <c r="B4537" s="3">
        <v>1</v>
      </c>
    </row>
    <row r="4538" spans="1:2">
      <c r="A4538" s="2" t="s">
        <v>13635</v>
      </c>
      <c r="B4538" s="3">
        <v>1</v>
      </c>
    </row>
    <row r="4539" spans="1:2">
      <c r="A4539" s="2" t="s">
        <v>13644</v>
      </c>
      <c r="B4539" s="3">
        <v>1</v>
      </c>
    </row>
    <row r="4540" spans="1:2">
      <c r="A4540" s="2" t="s">
        <v>13653</v>
      </c>
      <c r="B4540" s="3">
        <v>1</v>
      </c>
    </row>
    <row r="4541" spans="1:2">
      <c r="A4541" s="2" t="s">
        <v>13665</v>
      </c>
      <c r="B4541" s="3">
        <v>1</v>
      </c>
    </row>
    <row r="4542" spans="1:2">
      <c r="A4542" s="2" t="s">
        <v>13671</v>
      </c>
      <c r="B4542" s="3">
        <v>1</v>
      </c>
    </row>
    <row r="4543" spans="1:2">
      <c r="A4543" s="2" t="s">
        <v>13677</v>
      </c>
      <c r="B4543" s="3">
        <v>1</v>
      </c>
    </row>
    <row r="4544" spans="1:2">
      <c r="A4544" s="2" t="s">
        <v>13689</v>
      </c>
      <c r="B4544" s="3">
        <v>1</v>
      </c>
    </row>
    <row r="4545" spans="1:2">
      <c r="A4545" s="2" t="s">
        <v>13695</v>
      </c>
      <c r="B4545" s="3">
        <v>1</v>
      </c>
    </row>
    <row r="4546" spans="1:2">
      <c r="A4546" s="2" t="s">
        <v>13704</v>
      </c>
      <c r="B4546" s="3">
        <v>1</v>
      </c>
    </row>
    <row r="4547" spans="1:2">
      <c r="A4547" s="2" t="s">
        <v>13713</v>
      </c>
      <c r="B4547" s="3">
        <v>1</v>
      </c>
    </row>
    <row r="4548" spans="1:2">
      <c r="A4548" s="2" t="s">
        <v>13722</v>
      </c>
      <c r="B4548" s="3">
        <v>1</v>
      </c>
    </row>
    <row r="4549" spans="1:2">
      <c r="A4549" s="2" t="s">
        <v>13737</v>
      </c>
      <c r="B4549" s="3">
        <v>1</v>
      </c>
    </row>
    <row r="4550" spans="1:2">
      <c r="A4550" s="2" t="s">
        <v>13743</v>
      </c>
      <c r="B4550" s="3">
        <v>1</v>
      </c>
    </row>
    <row r="4551" spans="1:2">
      <c r="A4551" s="2" t="s">
        <v>13749</v>
      </c>
      <c r="B4551" s="3">
        <v>1</v>
      </c>
    </row>
    <row r="4552" spans="1:2">
      <c r="A4552" s="2" t="s">
        <v>13764</v>
      </c>
      <c r="B4552" s="3">
        <v>1</v>
      </c>
    </row>
    <row r="4553" spans="1:2">
      <c r="A4553" s="2" t="s">
        <v>13779</v>
      </c>
      <c r="B4553" s="3">
        <v>1</v>
      </c>
    </row>
    <row r="4554" spans="1:2">
      <c r="A4554" s="2" t="s">
        <v>13788</v>
      </c>
      <c r="B4554" s="3">
        <v>1</v>
      </c>
    </row>
    <row r="4555" spans="1:2">
      <c r="A4555" s="2" t="s">
        <v>13794</v>
      </c>
      <c r="B4555" s="3">
        <v>1</v>
      </c>
    </row>
    <row r="4556" spans="1:2">
      <c r="A4556" s="2" t="s">
        <v>13800</v>
      </c>
      <c r="B4556" s="3">
        <v>1</v>
      </c>
    </row>
    <row r="4557" spans="1:2">
      <c r="A4557" s="2" t="s">
        <v>13803</v>
      </c>
      <c r="B4557" s="3">
        <v>1</v>
      </c>
    </row>
    <row r="4558" spans="1:2">
      <c r="A4558" s="2" t="s">
        <v>13809</v>
      </c>
      <c r="B4558" s="3">
        <v>1</v>
      </c>
    </row>
    <row r="4559" spans="1:2">
      <c r="A4559" s="2" t="s">
        <v>13818</v>
      </c>
      <c r="B4559" s="3">
        <v>1</v>
      </c>
    </row>
    <row r="4560" spans="1:2">
      <c r="A4560" s="2" t="s">
        <v>13827</v>
      </c>
      <c r="B4560" s="3">
        <v>1</v>
      </c>
    </row>
    <row r="4561" spans="1:2">
      <c r="A4561" s="2" t="s">
        <v>13836</v>
      </c>
      <c r="B4561" s="3">
        <v>1</v>
      </c>
    </row>
    <row r="4562" spans="1:2">
      <c r="A4562" s="2" t="s">
        <v>13854</v>
      </c>
      <c r="B4562" s="3">
        <v>1</v>
      </c>
    </row>
    <row r="4563" spans="1:2">
      <c r="A4563" s="2" t="s">
        <v>13860</v>
      </c>
      <c r="B4563" s="3">
        <v>1</v>
      </c>
    </row>
    <row r="4564" spans="1:2">
      <c r="A4564" s="2" t="s">
        <v>13866</v>
      </c>
      <c r="B4564" s="3">
        <v>1</v>
      </c>
    </row>
    <row r="4565" spans="1:2">
      <c r="A4565" s="2" t="s">
        <v>13875</v>
      </c>
      <c r="B4565" s="3">
        <v>1</v>
      </c>
    </row>
    <row r="4566" spans="1:2">
      <c r="A4566" s="2" t="s">
        <v>13887</v>
      </c>
      <c r="B4566" s="3">
        <v>1</v>
      </c>
    </row>
    <row r="4567" spans="1:2">
      <c r="A4567" s="2" t="s">
        <v>13554</v>
      </c>
      <c r="B4567" s="3">
        <v>1</v>
      </c>
    </row>
    <row r="4568" spans="1:2">
      <c r="A4568" s="2" t="s">
        <v>13563</v>
      </c>
      <c r="B4568" s="3">
        <v>1</v>
      </c>
    </row>
    <row r="4569" spans="1:2">
      <c r="A4569" s="2" t="s">
        <v>13569</v>
      </c>
      <c r="B4569" s="3">
        <v>1</v>
      </c>
    </row>
    <row r="4570" spans="1:2">
      <c r="A4570" s="2" t="s">
        <v>13584</v>
      </c>
      <c r="B4570" s="3">
        <v>1</v>
      </c>
    </row>
    <row r="4571" spans="1:2">
      <c r="A4571" s="2" t="s">
        <v>13590</v>
      </c>
      <c r="B4571" s="3">
        <v>1</v>
      </c>
    </row>
    <row r="4572" spans="1:2">
      <c r="A4572" s="2" t="s">
        <v>13602</v>
      </c>
      <c r="B4572" s="3">
        <v>1</v>
      </c>
    </row>
    <row r="4573" spans="1:2">
      <c r="A4573" s="2" t="s">
        <v>13608</v>
      </c>
      <c r="B4573" s="3">
        <v>1</v>
      </c>
    </row>
    <row r="4574" spans="1:2">
      <c r="A4574" s="2" t="s">
        <v>13623</v>
      </c>
      <c r="B4574" s="3">
        <v>1</v>
      </c>
    </row>
    <row r="4575" spans="1:2">
      <c r="A4575" s="2" t="s">
        <v>13626</v>
      </c>
      <c r="B4575" s="3">
        <v>1</v>
      </c>
    </row>
    <row r="4576" spans="1:2">
      <c r="A4576" s="2" t="s">
        <v>13629</v>
      </c>
      <c r="B4576" s="3">
        <v>1</v>
      </c>
    </row>
    <row r="4577" spans="1:2">
      <c r="A4577" s="2" t="s">
        <v>13632</v>
      </c>
      <c r="B4577" s="3">
        <v>1</v>
      </c>
    </row>
    <row r="4578" spans="1:2">
      <c r="A4578" s="2" t="s">
        <v>13638</v>
      </c>
      <c r="B4578" s="3">
        <v>1</v>
      </c>
    </row>
    <row r="4579" spans="1:2">
      <c r="A4579" s="2" t="s">
        <v>13650</v>
      </c>
      <c r="B4579" s="3">
        <v>1</v>
      </c>
    </row>
    <row r="4580" spans="1:2">
      <c r="A4580" s="2" t="s">
        <v>13656</v>
      </c>
      <c r="B4580" s="3">
        <v>1</v>
      </c>
    </row>
    <row r="4581" spans="1:2">
      <c r="A4581" s="2" t="s">
        <v>13659</v>
      </c>
      <c r="B4581" s="3">
        <v>1</v>
      </c>
    </row>
    <row r="4582" spans="1:2">
      <c r="A4582" s="2" t="s">
        <v>13668</v>
      </c>
      <c r="B4582" s="3">
        <v>1</v>
      </c>
    </row>
    <row r="4583" spans="1:2">
      <c r="A4583" s="2" t="s">
        <v>13683</v>
      </c>
      <c r="B4583" s="3">
        <v>1</v>
      </c>
    </row>
    <row r="4584" spans="1:2">
      <c r="A4584" s="2" t="s">
        <v>13686</v>
      </c>
      <c r="B4584" s="3">
        <v>1</v>
      </c>
    </row>
    <row r="4585" spans="1:2">
      <c r="A4585" s="2" t="s">
        <v>13701</v>
      </c>
      <c r="B4585" s="3">
        <v>1</v>
      </c>
    </row>
    <row r="4586" spans="1:2">
      <c r="A4586" s="2" t="s">
        <v>13707</v>
      </c>
      <c r="B4586" s="3">
        <v>1</v>
      </c>
    </row>
    <row r="4587" spans="1:2">
      <c r="A4587" s="2" t="s">
        <v>13719</v>
      </c>
      <c r="B4587" s="3">
        <v>1</v>
      </c>
    </row>
    <row r="4588" spans="1:2">
      <c r="A4588" s="2" t="s">
        <v>13725</v>
      </c>
      <c r="B4588" s="3">
        <v>1</v>
      </c>
    </row>
    <row r="4589" spans="1:2">
      <c r="A4589" s="2" t="s">
        <v>13728</v>
      </c>
      <c r="B4589" s="3">
        <v>1</v>
      </c>
    </row>
    <row r="4590" spans="1:2">
      <c r="A4590" s="2" t="s">
        <v>13740</v>
      </c>
      <c r="B4590" s="3">
        <v>1</v>
      </c>
    </row>
    <row r="4591" spans="1:2">
      <c r="A4591" s="2" t="s">
        <v>13758</v>
      </c>
      <c r="B4591" s="3">
        <v>1</v>
      </c>
    </row>
    <row r="4592" spans="1:2">
      <c r="A4592" s="2" t="s">
        <v>13761</v>
      </c>
      <c r="B4592" s="3">
        <v>1</v>
      </c>
    </row>
    <row r="4593" spans="1:2">
      <c r="A4593" s="2" t="s">
        <v>13767</v>
      </c>
      <c r="B4593" s="3">
        <v>1</v>
      </c>
    </row>
    <row r="4594" spans="1:2">
      <c r="A4594" s="2" t="s">
        <v>13770</v>
      </c>
      <c r="B4594" s="3">
        <v>1</v>
      </c>
    </row>
    <row r="4595" spans="1:2">
      <c r="A4595" s="2" t="s">
        <v>13785</v>
      </c>
      <c r="B4595" s="3">
        <v>1</v>
      </c>
    </row>
    <row r="4596" spans="1:2">
      <c r="A4596" s="2" t="s">
        <v>13791</v>
      </c>
      <c r="B4596" s="3">
        <v>1</v>
      </c>
    </row>
    <row r="4597" spans="1:2">
      <c r="A4597" s="2" t="s">
        <v>13806</v>
      </c>
      <c r="B4597" s="3">
        <v>1</v>
      </c>
    </row>
    <row r="4598" spans="1:2">
      <c r="A4598" s="2" t="s">
        <v>13812</v>
      </c>
      <c r="B4598" s="3">
        <v>1</v>
      </c>
    </row>
    <row r="4599" spans="1:2">
      <c r="A4599" s="2" t="s">
        <v>13824</v>
      </c>
      <c r="B4599" s="3">
        <v>1</v>
      </c>
    </row>
    <row r="4600" spans="1:2">
      <c r="A4600" s="2" t="s">
        <v>13830</v>
      </c>
      <c r="B4600" s="3">
        <v>1</v>
      </c>
    </row>
    <row r="4601" spans="1:2">
      <c r="A4601" s="2" t="s">
        <v>13845</v>
      </c>
      <c r="B4601" s="3">
        <v>1</v>
      </c>
    </row>
    <row r="4602" spans="1:2">
      <c r="A4602" s="2" t="s">
        <v>13848</v>
      </c>
      <c r="B4602" s="3">
        <v>1</v>
      </c>
    </row>
    <row r="4603" spans="1:2">
      <c r="A4603" s="2" t="s">
        <v>13851</v>
      </c>
      <c r="B4603" s="3">
        <v>1</v>
      </c>
    </row>
    <row r="4604" spans="1:2">
      <c r="A4604" s="2" t="s">
        <v>13857</v>
      </c>
      <c r="B4604" s="3">
        <v>1</v>
      </c>
    </row>
    <row r="4605" spans="1:2">
      <c r="A4605" s="2" t="s">
        <v>13872</v>
      </c>
      <c r="B4605" s="3">
        <v>1</v>
      </c>
    </row>
    <row r="4606" spans="1:2">
      <c r="A4606" s="2" t="s">
        <v>13878</v>
      </c>
      <c r="B4606" s="3">
        <v>1</v>
      </c>
    </row>
    <row r="4607" spans="1:2">
      <c r="A4607" s="2" t="s">
        <v>13881</v>
      </c>
      <c r="B4607" s="3">
        <v>1</v>
      </c>
    </row>
    <row r="4608" spans="1:2">
      <c r="A4608" s="2" t="s">
        <v>13896</v>
      </c>
      <c r="B4608" s="3">
        <v>1</v>
      </c>
    </row>
    <row r="4609" spans="1:2">
      <c r="A4609" s="2" t="s">
        <v>13902</v>
      </c>
      <c r="B4609" s="3">
        <v>1</v>
      </c>
    </row>
    <row r="4610" spans="1:2">
      <c r="A4610" s="2" t="s">
        <v>13905</v>
      </c>
      <c r="B4610" s="3">
        <v>1</v>
      </c>
    </row>
    <row r="4611" spans="1:2">
      <c r="A4611" s="2" t="s">
        <v>13917</v>
      </c>
      <c r="B4611" s="3">
        <v>1</v>
      </c>
    </row>
    <row r="4612" spans="1:2">
      <c r="A4612" s="2" t="s">
        <v>13920</v>
      </c>
      <c r="B4612" s="3">
        <v>1</v>
      </c>
    </row>
    <row r="4613" spans="1:2">
      <c r="A4613" s="2" t="s">
        <v>13935</v>
      </c>
      <c r="B4613" s="3">
        <v>1</v>
      </c>
    </row>
    <row r="4614" spans="1:2">
      <c r="A4614" s="2" t="s">
        <v>13944</v>
      </c>
      <c r="B4614" s="3">
        <v>1</v>
      </c>
    </row>
    <row r="4615" spans="1:2">
      <c r="A4615" s="2" t="s">
        <v>13956</v>
      </c>
      <c r="B4615" s="3">
        <v>1</v>
      </c>
    </row>
    <row r="4616" spans="1:2">
      <c r="A4616" s="2" t="s">
        <v>13962</v>
      </c>
      <c r="B4616" s="3">
        <v>1</v>
      </c>
    </row>
    <row r="4617" spans="1:2">
      <c r="A4617" s="2" t="s">
        <v>13974</v>
      </c>
      <c r="B4617" s="3">
        <v>1</v>
      </c>
    </row>
    <row r="4618" spans="1:2">
      <c r="A4618" s="2" t="s">
        <v>13980</v>
      </c>
      <c r="B4618" s="3">
        <v>1</v>
      </c>
    </row>
    <row r="4619" spans="1:2">
      <c r="A4619" s="2" t="s">
        <v>13986</v>
      </c>
      <c r="B4619" s="3">
        <v>1</v>
      </c>
    </row>
    <row r="4620" spans="1:2">
      <c r="A4620" s="2" t="s">
        <v>14001</v>
      </c>
      <c r="B4620" s="3">
        <v>1</v>
      </c>
    </row>
    <row r="4621" spans="1:2">
      <c r="A4621" s="2" t="s">
        <v>14007</v>
      </c>
      <c r="B4621" s="3">
        <v>1</v>
      </c>
    </row>
    <row r="4622" spans="1:2">
      <c r="A4622" s="2" t="s">
        <v>14019</v>
      </c>
      <c r="B4622" s="3">
        <v>1</v>
      </c>
    </row>
    <row r="4623" spans="1:2">
      <c r="A4623" s="2" t="s">
        <v>14028</v>
      </c>
      <c r="B4623" s="3">
        <v>1</v>
      </c>
    </row>
    <row r="4624" spans="1:2">
      <c r="A4624" s="2" t="s">
        <v>14040</v>
      </c>
      <c r="B4624" s="3">
        <v>1</v>
      </c>
    </row>
    <row r="4625" spans="1:2">
      <c r="A4625" s="2" t="s">
        <v>14046</v>
      </c>
      <c r="B4625" s="3">
        <v>1</v>
      </c>
    </row>
    <row r="4626" spans="1:2">
      <c r="A4626" s="2" t="s">
        <v>14058</v>
      </c>
      <c r="B4626" s="3">
        <v>1</v>
      </c>
    </row>
    <row r="4627" spans="1:2">
      <c r="A4627" s="2" t="s">
        <v>14061</v>
      </c>
      <c r="B4627" s="3">
        <v>1</v>
      </c>
    </row>
    <row r="4628" spans="1:2">
      <c r="A4628" s="2" t="s">
        <v>14070</v>
      </c>
      <c r="B4628" s="3">
        <v>1</v>
      </c>
    </row>
    <row r="4629" spans="1:2">
      <c r="A4629" s="2" t="s">
        <v>14082</v>
      </c>
      <c r="B4629" s="3">
        <v>1</v>
      </c>
    </row>
    <row r="4630" spans="1:2">
      <c r="A4630" s="2" t="s">
        <v>14088</v>
      </c>
      <c r="B4630" s="3">
        <v>1</v>
      </c>
    </row>
    <row r="4631" spans="1:2">
      <c r="A4631" s="2" t="s">
        <v>14091</v>
      </c>
      <c r="B4631" s="3">
        <v>1</v>
      </c>
    </row>
    <row r="4632" spans="1:2">
      <c r="A4632" s="2" t="s">
        <v>14103</v>
      </c>
      <c r="B4632" s="3">
        <v>1</v>
      </c>
    </row>
    <row r="4633" spans="1:2">
      <c r="A4633" s="2" t="s">
        <v>14112</v>
      </c>
      <c r="B4633" s="3">
        <v>1</v>
      </c>
    </row>
    <row r="4634" spans="1:2">
      <c r="A4634" s="2" t="s">
        <v>14127</v>
      </c>
      <c r="B4634" s="3">
        <v>1</v>
      </c>
    </row>
    <row r="4635" spans="1:2">
      <c r="A4635" s="2" t="s">
        <v>14133</v>
      </c>
      <c r="B4635" s="3">
        <v>1</v>
      </c>
    </row>
    <row r="4636" spans="1:2">
      <c r="A4636" s="2" t="s">
        <v>14145</v>
      </c>
      <c r="B4636" s="3">
        <v>1</v>
      </c>
    </row>
    <row r="4637" spans="1:2">
      <c r="A4637" s="2" t="s">
        <v>14151</v>
      </c>
      <c r="B4637" s="3">
        <v>1</v>
      </c>
    </row>
    <row r="4638" spans="1:2">
      <c r="A4638" s="2" t="s">
        <v>14154</v>
      </c>
      <c r="B4638" s="3">
        <v>1</v>
      </c>
    </row>
    <row r="4639" spans="1:2">
      <c r="A4639" s="2" t="s">
        <v>14172</v>
      </c>
      <c r="B4639" s="3">
        <v>1</v>
      </c>
    </row>
    <row r="4640" spans="1:2">
      <c r="A4640" s="2" t="s">
        <v>14178</v>
      </c>
      <c r="B4640" s="3">
        <v>1</v>
      </c>
    </row>
    <row r="4641" spans="1:2">
      <c r="A4641" s="2" t="s">
        <v>14193</v>
      </c>
      <c r="B4641" s="3">
        <v>1</v>
      </c>
    </row>
    <row r="4642" spans="1:2">
      <c r="A4642" s="2" t="s">
        <v>14199</v>
      </c>
      <c r="B4642" s="3">
        <v>1</v>
      </c>
    </row>
    <row r="4643" spans="1:2">
      <c r="A4643" s="2" t="s">
        <v>14205</v>
      </c>
      <c r="B4643" s="3">
        <v>1</v>
      </c>
    </row>
    <row r="4644" spans="1:2">
      <c r="A4644" s="2" t="s">
        <v>14217</v>
      </c>
      <c r="B4644" s="3">
        <v>1</v>
      </c>
    </row>
    <row r="4645" spans="1:2">
      <c r="A4645" s="2" t="s">
        <v>14223</v>
      </c>
      <c r="B4645" s="3">
        <v>1</v>
      </c>
    </row>
    <row r="4646" spans="1:2">
      <c r="A4646" s="2" t="s">
        <v>14226</v>
      </c>
      <c r="B4646" s="3">
        <v>1</v>
      </c>
    </row>
    <row r="4647" spans="1:2">
      <c r="A4647" s="2" t="s">
        <v>14238</v>
      </c>
      <c r="B4647" s="3">
        <v>1</v>
      </c>
    </row>
    <row r="4648" spans="1:2">
      <c r="A4648" s="2" t="s">
        <v>14244</v>
      </c>
      <c r="B4648" s="3">
        <v>1</v>
      </c>
    </row>
    <row r="4649" spans="1:2">
      <c r="A4649" s="2" t="s">
        <v>14250</v>
      </c>
      <c r="B4649" s="3">
        <v>1</v>
      </c>
    </row>
    <row r="4650" spans="1:2">
      <c r="A4650" s="2" t="s">
        <v>14262</v>
      </c>
      <c r="B4650" s="3">
        <v>1</v>
      </c>
    </row>
    <row r="4651" spans="1:2">
      <c r="A4651" s="2" t="s">
        <v>14265</v>
      </c>
      <c r="B4651" s="3">
        <v>1</v>
      </c>
    </row>
    <row r="4652" spans="1:2">
      <c r="A4652" s="2" t="s">
        <v>14271</v>
      </c>
      <c r="B4652" s="3">
        <v>1</v>
      </c>
    </row>
    <row r="4653" spans="1:2">
      <c r="A4653" s="2" t="s">
        <v>14280</v>
      </c>
      <c r="B4653" s="3">
        <v>1</v>
      </c>
    </row>
    <row r="4654" spans="1:2">
      <c r="A4654" s="2" t="s">
        <v>14286</v>
      </c>
      <c r="B4654" s="3">
        <v>1</v>
      </c>
    </row>
    <row r="4655" spans="1:2">
      <c r="A4655" s="2" t="s">
        <v>14289</v>
      </c>
      <c r="B4655" s="3">
        <v>1</v>
      </c>
    </row>
    <row r="4656" spans="1:2">
      <c r="A4656" s="2" t="s">
        <v>14301</v>
      </c>
      <c r="B4656" s="3">
        <v>1</v>
      </c>
    </row>
    <row r="4657" spans="1:2">
      <c r="A4657" s="2" t="s">
        <v>14307</v>
      </c>
      <c r="B4657" s="3">
        <v>1</v>
      </c>
    </row>
    <row r="4658" spans="1:2">
      <c r="A4658" s="2" t="s">
        <v>14319</v>
      </c>
      <c r="B4658" s="3">
        <v>1</v>
      </c>
    </row>
    <row r="4659" spans="1:2">
      <c r="A4659" s="2" t="s">
        <v>14325</v>
      </c>
      <c r="B4659" s="3">
        <v>1</v>
      </c>
    </row>
    <row r="4660" spans="1:2">
      <c r="A4660" s="2" t="s">
        <v>14337</v>
      </c>
      <c r="B4660" s="3">
        <v>1</v>
      </c>
    </row>
    <row r="4661" spans="1:2">
      <c r="A4661" s="2" t="s">
        <v>14352</v>
      </c>
      <c r="B4661" s="3">
        <v>1</v>
      </c>
    </row>
    <row r="4662" spans="1:2">
      <c r="A4662" s="2" t="s">
        <v>14358</v>
      </c>
      <c r="B4662" s="3">
        <v>1</v>
      </c>
    </row>
    <row r="4663" spans="1:2">
      <c r="A4663" s="2" t="s">
        <v>13710</v>
      </c>
      <c r="B4663" s="3">
        <v>1</v>
      </c>
    </row>
    <row r="4664" spans="1:2">
      <c r="A4664" s="2" t="s">
        <v>13716</v>
      </c>
      <c r="B4664" s="3">
        <v>1</v>
      </c>
    </row>
    <row r="4665" spans="1:2">
      <c r="A4665" s="2" t="s">
        <v>13731</v>
      </c>
      <c r="B4665" s="3">
        <v>1</v>
      </c>
    </row>
    <row r="4666" spans="1:2">
      <c r="A4666" s="2" t="s">
        <v>13734</v>
      </c>
      <c r="B4666" s="3">
        <v>1</v>
      </c>
    </row>
    <row r="4667" spans="1:2">
      <c r="A4667" s="2" t="s">
        <v>13746</v>
      </c>
      <c r="B4667" s="3">
        <v>1</v>
      </c>
    </row>
    <row r="4668" spans="1:2">
      <c r="A4668" s="2" t="s">
        <v>13752</v>
      </c>
      <c r="B4668" s="3">
        <v>1</v>
      </c>
    </row>
    <row r="4669" spans="1:2">
      <c r="A4669" s="2" t="s">
        <v>13755</v>
      </c>
      <c r="B4669" s="3">
        <v>1</v>
      </c>
    </row>
    <row r="4670" spans="1:2">
      <c r="A4670" s="2" t="s">
        <v>13773</v>
      </c>
      <c r="B4670" s="3">
        <v>1</v>
      </c>
    </row>
    <row r="4671" spans="1:2">
      <c r="A4671" s="2" t="s">
        <v>13776</v>
      </c>
      <c r="B4671" s="3">
        <v>1</v>
      </c>
    </row>
    <row r="4672" spans="1:2">
      <c r="A4672" s="2" t="s">
        <v>13782</v>
      </c>
      <c r="B4672" s="3">
        <v>1</v>
      </c>
    </row>
    <row r="4673" spans="1:2">
      <c r="A4673" s="2" t="s">
        <v>13797</v>
      </c>
      <c r="B4673" s="3">
        <v>1</v>
      </c>
    </row>
    <row r="4674" spans="1:2">
      <c r="A4674" s="2" t="s">
        <v>13815</v>
      </c>
      <c r="B4674" s="3">
        <v>1</v>
      </c>
    </row>
    <row r="4675" spans="1:2">
      <c r="A4675" s="2" t="s">
        <v>13821</v>
      </c>
      <c r="B4675" s="3">
        <v>1</v>
      </c>
    </row>
    <row r="4676" spans="1:2">
      <c r="A4676" s="2" t="s">
        <v>13833</v>
      </c>
      <c r="B4676" s="3">
        <v>1</v>
      </c>
    </row>
    <row r="4677" spans="1:2">
      <c r="A4677" s="2" t="s">
        <v>13839</v>
      </c>
      <c r="B4677" s="3">
        <v>1</v>
      </c>
    </row>
    <row r="4678" spans="1:2">
      <c r="A4678" s="2" t="s">
        <v>13842</v>
      </c>
      <c r="B4678" s="3">
        <v>1</v>
      </c>
    </row>
    <row r="4679" spans="1:2">
      <c r="A4679" s="2" t="s">
        <v>13863</v>
      </c>
      <c r="B4679" s="3">
        <v>1</v>
      </c>
    </row>
    <row r="4680" spans="1:2">
      <c r="A4680" s="2" t="s">
        <v>13869</v>
      </c>
      <c r="B4680" s="3">
        <v>1</v>
      </c>
    </row>
    <row r="4681" spans="1:2">
      <c r="A4681" s="2" t="s">
        <v>13884</v>
      </c>
      <c r="B4681" s="3">
        <v>1</v>
      </c>
    </row>
    <row r="4682" spans="1:2">
      <c r="A4682" s="2" t="s">
        <v>13890</v>
      </c>
      <c r="B4682" s="3">
        <v>1</v>
      </c>
    </row>
    <row r="4683" spans="1:2">
      <c r="A4683" s="2" t="s">
        <v>13893</v>
      </c>
      <c r="B4683" s="3">
        <v>1</v>
      </c>
    </row>
    <row r="4684" spans="1:2">
      <c r="A4684" s="2" t="s">
        <v>13908</v>
      </c>
      <c r="B4684" s="3">
        <v>1</v>
      </c>
    </row>
    <row r="4685" spans="1:2">
      <c r="A4685" s="2" t="s">
        <v>13914</v>
      </c>
      <c r="B4685" s="3">
        <v>1</v>
      </c>
    </row>
    <row r="4686" spans="1:2">
      <c r="A4686" s="2" t="s">
        <v>13926</v>
      </c>
      <c r="B4686" s="3">
        <v>1</v>
      </c>
    </row>
    <row r="4687" spans="1:2">
      <c r="A4687" s="2" t="s">
        <v>13932</v>
      </c>
      <c r="B4687" s="3">
        <v>1</v>
      </c>
    </row>
    <row r="4688" spans="1:2">
      <c r="A4688" s="2" t="s">
        <v>13947</v>
      </c>
      <c r="B4688" s="3">
        <v>1</v>
      </c>
    </row>
    <row r="4689" spans="1:2">
      <c r="A4689" s="2" t="s">
        <v>13953</v>
      </c>
      <c r="B4689" s="3">
        <v>1</v>
      </c>
    </row>
    <row r="4690" spans="1:2">
      <c r="A4690" s="2" t="s">
        <v>13965</v>
      </c>
      <c r="B4690" s="3">
        <v>1</v>
      </c>
    </row>
    <row r="4691" spans="1:2">
      <c r="A4691" s="2" t="s">
        <v>13971</v>
      </c>
      <c r="B4691" s="3">
        <v>1</v>
      </c>
    </row>
    <row r="4692" spans="1:2">
      <c r="A4692" s="2" t="s">
        <v>13989</v>
      </c>
      <c r="B4692" s="3">
        <v>1</v>
      </c>
    </row>
    <row r="4693" spans="1:2">
      <c r="A4693" s="2" t="s">
        <v>13995</v>
      </c>
      <c r="B4693" s="3">
        <v>1</v>
      </c>
    </row>
    <row r="4694" spans="1:2">
      <c r="A4694" s="2" t="s">
        <v>13998</v>
      </c>
      <c r="B4694" s="3">
        <v>1</v>
      </c>
    </row>
    <row r="4695" spans="1:2">
      <c r="A4695" s="2" t="s">
        <v>14010</v>
      </c>
      <c r="B4695" s="3">
        <v>1</v>
      </c>
    </row>
    <row r="4696" spans="1:2">
      <c r="A4696" s="2" t="s">
        <v>14016</v>
      </c>
      <c r="B4696" s="3">
        <v>1</v>
      </c>
    </row>
    <row r="4697" spans="1:2">
      <c r="A4697" s="2" t="s">
        <v>14031</v>
      </c>
      <c r="B4697" s="3">
        <v>1</v>
      </c>
    </row>
    <row r="4698" spans="1:2">
      <c r="A4698" s="2" t="s">
        <v>14037</v>
      </c>
      <c r="B4698" s="3">
        <v>1</v>
      </c>
    </row>
    <row r="4699" spans="1:2">
      <c r="A4699" s="2" t="s">
        <v>14049</v>
      </c>
      <c r="B4699" s="3">
        <v>1</v>
      </c>
    </row>
    <row r="4700" spans="1:2">
      <c r="A4700" s="2" t="s">
        <v>14055</v>
      </c>
      <c r="B4700" s="3">
        <v>1</v>
      </c>
    </row>
    <row r="4701" spans="1:2">
      <c r="A4701" s="2" t="s">
        <v>14073</v>
      </c>
      <c r="B4701" s="3">
        <v>1</v>
      </c>
    </row>
    <row r="4702" spans="1:2">
      <c r="A4702" s="2" t="s">
        <v>14079</v>
      </c>
      <c r="B4702" s="3">
        <v>1</v>
      </c>
    </row>
    <row r="4703" spans="1:2">
      <c r="A4703" s="2" t="s">
        <v>14094</v>
      </c>
      <c r="B4703" s="3">
        <v>1</v>
      </c>
    </row>
    <row r="4704" spans="1:2">
      <c r="A4704" s="2" t="s">
        <v>14100</v>
      </c>
      <c r="B4704" s="3">
        <v>1</v>
      </c>
    </row>
    <row r="4705" spans="1:2">
      <c r="A4705" s="2" t="s">
        <v>14115</v>
      </c>
      <c r="B4705" s="3">
        <v>1</v>
      </c>
    </row>
    <row r="4706" spans="1:2">
      <c r="A4706" s="2" t="s">
        <v>14121</v>
      </c>
      <c r="B4706" s="3">
        <v>1</v>
      </c>
    </row>
    <row r="4707" spans="1:2">
      <c r="A4707" s="2" t="s">
        <v>14136</v>
      </c>
      <c r="B4707" s="3">
        <v>1</v>
      </c>
    </row>
    <row r="4708" spans="1:2">
      <c r="A4708" s="2" t="s">
        <v>14142</v>
      </c>
      <c r="B4708" s="3">
        <v>1</v>
      </c>
    </row>
    <row r="4709" spans="1:2">
      <c r="A4709" s="2" t="s">
        <v>14157</v>
      </c>
      <c r="B4709" s="3">
        <v>1</v>
      </c>
    </row>
    <row r="4710" spans="1:2">
      <c r="A4710" s="2" t="s">
        <v>14163</v>
      </c>
      <c r="B4710" s="3">
        <v>1</v>
      </c>
    </row>
    <row r="4711" spans="1:2">
      <c r="A4711" s="2" t="s">
        <v>14169</v>
      </c>
      <c r="B4711" s="3">
        <v>1</v>
      </c>
    </row>
    <row r="4712" spans="1:2">
      <c r="A4712" s="2" t="s">
        <v>14181</v>
      </c>
      <c r="B4712" s="3">
        <v>1</v>
      </c>
    </row>
    <row r="4713" spans="1:2">
      <c r="A4713" s="2" t="s">
        <v>14184</v>
      </c>
      <c r="B4713" s="3">
        <v>1</v>
      </c>
    </row>
    <row r="4714" spans="1:2">
      <c r="A4714" s="2" t="s">
        <v>14190</v>
      </c>
      <c r="B4714" s="3">
        <v>1</v>
      </c>
    </row>
    <row r="4715" spans="1:2">
      <c r="A4715" s="2" t="s">
        <v>14208</v>
      </c>
      <c r="B4715" s="3">
        <v>1</v>
      </c>
    </row>
    <row r="4716" spans="1:2">
      <c r="A4716" s="2" t="s">
        <v>14214</v>
      </c>
      <c r="B4716" s="3">
        <v>1</v>
      </c>
    </row>
    <row r="4717" spans="1:2">
      <c r="A4717" s="2" t="s">
        <v>14229</v>
      </c>
      <c r="B4717" s="3">
        <v>1</v>
      </c>
    </row>
    <row r="4718" spans="1:2">
      <c r="A4718" s="2" t="s">
        <v>14235</v>
      </c>
      <c r="B4718" s="3">
        <v>1</v>
      </c>
    </row>
    <row r="4719" spans="1:2">
      <c r="A4719" s="2" t="s">
        <v>14253</v>
      </c>
      <c r="B4719" s="3">
        <v>1</v>
      </c>
    </row>
    <row r="4720" spans="1:2">
      <c r="A4720" s="2" t="s">
        <v>14259</v>
      </c>
      <c r="B4720" s="3">
        <v>1</v>
      </c>
    </row>
    <row r="4721" spans="1:2">
      <c r="A4721" s="2" t="s">
        <v>14274</v>
      </c>
      <c r="B4721" s="3">
        <v>1</v>
      </c>
    </row>
    <row r="4722" spans="1:2">
      <c r="A4722" s="2" t="s">
        <v>14292</v>
      </c>
      <c r="B4722" s="3">
        <v>1</v>
      </c>
    </row>
    <row r="4723" spans="1:2">
      <c r="A4723" s="2" t="s">
        <v>14298</v>
      </c>
      <c r="B4723" s="3">
        <v>1</v>
      </c>
    </row>
    <row r="4724" spans="1:2">
      <c r="A4724" s="2" t="s">
        <v>14310</v>
      </c>
      <c r="B4724" s="3">
        <v>1</v>
      </c>
    </row>
    <row r="4725" spans="1:2">
      <c r="A4725" s="2" t="s">
        <v>14316</v>
      </c>
      <c r="B4725" s="3">
        <v>1</v>
      </c>
    </row>
    <row r="4726" spans="1:2">
      <c r="A4726" s="2" t="s">
        <v>14328</v>
      </c>
      <c r="B4726" s="3">
        <v>1</v>
      </c>
    </row>
    <row r="4727" spans="1:2">
      <c r="A4727" s="2" t="s">
        <v>14331</v>
      </c>
      <c r="B4727" s="3">
        <v>1</v>
      </c>
    </row>
    <row r="4728" spans="1:2">
      <c r="A4728" s="2" t="s">
        <v>14370</v>
      </c>
      <c r="B4728" s="3">
        <v>1</v>
      </c>
    </row>
    <row r="4729" spans="1:2">
      <c r="A4729" s="2" t="s">
        <v>14343</v>
      </c>
      <c r="B4729" s="3">
        <v>1</v>
      </c>
    </row>
    <row r="4730" spans="1:2">
      <c r="A4730" s="2" t="s">
        <v>14349</v>
      </c>
      <c r="B4730" s="3">
        <v>1</v>
      </c>
    </row>
    <row r="4731" spans="1:2">
      <c r="A4731" s="2" t="s">
        <v>14361</v>
      </c>
      <c r="B4731" s="3">
        <v>1</v>
      </c>
    </row>
    <row r="4732" spans="1:2">
      <c r="A4732" s="2" t="s">
        <v>14367</v>
      </c>
      <c r="B4732" s="3">
        <v>1</v>
      </c>
    </row>
    <row r="4733" spans="1:2">
      <c r="A4733" s="2" t="s">
        <v>14376</v>
      </c>
      <c r="B4733" s="3">
        <v>1</v>
      </c>
    </row>
    <row r="4734" spans="1:2">
      <c r="A4734" s="2" t="s">
        <v>14379</v>
      </c>
      <c r="B4734" s="3">
        <v>1</v>
      </c>
    </row>
    <row r="4735" spans="1:2">
      <c r="A4735" s="2" t="s">
        <v>14388</v>
      </c>
      <c r="B4735" s="3">
        <v>1</v>
      </c>
    </row>
    <row r="4736" spans="1:2">
      <c r="A4736" s="2" t="s">
        <v>14397</v>
      </c>
      <c r="B4736" s="3">
        <v>1</v>
      </c>
    </row>
    <row r="4737" spans="1:2">
      <c r="A4737" s="2" t="s">
        <v>14406</v>
      </c>
      <c r="B4737" s="3">
        <v>1</v>
      </c>
    </row>
    <row r="4738" spans="1:2">
      <c r="A4738" s="2" t="s">
        <v>14412</v>
      </c>
      <c r="B4738" s="3">
        <v>1</v>
      </c>
    </row>
    <row r="4739" spans="1:2">
      <c r="A4739" s="2" t="s">
        <v>14421</v>
      </c>
      <c r="B4739" s="3">
        <v>1</v>
      </c>
    </row>
    <row r="4740" spans="1:2">
      <c r="A4740" s="2" t="s">
        <v>14430</v>
      </c>
      <c r="B4740" s="3">
        <v>1</v>
      </c>
    </row>
    <row r="4741" spans="1:2">
      <c r="A4741" s="2" t="s">
        <v>14436</v>
      </c>
      <c r="B4741" s="3">
        <v>1</v>
      </c>
    </row>
    <row r="4742" spans="1:2">
      <c r="A4742" s="2" t="s">
        <v>14439</v>
      </c>
      <c r="B4742" s="3">
        <v>1</v>
      </c>
    </row>
    <row r="4743" spans="1:2">
      <c r="A4743" s="2" t="s">
        <v>14448</v>
      </c>
      <c r="B4743" s="3">
        <v>1</v>
      </c>
    </row>
    <row r="4744" spans="1:2">
      <c r="A4744" s="2" t="s">
        <v>14454</v>
      </c>
      <c r="B4744" s="3">
        <v>1</v>
      </c>
    </row>
    <row r="4745" spans="1:2">
      <c r="A4745" s="2" t="s">
        <v>14457</v>
      </c>
      <c r="B4745" s="3">
        <v>1</v>
      </c>
    </row>
    <row r="4746" spans="1:2">
      <c r="A4746" s="2" t="s">
        <v>14460</v>
      </c>
      <c r="B4746" s="3">
        <v>1</v>
      </c>
    </row>
    <row r="4747" spans="1:2">
      <c r="A4747" s="2" t="s">
        <v>14466</v>
      </c>
      <c r="B4747" s="3">
        <v>1</v>
      </c>
    </row>
    <row r="4748" spans="1:2">
      <c r="A4748" s="2" t="s">
        <v>14472</v>
      </c>
      <c r="B4748" s="3">
        <v>1</v>
      </c>
    </row>
    <row r="4749" spans="1:2">
      <c r="A4749" s="2" t="s">
        <v>14475</v>
      </c>
      <c r="B4749" s="3">
        <v>1</v>
      </c>
    </row>
    <row r="4750" spans="1:2">
      <c r="A4750" s="2" t="s">
        <v>14484</v>
      </c>
      <c r="B4750" s="3">
        <v>1</v>
      </c>
    </row>
    <row r="4751" spans="1:2">
      <c r="A4751" s="2" t="s">
        <v>14490</v>
      </c>
      <c r="B4751" s="3">
        <v>1</v>
      </c>
    </row>
    <row r="4752" spans="1:2">
      <c r="A4752" s="2" t="s">
        <v>14496</v>
      </c>
      <c r="B4752" s="3">
        <v>1</v>
      </c>
    </row>
    <row r="4753" spans="1:2">
      <c r="A4753" s="2" t="s">
        <v>14502</v>
      </c>
      <c r="B4753" s="3">
        <v>1</v>
      </c>
    </row>
    <row r="4754" spans="1:2">
      <c r="A4754" s="2" t="s">
        <v>14508</v>
      </c>
      <c r="B4754" s="3">
        <v>1</v>
      </c>
    </row>
    <row r="4755" spans="1:2">
      <c r="A4755" s="2" t="s">
        <v>13899</v>
      </c>
      <c r="B4755" s="3">
        <v>1</v>
      </c>
    </row>
    <row r="4756" spans="1:2">
      <c r="A4756" s="2" t="s">
        <v>13911</v>
      </c>
      <c r="B4756" s="3">
        <v>1</v>
      </c>
    </row>
    <row r="4757" spans="1:2">
      <c r="A4757" s="2" t="s">
        <v>13923</v>
      </c>
      <c r="B4757" s="3">
        <v>1</v>
      </c>
    </row>
    <row r="4758" spans="1:2">
      <c r="A4758" s="2" t="s">
        <v>13929</v>
      </c>
      <c r="B4758" s="3">
        <v>1</v>
      </c>
    </row>
    <row r="4759" spans="1:2">
      <c r="A4759" s="2" t="s">
        <v>13938</v>
      </c>
      <c r="B4759" s="3">
        <v>1</v>
      </c>
    </row>
    <row r="4760" spans="1:2">
      <c r="A4760" s="2" t="s">
        <v>13941</v>
      </c>
      <c r="B4760" s="3">
        <v>1</v>
      </c>
    </row>
    <row r="4761" spans="1:2">
      <c r="A4761" s="2" t="s">
        <v>13950</v>
      </c>
      <c r="B4761" s="3">
        <v>1</v>
      </c>
    </row>
    <row r="4762" spans="1:2">
      <c r="A4762" s="2" t="s">
        <v>13959</v>
      </c>
      <c r="B4762" s="3">
        <v>1</v>
      </c>
    </row>
    <row r="4763" spans="1:2">
      <c r="A4763" s="2" t="s">
        <v>13968</v>
      </c>
      <c r="B4763" s="3">
        <v>1</v>
      </c>
    </row>
    <row r="4764" spans="1:2">
      <c r="A4764" s="2" t="s">
        <v>13977</v>
      </c>
      <c r="B4764" s="3">
        <v>1</v>
      </c>
    </row>
    <row r="4765" spans="1:2">
      <c r="A4765" s="2" t="s">
        <v>13983</v>
      </c>
      <c r="B4765" s="3">
        <v>1</v>
      </c>
    </row>
    <row r="4766" spans="1:2">
      <c r="A4766" s="2" t="s">
        <v>13992</v>
      </c>
      <c r="B4766" s="3">
        <v>1</v>
      </c>
    </row>
    <row r="4767" spans="1:2">
      <c r="A4767" s="2" t="s">
        <v>14004</v>
      </c>
      <c r="B4767" s="3">
        <v>1</v>
      </c>
    </row>
    <row r="4768" spans="1:2">
      <c r="A4768" s="2" t="s">
        <v>14013</v>
      </c>
      <c r="B4768" s="3">
        <v>1</v>
      </c>
    </row>
    <row r="4769" spans="1:2">
      <c r="A4769" s="2" t="s">
        <v>14022</v>
      </c>
      <c r="B4769" s="3">
        <v>1</v>
      </c>
    </row>
    <row r="4770" spans="1:2">
      <c r="A4770" s="2" t="s">
        <v>14025</v>
      </c>
      <c r="B4770" s="3">
        <v>1</v>
      </c>
    </row>
    <row r="4771" spans="1:2">
      <c r="A4771" s="2" t="s">
        <v>14034</v>
      </c>
      <c r="B4771" s="3">
        <v>1</v>
      </c>
    </row>
    <row r="4772" spans="1:2">
      <c r="A4772" s="2" t="s">
        <v>14043</v>
      </c>
      <c r="B4772" s="3">
        <v>1</v>
      </c>
    </row>
    <row r="4773" spans="1:2">
      <c r="A4773" s="2" t="s">
        <v>14052</v>
      </c>
      <c r="B4773" s="3">
        <v>1</v>
      </c>
    </row>
    <row r="4774" spans="1:2">
      <c r="A4774" s="2" t="s">
        <v>14064</v>
      </c>
      <c r="B4774" s="3">
        <v>1</v>
      </c>
    </row>
    <row r="4775" spans="1:2">
      <c r="A4775" s="2" t="s">
        <v>14067</v>
      </c>
      <c r="B4775" s="3">
        <v>1</v>
      </c>
    </row>
    <row r="4776" spans="1:2">
      <c r="A4776" s="2" t="s">
        <v>14076</v>
      </c>
      <c r="B4776" s="3">
        <v>1</v>
      </c>
    </row>
    <row r="4777" spans="1:2">
      <c r="A4777" s="2" t="s">
        <v>14085</v>
      </c>
      <c r="B4777" s="3">
        <v>1</v>
      </c>
    </row>
    <row r="4778" spans="1:2">
      <c r="A4778" s="2" t="s">
        <v>14097</v>
      </c>
      <c r="B4778" s="3">
        <v>1</v>
      </c>
    </row>
    <row r="4779" spans="1:2">
      <c r="A4779" s="2" t="s">
        <v>14106</v>
      </c>
      <c r="B4779" s="3">
        <v>1</v>
      </c>
    </row>
    <row r="4780" spans="1:2">
      <c r="A4780" s="2" t="s">
        <v>14109</v>
      </c>
      <c r="B4780" s="3">
        <v>1</v>
      </c>
    </row>
    <row r="4781" spans="1:2">
      <c r="A4781" s="2" t="s">
        <v>14118</v>
      </c>
      <c r="B4781" s="3">
        <v>1</v>
      </c>
    </row>
    <row r="4782" spans="1:2">
      <c r="A4782" s="2" t="s">
        <v>14124</v>
      </c>
      <c r="B4782" s="3">
        <v>1</v>
      </c>
    </row>
    <row r="4783" spans="1:2">
      <c r="A4783" s="2" t="s">
        <v>14130</v>
      </c>
      <c r="B4783" s="3">
        <v>1</v>
      </c>
    </row>
    <row r="4784" spans="1:2">
      <c r="A4784" s="2" t="s">
        <v>14139</v>
      </c>
      <c r="B4784" s="3">
        <v>1</v>
      </c>
    </row>
    <row r="4785" spans="1:2">
      <c r="A4785" s="2" t="s">
        <v>14148</v>
      </c>
      <c r="B4785" s="3">
        <v>1</v>
      </c>
    </row>
    <row r="4786" spans="1:2">
      <c r="A4786" s="2" t="s">
        <v>14160</v>
      </c>
      <c r="B4786" s="3">
        <v>1</v>
      </c>
    </row>
    <row r="4787" spans="1:2">
      <c r="A4787" s="2" t="s">
        <v>14166</v>
      </c>
      <c r="B4787" s="3">
        <v>1</v>
      </c>
    </row>
    <row r="4788" spans="1:2">
      <c r="A4788" s="2" t="s">
        <v>14175</v>
      </c>
      <c r="B4788" s="3">
        <v>1</v>
      </c>
    </row>
    <row r="4789" spans="1:2">
      <c r="A4789" s="2" t="s">
        <v>14187</v>
      </c>
      <c r="B4789" s="3">
        <v>1</v>
      </c>
    </row>
    <row r="4790" spans="1:2">
      <c r="A4790" s="2" t="s">
        <v>14196</v>
      </c>
      <c r="B4790" s="3">
        <v>1</v>
      </c>
    </row>
    <row r="4791" spans="1:2">
      <c r="A4791" s="2" t="s">
        <v>14202</v>
      </c>
      <c r="B4791" s="3">
        <v>1</v>
      </c>
    </row>
    <row r="4792" spans="1:2">
      <c r="A4792" s="2" t="s">
        <v>14211</v>
      </c>
      <c r="B4792" s="3">
        <v>1</v>
      </c>
    </row>
    <row r="4793" spans="1:2">
      <c r="A4793" s="2" t="s">
        <v>14220</v>
      </c>
      <c r="B4793" s="3">
        <v>1</v>
      </c>
    </row>
    <row r="4794" spans="1:2">
      <c r="A4794" s="2" t="s">
        <v>14232</v>
      </c>
      <c r="B4794" s="3">
        <v>1</v>
      </c>
    </row>
    <row r="4795" spans="1:2">
      <c r="A4795" s="2" t="s">
        <v>14241</v>
      </c>
      <c r="B4795" s="3">
        <v>1</v>
      </c>
    </row>
    <row r="4796" spans="1:2">
      <c r="A4796" s="2" t="s">
        <v>14247</v>
      </c>
      <c r="B4796" s="3">
        <v>1</v>
      </c>
    </row>
    <row r="4797" spans="1:2">
      <c r="A4797" s="2" t="s">
        <v>14256</v>
      </c>
      <c r="B4797" s="3">
        <v>1</v>
      </c>
    </row>
    <row r="4798" spans="1:2">
      <c r="A4798" s="2" t="s">
        <v>14268</v>
      </c>
      <c r="B4798" s="3">
        <v>1</v>
      </c>
    </row>
    <row r="4799" spans="1:2">
      <c r="A4799" s="2" t="s">
        <v>14277</v>
      </c>
      <c r="B4799" s="3">
        <v>1</v>
      </c>
    </row>
    <row r="4800" spans="1:2">
      <c r="A4800" s="2" t="s">
        <v>14283</v>
      </c>
      <c r="B4800" s="3">
        <v>1</v>
      </c>
    </row>
    <row r="4801" spans="1:2">
      <c r="A4801" s="2" t="s">
        <v>14295</v>
      </c>
      <c r="B4801" s="3">
        <v>1</v>
      </c>
    </row>
    <row r="4802" spans="1:2">
      <c r="A4802" s="2" t="s">
        <v>14304</v>
      </c>
      <c r="B4802" s="3">
        <v>1</v>
      </c>
    </row>
    <row r="4803" spans="1:2">
      <c r="A4803" s="2" t="s">
        <v>14313</v>
      </c>
      <c r="B4803" s="3">
        <v>1</v>
      </c>
    </row>
    <row r="4804" spans="1:2">
      <c r="A4804" s="2" t="s">
        <v>14322</v>
      </c>
      <c r="B4804" s="3">
        <v>1</v>
      </c>
    </row>
    <row r="4805" spans="1:2">
      <c r="A4805" s="2" t="s">
        <v>14334</v>
      </c>
      <c r="B4805" s="3">
        <v>1</v>
      </c>
    </row>
    <row r="4806" spans="1:2">
      <c r="A4806" s="2" t="s">
        <v>14340</v>
      </c>
      <c r="B4806" s="3">
        <v>1</v>
      </c>
    </row>
    <row r="4807" spans="1:2">
      <c r="A4807" s="2" t="s">
        <v>14346</v>
      </c>
      <c r="B4807" s="3">
        <v>1</v>
      </c>
    </row>
    <row r="4808" spans="1:2">
      <c r="A4808" s="2" t="s">
        <v>14355</v>
      </c>
      <c r="B4808" s="3">
        <v>1</v>
      </c>
    </row>
    <row r="4809" spans="1:2">
      <c r="A4809" s="2" t="s">
        <v>14364</v>
      </c>
      <c r="B4809" s="3">
        <v>1</v>
      </c>
    </row>
    <row r="4810" spans="1:2">
      <c r="A4810" s="2" t="s">
        <v>14373</v>
      </c>
      <c r="B4810" s="3">
        <v>1</v>
      </c>
    </row>
    <row r="4811" spans="1:2">
      <c r="A4811" s="2" t="s">
        <v>14382</v>
      </c>
      <c r="B4811" s="3">
        <v>1</v>
      </c>
    </row>
    <row r="4812" spans="1:2">
      <c r="A4812" s="2" t="s">
        <v>14385</v>
      </c>
      <c r="B4812" s="3">
        <v>1</v>
      </c>
    </row>
    <row r="4813" spans="1:2">
      <c r="A4813" s="2" t="s">
        <v>14391</v>
      </c>
      <c r="B4813" s="3">
        <v>1</v>
      </c>
    </row>
    <row r="4814" spans="1:2">
      <c r="A4814" s="2" t="s">
        <v>14394</v>
      </c>
      <c r="B4814" s="3">
        <v>1</v>
      </c>
    </row>
    <row r="4815" spans="1:2">
      <c r="A4815" s="2" t="s">
        <v>14400</v>
      </c>
      <c r="B4815" s="3">
        <v>1</v>
      </c>
    </row>
    <row r="4816" spans="1:2">
      <c r="A4816" s="2" t="s">
        <v>14403</v>
      </c>
      <c r="B4816" s="3">
        <v>1</v>
      </c>
    </row>
    <row r="4817" spans="1:2">
      <c r="A4817" s="2" t="s">
        <v>14409</v>
      </c>
      <c r="B4817" s="3">
        <v>1</v>
      </c>
    </row>
    <row r="4818" spans="1:2">
      <c r="A4818" s="2" t="s">
        <v>14415</v>
      </c>
      <c r="B4818" s="3">
        <v>1</v>
      </c>
    </row>
    <row r="4819" spans="1:2">
      <c r="A4819" s="2" t="s">
        <v>14418</v>
      </c>
      <c r="B4819" s="3">
        <v>1</v>
      </c>
    </row>
    <row r="4820" spans="1:2">
      <c r="A4820" s="2" t="s">
        <v>14424</v>
      </c>
      <c r="B4820" s="3">
        <v>1</v>
      </c>
    </row>
    <row r="4821" spans="1:2">
      <c r="A4821" s="2" t="s">
        <v>14427</v>
      </c>
      <c r="B4821" s="3">
        <v>1</v>
      </c>
    </row>
    <row r="4822" spans="1:2">
      <c r="A4822" s="2" t="s">
        <v>14433</v>
      </c>
      <c r="B4822" s="3">
        <v>1</v>
      </c>
    </row>
    <row r="4823" spans="1:2">
      <c r="A4823" s="2" t="s">
        <v>14442</v>
      </c>
      <c r="B4823" s="3">
        <v>1</v>
      </c>
    </row>
    <row r="4824" spans="1:2">
      <c r="A4824" s="2" t="s">
        <v>14445</v>
      </c>
      <c r="B4824" s="3">
        <v>1</v>
      </c>
    </row>
    <row r="4825" spans="1:2">
      <c r="A4825" s="2" t="s">
        <v>14451</v>
      </c>
      <c r="B4825" s="3">
        <v>1</v>
      </c>
    </row>
    <row r="4826" spans="1:2">
      <c r="A4826" s="2" t="s">
        <v>14463</v>
      </c>
      <c r="B4826" s="3">
        <v>1</v>
      </c>
    </row>
    <row r="4827" spans="1:2">
      <c r="A4827" s="2" t="s">
        <v>14469</v>
      </c>
      <c r="B4827" s="3">
        <v>1</v>
      </c>
    </row>
    <row r="4828" spans="1:2">
      <c r="A4828" s="2" t="s">
        <v>14478</v>
      </c>
      <c r="B4828" s="3">
        <v>1</v>
      </c>
    </row>
    <row r="4829" spans="1:2">
      <c r="A4829" s="2" t="s">
        <v>14481</v>
      </c>
      <c r="B4829" s="3">
        <v>1</v>
      </c>
    </row>
    <row r="4830" spans="1:2">
      <c r="A4830" s="2" t="s">
        <v>14487</v>
      </c>
      <c r="B4830" s="3">
        <v>1</v>
      </c>
    </row>
    <row r="4831" spans="1:2">
      <c r="A4831" s="2" t="s">
        <v>14493</v>
      </c>
      <c r="B4831" s="3">
        <v>1</v>
      </c>
    </row>
    <row r="4832" spans="1:2">
      <c r="A4832" s="2" t="s">
        <v>14499</v>
      </c>
      <c r="B4832" s="3">
        <v>1</v>
      </c>
    </row>
    <row r="4833" spans="1:2">
      <c r="A4833" s="2" t="s">
        <v>14505</v>
      </c>
      <c r="B4833" s="3">
        <v>1</v>
      </c>
    </row>
    <row r="4834" spans="1:2">
      <c r="A4834" s="2" t="s">
        <v>14511</v>
      </c>
      <c r="B4834" s="3">
        <v>1</v>
      </c>
    </row>
    <row r="4835" spans="1:2">
      <c r="A4835" s="2" t="s">
        <v>14514</v>
      </c>
      <c r="B4835" s="3">
        <v>1</v>
      </c>
    </row>
    <row r="4836" spans="1:2">
      <c r="A4836" s="2" t="s">
        <v>14517</v>
      </c>
      <c r="B4836" s="3">
        <v>1</v>
      </c>
    </row>
    <row r="4837" spans="1:2">
      <c r="A4837" s="2" t="s">
        <v>14520</v>
      </c>
      <c r="B4837" s="3">
        <v>1</v>
      </c>
    </row>
    <row r="4838" spans="1:2">
      <c r="A4838" s="2" t="s">
        <v>14523</v>
      </c>
      <c r="B4838" s="3">
        <v>1</v>
      </c>
    </row>
    <row r="4839" spans="1:2">
      <c r="A4839" s="2" t="s">
        <v>14526</v>
      </c>
      <c r="B4839" s="3">
        <v>1</v>
      </c>
    </row>
    <row r="4840" spans="1:2">
      <c r="A4840" s="2" t="s">
        <v>14529</v>
      </c>
      <c r="B4840" s="3">
        <v>1</v>
      </c>
    </row>
    <row r="4841" spans="1:2">
      <c r="A4841" s="2" t="s">
        <v>14532</v>
      </c>
      <c r="B4841" s="3">
        <v>1</v>
      </c>
    </row>
    <row r="4842" spans="1:2">
      <c r="A4842" s="2" t="s">
        <v>14535</v>
      </c>
      <c r="B4842" s="3">
        <v>1</v>
      </c>
    </row>
    <row r="4843" spans="1:2">
      <c r="A4843" s="4" t="s">
        <v>14562</v>
      </c>
      <c r="B4843" s="4">
        <v>4841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cols>
    <col min="1" max="1" width="25.7109375" customWidth="1"/>
    <col min="2" max="2" width="15.7109375" customWidth="1"/>
    <col min="3" max="3" width="30.7109375" customWidth="1"/>
    <col min="4" max="4" width="15.7109375" customWidth="1"/>
    <col min="5" max="5" width="35.7109375" customWidth="1"/>
    <col min="6" max="6" width="15.7109375" customWidth="1"/>
    <col min="7" max="7" width="30.7109375" customWidth="1"/>
    <col min="8" max="8" width="15.7109375" customWidth="1"/>
    <col min="9" max="9" width="30.7109375" customWidth="1"/>
    <col min="10" max="10" width="15.7109375" customWidth="1"/>
  </cols>
  <sheetData>
    <row r="1" spans="1:10">
      <c r="A1" s="5" t="s">
        <v>14563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5" spans="1:10">
      <c r="B5" s="1" t="s">
        <v>14564</v>
      </c>
      <c r="C5" s="1" t="s">
        <v>14565</v>
      </c>
      <c r="D5" s="1" t="s">
        <v>14566</v>
      </c>
      <c r="E5" s="1" t="s">
        <v>14565</v>
      </c>
      <c r="F5" s="1" t="s">
        <v>14567</v>
      </c>
      <c r="G5" s="1" t="s">
        <v>14565</v>
      </c>
      <c r="H5" s="1" t="s">
        <v>14568</v>
      </c>
      <c r="I5" s="1" t="s">
        <v>14565</v>
      </c>
    </row>
    <row r="6" spans="1:10">
      <c r="B6" s="2" t="s">
        <v>14569</v>
      </c>
      <c r="C6" s="6">
        <f>IFERROR(VLOOKUP("Answering Machine Autodial", Pivot!$A$2:$B$4842, 2, FALSE), 0)</f>
        <v>0</v>
      </c>
      <c r="D6" s="2" t="s">
        <v>14596</v>
      </c>
      <c r="E6" s="6">
        <f>IFERROR(VLOOKUP("Sale Made - Completed Mandate", Pivot!$A$2:$B$4842, 2, FALSE), 0)</f>
        <v>0</v>
      </c>
      <c r="F6" s="2" t="s">
        <v>14601</v>
      </c>
      <c r="G6" s="6">
        <f>IFERROR(VLOOKUP("Already Contacted", Pivot!$A$2:$B$4842, 2, FALSE), 0)</f>
        <v>0</v>
      </c>
      <c r="H6" s="2" t="s">
        <v>14627</v>
      </c>
      <c r="I6" s="6">
        <f>IFERROR(VLOOKUP("Client Hung Up", Pivot!$A$2:$B$4842, 2, FALSE), 0)</f>
        <v>0</v>
      </c>
    </row>
    <row r="7" spans="1:10">
      <c r="B7" s="2" t="s">
        <v>14570</v>
      </c>
      <c r="C7" s="6">
        <f>IFERROR(VLOOKUP("No Answer Autodial", Pivot!$A$2:$B$4842, 2, FALSE), 0)</f>
        <v>0</v>
      </c>
      <c r="D7" s="2" t="s">
        <v>14597</v>
      </c>
      <c r="E7" s="6">
        <f>IFERROR(VLOOKUP("Sale Made - Pending Mandate", Pivot!$A$2:$B$4842, 2, FALSE), 0)</f>
        <v>0</v>
      </c>
      <c r="F7" s="2" t="s">
        <v>14602</v>
      </c>
      <c r="G7" s="6">
        <f>IFERROR(VLOOKUP("Existing Client", Pivot!$A$2:$B$4842, 2, FALSE), 0)</f>
        <v>0</v>
      </c>
      <c r="H7" s="2" t="s">
        <v>14628</v>
      </c>
      <c r="I7" s="6">
        <f>IFERROR(VLOOKUP("CallBack", Pivot!$A$2:$B$4842, 2, FALSE), 0)</f>
        <v>0</v>
      </c>
    </row>
    <row r="8" spans="1:10">
      <c r="B8" s="2" t="s">
        <v>14571</v>
      </c>
      <c r="C8" s="6">
        <f>IFERROR(VLOOKUP("Auto Engaged", Pivot!$A$2:$B$4842, 2, FALSE), 0)</f>
        <v>0</v>
      </c>
      <c r="D8" s="2" t="s">
        <v>14598</v>
      </c>
      <c r="E8" s="6">
        <f>IFERROR(VLOOKUP("Sale Made", Pivot!$A$2:$B$4842, 2, FALSE), 0)</f>
        <v>0</v>
      </c>
      <c r="F8" s="2" t="s">
        <v>14603</v>
      </c>
      <c r="G8" s="6">
        <f>IFERROR(VLOOKUP("Unemployed", Pivot!$A$2:$B$4842, 2, FALSE), 0)</f>
        <v>0</v>
      </c>
      <c r="H8" s="2" t="s">
        <v>14629</v>
      </c>
      <c r="I8" s="6">
        <f>IFERROR(VLOOKUP("Not Interested", Pivot!$A$2:$B$4842, 2, FALSE), 0)</f>
        <v>0</v>
      </c>
    </row>
    <row r="9" spans="1:10">
      <c r="B9" s="2" t="s">
        <v>14572</v>
      </c>
      <c r="C9" s="6">
        <f>IFERROR(VLOOKUP("Disconnected Number Auto", Pivot!$A$2:$B$4842, 2, FALSE), 0)</f>
        <v>0</v>
      </c>
      <c r="D9" s="2" t="s">
        <v>14599</v>
      </c>
      <c r="E9" s="6">
        <f>IFERROR(VLOOKUP("Tyme Bank Account Sale", Pivot!$A$2:$B$4842, 2, FALSE), 0)</f>
        <v>0</v>
      </c>
      <c r="F9" s="2" t="s">
        <v>14604</v>
      </c>
      <c r="G9" s="6">
        <f>IFERROR(VLOOKUP("Wrong Number", Pivot!$A$2:$B$4842, 2, FALSE), 0)</f>
        <v>0</v>
      </c>
      <c r="H9" s="2" t="s">
        <v>14630</v>
      </c>
      <c r="I9" s="6">
        <f>IFERROR(VLOOKUP("Not Interested Upfront", Pivot!$A$2:$B$4842, 2, FALSE), 0)</f>
        <v>0</v>
      </c>
    </row>
    <row r="10" spans="1:10">
      <c r="B10" s="2" t="s">
        <v>14573</v>
      </c>
      <c r="C10" s="6">
        <f>IFERROR(VLOOKUP("Answering Machine", Pivot!$A$2:$B$4842, 2, FALSE), 0)</f>
        <v>0</v>
      </c>
      <c r="D10" s="2" t="s">
        <v>14600</v>
      </c>
      <c r="E10" s="6">
        <f>IFERROR(VLOOKUP("QA Rework", Pivot!$A$2:$B$4842, 2, FALSE), 0)</f>
        <v>0</v>
      </c>
      <c r="F10" s="2" t="s">
        <v>14605</v>
      </c>
      <c r="G10" s="6">
        <f>IFERROR(VLOOKUP("Do Not Call", Pivot!$A$2:$B$4842, 2, FALSE), 0)</f>
        <v>0</v>
      </c>
      <c r="H10" s="2" t="s">
        <v>14631</v>
      </c>
      <c r="I10" s="6">
        <f>IFERROR(VLOOKUP("Cannot Afford Premium", Pivot!$A$2:$B$4842, 2, FALSE), 0)</f>
        <v>0</v>
      </c>
    </row>
    <row r="11" spans="1:10">
      <c r="B11" s="2" t="s">
        <v>14574</v>
      </c>
      <c r="C11" s="6">
        <f>IFERROR(VLOOKUP("Selected", Pivot!$A$2:$B$4842, 2, FALSE), 0)</f>
        <v>0</v>
      </c>
      <c r="F11" s="2" t="s">
        <v>14606</v>
      </c>
      <c r="G11" s="6">
        <f>IFERROR(VLOOKUP("No Smartphones", Pivot!$A$2:$B$4842, 2, FALSE), 0)</f>
        <v>0</v>
      </c>
      <c r="H11" s="2" t="s">
        <v>14632</v>
      </c>
      <c r="I11" s="6">
        <f>IFERROR(VLOOKUP("Not interested - Pitched", Pivot!$A$2:$B$4842, 2, FALSE), 0)</f>
        <v>0</v>
      </c>
    </row>
    <row r="12" spans="1:10">
      <c r="B12" s="2" t="s">
        <v>14575</v>
      </c>
      <c r="C12" s="6">
        <f>IFERROR(VLOOKUP("No Answer", Pivot!$A$2:$B$4842, 2, FALSE), 0)</f>
        <v>0</v>
      </c>
      <c r="F12" s="2" t="s">
        <v>14607</v>
      </c>
      <c r="G12" s="6">
        <f>IFERROR(VLOOKUP("Client Deceased", Pivot!$A$2:$B$4842, 2, FALSE), 0)</f>
        <v>0</v>
      </c>
      <c r="H12" s="2" t="s">
        <v>14633</v>
      </c>
      <c r="I12" s="6">
        <f>IFERROR(VLOOKUP("Affordability", Pivot!$A$2:$B$4842, 2, FALSE), 0)</f>
        <v>0</v>
      </c>
    </row>
    <row r="13" spans="1:10">
      <c r="B13" s="2" t="s">
        <v>14576</v>
      </c>
      <c r="C13" s="6">
        <f>IFERROR(VLOOKUP("Busy Tone", Pivot!$A$2:$B$4842, 2, FALSE), 0)</f>
        <v>0</v>
      </c>
      <c r="F13" s="2" t="s">
        <v>14608</v>
      </c>
      <c r="G13" s="6">
        <f>IFERROR(VLOOKUP("Right Party Not Available", Pivot!$A$2:$B$4842, 2, FALSE), 0)</f>
        <v>0</v>
      </c>
      <c r="H13" s="2" t="s">
        <v>14634</v>
      </c>
      <c r="I13" s="6">
        <f>IFERROR(VLOOKUP("Quoted Client Not Interested", Pivot!$A$2:$B$4842, 2, FALSE), 0)</f>
        <v>0</v>
      </c>
    </row>
    <row r="14" spans="1:10">
      <c r="B14" s="2" t="s">
        <v>14577</v>
      </c>
      <c r="C14" s="6">
        <f>IFERROR(VLOOKUP("Dropped", Pivot!$A$2:$B$4842, 2, FALSE), 0)</f>
        <v>0</v>
      </c>
      <c r="F14" s="2" t="s">
        <v>14609</v>
      </c>
      <c r="G14" s="6">
        <f>IFERROR(VLOOKUP("Client Overage Limit", Pivot!$A$2:$B$4842, 2, FALSE), 0)</f>
        <v>0</v>
      </c>
      <c r="H14" s="2" t="s">
        <v>14635</v>
      </c>
      <c r="I14" s="6">
        <f>IFERROR(VLOOKUP("Not interested business does not use speed point mac", Pivot!$A$2:$B$4842, 2, FALSE), 0)</f>
        <v>0</v>
      </c>
    </row>
    <row r="15" spans="1:10">
      <c r="B15" s="2" t="s">
        <v>14578</v>
      </c>
      <c r="C15" s="6">
        <f>IFERROR(VLOOKUP("New", Pivot!$A$2:$B$4842, 2, FALSE), 0)</f>
        <v>0</v>
      </c>
      <c r="F15" s="2" t="s">
        <v>14610</v>
      </c>
      <c r="G15" s="6">
        <f>IFERROR(VLOOKUP("Language Barrier", Pivot!$A$2:$B$4842, 2, FALSE), 0)</f>
        <v>0</v>
      </c>
      <c r="H15" s="2" t="s">
        <v>14636</v>
      </c>
      <c r="I15" s="6">
        <f>IFERROR(VLOOKUP("Call Back Technical Error", Pivot!$A$2:$B$4842, 2, FALSE), 0)</f>
        <v>0</v>
      </c>
    </row>
    <row r="16" spans="1:10">
      <c r="B16" s="2" t="s">
        <v>14579</v>
      </c>
      <c r="C16" s="6">
        <f>IFERROR(VLOOKUP("Call Dropped", Pivot!$A$2:$B$4842, 2, FALSE), 0)</f>
        <v>0</v>
      </c>
      <c r="F16" s="2" t="s">
        <v>14611</v>
      </c>
      <c r="G16" s="6">
        <f>IFERROR(VLOOKUP("Non SA Citizen", Pivot!$A$2:$B$4842, 2, FALSE), 0)</f>
        <v>0</v>
      </c>
      <c r="H16" s="2" t="s">
        <v>14637</v>
      </c>
      <c r="I16" s="6">
        <f>IFERROR(VLOOKUP("Not Interested Transaction Fees", Pivot!$A$2:$B$4842, 2, FALSE), 0)</f>
        <v>0</v>
      </c>
    </row>
    <row r="17" spans="2:9">
      <c r="B17" s="2" t="s">
        <v>14580</v>
      </c>
      <c r="C17" s="6">
        <f>IFERROR(VLOOKUP("Inbound After Hours Drop", Pivot!$A$2:$B$4842, 2, FALSE), 0)</f>
        <v>0</v>
      </c>
      <c r="F17" s="2" t="s">
        <v>14612</v>
      </c>
      <c r="G17" s="6">
        <f>IFERROR(VLOOKUP("No Bank Account", Pivot!$A$2:$B$4842, 2, FALSE), 0)</f>
        <v>0</v>
      </c>
      <c r="H17" s="2" t="s">
        <v>14638</v>
      </c>
      <c r="I17" s="6">
        <f>IFERROR(VLOOKUP("Cannot Afford", Pivot!$A$2:$B$4842, 2, FALSE), 0)</f>
        <v>0</v>
      </c>
    </row>
    <row r="18" spans="2:9">
      <c r="B18" s="2" t="s">
        <v>14581</v>
      </c>
      <c r="C18" s="6">
        <f>IFERROR(VLOOKUP("TPS Registered Number", Pivot!$A$2:$B$4842, 2, FALSE), 0)</f>
        <v>0</v>
      </c>
      <c r="F18" s="2" t="s">
        <v>14613</v>
      </c>
      <c r="G18" s="6">
        <f>IFERROR(VLOOKUP("Client Underage", Pivot!$A$2:$B$4842, 2, FALSE), 0)</f>
        <v>0</v>
      </c>
      <c r="H18" s="2" t="s">
        <v>14639</v>
      </c>
      <c r="I18" s="6">
        <f>IFERROR(VLOOKUP("Not Interested Household Contents", Pivot!$A$2:$B$4842, 2, FALSE), 0)</f>
        <v>0</v>
      </c>
    </row>
    <row r="19" spans="2:9">
      <c r="B19" s="2" t="s">
        <v>14582</v>
      </c>
      <c r="C19" s="6">
        <f>IFERROR(VLOOKUP("Temporary Disconnected Number", Pivot!$A$2:$B$4842, 2, FALSE), 0)</f>
        <v>0</v>
      </c>
      <c r="F19" s="2" t="s">
        <v>14614</v>
      </c>
      <c r="G19" s="6">
        <f>IFERROR(VLOOKUP("Go To The Branch", Pivot!$A$2:$B$4842, 2, FALSE), 0)</f>
        <v>0</v>
      </c>
      <c r="H19" s="2" t="s">
        <v>14640</v>
      </c>
      <c r="I19" s="6">
        <f>IFERROR(VLOOKUP("Call Back Hold", Pivot!$A$2:$B$4842, 2, FALSE), 0)</f>
        <v>0</v>
      </c>
    </row>
    <row r="20" spans="2:9">
      <c r="B20" s="2" t="s">
        <v>14583</v>
      </c>
      <c r="C20" s="6">
        <f>IFERROR(VLOOKUP("Bad Line Quality", Pivot!$A$2:$B$4842, 2, FALSE), 0)</f>
        <v>0</v>
      </c>
      <c r="F20" s="2" t="s">
        <v>14615</v>
      </c>
      <c r="G20" s="6">
        <f>IFERROR(VLOOKUP("Completed", Pivot!$A$2:$B$4842, 2, FALSE), 0)</f>
        <v>0</v>
      </c>
      <c r="H20" s="2" t="s">
        <v>14641</v>
      </c>
      <c r="I20" s="6">
        <f>IFERROR(VLOOKUP("Declined Sale", Pivot!$A$2:$B$4842, 2, FALSE), 0)</f>
        <v>0</v>
      </c>
    </row>
    <row r="21" spans="2:9">
      <c r="B21" s="2" t="s">
        <v>14584</v>
      </c>
      <c r="C21" s="6">
        <f>IFERROR(VLOOKUP("Inbound Abandon", Pivot!$A$2:$B$4842, 2, FALSE), 0)</f>
        <v>0</v>
      </c>
      <c r="F21" s="2" t="s">
        <v>14616</v>
      </c>
      <c r="G21" s="6">
        <f>IFERROR(VLOOKUP("Cannot Afford Upfront Payment", Pivot!$A$2:$B$4842, 2, FALSE), 0)</f>
        <v>0</v>
      </c>
    </row>
    <row r="22" spans="2:9">
      <c r="B22" s="2" t="s">
        <v>14585</v>
      </c>
      <c r="C22" s="6">
        <f>IFERROR(VLOOKUP("Outbound Pre-Routing Drop", Pivot!$A$2:$B$4842, 2, FALSE), 0)</f>
        <v>0</v>
      </c>
      <c r="F22" s="2" t="s">
        <v>14617</v>
      </c>
      <c r="G22" s="6">
        <f>IFERROR(VLOOKUP("Account Suspended", Pivot!$A$2:$B$4842, 2, FALSE), 0)</f>
        <v>0</v>
      </c>
    </row>
    <row r="23" spans="2:9">
      <c r="B23" s="2" t="s">
        <v>14586</v>
      </c>
      <c r="C23" s="6">
        <f>IFERROR(VLOOKUP("Engaged", Pivot!$A$2:$B$4842, 2, FALSE), 0)</f>
        <v>0</v>
      </c>
      <c r="F23" s="2" t="s">
        <v>14618</v>
      </c>
      <c r="G23" s="6">
        <f>IFERROR(VLOOKUP("Insured at another company", Pivot!$A$2:$B$4842, 2, FALSE), 0)</f>
        <v>0</v>
      </c>
    </row>
    <row r="24" spans="2:9">
      <c r="B24" s="2" t="s">
        <v>14587</v>
      </c>
      <c r="C24" s="6">
        <f>IFERROR(VLOOKUP("Disconnected", Pivot!$A$2:$B$4842, 2, FALSE), 0)</f>
        <v>0</v>
      </c>
      <c r="F24" s="2" t="s">
        <v>14619</v>
      </c>
      <c r="G24" s="6">
        <f>IFERROR(VLOOKUP("Scheduled Appointment", Pivot!$A$2:$B$4842, 2, FALSE), 0)</f>
        <v>0</v>
      </c>
    </row>
    <row r="25" spans="2:9">
      <c r="B25" s="2" t="s">
        <v>14588</v>
      </c>
      <c r="C25" s="6">
        <f>IFERROR(VLOOKUP("CONGESTED", Pivot!$A$2:$B$4842, 2, FALSE), 0)</f>
        <v>0</v>
      </c>
      <c r="F25" s="2" t="s">
        <v>14620</v>
      </c>
      <c r="G25" s="6">
        <f>IFERROR(VLOOKUP("Refund Request", Pivot!$A$2:$B$4842, 2, FALSE), 0)</f>
        <v>0</v>
      </c>
    </row>
    <row r="26" spans="2:9">
      <c r="B26" s="2" t="s">
        <v>14589</v>
      </c>
      <c r="C26" s="6">
        <f>IFERROR(VLOOKUP("Flow Inbound Abandon", Pivot!$A$2:$B$4842, 2, FALSE), 0)</f>
        <v>0</v>
      </c>
      <c r="F26" s="2" t="s">
        <v>14621</v>
      </c>
      <c r="G26" s="6">
        <f>IFERROR(VLOOKUP("Does Not Qualify", Pivot!$A$2:$B$4842, 2, FALSE), 0)</f>
        <v>0</v>
      </c>
    </row>
    <row r="27" spans="2:9">
      <c r="B27" s="2" t="s">
        <v>14590</v>
      </c>
      <c r="C27" s="6">
        <f>IFERROR(VLOOKUP("Multiple Calls", Pivot!$A$2:$B$4842, 2, FALSE), 0)</f>
        <v>0</v>
      </c>
      <c r="F27" s="2" t="s">
        <v>14622</v>
      </c>
      <c r="G27" s="6">
        <f>IFERROR(VLOOKUP("Does Not Have a Business", Pivot!$A$2:$B$4842, 2, FALSE), 0)</f>
        <v>0</v>
      </c>
    </row>
    <row r="28" spans="2:9">
      <c r="B28" s="2" t="s">
        <v>14591</v>
      </c>
      <c r="C28" s="6">
        <f>IFERROR(VLOOKUP("Missed", Pivot!$A$2:$B$4842, 2, FALSE), 0)</f>
        <v>0</v>
      </c>
      <c r="F28" s="2" t="s">
        <v>14623</v>
      </c>
      <c r="G28" s="6">
        <f>IFERROR(VLOOKUP("Refer To Store - Doesn't want to complete online", Pivot!$A$2:$B$4842, 2, FALSE), 0)</f>
        <v>0</v>
      </c>
    </row>
    <row r="29" spans="2:9">
      <c r="B29" s="2" t="s">
        <v>14592</v>
      </c>
      <c r="C29" s="6">
        <f>IFERROR(VLOOKUP("Answered", Pivot!$A$2:$B$4842, 2, FALSE), 0)</f>
        <v>0</v>
      </c>
      <c r="F29" s="2" t="s">
        <v>14624</v>
      </c>
      <c r="G29" s="6">
        <f>IFERROR(VLOOKUP("Does Not Need It Now", Pivot!$A$2:$B$4842, 2, FALSE), 0)</f>
        <v>0</v>
      </c>
    </row>
    <row r="30" spans="2:9">
      <c r="B30" s="2" t="s">
        <v>14593</v>
      </c>
      <c r="C30" s="6">
        <f>IFERROR(VLOOKUP("Customer drop", Pivot!$A$2:$B$4842, 2, FALSE), 0)</f>
        <v>0</v>
      </c>
      <c r="F30" s="2" t="s">
        <v>14625</v>
      </c>
      <c r="G30" s="6">
        <f>IFERROR(VLOOKUP("Technical Issue", Pivot!$A$2:$B$4842, 2, FALSE), 0)</f>
        <v>0</v>
      </c>
    </row>
    <row r="31" spans="2:9">
      <c r="B31" s="2" t="s">
        <v>14594</v>
      </c>
      <c r="C31" s="6">
        <f>IFERROR(VLOOKUP("Auto Dial Disconnected", Pivot!$A$2:$B$4842, 2, FALSE), 0)</f>
        <v>0</v>
      </c>
      <c r="F31" s="2" t="s">
        <v>14626</v>
      </c>
      <c r="G31" s="6">
        <f>IFERROR(VLOOKUP("Unsuccessful Application", Pivot!$A$2:$B$4842, 2, FALSE), 0)</f>
        <v>0</v>
      </c>
    </row>
    <row r="32" spans="2:9">
      <c r="B32" s="2" t="s">
        <v>14595</v>
      </c>
      <c r="C32" s="6">
        <f>IFERROR(VLOOKUP("Disconnected Number Temporary", Pivot!$A$2:$B$4842, 2, FALSE), 0)</f>
        <v>0</v>
      </c>
    </row>
    <row r="35" spans="1:3">
      <c r="A35" s="7" t="s">
        <v>14642</v>
      </c>
      <c r="B35" s="6">
        <f>SUM(C6:C31)+SUM(E6:E9)</f>
        <v>0</v>
      </c>
    </row>
    <row r="37" spans="1:3">
      <c r="A37" s="7" t="s">
        <v>14643</v>
      </c>
    </row>
    <row r="38" spans="1:3">
      <c r="A38" s="2" t="s">
        <v>14567</v>
      </c>
      <c r="B38" s="6">
        <f>SUM(E6:E9)</f>
        <v>0</v>
      </c>
    </row>
    <row r="39" spans="1:3">
      <c r="A39" s="2" t="s">
        <v>14644</v>
      </c>
      <c r="B39" s="6">
        <f>SUM(I6:I19)</f>
        <v>0</v>
      </c>
    </row>
    <row r="40" spans="1:3">
      <c r="A40" s="2" t="s">
        <v>14645</v>
      </c>
      <c r="B40" s="6">
        <f>SUM(G6:G30)</f>
        <v>0</v>
      </c>
    </row>
    <row r="41" spans="1:3">
      <c r="A41" s="2" t="s">
        <v>14646</v>
      </c>
      <c r="B41" s="6">
        <f>E6</f>
        <v>0</v>
      </c>
    </row>
    <row r="42" spans="1:3">
      <c r="A42" s="2" t="s">
        <v>14647</v>
      </c>
      <c r="B42" s="6">
        <f>B38/B37</f>
        <v>0</v>
      </c>
    </row>
    <row r="43" spans="1:3">
      <c r="A43" s="2" t="s">
        <v>14648</v>
      </c>
      <c r="B43" s="6">
        <f>(B37+B38)/B35</f>
        <v>0</v>
      </c>
    </row>
    <row r="47" spans="1:3">
      <c r="A47" s="7" t="s">
        <v>14649</v>
      </c>
      <c r="B47" s="7" t="s">
        <v>14561</v>
      </c>
      <c r="C47" s="7" t="s">
        <v>14650</v>
      </c>
    </row>
    <row r="48" spans="1:3">
      <c r="A48" s="2" t="s">
        <v>39</v>
      </c>
      <c r="B48" s="3">
        <v>1</v>
      </c>
      <c r="C48" s="8">
        <f>B47/B35</f>
        <v>0</v>
      </c>
    </row>
    <row r="49" spans="1:3">
      <c r="A49" s="2" t="s">
        <v>42</v>
      </c>
      <c r="B49" s="3">
        <v>1</v>
      </c>
      <c r="C49" s="8">
        <f>B48/B35</f>
        <v>0</v>
      </c>
    </row>
    <row r="50" spans="1:3">
      <c r="A50" s="2" t="s">
        <v>51</v>
      </c>
      <c r="B50" s="3">
        <v>1</v>
      </c>
      <c r="C50" s="8">
        <f>B49/B35</f>
        <v>0</v>
      </c>
    </row>
    <row r="51" spans="1:3">
      <c r="A51" s="2" t="s">
        <v>60</v>
      </c>
      <c r="B51" s="3">
        <v>1</v>
      </c>
      <c r="C51" s="8">
        <f>B50/B35</f>
        <v>0</v>
      </c>
    </row>
    <row r="52" spans="1:3">
      <c r="A52" s="2" t="s">
        <v>69</v>
      </c>
      <c r="B52" s="3">
        <v>1</v>
      </c>
      <c r="C52" s="8">
        <f>B51/B35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</vt:lpstr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2026-06-02T12:33:38Z</dcterms:created>
  <dcterms:modified xsi:type="dcterms:W3CDTF">2026-06-02T12:33:38Z</dcterms:modified>
</cp:coreProperties>
</file>