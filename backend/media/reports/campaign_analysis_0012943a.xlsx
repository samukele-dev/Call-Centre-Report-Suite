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calcPr calcId="124519" fullCalcOnLoad="1"/>
</workbook>
</file>

<file path=xl/sharedStrings.xml><?xml version="1.0" encoding="utf-8"?>
<sst xmlns="http://schemas.openxmlformats.org/spreadsheetml/2006/main" count="139" uniqueCount="94">
  <si>
    <t>Row Labels</t>
  </si>
  <si>
    <t>Count of Description</t>
  </si>
  <si>
    <t>Answering Machine Autodial</t>
  </si>
  <si>
    <t>No Answer Autodial</t>
  </si>
  <si>
    <t>Callback</t>
  </si>
  <si>
    <t>Client Hung Up</t>
  </si>
  <si>
    <t>Not Interested</t>
  </si>
  <si>
    <t>Call Dropped</t>
  </si>
  <si>
    <t>Not Interested Upfront</t>
  </si>
  <si>
    <t>Unemployed</t>
  </si>
  <si>
    <t>Dropped</t>
  </si>
  <si>
    <t>Auto Engaged</t>
  </si>
  <si>
    <t>Wrong Number</t>
  </si>
  <si>
    <t>Selected</t>
  </si>
  <si>
    <t>Answering Machine</t>
  </si>
  <si>
    <t>New</t>
  </si>
  <si>
    <t>Right Party Not Available</t>
  </si>
  <si>
    <t>Bad Line Quality</t>
  </si>
  <si>
    <t>No Answer</t>
  </si>
  <si>
    <t>Inbound Abandon</t>
  </si>
  <si>
    <t>Busy Tone</t>
  </si>
  <si>
    <t>Existing Client</t>
  </si>
  <si>
    <t>Do Not Call</t>
  </si>
  <si>
    <t>Client Deceased</t>
  </si>
  <si>
    <t>No Smartphones</t>
  </si>
  <si>
    <t>Cannot Afford Premium</t>
  </si>
  <si>
    <t>Sale Made - Completed Mandate</t>
  </si>
  <si>
    <t>Client Overage Limit</t>
  </si>
  <si>
    <t>Client Underage</t>
  </si>
  <si>
    <t>Already Contacted</t>
  </si>
  <si>
    <t>Inbound After Hours Drop</t>
  </si>
  <si>
    <t>TPS Registered Number</t>
  </si>
  <si>
    <t>Go to the Branch</t>
  </si>
  <si>
    <t>No Bank Account</t>
  </si>
  <si>
    <t>Non SA Citizen</t>
  </si>
  <si>
    <t>Language Barrier</t>
  </si>
  <si>
    <t>Cannot Afford Upfront Payment</t>
  </si>
  <si>
    <t>Sale Made - Pending Mandate</t>
  </si>
  <si>
    <t>Engaged</t>
  </si>
  <si>
    <t>Account Suspended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</si>
  <si>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</si>
  <si>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</si>
  <si>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</si>
  <si>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</si>
  <si>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</si>
  <si>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</si>
  <si>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</si>
  <si>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</si>
  <si>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</si>
  <si>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</si>
  <si>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</si>
  <si>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</si>
  <si>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</si>
  <si>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</si>
  <si>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</si>
  <si>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</si>
  <si>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</si>
  <si>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</si>
  <si>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</si>
  <si>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</si>
  <si>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</si>
  <si>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</si>
  <si>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</si>
  <si>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</si>
  <si>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</si>
  <si>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</si>
  <si>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</si>
  <si>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</si>
  <si>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</si>
  <si>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</si>
  <si>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</si>
  <si>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</si>
  <si>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</si>
  <si>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</si>
  <si>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</si>
  <si>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</si>
  <si>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</si>
  <si>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</si>
  <si>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</si>
  <si>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</si>
  <si>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</si>
  <si>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</si>
  <si>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</si>
  <si>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</si>
  <si>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</si>
  <si>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</si>
  <si>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</si>
  <si>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</si>
  <si>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</si>
  <si>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</si>
  <si>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</si>
  <si>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</si>
  <si>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Count</t>
  </si>
  <si>
    <t>% Contributor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</si>
</sst>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4739</v>
      </c>
    </row>
    <row r="3" spans="1:2">
      <c r="A3" s="2" t="s">
        <v>3</v>
      </c>
      <c r="B3" s="3">
        <v>4418</v>
      </c>
    </row>
    <row r="4" spans="1:2">
      <c r="A4" s="2" t="s">
        <v>4</v>
      </c>
      <c r="B4" s="3">
        <v>667</v>
      </c>
    </row>
    <row r="5" spans="1:2">
      <c r="A5" s="2" t="s">
        <v>5</v>
      </c>
      <c r="B5" s="3">
        <v>550</v>
      </c>
    </row>
    <row r="6" spans="1:2">
      <c r="A6" s="2" t="s">
        <v>6</v>
      </c>
      <c r="B6" s="3">
        <v>510</v>
      </c>
    </row>
    <row r="7" spans="1:2">
      <c r="A7" s="2" t="s">
        <v>7</v>
      </c>
      <c r="B7" s="3">
        <v>481</v>
      </c>
    </row>
    <row r="8" spans="1:2">
      <c r="A8" s="2" t="s">
        <v>8</v>
      </c>
      <c r="B8" s="3">
        <v>454</v>
      </c>
    </row>
    <row r="9" spans="1:2">
      <c r="A9" s="2" t="s">
        <v>9</v>
      </c>
      <c r="B9" s="3">
        <v>435</v>
      </c>
    </row>
    <row r="10" spans="1:2">
      <c r="A10" s="2" t="s">
        <v>10</v>
      </c>
      <c r="B10" s="3">
        <v>318</v>
      </c>
    </row>
    <row r="11" spans="1:2">
      <c r="A11" s="2" t="s">
        <v>11</v>
      </c>
      <c r="B11" s="3">
        <v>315</v>
      </c>
    </row>
    <row r="12" spans="1:2">
      <c r="A12" s="2" t="s">
        <v>12</v>
      </c>
      <c r="B12" s="3">
        <v>303</v>
      </c>
    </row>
    <row r="13" spans="1:2">
      <c r="A13" s="2" t="s">
        <v>13</v>
      </c>
      <c r="B13" s="3">
        <v>118</v>
      </c>
    </row>
    <row r="14" spans="1:2">
      <c r="A14" s="2" t="s">
        <v>14</v>
      </c>
      <c r="B14" s="3">
        <v>112</v>
      </c>
    </row>
    <row r="15" spans="1:2">
      <c r="A15" s="2" t="s">
        <v>15</v>
      </c>
      <c r="B15" s="3">
        <v>110</v>
      </c>
    </row>
    <row r="16" spans="1:2">
      <c r="A16" s="2" t="s">
        <v>16</v>
      </c>
      <c r="B16" s="3">
        <v>93</v>
      </c>
    </row>
    <row r="17" spans="1:2">
      <c r="A17" s="2" t="s">
        <v>17</v>
      </c>
      <c r="B17" s="3">
        <v>86</v>
      </c>
    </row>
    <row r="18" spans="1:2">
      <c r="A18" s="2" t="s">
        <v>18</v>
      </c>
      <c r="B18" s="3">
        <v>72</v>
      </c>
    </row>
    <row r="19" spans="1:2">
      <c r="A19" s="2" t="s">
        <v>19</v>
      </c>
      <c r="B19" s="3">
        <v>67</v>
      </c>
    </row>
    <row r="20" spans="1:2">
      <c r="A20" s="2" t="s">
        <v>20</v>
      </c>
      <c r="B20" s="3">
        <v>61</v>
      </c>
    </row>
    <row r="21" spans="1:2">
      <c r="A21" s="2" t="s">
        <v>21</v>
      </c>
      <c r="B21" s="3">
        <v>49</v>
      </c>
    </row>
    <row r="22" spans="1:2">
      <c r="A22" s="2" t="s">
        <v>22</v>
      </c>
      <c r="B22" s="3">
        <v>44</v>
      </c>
    </row>
    <row r="23" spans="1:2">
      <c r="A23" s="2" t="s">
        <v>23</v>
      </c>
      <c r="B23" s="3">
        <v>37</v>
      </c>
    </row>
    <row r="24" spans="1:2">
      <c r="A24" s="2" t="s">
        <v>24</v>
      </c>
      <c r="B24" s="3">
        <v>30</v>
      </c>
    </row>
    <row r="25" spans="1:2">
      <c r="A25" s="2" t="s">
        <v>25</v>
      </c>
      <c r="B25" s="3">
        <v>29</v>
      </c>
    </row>
    <row r="26" spans="1:2">
      <c r="A26" s="2" t="s">
        <v>26</v>
      </c>
      <c r="B26" s="3">
        <v>27</v>
      </c>
    </row>
    <row r="27" spans="1:2">
      <c r="A27" s="2" t="s">
        <v>27</v>
      </c>
      <c r="B27" s="3">
        <v>24</v>
      </c>
    </row>
    <row r="28" spans="1:2">
      <c r="A28" s="2" t="s">
        <v>28</v>
      </c>
      <c r="B28" s="3">
        <v>19</v>
      </c>
    </row>
    <row r="29" spans="1:2">
      <c r="A29" s="2" t="s">
        <v>29</v>
      </c>
      <c r="B29" s="3">
        <v>15</v>
      </c>
    </row>
    <row r="30" spans="1:2">
      <c r="A30" s="2" t="s">
        <v>30</v>
      </c>
      <c r="B30" s="3">
        <v>13</v>
      </c>
    </row>
    <row r="31" spans="1:2">
      <c r="A31" s="2" t="s">
        <v>31</v>
      </c>
      <c r="B31" s="3">
        <v>9</v>
      </c>
    </row>
    <row r="32" spans="1:2">
      <c r="A32" s="2" t="s">
        <v>32</v>
      </c>
      <c r="B32" s="3">
        <v>8</v>
      </c>
    </row>
    <row r="33" spans="1:2">
      <c r="A33" s="2" t="s">
        <v>33</v>
      </c>
      <c r="B33" s="3">
        <v>8</v>
      </c>
    </row>
    <row r="34" spans="1:2">
      <c r="A34" s="2" t="s">
        <v>34</v>
      </c>
      <c r="B34" s="3">
        <v>8</v>
      </c>
    </row>
    <row r="35" spans="1:2">
      <c r="A35" s="2" t="s">
        <v>35</v>
      </c>
      <c r="B35" s="3">
        <v>6</v>
      </c>
    </row>
    <row r="36" spans="1:2">
      <c r="A36" s="2" t="s">
        <v>36</v>
      </c>
      <c r="B36" s="3">
        <v>4</v>
      </c>
    </row>
    <row r="37" spans="1:2">
      <c r="A37" s="2" t="s">
        <v>37</v>
      </c>
      <c r="B37" s="3">
        <v>3</v>
      </c>
    </row>
    <row r="38" spans="1:2">
      <c r="A38" s="2" t="s">
        <v>38</v>
      </c>
      <c r="B38" s="3">
        <v>2</v>
      </c>
    </row>
    <row r="39" spans="1:2">
      <c r="A39" s="2" t="s">
        <v>39</v>
      </c>
      <c r="B39" s="3">
        <v>1</v>
      </c>
    </row>
    <row r="40" spans="1:2">
      <c r="A40" s="4" t="s">
        <v>40</v>
      </c>
      <c r="B40" s="4">
        <v>14245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42</v>
      </c>
      <c r="C5" s="1" t="s">
        <v>43</v>
      </c>
      <c r="D5" s="1" t="s">
        <v>44</v>
      </c>
      <c r="E5" s="1" t="s">
        <v>43</v>
      </c>
      <c r="F5" s="1" t="s">
        <v>45</v>
      </c>
      <c r="G5" s="1" t="s">
        <v>43</v>
      </c>
      <c r="H5" s="1" t="s">
        <v>46</v>
      </c>
      <c r="I5" s="1" t="s">
        <v>43</v>
      </c>
    </row>
    <row r="6" spans="1:10">
      <c r="B6" s="2" t="s">
        <v>2</v>
      </c>
      <c r="C6" s="6">
        <f>IFERROR(VLOOKUP("Answering Machine Autodial", Pivot!$A$2:$B$39, 2, FALSE), 0)</f>
        <v>0</v>
      </c>
      <c r="D6" s="2" t="s">
        <v>26</v>
      </c>
      <c r="E6" s="6">
        <f>IFERROR(VLOOKUP("Sale Made - Completed Mandate", Pivot!$A$2:$B$39, 2, FALSE), 0)</f>
        <v>0</v>
      </c>
      <c r="F6" s="2" t="s">
        <v>29</v>
      </c>
      <c r="G6" s="6">
        <f>IFERROR(VLOOKUP("Already Contacted", Pivot!$A$2:$B$39, 2, FALSE), 0)</f>
        <v>0</v>
      </c>
      <c r="H6" s="2" t="s">
        <v>5</v>
      </c>
      <c r="I6" s="6">
        <f>IFERROR(VLOOKUP("Client Hung Up", Pivot!$A$2:$B$39, 2, FALSE), 0)</f>
        <v>0</v>
      </c>
    </row>
    <row r="7" spans="1:10">
      <c r="B7" s="2" t="s">
        <v>3</v>
      </c>
      <c r="C7" s="6">
        <f>IFERROR(VLOOKUP("No Answer Autodial", Pivot!$A$2:$B$39, 2, FALSE), 0)</f>
        <v>0</v>
      </c>
      <c r="D7" s="2" t="s">
        <v>37</v>
      </c>
      <c r="E7" s="6">
        <f>IFERROR(VLOOKUP("Sale Made - Pending Mandate", Pivot!$A$2:$B$39, 2, FALSE), 0)</f>
        <v>0</v>
      </c>
      <c r="F7" s="2" t="s">
        <v>21</v>
      </c>
      <c r="G7" s="6">
        <f>IFERROR(VLOOKUP("Existing Client", Pivot!$A$2:$B$39, 2, FALSE), 0)</f>
        <v>0</v>
      </c>
      <c r="H7" s="2" t="s">
        <v>73</v>
      </c>
      <c r="I7" s="6">
        <f>IFERROR(VLOOKUP("CallBack", Pivot!$A$2:$B$39, 2, FALSE), 0)</f>
        <v>0</v>
      </c>
    </row>
    <row r="8" spans="1:10">
      <c r="B8" s="2" t="s">
        <v>11</v>
      </c>
      <c r="C8" s="6">
        <f>IFERROR(VLOOKUP("Auto Engaged", Pivot!$A$2:$B$39, 2, FALSE), 0)</f>
        <v>0</v>
      </c>
      <c r="D8" s="2" t="s">
        <v>59</v>
      </c>
      <c r="E8" s="6">
        <f>IFERROR(VLOOKUP("Sale Made", Pivot!$A$2:$B$39, 2, FALSE), 0)</f>
        <v>0</v>
      </c>
      <c r="F8" s="2" t="s">
        <v>9</v>
      </c>
      <c r="G8" s="6">
        <f>IFERROR(VLOOKUP("Unemployed", Pivot!$A$2:$B$39, 2, FALSE), 0)</f>
        <v>0</v>
      </c>
      <c r="H8" s="2" t="s">
        <v>6</v>
      </c>
      <c r="I8" s="6">
        <f>IFERROR(VLOOKUP("Not Interested", Pivot!$A$2:$B$39, 2, FALSE), 0)</f>
        <v>0</v>
      </c>
    </row>
    <row r="9" spans="1:10">
      <c r="B9" s="2" t="s">
        <v>47</v>
      </c>
      <c r="C9" s="6">
        <f>IFERROR(VLOOKUP("Disconnected Number Auto", Pivot!$A$2:$B$39, 2, FALSE), 0)</f>
        <v>0</v>
      </c>
      <c r="D9" s="2" t="s">
        <v>60</v>
      </c>
      <c r="E9" s="6">
        <f>IFERROR(VLOOKUP("Tyme Bank Account Sale", Pivot!$A$2:$B$39, 2, FALSE), 0)</f>
        <v>0</v>
      </c>
      <c r="F9" s="2" t="s">
        <v>12</v>
      </c>
      <c r="G9" s="6">
        <f>IFERROR(VLOOKUP("Wrong Number", Pivot!$A$2:$B$39, 2, FALSE), 0)</f>
        <v>0</v>
      </c>
      <c r="H9" s="2" t="s">
        <v>8</v>
      </c>
      <c r="I9" s="6">
        <f>IFERROR(VLOOKUP("Not Interested Upfront", Pivot!$A$2:$B$39, 2, FALSE), 0)</f>
        <v>0</v>
      </c>
    </row>
    <row r="10" spans="1:10">
      <c r="B10" s="2" t="s">
        <v>14</v>
      </c>
      <c r="C10" s="6">
        <f>IFERROR(VLOOKUP("Answering Machine", Pivot!$A$2:$B$39, 2, FALSE), 0)</f>
        <v>0</v>
      </c>
      <c r="D10" s="2" t="s">
        <v>61</v>
      </c>
      <c r="E10" s="6">
        <f>IFERROR(VLOOKUP("QA Rework", Pivot!$A$2:$B$39, 2, FALSE), 0)</f>
        <v>0</v>
      </c>
      <c r="F10" s="2" t="s">
        <v>22</v>
      </c>
      <c r="G10" s="6">
        <f>IFERROR(VLOOKUP("Do Not Call", Pivot!$A$2:$B$39, 2, FALSE), 0)</f>
        <v>0</v>
      </c>
      <c r="H10" s="2" t="s">
        <v>25</v>
      </c>
      <c r="I10" s="6">
        <f>IFERROR(VLOOKUP("Cannot Afford Premium", Pivot!$A$2:$B$39, 2, FALSE), 0)</f>
        <v>0</v>
      </c>
    </row>
    <row r="11" spans="1:10">
      <c r="B11" s="2" t="s">
        <v>13</v>
      </c>
      <c r="C11" s="6">
        <f>IFERROR(VLOOKUP("Selected", Pivot!$A$2:$B$39, 2, FALSE), 0)</f>
        <v>0</v>
      </c>
      <c r="F11" s="2" t="s">
        <v>24</v>
      </c>
      <c r="G11" s="6">
        <f>IFERROR(VLOOKUP("No Smartphones", Pivot!$A$2:$B$39, 2, FALSE), 0)</f>
        <v>0</v>
      </c>
      <c r="H11" s="2" t="s">
        <v>74</v>
      </c>
      <c r="I11" s="6">
        <f>IFERROR(VLOOKUP("Not interested - Pitched", Pivot!$A$2:$B$39, 2, FALSE), 0)</f>
        <v>0</v>
      </c>
    </row>
    <row r="12" spans="1:10">
      <c r="A12" s="7" t="s">
        <v>84</v>
      </c>
      <c r="B12" s="6">
        <f>SUM(C6:C32)+SUM(E6:E10)</f>
        <v>0</v>
      </c>
      <c r="C12" s="6">
        <f>IFERROR(VLOOKUP("No Answer", Pivot!$A$2:$B$39, 2, FALSE), 0)</f>
        <v>0</v>
      </c>
      <c r="F12" s="2" t="s">
        <v>23</v>
      </c>
      <c r="G12" s="6">
        <f>IFERROR(VLOOKUP("Client Deceased", Pivot!$A$2:$B$39, 2, FALSE), 0)</f>
        <v>0</v>
      </c>
      <c r="H12" s="2" t="s">
        <v>75</v>
      </c>
      <c r="I12" s="6">
        <f>IFERROR(VLOOKUP("Affordability", Pivot!$A$2:$B$39, 2, FALSE), 0)</f>
        <v>0</v>
      </c>
    </row>
    <row r="13" spans="1:10">
      <c r="B13" s="2" t="s">
        <v>20</v>
      </c>
      <c r="C13" s="6">
        <f>IFERROR(VLOOKUP("Busy Tone", Pivot!$A$2:$B$39, 2, FALSE), 0)</f>
        <v>0</v>
      </c>
      <c r="F13" s="2" t="s">
        <v>16</v>
      </c>
      <c r="G13" s="6">
        <f>IFERROR(VLOOKUP("Right Party Not Available", Pivot!$A$2:$B$39, 2, FALSE), 0)</f>
        <v>0</v>
      </c>
      <c r="H13" s="2" t="s">
        <v>76</v>
      </c>
      <c r="I13" s="6">
        <f>IFERROR(VLOOKUP("Quoted Client Not Interested", Pivot!$A$2:$B$39, 2, FALSE), 0)</f>
        <v>0</v>
      </c>
    </row>
    <row r="14" spans="1:10">
      <c r="B14" s="2" t="s">
        <v>10</v>
      </c>
      <c r="C14" s="6">
        <f>IFERROR(VLOOKUP("Dropped", Pivot!$A$2:$B$39, 2, FALSE), 0)</f>
        <v>0</v>
      </c>
      <c r="F14" s="2" t="s">
        <v>27</v>
      </c>
      <c r="G14" s="6">
        <f>IFERROR(VLOOKUP("Client Overage Limit", Pivot!$A$2:$B$39, 2, FALSE), 0)</f>
        <v>0</v>
      </c>
      <c r="H14" s="2" t="s">
        <v>77</v>
      </c>
      <c r="I14" s="6">
        <f>IFERROR(VLOOKUP("Not interested business does not use speed point mac", Pivot!$A$2:$B$39, 2, FALSE), 0)</f>
        <v>0</v>
      </c>
    </row>
    <row r="15" spans="1:10">
      <c r="B15" s="2" t="s">
        <v>15</v>
      </c>
      <c r="C15" s="6">
        <f>IFERROR(VLOOKUP("New", Pivot!$A$2:$B$39, 2, FALSE), 0)</f>
        <v>0</v>
      </c>
      <c r="F15" s="2" t="s">
        <v>35</v>
      </c>
      <c r="G15" s="6">
        <f>IFERROR(VLOOKUP("Language Barrier", Pivot!$A$2:$B$39, 2, FALSE), 0)</f>
        <v>0</v>
      </c>
      <c r="H15" s="2" t="s">
        <v>78</v>
      </c>
      <c r="I15" s="6">
        <f>IFERROR(VLOOKUP("Call Back Technical Error", Pivot!$A$2:$B$39, 2, FALSE), 0)</f>
        <v>0</v>
      </c>
    </row>
    <row r="16" spans="1:10">
      <c r="B16" s="2" t="s">
        <v>7</v>
      </c>
      <c r="C16" s="6">
        <f>IFERROR(VLOOKUP("Call Dropped", Pivot!$A$2:$B$39, 2, FALSE), 0)</f>
        <v>0</v>
      </c>
      <c r="F16" s="2" t="s">
        <v>34</v>
      </c>
      <c r="G16" s="6">
        <f>IFERROR(VLOOKUP("Non SA Citizen", Pivot!$A$2:$B$39, 2, FALSE), 0)</f>
        <v>0</v>
      </c>
      <c r="H16" s="2" t="s">
        <v>79</v>
      </c>
      <c r="I16" s="6">
        <f>IFERROR(VLOOKUP("Not Interested Transaction Fees", Pivot!$A$2:$B$39, 2, FALSE), 0)</f>
        <v>0</v>
      </c>
    </row>
    <row r="17" spans="2:9">
      <c r="B17" s="2" t="s">
        <v>30</v>
      </c>
      <c r="C17" s="6">
        <f>IFERROR(VLOOKUP("Inbound After Hours Drop", Pivot!$A$2:$B$39, 2, FALSE), 0)</f>
        <v>0</v>
      </c>
      <c r="F17" s="2" t="s">
        <v>33</v>
      </c>
      <c r="G17" s="6">
        <f>IFERROR(VLOOKUP("No Bank Account", Pivot!$A$2:$B$39, 2, FALSE), 0)</f>
        <v>0</v>
      </c>
      <c r="H17" s="2" t="s">
        <v>80</v>
      </c>
      <c r="I17" s="6">
        <f>IFERROR(VLOOKUP("Cannot Afford", Pivot!$A$2:$B$39, 2, FALSE), 0)</f>
        <v>0</v>
      </c>
    </row>
    <row r="18" spans="2:9">
      <c r="B18" s="2" t="s">
        <v>31</v>
      </c>
      <c r="C18" s="6">
        <f>IFERROR(VLOOKUP("TPS Registered Number", Pivot!$A$2:$B$39, 2, FALSE), 0)</f>
        <v>0</v>
      </c>
      <c r="F18" s="2" t="s">
        <v>28</v>
      </c>
      <c r="G18" s="6">
        <f>IFERROR(VLOOKUP("Client Underage", Pivot!$A$2:$B$39, 2, FALSE), 0)</f>
        <v>0</v>
      </c>
      <c r="H18" s="2" t="s">
        <v>81</v>
      </c>
      <c r="I18" s="6">
        <f>IFERROR(VLOOKUP("Not Interested Household Contents", Pivot!$A$2:$B$39, 2, FALSE), 0)</f>
        <v>0</v>
      </c>
    </row>
    <row r="19" spans="2:9">
      <c r="B19" s="2" t="s">
        <v>48</v>
      </c>
      <c r="C19" s="6">
        <f>IFERROR(VLOOKUP("Temporary Disconnected Number", Pivot!$A$2:$B$39, 2, FALSE), 0)</f>
        <v>0</v>
      </c>
      <c r="F19" s="2" t="s">
        <v>62</v>
      </c>
      <c r="G19" s="6">
        <f>IFERROR(VLOOKUP("Go To The Branch", Pivot!$A$2:$B$39, 2, FALSE), 0)</f>
        <v>0</v>
      </c>
      <c r="H19" s="2" t="s">
        <v>82</v>
      </c>
      <c r="I19" s="6">
        <f>IFERROR(VLOOKUP("Call Back Hold", Pivot!$A$2:$B$39, 2, FALSE), 0)</f>
        <v>0</v>
      </c>
    </row>
    <row r="20" spans="2:9">
      <c r="B20" s="2" t="s">
        <v>17</v>
      </c>
      <c r="C20" s="6">
        <f>IFERROR(VLOOKUP("Bad Line Quality", Pivot!$A$2:$B$39, 2, FALSE), 0)</f>
        <v>0</v>
      </c>
      <c r="F20" s="2" t="s">
        <v>63</v>
      </c>
      <c r="G20" s="6">
        <f>IFERROR(VLOOKUP("Completed", Pivot!$A$2:$B$39, 2, FALSE), 0)</f>
        <v>0</v>
      </c>
      <c r="H20" s="2" t="s">
        <v>83</v>
      </c>
      <c r="I20" s="6">
        <f>IFERROR(VLOOKUP("Declined Sale", Pivot!$A$2:$B$39, 2, FALSE), 0)</f>
        <v>0</v>
      </c>
    </row>
    <row r="21" spans="2:9">
      <c r="B21" s="2" t="s">
        <v>19</v>
      </c>
      <c r="C21" s="6">
        <f>IFERROR(VLOOKUP("Inbound Abandon", Pivot!$A$2:$B$39, 2, FALSE), 0)</f>
        <v>0</v>
      </c>
      <c r="F21" s="2" t="s">
        <v>36</v>
      </c>
      <c r="G21" s="6">
        <f>IFERROR(VLOOKUP("Cannot Afford Upfront Payment", Pivot!$A$2:$B$39, 2, FALSE), 0)</f>
        <v>0</v>
      </c>
    </row>
    <row r="22" spans="2:9">
      <c r="B22" s="2" t="s">
        <v>49</v>
      </c>
      <c r="C22" s="6">
        <f>IFERROR(VLOOKUP("Outbound Pre-Routing Drop", Pivot!$A$2:$B$39, 2, FALSE), 0)</f>
        <v>0</v>
      </c>
      <c r="F22" s="2" t="s">
        <v>39</v>
      </c>
      <c r="G22" s="6">
        <f>IFERROR(VLOOKUP("Account Suspended", Pivot!$A$2:$B$39, 2, FALSE), 0)</f>
        <v>0</v>
      </c>
    </row>
    <row r="23" spans="2:9">
      <c r="B23" s="2" t="s">
        <v>38</v>
      </c>
      <c r="C23" s="6">
        <f>IFERROR(VLOOKUP("Engaged", Pivot!$A$2:$B$39, 2, FALSE), 0)</f>
        <v>0</v>
      </c>
      <c r="F23" s="2" t="s">
        <v>64</v>
      </c>
      <c r="G23" s="6">
        <f>IFERROR(VLOOKUP("Insured at another company", Pivot!$A$2:$B$39, 2, FALSE), 0)</f>
        <v>0</v>
      </c>
    </row>
    <row r="24" spans="2:9">
      <c r="B24" s="2" t="s">
        <v>50</v>
      </c>
      <c r="C24" s="6">
        <f>IFERROR(VLOOKUP("Disconnected", Pivot!$A$2:$B$39, 2, FALSE), 0)</f>
        <v>0</v>
      </c>
      <c r="F24" s="2" t="s">
        <v>65</v>
      </c>
      <c r="G24" s="6">
        <f>IFERROR(VLOOKUP("Scheduled Appointment", Pivot!$A$2:$B$39, 2, FALSE), 0)</f>
        <v>0</v>
      </c>
    </row>
    <row r="25" spans="2:9">
      <c r="B25" s="2" t="s">
        <v>51</v>
      </c>
      <c r="C25" s="6">
        <f>IFERROR(VLOOKUP("CONGESTED", Pivot!$A$2:$B$39, 2, FALSE), 0)</f>
        <v>0</v>
      </c>
      <c r="F25" s="2" t="s">
        <v>66</v>
      </c>
      <c r="G25" s="6">
        <f>IFERROR(VLOOKUP("Refund Request", Pivot!$A$2:$B$39, 2, FALSE), 0)</f>
        <v>0</v>
      </c>
    </row>
    <row r="26" spans="2:9">
      <c r="B26" s="2" t="s">
        <v>52</v>
      </c>
      <c r="C26" s="6">
        <f>IFERROR(VLOOKUP("Flow Inbound Abandon", Pivot!$A$2:$B$39, 2, FALSE), 0)</f>
        <v>0</v>
      </c>
      <c r="F26" s="2" t="s">
        <v>67</v>
      </c>
      <c r="G26" s="6">
        <f>IFERROR(VLOOKUP("Does Not Qualify", Pivot!$A$2:$B$39, 2, FALSE), 0)</f>
        <v>0</v>
      </c>
    </row>
    <row r="27" spans="2:9">
      <c r="B27" s="2" t="s">
        <v>53</v>
      </c>
      <c r="C27" s="6">
        <f>IFERROR(VLOOKUP("Multiple Calls", Pivot!$A$2:$B$39, 2, FALSE), 0)</f>
        <v>0</v>
      </c>
      <c r="F27" s="2" t="s">
        <v>68</v>
      </c>
      <c r="G27" s="6">
        <f>IFERROR(VLOOKUP("Does Not Have a Business", Pivot!$A$2:$B$39, 2, FALSE), 0)</f>
        <v>0</v>
      </c>
    </row>
    <row r="28" spans="2:9">
      <c r="B28" s="2" t="s">
        <v>54</v>
      </c>
      <c r="C28" s="6">
        <f>IFERROR(VLOOKUP("Missed", Pivot!$A$2:$B$39, 2, FALSE), 0)</f>
        <v>0</v>
      </c>
      <c r="F28" s="2" t="s">
        <v>69</v>
      </c>
      <c r="G28" s="6">
        <f>IFERROR(VLOOKUP("Refer To Store - Doesn't want to complete online", Pivot!$A$2:$B$39, 2, FALSE), 0)</f>
        <v>0</v>
      </c>
    </row>
    <row r="29" spans="2:9">
      <c r="B29" s="2" t="s">
        <v>55</v>
      </c>
      <c r="C29" s="6">
        <f>IFERROR(VLOOKUP("Answered", Pivot!$A$2:$B$39, 2, FALSE), 0)</f>
        <v>0</v>
      </c>
      <c r="F29" s="2" t="s">
        <v>70</v>
      </c>
      <c r="G29" s="6">
        <f>IFERROR(VLOOKUP("Does Not Need It Now", Pivot!$A$2:$B$39, 2, FALSE), 0)</f>
        <v>0</v>
      </c>
    </row>
    <row r="30" spans="2:9">
      <c r="B30" s="2" t="s">
        <v>56</v>
      </c>
      <c r="C30" s="6">
        <f>IFERROR(VLOOKUP("Customer drop", Pivot!$A$2:$B$39, 2, FALSE), 0)</f>
        <v>0</v>
      </c>
      <c r="F30" s="2" t="s">
        <v>71</v>
      </c>
      <c r="G30" s="6">
        <f>IFERROR(VLOOKUP("Technical Issue", Pivot!$A$2:$B$39, 2, FALSE), 0)</f>
        <v>0</v>
      </c>
    </row>
    <row r="31" spans="2:9">
      <c r="B31" s="2" t="s">
        <v>57</v>
      </c>
      <c r="C31" s="6">
        <f>IFERROR(VLOOKUP("Auto Dial Disconnected", Pivot!$A$2:$B$39, 2, FALSE), 0)</f>
        <v>0</v>
      </c>
      <c r="F31" s="2" t="s">
        <v>72</v>
      </c>
      <c r="G31" s="6">
        <f>IFERROR(VLOOKUP("Unsuccessful Application", Pivot!$A$2:$B$39, 2, FALSE), 0)</f>
        <v>0</v>
      </c>
    </row>
    <row r="32" spans="2:9">
      <c r="B32" s="2" t="s">
        <v>58</v>
      </c>
      <c r="C32" s="6">
        <f>IFERROR(VLOOKUP("Disconnected Number Temporary", Pivot!$A$2:$B$39, 2, FALSE), 0)</f>
        <v>0</v>
      </c>
    </row>
    <row r="37" spans="1:3">
      <c r="A37" s="7" t="s">
        <v>85</v>
      </c>
    </row>
    <row r="38" spans="1:3">
      <c r="A38" s="2" t="s">
        <v>45</v>
      </c>
      <c r="B38" s="6">
        <f>SUM(E6:E10)</f>
        <v>0</v>
      </c>
    </row>
    <row r="39" spans="1:3">
      <c r="A39" s="2" t="s">
        <v>86</v>
      </c>
      <c r="B39" s="6">
        <f>SUM(I6:I20)</f>
        <v>0</v>
      </c>
    </row>
    <row r="40" spans="1:3">
      <c r="A40" s="2" t="s">
        <v>87</v>
      </c>
      <c r="B40" s="6">
        <f>SUM(G6:G31)</f>
        <v>0</v>
      </c>
    </row>
    <row r="41" spans="1:3">
      <c r="A41" s="2" t="s">
        <v>88</v>
      </c>
      <c r="B41" s="6">
        <f>E6</f>
        <v>0</v>
      </c>
    </row>
    <row r="42" spans="1:3">
      <c r="A42" s="2" t="s">
        <v>89</v>
      </c>
      <c r="B42" s="6">
        <f>B41/B39</f>
        <v>0</v>
      </c>
    </row>
    <row r="43" spans="1:3">
      <c r="A43" s="2" t="s">
        <v>90</v>
      </c>
      <c r="B43" s="6">
        <f>(B38+B39)/B12</f>
        <v>0</v>
      </c>
    </row>
    <row r="47" spans="1:3">
      <c r="A47" s="7" t="s">
        <v>91</v>
      </c>
      <c r="B47" s="7" t="s">
        <v>92</v>
      </c>
      <c r="C47" s="7" t="s">
        <v>93</v>
      </c>
    </row>
    <row r="48" spans="1:3">
      <c r="A48" s="2" t="s">
        <v>2</v>
      </c>
      <c r="B48" s="3">
        <v>4739</v>
      </c>
      <c r="C48" s="8">
        <f>B48/B12</f>
        <v>0</v>
      </c>
    </row>
    <row r="49" spans="1:3">
      <c r="A49" s="2" t="s">
        <v>3</v>
      </c>
      <c r="B49" s="3">
        <v>4418</v>
      </c>
      <c r="C49" s="8">
        <f>B49/B12</f>
        <v>0</v>
      </c>
    </row>
    <row r="50" spans="1:3">
      <c r="A50" s="2" t="s">
        <v>4</v>
      </c>
      <c r="B50" s="3">
        <v>667</v>
      </c>
      <c r="C50" s="8">
        <f>B50/B12</f>
        <v>0</v>
      </c>
    </row>
    <row r="51" spans="1:3">
      <c r="A51" s="2" t="s">
        <v>5</v>
      </c>
      <c r="B51" s="3">
        <v>550</v>
      </c>
      <c r="C51" s="8">
        <f>B51/B12</f>
        <v>0</v>
      </c>
    </row>
    <row r="52" spans="1:3">
      <c r="A52" s="2" t="s">
        <v>6</v>
      </c>
      <c r="B52" s="3">
        <v>510</v>
      </c>
      <c r="C52" s="8">
        <f>B52/B12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2026-02-08T10:54:34Z</dcterms:created>
  <dcterms:modified xsi:type="dcterms:W3CDTF">2026-02-08T10:54:34Z</dcterms:modified>
</cp:coreProperties>
</file>