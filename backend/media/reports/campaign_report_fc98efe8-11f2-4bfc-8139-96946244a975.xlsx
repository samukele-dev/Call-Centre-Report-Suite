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" sheetId="1" r:id="rId1"/>
    <sheet name="Campaign Analysis" sheetId="2" r:id="rId2"/>
  </sheets>
  <definedNames>
    <definedName name="_xlnm._FilterDatabase" localSheetId="0" hidden="1">Pivot!$A$1:$C$39</definedName>
  </definedNames>
  <calcPr calcId="124519" fullCalcOnLoad="1"/>
</workbook>
</file>

<file path=xl/sharedStrings.xml><?xml version="1.0" encoding="utf-8"?>
<sst xmlns="http://schemas.openxmlformats.org/spreadsheetml/2006/main" count="191" uniqueCount="134">
  <si>
    <t>Outcome</t>
  </si>
  <si>
    <t>Count</t>
  </si>
  <si>
    <t>Description</t>
  </si>
  <si>
    <t>AC</t>
  </si>
  <si>
    <t>Already Contacted</t>
  </si>
  <si>
    <t>A</t>
  </si>
  <si>
    <t>Answering Machine</t>
  </si>
  <si>
    <t>DROP</t>
  </si>
  <si>
    <t>Dropped</t>
  </si>
  <si>
    <t>IABDN</t>
  </si>
  <si>
    <t>Inbound Abandon</t>
  </si>
  <si>
    <t>NA</t>
  </si>
  <si>
    <t>No Answer Autodial</t>
  </si>
  <si>
    <t>AA</t>
  </si>
  <si>
    <t>Answering Machine Autodial</t>
  </si>
  <si>
    <t>CU</t>
  </si>
  <si>
    <t>Client Hung Up</t>
  </si>
  <si>
    <t>DNC</t>
  </si>
  <si>
    <t>Do Not Call</t>
  </si>
  <si>
    <t>NI</t>
  </si>
  <si>
    <t>Not Interested</t>
  </si>
  <si>
    <t>N</t>
  </si>
  <si>
    <t>No Answer</t>
  </si>
  <si>
    <t>CB</t>
  </si>
  <si>
    <t>Busy Tone</t>
  </si>
  <si>
    <t>AFTHRS</t>
  </si>
  <si>
    <t>Inbound After Hours Drop</t>
  </si>
  <si>
    <t>CBACK</t>
  </si>
  <si>
    <t>Callback</t>
  </si>
  <si>
    <t>CCB</t>
  </si>
  <si>
    <t>Call Dropped</t>
  </si>
  <si>
    <t>U</t>
  </si>
  <si>
    <t>Unemployed</t>
  </si>
  <si>
    <t>BLQ</t>
  </si>
  <si>
    <t>Bad Line Quality</t>
  </si>
  <si>
    <t>AE</t>
  </si>
  <si>
    <t>Auto Engaged</t>
  </si>
  <si>
    <t>TPS</t>
  </si>
  <si>
    <t>TPS Registered Number</t>
  </si>
  <si>
    <t>CNAUP</t>
  </si>
  <si>
    <t>Cannot Afford Upfront Payment</t>
  </si>
  <si>
    <t>SALEY</t>
  </si>
  <si>
    <t>Sale Made - Completed Mandate</t>
  </si>
  <si>
    <t>NIUP</t>
  </si>
  <si>
    <t>Not Interested Upfront</t>
  </si>
  <si>
    <t>NSC</t>
  </si>
  <si>
    <t>Non SA Citizen</t>
  </si>
  <si>
    <t>EC</t>
  </si>
  <si>
    <t>Existing Client</t>
  </si>
  <si>
    <t>WN</t>
  </si>
  <si>
    <t>Wrong Number</t>
  </si>
  <si>
    <t>NS</t>
  </si>
  <si>
    <t>No Smartphones</t>
  </si>
  <si>
    <t>LANG</t>
  </si>
  <si>
    <t>Language Barrier</t>
  </si>
  <si>
    <t>NBA</t>
  </si>
  <si>
    <t>No Bank Account</t>
  </si>
  <si>
    <t>CUA</t>
  </si>
  <si>
    <t>Client Underage</t>
  </si>
  <si>
    <t>CD</t>
  </si>
  <si>
    <t>Client Deceased</t>
  </si>
  <si>
    <t>SELECTED</t>
  </si>
  <si>
    <t>Selected</t>
  </si>
  <si>
    <t>CNAP</t>
  </si>
  <si>
    <t>Cannot Afford Premium</t>
  </si>
  <si>
    <t>RP</t>
  </si>
  <si>
    <t>Right Party Not Available</t>
  </si>
  <si>
    <t>SALEN</t>
  </si>
  <si>
    <t>Sale Made - Pending Mandate</t>
  </si>
  <si>
    <t>GTTB</t>
  </si>
  <si>
    <t>Go to the Branch</t>
  </si>
  <si>
    <t>EN</t>
  </si>
  <si>
    <t>Engaged</t>
  </si>
  <si>
    <t>COA</t>
  </si>
  <si>
    <t>Client Overage Limit</t>
  </si>
  <si>
    <t>AS</t>
  </si>
  <si>
    <t>Account Suspended</t>
  </si>
  <si>
    <t>None</t>
  </si>
  <si>
    <t>New</t>
  </si>
  <si>
    <t>Clientele Bellringer Leads Campaign Analysis</t>
  </si>
  <si>
    <t>Unsuccessful Contacts</t>
  </si>
  <si>
    <t>Lead Count</t>
  </si>
  <si>
    <t>Was customer interested in deal?</t>
  </si>
  <si>
    <t>Successful Contacts</t>
  </si>
  <si>
    <t>True Contacts</t>
  </si>
  <si>
    <t>Disconnected Number Auto</t>
  </si>
  <si>
    <t>Temporary Disconnected Number</t>
  </si>
  <si>
    <t>Outbound Pre-Routing Drop</t>
  </si>
  <si>
    <t>Disconnected</t>
  </si>
  <si>
    <t>CONGESTED</t>
  </si>
  <si>
    <t>Flow Inbound Abandon</t>
  </si>
  <si>
    <t>Multiple Calls</t>
  </si>
  <si>
    <t>Missed</t>
  </si>
  <si>
    <t>Answered</t>
  </si>
  <si>
    <t>Customer drop</t>
  </si>
  <si>
    <t>Auto Dial Disconnected</t>
  </si>
  <si>
    <t>Disconnected Number Temporary</t>
  </si>
  <si>
    <t>Sale Made</t>
  </si>
  <si>
    <t>Tyme Bank Account Sale</t>
  </si>
  <si>
    <t>QA Rework</t>
  </si>
  <si>
    <t>Go To The Branch</t>
  </si>
  <si>
    <t>Completed</t>
  </si>
  <si>
    <t>Insured at another company</t>
  </si>
  <si>
    <t>Scheduled Appointment</t>
  </si>
  <si>
    <t>Refund Request</t>
  </si>
  <si>
    <t>Does Not Qualify</t>
  </si>
  <si>
    <t>Does Not Have a Business</t>
  </si>
  <si>
    <t>Refer To Store - Doesn't want to complete online</t>
  </si>
  <si>
    <t>Does Not Need It Now</t>
  </si>
  <si>
    <t>Technical Issue</t>
  </si>
  <si>
    <t>Unsuccessful Application</t>
  </si>
  <si>
    <t>CallBack</t>
  </si>
  <si>
    <t>Not interested - Pitched</t>
  </si>
  <si>
    <t>Affordability</t>
  </si>
  <si>
    <t>Quoted Client Not Interested</t>
  </si>
  <si>
    <t>Not interested business does not use speed point mac</t>
  </si>
  <si>
    <t>Call Back Technical Error</t>
  </si>
  <si>
    <t>Not Interested Transaction Fees</t>
  </si>
  <si>
    <t>Cannot Afford</t>
  </si>
  <si>
    <t>Not Interested Household Contents</t>
  </si>
  <si>
    <t>Call Back Hold</t>
  </si>
  <si>
    <t>Declined Sale</t>
  </si>
  <si>
    <t>If not, Why not?</t>
  </si>
  <si>
    <t>STATS</t>
  </si>
  <si>
    <t>True Contacts (TC)</t>
  </si>
  <si>
    <t>Conversions</t>
  </si>
  <si>
    <t>Conversion ratio based on TC</t>
  </si>
  <si>
    <t>Contact ratio</t>
  </si>
  <si>
    <t>TOTAL LEADS</t>
  </si>
  <si>
    <t>Top 5 Highest Ranking Statuses</t>
  </si>
  <si>
    <t>Leads Count</t>
  </si>
  <si>
    <t>Lead % Contributor</t>
  </si>
  <si>
    <t>TOTAL</t>
  </si>
  <si>
    <t>Unworkable Leads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</si>
</sst>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3" borderId="1" xfId="0" applyNumberForma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15</v>
      </c>
      <c r="C2" t="s">
        <v>4</v>
      </c>
    </row>
    <row r="3" spans="1:3">
      <c r="A3" t="s">
        <v>5</v>
      </c>
      <c r="B3">
        <v>112</v>
      </c>
      <c r="C3" t="s">
        <v>6</v>
      </c>
    </row>
    <row r="4" spans="1:3">
      <c r="A4" t="s">
        <v>7</v>
      </c>
      <c r="B4">
        <v>318</v>
      </c>
      <c r="C4" t="s">
        <v>8</v>
      </c>
    </row>
    <row r="5" spans="1:3">
      <c r="A5" t="s">
        <v>9</v>
      </c>
      <c r="B5">
        <v>67</v>
      </c>
      <c r="C5" t="s">
        <v>10</v>
      </c>
    </row>
    <row r="6" spans="1:3">
      <c r="A6" t="s">
        <v>11</v>
      </c>
      <c r="B6">
        <v>4418</v>
      </c>
      <c r="C6" t="s">
        <v>12</v>
      </c>
    </row>
    <row r="7" spans="1:3">
      <c r="A7" t="s">
        <v>13</v>
      </c>
      <c r="B7">
        <v>4739</v>
      </c>
      <c r="C7" t="s">
        <v>14</v>
      </c>
    </row>
    <row r="8" spans="1:3">
      <c r="A8" t="s">
        <v>15</v>
      </c>
      <c r="B8">
        <v>550</v>
      </c>
      <c r="C8" t="s">
        <v>16</v>
      </c>
    </row>
    <row r="9" spans="1:3">
      <c r="A9" t="s">
        <v>17</v>
      </c>
      <c r="B9">
        <v>44</v>
      </c>
      <c r="C9" t="s">
        <v>18</v>
      </c>
    </row>
    <row r="10" spans="1:3">
      <c r="A10" t="s">
        <v>19</v>
      </c>
      <c r="B10">
        <v>510</v>
      </c>
      <c r="C10" t="s">
        <v>20</v>
      </c>
    </row>
    <row r="11" spans="1:3">
      <c r="A11" t="s">
        <v>21</v>
      </c>
      <c r="B11">
        <v>72</v>
      </c>
      <c r="C11" t="s">
        <v>22</v>
      </c>
    </row>
    <row r="12" spans="1:3">
      <c r="A12" t="s">
        <v>23</v>
      </c>
      <c r="B12">
        <v>61</v>
      </c>
      <c r="C12" t="s">
        <v>24</v>
      </c>
    </row>
    <row r="13" spans="1:3">
      <c r="A13" t="s">
        <v>25</v>
      </c>
      <c r="B13">
        <v>13</v>
      </c>
      <c r="C13" t="s">
        <v>26</v>
      </c>
    </row>
    <row r="14" spans="1:3">
      <c r="A14" t="s">
        <v>27</v>
      </c>
      <c r="B14">
        <v>667</v>
      </c>
      <c r="C14" t="s">
        <v>28</v>
      </c>
    </row>
    <row r="15" spans="1:3">
      <c r="A15" t="s">
        <v>29</v>
      </c>
      <c r="B15">
        <v>481</v>
      </c>
      <c r="C15" t="s">
        <v>30</v>
      </c>
    </row>
    <row r="16" spans="1:3">
      <c r="A16" t="s">
        <v>31</v>
      </c>
      <c r="B16">
        <v>435</v>
      </c>
      <c r="C16" t="s">
        <v>32</v>
      </c>
    </row>
    <row r="17" spans="1:3">
      <c r="A17" t="s">
        <v>33</v>
      </c>
      <c r="B17">
        <v>86</v>
      </c>
      <c r="C17" t="s">
        <v>34</v>
      </c>
    </row>
    <row r="18" spans="1:3">
      <c r="A18" t="s">
        <v>35</v>
      </c>
      <c r="B18">
        <v>315</v>
      </c>
      <c r="C18" t="s">
        <v>36</v>
      </c>
    </row>
    <row r="19" spans="1:3">
      <c r="A19" t="s">
        <v>37</v>
      </c>
      <c r="B19">
        <v>9</v>
      </c>
      <c r="C19" t="s">
        <v>38</v>
      </c>
    </row>
    <row r="20" spans="1:3">
      <c r="A20" t="s">
        <v>39</v>
      </c>
      <c r="B20">
        <v>4</v>
      </c>
      <c r="C20" t="s">
        <v>40</v>
      </c>
    </row>
    <row r="21" spans="1:3">
      <c r="A21" t="s">
        <v>41</v>
      </c>
      <c r="B21">
        <v>27</v>
      </c>
      <c r="C21" t="s">
        <v>42</v>
      </c>
    </row>
    <row r="22" spans="1:3">
      <c r="A22" t="s">
        <v>43</v>
      </c>
      <c r="B22">
        <v>454</v>
      </c>
      <c r="C22" t="s">
        <v>44</v>
      </c>
    </row>
    <row r="23" spans="1:3">
      <c r="A23" t="s">
        <v>45</v>
      </c>
      <c r="B23">
        <v>8</v>
      </c>
      <c r="C23" t="s">
        <v>46</v>
      </c>
    </row>
    <row r="24" spans="1:3">
      <c r="A24" t="s">
        <v>47</v>
      </c>
      <c r="B24">
        <v>49</v>
      </c>
      <c r="C24" t="s">
        <v>48</v>
      </c>
    </row>
    <row r="25" spans="1:3">
      <c r="A25" t="s">
        <v>49</v>
      </c>
      <c r="B25">
        <v>303</v>
      </c>
      <c r="C25" t="s">
        <v>50</v>
      </c>
    </row>
    <row r="26" spans="1:3">
      <c r="A26" t="s">
        <v>51</v>
      </c>
      <c r="B26">
        <v>30</v>
      </c>
      <c r="C26" t="s">
        <v>52</v>
      </c>
    </row>
    <row r="27" spans="1:3">
      <c r="A27" t="s">
        <v>53</v>
      </c>
      <c r="B27">
        <v>6</v>
      </c>
      <c r="C27" t="s">
        <v>54</v>
      </c>
    </row>
    <row r="28" spans="1:3">
      <c r="A28" t="s">
        <v>55</v>
      </c>
      <c r="B28">
        <v>8</v>
      </c>
      <c r="C28" t="s">
        <v>56</v>
      </c>
    </row>
    <row r="29" spans="1:3">
      <c r="A29" t="s">
        <v>57</v>
      </c>
      <c r="B29">
        <v>19</v>
      </c>
      <c r="C29" t="s">
        <v>58</v>
      </c>
    </row>
    <row r="30" spans="1:3">
      <c r="A30" t="s">
        <v>59</v>
      </c>
      <c r="B30">
        <v>37</v>
      </c>
      <c r="C30" t="s">
        <v>60</v>
      </c>
    </row>
    <row r="31" spans="1:3">
      <c r="A31" t="s">
        <v>61</v>
      </c>
      <c r="B31">
        <v>118</v>
      </c>
      <c r="C31" t="s">
        <v>62</v>
      </c>
    </row>
    <row r="32" spans="1:3">
      <c r="A32" t="s">
        <v>63</v>
      </c>
      <c r="B32">
        <v>29</v>
      </c>
      <c r="C32" t="s">
        <v>64</v>
      </c>
    </row>
    <row r="33" spans="1:3">
      <c r="A33" t="s">
        <v>65</v>
      </c>
      <c r="B33">
        <v>93</v>
      </c>
      <c r="C33" t="s">
        <v>66</v>
      </c>
    </row>
    <row r="34" spans="1:3">
      <c r="A34" t="s">
        <v>67</v>
      </c>
      <c r="B34">
        <v>3</v>
      </c>
      <c r="C34" t="s">
        <v>68</v>
      </c>
    </row>
    <row r="35" spans="1:3">
      <c r="A35" t="s">
        <v>69</v>
      </c>
      <c r="B35">
        <v>8</v>
      </c>
      <c r="C35" t="s">
        <v>70</v>
      </c>
    </row>
    <row r="36" spans="1:3">
      <c r="A36" t="s">
        <v>71</v>
      </c>
      <c r="B36">
        <v>2</v>
      </c>
      <c r="C36" t="s">
        <v>72</v>
      </c>
    </row>
    <row r="37" spans="1:3">
      <c r="A37" t="s">
        <v>73</v>
      </c>
      <c r="B37">
        <v>24</v>
      </c>
      <c r="C37" t="s">
        <v>74</v>
      </c>
    </row>
    <row r="38" spans="1:3">
      <c r="A38" t="s">
        <v>75</v>
      </c>
      <c r="B38">
        <v>1</v>
      </c>
      <c r="C38" t="s">
        <v>76</v>
      </c>
    </row>
    <row r="39" spans="1:3">
      <c r="A39" t="s">
        <v>77</v>
      </c>
      <c r="B39">
        <v>110</v>
      </c>
      <c r="C39" t="s">
        <v>78</v>
      </c>
    </row>
  </sheetData>
  <autoFilter ref="A1:C3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cols>
    <col min="1" max="1" width="25.7109375" customWidth="1"/>
    <col min="2" max="2" width="12.7109375" customWidth="1"/>
    <col min="3" max="3" width="30.7109375" customWidth="1"/>
    <col min="4" max="4" width="12.7109375" customWidth="1"/>
    <col min="5" max="5" width="35.7109375" customWidth="1"/>
    <col min="6" max="6" width="12.7109375" customWidth="1"/>
    <col min="7" max="7" width="25.7109375" customWidth="1"/>
    <col min="8" max="8" width="12.7109375" customWidth="1"/>
    <col min="9" max="9" width="25.7109375" customWidth="1"/>
    <col min="10" max="10" width="12.7109375" customWidth="1"/>
  </cols>
  <sheetData>
    <row r="1" spans="1:10">
      <c r="A1" s="1" t="s">
        <v>79</v>
      </c>
      <c r="B1" s="1"/>
      <c r="C1" s="1"/>
      <c r="D1" s="1"/>
      <c r="E1" s="1"/>
      <c r="F1" s="1"/>
      <c r="G1" s="1"/>
      <c r="H1" s="1"/>
      <c r="I1" s="1"/>
      <c r="J1" s="1"/>
    </row>
    <row r="5" spans="1:10">
      <c r="B5" s="2" t="s">
        <v>80</v>
      </c>
      <c r="C5" s="2" t="s">
        <v>81</v>
      </c>
      <c r="D5" s="2" t="s">
        <v>82</v>
      </c>
      <c r="E5" s="2" t="s">
        <v>81</v>
      </c>
      <c r="F5" s="2" t="s">
        <v>83</v>
      </c>
      <c r="G5" s="2" t="s">
        <v>81</v>
      </c>
      <c r="H5" s="2" t="s">
        <v>84</v>
      </c>
      <c r="I5" s="2" t="s">
        <v>81</v>
      </c>
    </row>
    <row r="6" spans="1:10">
      <c r="C6" s="3" t="s">
        <v>14</v>
      </c>
      <c r="D6" s="4">
        <f>IFERROR(VLOOKUP("Answering Machine Autodial",Pivot!$C$2:$B$39,2,FALSE),0)</f>
        <v>0</v>
      </c>
      <c r="E6" s="3" t="s">
        <v>42</v>
      </c>
      <c r="F6" s="4">
        <f>IFERROR(VLOOKUP("Sale Made - Completed Mandate",Pivot!$C$2:$B$39,2,FALSE),0)</f>
        <v>0</v>
      </c>
      <c r="G6" s="3" t="s">
        <v>4</v>
      </c>
      <c r="H6" s="4">
        <f>IFERROR(VLOOKUP("Already Contacted",Pivot!$C$2:$B$39,2,FALSE),0)</f>
        <v>0</v>
      </c>
      <c r="I6" s="3" t="s">
        <v>16</v>
      </c>
      <c r="J6" s="4">
        <f>IFERROR(VLOOKUP("Client Hung Up",Pivot!$C$2:$B$39,2,FALSE),0)</f>
        <v>0</v>
      </c>
    </row>
    <row r="7" spans="1:10">
      <c r="C7" s="3" t="s">
        <v>12</v>
      </c>
      <c r="D7" s="4">
        <f>IFERROR(VLOOKUP("No Answer Autodial",Pivot!$C$2:$B$39,2,FALSE),0)</f>
        <v>0</v>
      </c>
      <c r="E7" s="3" t="s">
        <v>68</v>
      </c>
      <c r="F7" s="4">
        <f>IFERROR(VLOOKUP("Sale Made - Pending Mandate",Pivot!$C$2:$B$39,2,FALSE),0)</f>
        <v>0</v>
      </c>
      <c r="G7" s="3" t="s">
        <v>48</v>
      </c>
      <c r="H7" s="4">
        <f>IFERROR(VLOOKUP("Existing Client",Pivot!$C$2:$B$39,2,FALSE),0)</f>
        <v>0</v>
      </c>
      <c r="I7" s="3" t="s">
        <v>111</v>
      </c>
      <c r="J7" s="4">
        <f>IFERROR(VLOOKUP("CallBack",Pivot!$C$2:$B$39,2,FALSE),0)</f>
        <v>0</v>
      </c>
    </row>
    <row r="8" spans="1:10">
      <c r="C8" s="3" t="s">
        <v>36</v>
      </c>
      <c r="D8" s="4">
        <f>IFERROR(VLOOKUP("Auto Engaged",Pivot!$C$2:$B$39,2,FALSE),0)</f>
        <v>0</v>
      </c>
      <c r="E8" s="3" t="s">
        <v>97</v>
      </c>
      <c r="F8" s="4">
        <f>IFERROR(VLOOKUP("Sale Made",Pivot!$C$2:$B$39,2,FALSE),0)</f>
        <v>0</v>
      </c>
      <c r="G8" s="3" t="s">
        <v>32</v>
      </c>
      <c r="H8" s="4">
        <f>IFERROR(VLOOKUP("Unemployed",Pivot!$C$2:$B$39,2,FALSE),0)</f>
        <v>0</v>
      </c>
      <c r="I8" s="3" t="s">
        <v>20</v>
      </c>
      <c r="J8" s="4">
        <f>IFERROR(VLOOKUP("Not Interested",Pivot!$C$2:$B$39,2,FALSE),0)</f>
        <v>0</v>
      </c>
    </row>
    <row r="9" spans="1:10">
      <c r="C9" s="3" t="s">
        <v>85</v>
      </c>
      <c r="D9" s="4">
        <f>IFERROR(VLOOKUP("Disconnected Number Auto",Pivot!$C$2:$B$39,2,FALSE),0)</f>
        <v>0</v>
      </c>
      <c r="E9" s="3" t="s">
        <v>98</v>
      </c>
      <c r="F9" s="4">
        <f>IFERROR(VLOOKUP("Tyme Bank Account Sale",Pivot!$C$2:$B$39,2,FALSE),0)</f>
        <v>0</v>
      </c>
      <c r="G9" s="3" t="s">
        <v>50</v>
      </c>
      <c r="H9" s="4">
        <f>IFERROR(VLOOKUP("Wrong Number",Pivot!$C$2:$B$39,2,FALSE),0)</f>
        <v>0</v>
      </c>
      <c r="I9" s="3" t="s">
        <v>44</v>
      </c>
      <c r="J9" s="4">
        <f>IFERROR(VLOOKUP("Not Interested Upfront",Pivot!$C$2:$B$39,2,FALSE),0)</f>
        <v>0</v>
      </c>
    </row>
    <row r="10" spans="1:10">
      <c r="C10" s="3" t="s">
        <v>6</v>
      </c>
      <c r="D10" s="4">
        <f>IFERROR(VLOOKUP("Answering Machine",Pivot!$C$2:$B$39,2,FALSE),0)</f>
        <v>0</v>
      </c>
      <c r="E10" s="3" t="s">
        <v>99</v>
      </c>
      <c r="F10" s="4">
        <f>IFERROR(VLOOKUP("QA Rework",Pivot!$C$2:$B$39,2,FALSE),0)</f>
        <v>0</v>
      </c>
      <c r="G10" s="3" t="s">
        <v>18</v>
      </c>
      <c r="H10" s="4">
        <f>IFERROR(VLOOKUP("Do Not Call",Pivot!$C$2:$B$39,2,FALSE),0)</f>
        <v>0</v>
      </c>
      <c r="I10" s="3" t="s">
        <v>64</v>
      </c>
      <c r="J10" s="4">
        <f>IFERROR(VLOOKUP("Cannot Afford Premium",Pivot!$C$2:$B$39,2,FALSE),0)</f>
        <v>0</v>
      </c>
    </row>
    <row r="11" spans="1:10">
      <c r="C11" s="3" t="s">
        <v>62</v>
      </c>
      <c r="D11" s="4">
        <f>IFERROR(VLOOKUP("Selected",Pivot!$C$2:$B$39,2,FALSE),0)</f>
        <v>0</v>
      </c>
      <c r="E11" s="3" t="s">
        <v>122</v>
      </c>
      <c r="G11" s="3" t="s">
        <v>52</v>
      </c>
      <c r="H11" s="4">
        <f>IFERROR(VLOOKUP("No Smartphones",Pivot!$C$2:$B$39,2,FALSE),0)</f>
        <v>0</v>
      </c>
      <c r="I11" s="3" t="s">
        <v>112</v>
      </c>
      <c r="J11" s="4">
        <f>IFERROR(VLOOKUP("Not interested - Pitched",Pivot!$C$2:$B$39,2,FALSE),0)</f>
        <v>0</v>
      </c>
    </row>
    <row r="12" spans="1:10">
      <c r="B12" s="4">
        <f>D33+F11</f>
        <v>0</v>
      </c>
      <c r="C12" s="3" t="s">
        <v>22</v>
      </c>
      <c r="D12" s="4">
        <f>IFERROR(VLOOKUP("No Answer",Pivot!$C$2:$B$39,2,FALSE),0)</f>
        <v>0</v>
      </c>
      <c r="F12" s="4">
        <f>SUM(F8:F9)</f>
        <v>0</v>
      </c>
      <c r="G12" s="3" t="s">
        <v>60</v>
      </c>
      <c r="H12" s="4">
        <f>IFERROR(VLOOKUP("Client Deceased",Pivot!$C$2:$B$39,2,FALSE),0)</f>
        <v>0</v>
      </c>
      <c r="I12" s="3" t="s">
        <v>113</v>
      </c>
      <c r="J12" s="4">
        <f>IFERROR(VLOOKUP("Affordability",Pivot!$C$2:$B$39,2,FALSE),0)</f>
        <v>0</v>
      </c>
    </row>
    <row r="13" spans="1:10">
      <c r="C13" s="3" t="s">
        <v>24</v>
      </c>
      <c r="D13" s="4">
        <f>IFERROR(VLOOKUP("Busy Tone",Pivot!$C$2:$B$39,2,FALSE),0)</f>
        <v>0</v>
      </c>
      <c r="G13" s="3" t="s">
        <v>66</v>
      </c>
      <c r="H13" s="4">
        <f>IFERROR(VLOOKUP("Right Party Not Available",Pivot!$C$2:$B$39,2,FALSE),0)</f>
        <v>0</v>
      </c>
      <c r="I13" s="3" t="s">
        <v>114</v>
      </c>
      <c r="J13" s="4">
        <f>IFERROR(VLOOKUP("Quoted Client Not Interested",Pivot!$C$2:$B$39,2,FALSE),0)</f>
        <v>0</v>
      </c>
    </row>
    <row r="14" spans="1:10">
      <c r="C14" s="3" t="s">
        <v>8</v>
      </c>
      <c r="D14" s="4">
        <f>IFERROR(VLOOKUP("Dropped",Pivot!$C$2:$B$39,2,FALSE),0)</f>
        <v>0</v>
      </c>
      <c r="G14" s="3" t="s">
        <v>74</v>
      </c>
      <c r="H14" s="4">
        <f>IFERROR(VLOOKUP("Client Overage Limit",Pivot!$C$2:$B$39,2,FALSE),0)</f>
        <v>0</v>
      </c>
      <c r="I14" s="3" t="s">
        <v>115</v>
      </c>
      <c r="J14" s="4">
        <f>IFERROR(VLOOKUP("Not interested business does not use speed point mac",Pivot!$C$2:$B$39,2,FALSE),0)</f>
        <v>0</v>
      </c>
    </row>
    <row r="15" spans="1:10">
      <c r="C15" s="3" t="s">
        <v>78</v>
      </c>
      <c r="D15" s="4">
        <f>IFERROR(VLOOKUP("New",Pivot!$C$2:$B$39,2,FALSE),0)</f>
        <v>0</v>
      </c>
      <c r="G15" s="3" t="s">
        <v>54</v>
      </c>
      <c r="H15" s="4">
        <f>IFERROR(VLOOKUP("Language Barrier",Pivot!$C$2:$B$39,2,FALSE),0)</f>
        <v>0</v>
      </c>
      <c r="I15" s="3" t="s">
        <v>116</v>
      </c>
      <c r="J15" s="4">
        <f>IFERROR(VLOOKUP("Call Back Technical Error",Pivot!$C$2:$B$39,2,FALSE),0)</f>
        <v>0</v>
      </c>
    </row>
    <row r="16" spans="1:10">
      <c r="C16" s="3" t="s">
        <v>30</v>
      </c>
      <c r="D16" s="4">
        <f>IFERROR(VLOOKUP("Call Dropped",Pivot!$C$2:$B$39,2,FALSE),0)</f>
        <v>0</v>
      </c>
      <c r="G16" s="3" t="s">
        <v>46</v>
      </c>
      <c r="H16" s="4">
        <f>IFERROR(VLOOKUP("Non SA Citizen",Pivot!$C$2:$B$39,2,FALSE),0)</f>
        <v>0</v>
      </c>
      <c r="I16" s="3" t="s">
        <v>117</v>
      </c>
      <c r="J16" s="4">
        <f>IFERROR(VLOOKUP("Not Interested Transaction Fees",Pivot!$C$2:$B$39,2,FALSE),0)</f>
        <v>0</v>
      </c>
    </row>
    <row r="17" spans="3:10">
      <c r="C17" s="3" t="s">
        <v>26</v>
      </c>
      <c r="D17" s="4">
        <f>IFERROR(VLOOKUP("Inbound After Hours Drop",Pivot!$C$2:$B$39,2,FALSE),0)</f>
        <v>0</v>
      </c>
      <c r="F17" s="4">
        <f>H33+J22</f>
        <v>0</v>
      </c>
      <c r="G17" s="3" t="s">
        <v>56</v>
      </c>
      <c r="H17" s="4">
        <f>IFERROR(VLOOKUP("No Bank Account",Pivot!$C$2:$B$39,2,FALSE),0)</f>
        <v>0</v>
      </c>
      <c r="I17" s="3" t="s">
        <v>118</v>
      </c>
      <c r="J17" s="4">
        <f>IFERROR(VLOOKUP("Cannot Afford",Pivot!$C$2:$B$39,2,FALSE),0)</f>
        <v>0</v>
      </c>
    </row>
    <row r="18" spans="3:10">
      <c r="C18" s="3" t="s">
        <v>38</v>
      </c>
      <c r="D18" s="4">
        <f>IFERROR(VLOOKUP("TPS Registered Number",Pivot!$C$2:$B$39,2,FALSE),0)</f>
        <v>0</v>
      </c>
      <c r="G18" s="3" t="s">
        <v>58</v>
      </c>
      <c r="H18" s="4">
        <f>IFERROR(VLOOKUP("Client Underage",Pivot!$C$2:$B$39,2,FALSE),0)</f>
        <v>0</v>
      </c>
      <c r="I18" s="3" t="s">
        <v>119</v>
      </c>
      <c r="J18" s="4">
        <f>IFERROR(VLOOKUP("Not Interested Household Contents",Pivot!$C$2:$B$39,2,FALSE),0)</f>
        <v>0</v>
      </c>
    </row>
    <row r="19" spans="3:10">
      <c r="C19" s="3" t="s">
        <v>86</v>
      </c>
      <c r="D19" s="4">
        <f>IFERROR(VLOOKUP("Temporary Disconnected Number",Pivot!$C$2:$B$39,2,FALSE),0)</f>
        <v>0</v>
      </c>
      <c r="G19" s="3" t="s">
        <v>100</v>
      </c>
      <c r="H19" s="4">
        <f>IFERROR(VLOOKUP("Go To The Branch",Pivot!$C$2:$B$39,2,FALSE),0)</f>
        <v>0</v>
      </c>
      <c r="I19" s="3" t="s">
        <v>120</v>
      </c>
      <c r="J19" s="4">
        <f>IFERROR(VLOOKUP("Call Back Hold",Pivot!$C$2:$B$39,2,FALSE),0)</f>
        <v>0</v>
      </c>
    </row>
    <row r="20" spans="3:10">
      <c r="C20" s="3" t="s">
        <v>34</v>
      </c>
      <c r="D20" s="4">
        <f>IFERROR(VLOOKUP("Bad Line Quality",Pivot!$C$2:$B$39,2,FALSE),0)</f>
        <v>0</v>
      </c>
      <c r="G20" s="3" t="s">
        <v>101</v>
      </c>
      <c r="H20" s="4">
        <f>IFERROR(VLOOKUP("Completed",Pivot!$C$2:$B$39,2,FALSE),0)</f>
        <v>0</v>
      </c>
      <c r="I20" s="3" t="s">
        <v>121</v>
      </c>
      <c r="J20" s="4">
        <f>IFERROR(VLOOKUP("Declined Sale",Pivot!$C$2:$B$39,2,FALSE),0)</f>
        <v>0</v>
      </c>
    </row>
    <row r="21" spans="3:10">
      <c r="C21" s="3" t="s">
        <v>10</v>
      </c>
      <c r="D21" s="4">
        <f>IFERROR(VLOOKUP("Inbound Abandon",Pivot!$C$2:$B$39,2,FALSE),0)</f>
        <v>0</v>
      </c>
      <c r="G21" s="3" t="s">
        <v>40</v>
      </c>
      <c r="H21" s="4">
        <f>IFERROR(VLOOKUP("Cannot Afford Upfront Payment",Pivot!$C$2:$B$39,2,FALSE),0)</f>
        <v>0</v>
      </c>
    </row>
    <row r="22" spans="3:10">
      <c r="C22" s="3" t="s">
        <v>87</v>
      </c>
      <c r="D22" s="4">
        <f>IFERROR(VLOOKUP("Outbound Pre-Routing Drop",Pivot!$C$2:$B$39,2,FALSE),0)</f>
        <v>0</v>
      </c>
      <c r="G22" s="3" t="s">
        <v>76</v>
      </c>
      <c r="H22" s="4">
        <f>IFERROR(VLOOKUP("Account Suspended",Pivot!$C$2:$B$39,2,FALSE),0)</f>
        <v>0</v>
      </c>
      <c r="J22" s="4">
        <f>SUBTOTAL(109,J6:J20)</f>
        <v>0</v>
      </c>
    </row>
    <row r="23" spans="3:10">
      <c r="C23" s="3" t="s">
        <v>72</v>
      </c>
      <c r="D23" s="4">
        <f>IFERROR(VLOOKUP("Engaged",Pivot!$C$2:$B$39,2,FALSE),0)</f>
        <v>0</v>
      </c>
      <c r="G23" s="3" t="s">
        <v>102</v>
      </c>
      <c r="H23" s="4">
        <f>IFERROR(VLOOKUP("Insured at another company",Pivot!$C$2:$B$39,2,FALSE),0)</f>
        <v>0</v>
      </c>
    </row>
    <row r="24" spans="3:10">
      <c r="C24" s="3" t="s">
        <v>88</v>
      </c>
      <c r="D24" s="4">
        <f>IFERROR(VLOOKUP("Disconnected",Pivot!$C$2:$B$39,2,FALSE),0)</f>
        <v>0</v>
      </c>
      <c r="G24" s="3" t="s">
        <v>103</v>
      </c>
      <c r="H24" s="4">
        <f>IFERROR(VLOOKUP("Scheduled Appointment",Pivot!$C$2:$B$39,2,FALSE),0)</f>
        <v>0</v>
      </c>
    </row>
    <row r="25" spans="3:10">
      <c r="C25" s="3" t="s">
        <v>89</v>
      </c>
      <c r="D25" s="4">
        <f>IFERROR(VLOOKUP("CONGESTED",Pivot!$C$2:$B$39,2,FALSE),0)</f>
        <v>0</v>
      </c>
      <c r="G25" s="3" t="s">
        <v>104</v>
      </c>
      <c r="H25" s="4">
        <f>IFERROR(VLOOKUP("Refund Request",Pivot!$C$2:$B$39,2,FALSE),0)</f>
        <v>0</v>
      </c>
    </row>
    <row r="26" spans="3:10">
      <c r="C26" s="3" t="s">
        <v>90</v>
      </c>
      <c r="D26" s="4">
        <f>IFERROR(VLOOKUP("Flow Inbound Abandon",Pivot!$C$2:$B$39,2,FALSE),0)</f>
        <v>0</v>
      </c>
      <c r="G26" s="3" t="s">
        <v>105</v>
      </c>
      <c r="H26" s="4">
        <f>IFERROR(VLOOKUP("Does Not Qualify",Pivot!$C$2:$B$39,2,FALSE),0)</f>
        <v>0</v>
      </c>
    </row>
    <row r="27" spans="3:10">
      <c r="C27" s="3" t="s">
        <v>91</v>
      </c>
      <c r="D27" s="4">
        <f>IFERROR(VLOOKUP("Multiple Calls",Pivot!$C$2:$B$39,2,FALSE),0)</f>
        <v>0</v>
      </c>
      <c r="G27" s="3" t="s">
        <v>106</v>
      </c>
      <c r="H27" s="4">
        <f>IFERROR(VLOOKUP("Does Not Have a Business",Pivot!$C$2:$B$39,2,FALSE),0)</f>
        <v>0</v>
      </c>
    </row>
    <row r="28" spans="3:10">
      <c r="C28" s="3" t="s">
        <v>92</v>
      </c>
      <c r="D28" s="4">
        <f>IFERROR(VLOOKUP("Missed",Pivot!$C$2:$B$39,2,FALSE),0)</f>
        <v>0</v>
      </c>
      <c r="G28" s="3" t="s">
        <v>107</v>
      </c>
      <c r="H28" s="4">
        <f>IFERROR(VLOOKUP("Refer To Store - Doesn't want to complete online",Pivot!$C$2:$B$39,2,FALSE),0)</f>
        <v>0</v>
      </c>
    </row>
    <row r="29" spans="3:10">
      <c r="C29" s="3" t="s">
        <v>93</v>
      </c>
      <c r="D29" s="4">
        <f>IFERROR(VLOOKUP("Answered",Pivot!$C$2:$B$39,2,FALSE),0)</f>
        <v>0</v>
      </c>
      <c r="G29" s="3" t="s">
        <v>108</v>
      </c>
      <c r="H29" s="4">
        <f>IFERROR(VLOOKUP("Does Not Need It Now",Pivot!$C$2:$B$39,2,FALSE),0)</f>
        <v>0</v>
      </c>
    </row>
    <row r="30" spans="3:10">
      <c r="C30" s="3" t="s">
        <v>94</v>
      </c>
      <c r="D30" s="4">
        <f>IFERROR(VLOOKUP("Customer drop",Pivot!$C$2:$B$39,2,FALSE),0)</f>
        <v>0</v>
      </c>
      <c r="G30" s="3" t="s">
        <v>109</v>
      </c>
      <c r="H30" s="4">
        <f>IFERROR(VLOOKUP("Technical Issue",Pivot!$C$2:$B$39,2,FALSE),0)</f>
        <v>0</v>
      </c>
    </row>
    <row r="31" spans="3:10">
      <c r="C31" s="3" t="s">
        <v>95</v>
      </c>
      <c r="D31" s="4">
        <f>IFERROR(VLOOKUP("Auto Dial Disconnected",Pivot!$C$2:$B$39,2,FALSE),0)</f>
        <v>0</v>
      </c>
      <c r="G31" s="3" t="s">
        <v>110</v>
      </c>
      <c r="H31" s="4">
        <f>IFERROR(VLOOKUP("Unsuccessful Application",Pivot!$C$2:$B$39,2,FALSE),0)</f>
        <v>0</v>
      </c>
    </row>
    <row r="32" spans="3:10">
      <c r="C32" s="3" t="s">
        <v>96</v>
      </c>
      <c r="D32" s="4">
        <f>IFERROR(VLOOKUP("Disconnected Number Temporary",Pivot!$C$2:$B$39,2,FALSE),0)</f>
        <v>0</v>
      </c>
    </row>
    <row r="33" spans="1:8">
      <c r="H33" s="4">
        <f>SUM(H6:H31)</f>
        <v>0</v>
      </c>
    </row>
    <row r="34" spans="1:8">
      <c r="D34" s="4">
        <f>SUM(D6:D32)</f>
        <v>0</v>
      </c>
    </row>
    <row r="38" spans="1:8">
      <c r="C38" s="4">
        <f>F12+H33+J22</f>
        <v>0</v>
      </c>
    </row>
    <row r="39" spans="1:8">
      <c r="C39" s="4">
        <f>J22+F12</f>
        <v>0</v>
      </c>
    </row>
    <row r="40" spans="1:8">
      <c r="A40" s="5" t="s">
        <v>123</v>
      </c>
      <c r="C40" s="4">
        <f>SUM(F8:F9)</f>
        <v>0</v>
      </c>
    </row>
    <row r="41" spans="1:8">
      <c r="A41" s="3" t="s">
        <v>83</v>
      </c>
      <c r="B41" s="4">
        <f>F12</f>
        <v>0</v>
      </c>
      <c r="C41" s="6">
        <f>C40/C39</f>
        <v>0</v>
      </c>
    </row>
    <row r="42" spans="1:8">
      <c r="A42" s="3" t="s">
        <v>124</v>
      </c>
      <c r="B42" s="4">
        <f>J22</f>
        <v>0</v>
      </c>
      <c r="C42" s="6">
        <f>F12/B12</f>
        <v>0</v>
      </c>
    </row>
    <row r="43" spans="1:8">
      <c r="A43" s="3" t="s">
        <v>125</v>
      </c>
      <c r="B43" s="4">
        <f>F8</f>
        <v>0</v>
      </c>
      <c r="C43" s="4">
        <f>B12</f>
        <v>0</v>
      </c>
    </row>
    <row r="44" spans="1:8">
      <c r="A44" s="3" t="s">
        <v>126</v>
      </c>
      <c r="B44" s="4">
        <f>C42/C41</f>
        <v>0</v>
      </c>
    </row>
    <row r="45" spans="1:8">
      <c r="A45" s="3" t="s">
        <v>127</v>
      </c>
      <c r="B45" s="4">
        <f>(C40+C41)/B12</f>
        <v>0</v>
      </c>
    </row>
    <row r="46" spans="1:8">
      <c r="A46" s="3" t="s">
        <v>128</v>
      </c>
      <c r="B46" s="4">
        <f>B12</f>
        <v>0</v>
      </c>
    </row>
    <row r="49" spans="1:3">
      <c r="A49" s="5" t="s">
        <v>129</v>
      </c>
      <c r="B49" s="5" t="s">
        <v>130</v>
      </c>
      <c r="C49" s="5" t="s">
        <v>131</v>
      </c>
    </row>
    <row r="50" spans="1:3">
      <c r="A50" s="3" t="s">
        <v>13</v>
      </c>
      <c r="B50" s="7">
        <v>4739</v>
      </c>
      <c r="C50" s="6">
        <f>B50/B12</f>
        <v>0</v>
      </c>
    </row>
    <row r="51" spans="1:3">
      <c r="A51" s="3" t="s">
        <v>11</v>
      </c>
      <c r="B51" s="7">
        <v>4418</v>
      </c>
      <c r="C51" s="6">
        <f>B51/B12</f>
        <v>0</v>
      </c>
    </row>
    <row r="52" spans="1:3">
      <c r="A52" s="3" t="s">
        <v>27</v>
      </c>
      <c r="B52" s="7">
        <v>667</v>
      </c>
      <c r="C52" s="6">
        <f>B52/B12</f>
        <v>0</v>
      </c>
    </row>
    <row r="53" spans="1:3">
      <c r="A53" s="3" t="s">
        <v>15</v>
      </c>
      <c r="B53" s="7">
        <v>550</v>
      </c>
      <c r="C53" s="6">
        <f>B53/B12</f>
        <v>0</v>
      </c>
    </row>
    <row r="54" spans="1:3">
      <c r="A54" s="3" t="s">
        <v>19</v>
      </c>
      <c r="B54" s="7">
        <v>510</v>
      </c>
      <c r="C54" s="6">
        <f>B54/B12</f>
        <v>0</v>
      </c>
    </row>
    <row r="55" spans="1:3">
      <c r="A55" s="5" t="s">
        <v>132</v>
      </c>
      <c r="B55" s="4">
        <f>SUM(B50:B54)</f>
        <v>0</v>
      </c>
      <c r="C55" s="6">
        <f>B55/B12</f>
        <v>0</v>
      </c>
    </row>
    <row r="58" spans="1:3">
      <c r="A58" s="5" t="s">
        <v>133</v>
      </c>
      <c r="B58" s="5" t="s">
        <v>130</v>
      </c>
      <c r="C58" s="5" t="s">
        <v>131</v>
      </c>
    </row>
    <row r="59" spans="1:3">
      <c r="A59" s="3" t="s">
        <v>32</v>
      </c>
      <c r="B59" s="7">
        <v>435</v>
      </c>
      <c r="C59" s="6">
        <f>B59/B12</f>
        <v>0</v>
      </c>
    </row>
    <row r="60" spans="1:3">
      <c r="A60" s="3" t="s">
        <v>50</v>
      </c>
      <c r="B60" s="7">
        <v>303</v>
      </c>
      <c r="C60" s="6">
        <f>B60/B12</f>
        <v>0</v>
      </c>
    </row>
    <row r="61" spans="1:3">
      <c r="A61" s="3" t="s">
        <v>66</v>
      </c>
      <c r="B61" s="7">
        <v>93</v>
      </c>
      <c r="C61" s="6">
        <f>B61/B12</f>
        <v>0</v>
      </c>
    </row>
    <row r="62" spans="1:3">
      <c r="A62" s="3" t="s">
        <v>48</v>
      </c>
      <c r="B62" s="7">
        <v>49</v>
      </c>
      <c r="C62" s="6">
        <f>B62/B12</f>
        <v>0</v>
      </c>
    </row>
    <row r="63" spans="1:3">
      <c r="A63" s="3" t="s">
        <v>18</v>
      </c>
      <c r="B63" s="7">
        <v>44</v>
      </c>
      <c r="C63" s="6">
        <f>B63/B12</f>
        <v>0</v>
      </c>
    </row>
    <row r="64" spans="1:3">
      <c r="A64" s="3" t="s">
        <v>60</v>
      </c>
      <c r="B64" s="7">
        <v>37</v>
      </c>
      <c r="C64" s="6">
        <f>B64/B12</f>
        <v>0</v>
      </c>
    </row>
    <row r="65" spans="1:3">
      <c r="A65" s="3" t="s">
        <v>52</v>
      </c>
      <c r="B65" s="7">
        <v>30</v>
      </c>
      <c r="C65" s="6">
        <f>B65/B12</f>
        <v>0</v>
      </c>
    </row>
    <row r="66" spans="1:3">
      <c r="A66" s="3" t="s">
        <v>74</v>
      </c>
      <c r="B66" s="7">
        <v>24</v>
      </c>
      <c r="C66" s="6">
        <f>B66/B12</f>
        <v>0</v>
      </c>
    </row>
    <row r="67" spans="1:3">
      <c r="A67" s="3" t="s">
        <v>58</v>
      </c>
      <c r="B67" s="7">
        <v>19</v>
      </c>
      <c r="C67" s="6">
        <f>B67/B12</f>
        <v>0</v>
      </c>
    </row>
    <row r="68" spans="1:3">
      <c r="A68" s="3" t="s">
        <v>4</v>
      </c>
      <c r="B68" s="7">
        <v>15</v>
      </c>
      <c r="C68" s="6">
        <f>B68/B12</f>
        <v>0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Campaign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2026-02-08T10:40:45Z</dcterms:created>
  <dcterms:modified xsi:type="dcterms:W3CDTF">2026-02-08T10:40:45Z</dcterms:modified>
</cp:coreProperties>
</file>